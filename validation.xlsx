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casrod\Downloads\"/>
    </mc:Choice>
  </mc:AlternateContent>
  <xr:revisionPtr revIDLastSave="0" documentId="13_ncr:1_{22E80633-58F8-42F1-A789-6CF603C6636F}" xr6:coauthVersionLast="47" xr6:coauthVersionMax="47" xr10:uidLastSave="{00000000-0000-0000-0000-000000000000}"/>
  <bookViews>
    <workbookView xWindow="-108" yWindow="-108" windowWidth="23256" windowHeight="12456" activeTab="4" xr2:uid="{00000000-000D-0000-FFFF-FFFF00000000}"/>
  </bookViews>
  <sheets>
    <sheet name="Validation" sheetId="2" r:id="rId1"/>
    <sheet name="Backup (porsi)" sheetId="3" state="hidden" r:id="rId2"/>
    <sheet name="Analysis per seeked concept" sheetId="4" r:id="rId3"/>
    <sheet name="Global assessment per test" sheetId="5" r:id="rId4"/>
    <sheet name="Ontology and concepts per UC" sheetId="7" r:id="rId5"/>
  </sheets>
  <definedNames>
    <definedName name="_xlnm._FilterDatabase" localSheetId="0" hidden="1">Validation!$A$1:$AA$1368</definedName>
    <definedName name="Z_8D7FC475_0C0C_4114_AD8E_FD0AE14FCB26_.wvu.FilterData" localSheetId="0" hidden="1">Validation!$A$1:$AA$779</definedName>
  </definedNames>
  <calcPr calcId="191029"/>
  <customWorkbookViews>
    <customWorkbookView name="Trabajo" guid="{8D7FC475-0C0C-4114-AD8E-FD0AE14FCB2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5" l="1"/>
  <c r="G43" i="5"/>
  <c r="G42" i="5"/>
  <c r="G41" i="5"/>
  <c r="G39" i="5"/>
  <c r="G38" i="5"/>
  <c r="G36" i="5"/>
  <c r="U32" i="5"/>
  <c r="M32" i="5"/>
  <c r="G32" i="5"/>
  <c r="F32" i="5"/>
  <c r="E32" i="5"/>
  <c r="D32" i="5"/>
  <c r="C32" i="5"/>
  <c r="B32" i="5"/>
  <c r="U31" i="5"/>
  <c r="M31" i="5"/>
  <c r="G31" i="5"/>
  <c r="J31" i="5" s="1"/>
  <c r="F31" i="5"/>
  <c r="E31" i="5"/>
  <c r="D31" i="5"/>
  <c r="C31" i="5"/>
  <c r="B31" i="5"/>
  <c r="U30" i="5"/>
  <c r="M30" i="5"/>
  <c r="G30" i="5"/>
  <c r="F30" i="5"/>
  <c r="E30" i="5"/>
  <c r="D30" i="5"/>
  <c r="C30" i="5"/>
  <c r="B30" i="5"/>
  <c r="U29" i="5"/>
  <c r="M29" i="5"/>
  <c r="K29" i="5"/>
  <c r="G29" i="5"/>
  <c r="F29" i="5"/>
  <c r="E29" i="5"/>
  <c r="D29" i="5"/>
  <c r="C29" i="5"/>
  <c r="B29" i="5"/>
  <c r="U28" i="5"/>
  <c r="M28" i="5"/>
  <c r="K28" i="5"/>
  <c r="G28" i="5"/>
  <c r="F28" i="5"/>
  <c r="E28" i="5"/>
  <c r="D28" i="5"/>
  <c r="C28" i="5"/>
  <c r="B28" i="5"/>
  <c r="U27" i="5"/>
  <c r="M27" i="5"/>
  <c r="K27" i="5"/>
  <c r="G27" i="5"/>
  <c r="F27" i="5"/>
  <c r="E27" i="5"/>
  <c r="D27" i="5"/>
  <c r="C27" i="5"/>
  <c r="B27" i="5"/>
  <c r="U26" i="5"/>
  <c r="M26" i="5"/>
  <c r="K26" i="5"/>
  <c r="J26" i="5"/>
  <c r="G26" i="5"/>
  <c r="F26" i="5"/>
  <c r="E26" i="5"/>
  <c r="D26" i="5"/>
  <c r="C26" i="5"/>
  <c r="B26" i="5"/>
  <c r="U25" i="5"/>
  <c r="M25" i="5"/>
  <c r="K25" i="5"/>
  <c r="J25" i="5"/>
  <c r="I25" i="5"/>
  <c r="G25" i="5"/>
  <c r="F25" i="5"/>
  <c r="E25" i="5"/>
  <c r="D25" i="5"/>
  <c r="C25" i="5"/>
  <c r="B25" i="5"/>
  <c r="U24" i="5"/>
  <c r="M24" i="5"/>
  <c r="K24" i="5"/>
  <c r="I24" i="5"/>
  <c r="G24" i="5"/>
  <c r="L24" i="5" s="1"/>
  <c r="F24" i="5"/>
  <c r="E24" i="5"/>
  <c r="D24" i="5"/>
  <c r="C24" i="5"/>
  <c r="B24" i="5"/>
  <c r="U23" i="5"/>
  <c r="M23" i="5"/>
  <c r="K23" i="5"/>
  <c r="J23" i="5"/>
  <c r="I23" i="5"/>
  <c r="G23" i="5"/>
  <c r="F23" i="5"/>
  <c r="E23" i="5"/>
  <c r="D23" i="5"/>
  <c r="C23" i="5"/>
  <c r="B23" i="5"/>
  <c r="U22" i="5"/>
  <c r="M22" i="5"/>
  <c r="K22" i="5"/>
  <c r="I22" i="5"/>
  <c r="G22" i="5"/>
  <c r="F22" i="5"/>
  <c r="E22" i="5"/>
  <c r="D22" i="5"/>
  <c r="C22" i="5"/>
  <c r="B22" i="5"/>
  <c r="U21" i="5"/>
  <c r="M21" i="5"/>
  <c r="J21" i="5"/>
  <c r="G21" i="5"/>
  <c r="F21" i="5"/>
  <c r="E21" i="5"/>
  <c r="D21" i="5"/>
  <c r="C21" i="5"/>
  <c r="B21" i="5"/>
  <c r="U20" i="5"/>
  <c r="M20" i="5"/>
  <c r="G20" i="5"/>
  <c r="F20" i="5"/>
  <c r="E20" i="5"/>
  <c r="D20" i="5"/>
  <c r="C20" i="5"/>
  <c r="B20" i="5"/>
  <c r="U19" i="5"/>
  <c r="M19" i="5"/>
  <c r="G19" i="5"/>
  <c r="F19" i="5"/>
  <c r="E19" i="5"/>
  <c r="D19" i="5"/>
  <c r="C19" i="5"/>
  <c r="B19" i="5"/>
  <c r="U18" i="5"/>
  <c r="M18" i="5"/>
  <c r="K18" i="5"/>
  <c r="I18" i="5"/>
  <c r="G18" i="5"/>
  <c r="F18" i="5"/>
  <c r="E18" i="5"/>
  <c r="D18" i="5"/>
  <c r="C18" i="5"/>
  <c r="B18" i="5"/>
  <c r="U17" i="5"/>
  <c r="M17" i="5"/>
  <c r="G17" i="5"/>
  <c r="F17" i="5"/>
  <c r="E17" i="5"/>
  <c r="D17" i="5"/>
  <c r="C17" i="5"/>
  <c r="B17" i="5"/>
  <c r="U16" i="5"/>
  <c r="M16" i="5"/>
  <c r="L16" i="5"/>
  <c r="G16" i="5"/>
  <c r="F16" i="5"/>
  <c r="E16" i="5"/>
  <c r="D16" i="5"/>
  <c r="C16" i="5"/>
  <c r="B16" i="5"/>
  <c r="U15" i="5"/>
  <c r="M15" i="5"/>
  <c r="J15" i="5"/>
  <c r="G15" i="5"/>
  <c r="F15" i="5"/>
  <c r="E15" i="5"/>
  <c r="D15" i="5"/>
  <c r="C15" i="5"/>
  <c r="B15" i="5"/>
  <c r="U14" i="5"/>
  <c r="M14" i="5"/>
  <c r="L14" i="5"/>
  <c r="G14" i="5"/>
  <c r="F14" i="5"/>
  <c r="E14" i="5"/>
  <c r="D14" i="5"/>
  <c r="C14" i="5"/>
  <c r="B14" i="5"/>
  <c r="U13" i="5"/>
  <c r="M13" i="5"/>
  <c r="G13" i="5"/>
  <c r="F13" i="5"/>
  <c r="E13" i="5"/>
  <c r="D13" i="5"/>
  <c r="C13" i="5"/>
  <c r="B13" i="5"/>
  <c r="U12" i="5"/>
  <c r="M12" i="5"/>
  <c r="I12" i="5"/>
  <c r="G12" i="5"/>
  <c r="F12" i="5"/>
  <c r="E12" i="5"/>
  <c r="D12" i="5"/>
  <c r="C12" i="5"/>
  <c r="B12" i="5"/>
  <c r="U11" i="5"/>
  <c r="M11" i="5"/>
  <c r="K11" i="5"/>
  <c r="I11" i="5"/>
  <c r="G11" i="5"/>
  <c r="F11" i="5"/>
  <c r="E11" i="5"/>
  <c r="D11" i="5"/>
  <c r="C11" i="5"/>
  <c r="B11" i="5"/>
  <c r="U10" i="5"/>
  <c r="M10" i="5"/>
  <c r="K10" i="5"/>
  <c r="J10" i="5"/>
  <c r="I10" i="5"/>
  <c r="G10" i="5"/>
  <c r="F10" i="5"/>
  <c r="E10" i="5"/>
  <c r="D10" i="5"/>
  <c r="C10" i="5"/>
  <c r="B10" i="5"/>
  <c r="U9" i="5"/>
  <c r="M9" i="5"/>
  <c r="K9" i="5"/>
  <c r="G9" i="5"/>
  <c r="F9" i="5"/>
  <c r="E9" i="5"/>
  <c r="D9" i="5"/>
  <c r="C9" i="5"/>
  <c r="B9" i="5"/>
  <c r="U8" i="5"/>
  <c r="M8" i="5"/>
  <c r="G8" i="5"/>
  <c r="F8" i="5"/>
  <c r="E8" i="5"/>
  <c r="D8" i="5"/>
  <c r="C8" i="5"/>
  <c r="B8" i="5"/>
  <c r="U7" i="5"/>
  <c r="M7" i="5"/>
  <c r="I7" i="5"/>
  <c r="G7" i="5"/>
  <c r="F7" i="5"/>
  <c r="E7" i="5"/>
  <c r="D7" i="5"/>
  <c r="C7" i="5"/>
  <c r="B7" i="5"/>
  <c r="U6" i="5"/>
  <c r="M6" i="5"/>
  <c r="K6" i="5"/>
  <c r="I6" i="5"/>
  <c r="G6" i="5"/>
  <c r="F6" i="5"/>
  <c r="E6" i="5"/>
  <c r="D6" i="5"/>
  <c r="C6" i="5"/>
  <c r="B6" i="5"/>
  <c r="U5" i="5"/>
  <c r="M5" i="5"/>
  <c r="L5" i="5"/>
  <c r="K5" i="5"/>
  <c r="I5" i="5"/>
  <c r="G5" i="5"/>
  <c r="F5" i="5"/>
  <c r="E5" i="5"/>
  <c r="D5" i="5"/>
  <c r="C5" i="5"/>
  <c r="B5" i="5"/>
  <c r="U4" i="5"/>
  <c r="M4" i="5"/>
  <c r="K4" i="5"/>
  <c r="G4" i="5"/>
  <c r="F4" i="5"/>
  <c r="E4" i="5"/>
  <c r="D4" i="5"/>
  <c r="C4" i="5"/>
  <c r="B4" i="5"/>
  <c r="U3" i="5"/>
  <c r="M3" i="5"/>
  <c r="G3" i="5"/>
  <c r="F3" i="5"/>
  <c r="E3" i="5"/>
  <c r="D3" i="5"/>
  <c r="C3" i="5"/>
  <c r="B3" i="5"/>
  <c r="AE47" i="4" a="1"/>
  <c r="AE47" i="4" s="1"/>
  <c r="AD47" i="4" a="1"/>
  <c r="AD47" i="4" s="1"/>
  <c r="AC47" i="4" a="1"/>
  <c r="AC47" i="4" s="1"/>
  <c r="AB47" i="4" a="1"/>
  <c r="AB47" i="4" s="1"/>
  <c r="AA47" i="4" a="1"/>
  <c r="AA47" i="4" s="1"/>
  <c r="Z47" i="4" a="1"/>
  <c r="Z47" i="4"/>
  <c r="Y47" i="4" a="1"/>
  <c r="Y47" i="4"/>
  <c r="X47" i="4" a="1"/>
  <c r="X47" i="4" s="1"/>
  <c r="W47" i="4" a="1"/>
  <c r="W47" i="4" s="1"/>
  <c r="V47" i="4" a="1"/>
  <c r="V47" i="4" s="1"/>
  <c r="U47" i="4" a="1"/>
  <c r="U47" i="4" s="1"/>
  <c r="T47" i="4" a="1"/>
  <c r="T47" i="4" s="1"/>
  <c r="S47" i="4" a="1"/>
  <c r="S47" i="4" s="1"/>
  <c r="R47" i="4" a="1"/>
  <c r="R47" i="4" s="1"/>
  <c r="Q47" i="4" a="1"/>
  <c r="Q47" i="4" s="1"/>
  <c r="P47" i="4" a="1"/>
  <c r="P47" i="4" s="1"/>
  <c r="O47" i="4" a="1"/>
  <c r="O47" i="4" s="1"/>
  <c r="N47" i="4" a="1"/>
  <c r="N47" i="4" s="1"/>
  <c r="M47" i="4" a="1"/>
  <c r="M47" i="4" s="1"/>
  <c r="L47" i="4" a="1"/>
  <c r="L47" i="4" s="1"/>
  <c r="K47" i="4" a="1"/>
  <c r="K47" i="4" s="1"/>
  <c r="J47" i="4" a="1"/>
  <c r="J47" i="4" s="1"/>
  <c r="I47" i="4" a="1"/>
  <c r="I47" i="4" s="1"/>
  <c r="H47" i="4" a="1"/>
  <c r="H47" i="4" s="1"/>
  <c r="G47" i="4" a="1"/>
  <c r="G47" i="4"/>
  <c r="F47" i="4" a="1"/>
  <c r="F47" i="4" s="1"/>
  <c r="E47" i="4" a="1"/>
  <c r="E47" i="4" s="1"/>
  <c r="D47" i="4" a="1"/>
  <c r="D47" i="4" s="1"/>
  <c r="C47" i="4" a="1"/>
  <c r="C47" i="4" s="1"/>
  <c r="B47" i="4" a="1"/>
  <c r="B47" i="4" s="1"/>
  <c r="AE46" i="4" a="1"/>
  <c r="AE46" i="4" s="1"/>
  <c r="AD46" i="4" a="1"/>
  <c r="AD46" i="4"/>
  <c r="AC46" i="4" a="1"/>
  <c r="AC46" i="4" s="1"/>
  <c r="AB46" i="4" a="1"/>
  <c r="AB46" i="4" s="1"/>
  <c r="AA46" i="4" a="1"/>
  <c r="AA46" i="4" s="1"/>
  <c r="Z46" i="4" a="1"/>
  <c r="Z46" i="4"/>
  <c r="Y46" i="4" a="1"/>
  <c r="Y46" i="4" s="1"/>
  <c r="X46" i="4" a="1"/>
  <c r="X46" i="4" s="1"/>
  <c r="W46" i="4" a="1"/>
  <c r="W46" i="4"/>
  <c r="V46" i="4" a="1"/>
  <c r="V46" i="4" s="1"/>
  <c r="U46" i="4" a="1"/>
  <c r="U46" i="4" s="1"/>
  <c r="T46" i="4" a="1"/>
  <c r="T46" i="4" s="1"/>
  <c r="S46" i="4" a="1"/>
  <c r="S46" i="4"/>
  <c r="R46" i="4" a="1"/>
  <c r="R46" i="4" s="1"/>
  <c r="Q46" i="4" a="1"/>
  <c r="Q46" i="4"/>
  <c r="P46" i="4" a="1"/>
  <c r="P46" i="4" s="1"/>
  <c r="O46" i="4" a="1"/>
  <c r="O46" i="4" s="1"/>
  <c r="N46" i="4" a="1"/>
  <c r="N46" i="4" s="1"/>
  <c r="M46" i="4" a="1"/>
  <c r="M46" i="4" s="1"/>
  <c r="L46" i="4" a="1"/>
  <c r="L46" i="4"/>
  <c r="K46" i="4" a="1"/>
  <c r="K46" i="4" s="1"/>
  <c r="J46" i="4" a="1"/>
  <c r="J46" i="4" s="1"/>
  <c r="I46" i="4" a="1"/>
  <c r="I46" i="4" s="1"/>
  <c r="H46" i="4" a="1"/>
  <c r="H46" i="4"/>
  <c r="G46" i="4" a="1"/>
  <c r="G46" i="4" s="1"/>
  <c r="F46" i="4" a="1"/>
  <c r="F46" i="4" s="1"/>
  <c r="E46" i="4" a="1"/>
  <c r="E46" i="4" s="1"/>
  <c r="D46" i="4" a="1"/>
  <c r="D46" i="4" s="1"/>
  <c r="C46" i="4" a="1"/>
  <c r="C46" i="4"/>
  <c r="B46" i="4" a="1"/>
  <c r="B46" i="4" s="1"/>
  <c r="AE45" i="4" a="1"/>
  <c r="AE45" i="4" s="1"/>
  <c r="AD45" i="4" a="1"/>
  <c r="AD45" i="4" s="1"/>
  <c r="AC45" i="4" a="1"/>
  <c r="AC45" i="4" s="1"/>
  <c r="AB45" i="4" a="1"/>
  <c r="AB45" i="4" s="1"/>
  <c r="AA45" i="4" a="1"/>
  <c r="AA45" i="4" s="1"/>
  <c r="Z45" i="4" a="1"/>
  <c r="Z45" i="4" s="1"/>
  <c r="Y45" i="4" a="1"/>
  <c r="Y45" i="4" s="1"/>
  <c r="X45" i="4" a="1"/>
  <c r="X45" i="4" s="1"/>
  <c r="W45" i="4" a="1"/>
  <c r="W45" i="4" s="1"/>
  <c r="V45" i="4" a="1"/>
  <c r="V45" i="4" s="1"/>
  <c r="U45" i="4" a="1"/>
  <c r="U45" i="4" s="1"/>
  <c r="T45" i="4" a="1"/>
  <c r="T45" i="4" s="1"/>
  <c r="S45" i="4" a="1"/>
  <c r="S45" i="4" s="1"/>
  <c r="R45" i="4" a="1"/>
  <c r="R45" i="4" s="1"/>
  <c r="Q45" i="4" a="1"/>
  <c r="Q45" i="4" s="1"/>
  <c r="P45" i="4" a="1"/>
  <c r="P45" i="4" s="1"/>
  <c r="O45" i="4" a="1"/>
  <c r="O45" i="4" s="1"/>
  <c r="N45" i="4" a="1"/>
  <c r="N45" i="4" s="1"/>
  <c r="M45" i="4" a="1"/>
  <c r="M45" i="4" s="1"/>
  <c r="L45" i="4" a="1"/>
  <c r="L45" i="4" s="1"/>
  <c r="K45" i="4" a="1"/>
  <c r="K45" i="4" s="1"/>
  <c r="J45" i="4" a="1"/>
  <c r="J45" i="4" s="1"/>
  <c r="I45" i="4" a="1"/>
  <c r="I45" i="4" s="1"/>
  <c r="H45" i="4" a="1"/>
  <c r="H45" i="4" s="1"/>
  <c r="G45" i="4" a="1"/>
  <c r="G45" i="4" s="1"/>
  <c r="F45" i="4" a="1"/>
  <c r="F45" i="4" s="1"/>
  <c r="E45" i="4" a="1"/>
  <c r="E45" i="4" s="1"/>
  <c r="D45" i="4" a="1"/>
  <c r="D45" i="4" s="1"/>
  <c r="C45" i="4" a="1"/>
  <c r="C45" i="4"/>
  <c r="B45" i="4" a="1"/>
  <c r="B45" i="4" s="1"/>
  <c r="AE44" i="4" a="1"/>
  <c r="AE44" i="4" s="1"/>
  <c r="AD44" i="4" a="1"/>
  <c r="AD44" i="4" s="1"/>
  <c r="AC44" i="4" a="1"/>
  <c r="AC44" i="4" s="1"/>
  <c r="AB44" i="4" a="1"/>
  <c r="AB44" i="4" s="1"/>
  <c r="AA44" i="4" a="1"/>
  <c r="AA44" i="4" s="1"/>
  <c r="Z44" i="4" a="1"/>
  <c r="Z44" i="4" s="1"/>
  <c r="Y44" i="4" a="1"/>
  <c r="Y44" i="4" s="1"/>
  <c r="X44" i="4" a="1"/>
  <c r="X44" i="4"/>
  <c r="W44" i="4" a="1"/>
  <c r="W44" i="4" s="1"/>
  <c r="V44" i="4" a="1"/>
  <c r="V44" i="4" s="1"/>
  <c r="U44" i="4" a="1"/>
  <c r="U44" i="4" s="1"/>
  <c r="T44" i="4" a="1"/>
  <c r="T44" i="4" s="1"/>
  <c r="S44" i="4" a="1"/>
  <c r="S44" i="4"/>
  <c r="R44" i="4" a="1"/>
  <c r="R44" i="4" s="1"/>
  <c r="Q44" i="4" a="1"/>
  <c r="Q44" i="4" s="1"/>
  <c r="P44" i="4" a="1"/>
  <c r="P44" i="4" s="1"/>
  <c r="O44" i="4" a="1"/>
  <c r="O44" i="4" s="1"/>
  <c r="N44" i="4" a="1"/>
  <c r="N44" i="4" s="1"/>
  <c r="M44" i="4" a="1"/>
  <c r="M44" i="4"/>
  <c r="L44" i="4" a="1"/>
  <c r="L44" i="4" s="1"/>
  <c r="K44" i="4" a="1"/>
  <c r="K44" i="4"/>
  <c r="J44" i="4" a="1"/>
  <c r="J44" i="4" s="1"/>
  <c r="I44" i="4" a="1"/>
  <c r="I44" i="4" s="1"/>
  <c r="H44" i="4" a="1"/>
  <c r="H44" i="4" s="1"/>
  <c r="G44" i="4" a="1"/>
  <c r="G44" i="4" s="1"/>
  <c r="F44" i="4" a="1"/>
  <c r="F44" i="4" s="1"/>
  <c r="E44" i="4" a="1"/>
  <c r="E44" i="4"/>
  <c r="D44" i="4" a="1"/>
  <c r="D44" i="4" s="1"/>
  <c r="C44" i="4" a="1"/>
  <c r="C44" i="4" s="1"/>
  <c r="B44" i="4" a="1"/>
  <c r="B44" i="4"/>
  <c r="AE43" i="4" a="1"/>
  <c r="AE43" i="4" s="1"/>
  <c r="AD43" i="4" a="1"/>
  <c r="AD43" i="4" s="1"/>
  <c r="AC43" i="4" a="1"/>
  <c r="AC43" i="4" s="1"/>
  <c r="AB43" i="4" a="1"/>
  <c r="AB43" i="4" s="1"/>
  <c r="AA43" i="4" a="1"/>
  <c r="AA43" i="4"/>
  <c r="Z43" i="4" a="1"/>
  <c r="Z43" i="4" s="1"/>
  <c r="Y43" i="4" a="1"/>
  <c r="Y43" i="4" s="1"/>
  <c r="X43" i="4" a="1"/>
  <c r="X43" i="4" s="1"/>
  <c r="W43" i="4" a="1"/>
  <c r="W43" i="4" s="1"/>
  <c r="V43" i="4" a="1"/>
  <c r="V43" i="4" s="1"/>
  <c r="U43" i="4" a="1"/>
  <c r="U43" i="4" s="1"/>
  <c r="T43" i="4" a="1"/>
  <c r="T43" i="4" s="1"/>
  <c r="S43" i="4" a="1"/>
  <c r="S43" i="4" s="1"/>
  <c r="R43" i="4" a="1"/>
  <c r="R43" i="4" s="1"/>
  <c r="Q43" i="4" a="1"/>
  <c r="Q43" i="4" s="1"/>
  <c r="P43" i="4" a="1"/>
  <c r="P43" i="4" s="1"/>
  <c r="O43" i="4" a="1"/>
  <c r="O43" i="4" s="1"/>
  <c r="N43" i="4" a="1"/>
  <c r="N43" i="4" s="1"/>
  <c r="M43" i="4" a="1"/>
  <c r="M43" i="4"/>
  <c r="L43" i="4" a="1"/>
  <c r="L43" i="4" s="1"/>
  <c r="K43" i="4" a="1"/>
  <c r="K43" i="4" s="1"/>
  <c r="J43" i="4" a="1"/>
  <c r="J43" i="4"/>
  <c r="I43" i="4" a="1"/>
  <c r="I43" i="4" s="1"/>
  <c r="H43" i="4" a="1"/>
  <c r="H43" i="4" s="1"/>
  <c r="G43" i="4" a="1"/>
  <c r="G43" i="4" s="1"/>
  <c r="F43" i="4" a="1"/>
  <c r="F43" i="4"/>
  <c r="E43" i="4" a="1"/>
  <c r="E43" i="4" s="1"/>
  <c r="D43" i="4" a="1"/>
  <c r="D43" i="4" s="1"/>
  <c r="C43" i="4" a="1"/>
  <c r="C43" i="4" s="1"/>
  <c r="B43" i="4" a="1"/>
  <c r="B43" i="4" s="1"/>
  <c r="AE42" i="4" a="1"/>
  <c r="AE42" i="4" s="1"/>
  <c r="AD42" i="4" a="1"/>
  <c r="AD42" i="4" s="1"/>
  <c r="AC42" i="4" a="1"/>
  <c r="AC42" i="4"/>
  <c r="AB42" i="4" a="1"/>
  <c r="AB42" i="4" s="1"/>
  <c r="AA42" i="4" a="1"/>
  <c r="AA42" i="4" s="1"/>
  <c r="Z42" i="4" a="1"/>
  <c r="Z42" i="4" s="1"/>
  <c r="Y42" i="4" a="1"/>
  <c r="Y42" i="4" s="1"/>
  <c r="X42" i="4" a="1"/>
  <c r="X42" i="4" s="1"/>
  <c r="W42" i="4" a="1"/>
  <c r="W42" i="4" s="1"/>
  <c r="V42" i="4" a="1"/>
  <c r="V42" i="4"/>
  <c r="U42" i="4" a="1"/>
  <c r="U42" i="4" s="1"/>
  <c r="T42" i="4" a="1"/>
  <c r="T42" i="4" s="1"/>
  <c r="S42" i="4" a="1"/>
  <c r="S42" i="4" s="1"/>
  <c r="R42" i="4" a="1"/>
  <c r="R42" i="4"/>
  <c r="Q42" i="4" a="1"/>
  <c r="Q42" i="4" s="1"/>
  <c r="P42" i="4" a="1"/>
  <c r="P42" i="4"/>
  <c r="O42" i="4" a="1"/>
  <c r="O42" i="4" s="1"/>
  <c r="N42" i="4" a="1"/>
  <c r="N42" i="4"/>
  <c r="M42" i="4" a="1"/>
  <c r="M42" i="4"/>
  <c r="L42" i="4" a="1"/>
  <c r="L42" i="4" s="1"/>
  <c r="K42" i="4" a="1"/>
  <c r="K42" i="4" s="1"/>
  <c r="J42" i="4" a="1"/>
  <c r="J42" i="4" s="1"/>
  <c r="I42" i="4" a="1"/>
  <c r="I42" i="4" s="1"/>
  <c r="H42" i="4" a="1"/>
  <c r="H42" i="4" s="1"/>
  <c r="G42" i="4" a="1"/>
  <c r="G42" i="4"/>
  <c r="F42" i="4" a="1"/>
  <c r="F42" i="4" s="1"/>
  <c r="E42" i="4" a="1"/>
  <c r="E42" i="4" s="1"/>
  <c r="D42" i="4" a="1"/>
  <c r="D42" i="4" s="1"/>
  <c r="C42" i="4" a="1"/>
  <c r="C42" i="4" s="1"/>
  <c r="B42" i="4" a="1"/>
  <c r="B42" i="4"/>
  <c r="AE41" i="4" a="1"/>
  <c r="AE41" i="4" s="1"/>
  <c r="AD41" i="4" a="1"/>
  <c r="AD41" i="4"/>
  <c r="AC41" i="4" a="1"/>
  <c r="AC41" i="4"/>
  <c r="AB41" i="4" a="1"/>
  <c r="AB41" i="4" s="1"/>
  <c r="AA41" i="4" a="1"/>
  <c r="AA41" i="4" s="1"/>
  <c r="Z41" i="4" a="1"/>
  <c r="Z41" i="4"/>
  <c r="Y41" i="4" a="1"/>
  <c r="Y41" i="4" s="1"/>
  <c r="X41" i="4" a="1"/>
  <c r="X41" i="4" s="1"/>
  <c r="W41" i="4" a="1"/>
  <c r="W41" i="4" s="1"/>
  <c r="V41" i="4" a="1"/>
  <c r="V41" i="4" s="1"/>
  <c r="U41" i="4" a="1"/>
  <c r="U41" i="4" s="1"/>
  <c r="T41" i="4" a="1"/>
  <c r="T41" i="4" s="1"/>
  <c r="S41" i="4" a="1"/>
  <c r="S41" i="4" s="1"/>
  <c r="R41" i="4" a="1"/>
  <c r="R41" i="4"/>
  <c r="Q41" i="4" a="1"/>
  <c r="Q41" i="4" s="1"/>
  <c r="P41" i="4" a="1"/>
  <c r="P41" i="4" s="1"/>
  <c r="O41" i="4" a="1"/>
  <c r="O41" i="4" s="1"/>
  <c r="N41" i="4" a="1"/>
  <c r="N41" i="4" s="1"/>
  <c r="M41" i="4" a="1"/>
  <c r="M41" i="4"/>
  <c r="L41" i="4" a="1"/>
  <c r="L41" i="4" s="1"/>
  <c r="K41" i="4" a="1"/>
  <c r="K41" i="4" s="1"/>
  <c r="J41" i="4" a="1"/>
  <c r="J41" i="4" s="1"/>
  <c r="I41" i="4" a="1"/>
  <c r="I41" i="4" s="1"/>
  <c r="H41" i="4" a="1"/>
  <c r="H41" i="4" s="1"/>
  <c r="G41" i="4" a="1"/>
  <c r="G41" i="4" s="1"/>
  <c r="F41" i="4" a="1"/>
  <c r="F41" i="4" s="1"/>
  <c r="E41" i="4" a="1"/>
  <c r="E41" i="4" s="1"/>
  <c r="D41" i="4" a="1"/>
  <c r="D41" i="4" s="1"/>
  <c r="C41" i="4" a="1"/>
  <c r="C41" i="4" s="1"/>
  <c r="B41" i="4" a="1"/>
  <c r="B41" i="4" s="1"/>
  <c r="AE40" i="4" a="1"/>
  <c r="AE40" i="4" s="1"/>
  <c r="AD40" i="4" a="1"/>
  <c r="AD40" i="4" s="1"/>
  <c r="AC40" i="4" a="1"/>
  <c r="AC40" i="4"/>
  <c r="AB40" i="4" a="1"/>
  <c r="AB40" i="4" s="1"/>
  <c r="AA40" i="4" a="1"/>
  <c r="AA40" i="4" s="1"/>
  <c r="Z40" i="4" a="1"/>
  <c r="Z40" i="4" s="1"/>
  <c r="Y40" i="4" a="1"/>
  <c r="Y40" i="4" s="1"/>
  <c r="X40" i="4" a="1"/>
  <c r="X40" i="4" s="1"/>
  <c r="W40" i="4" a="1"/>
  <c r="W40" i="4"/>
  <c r="V40" i="4" a="1"/>
  <c r="V40" i="4" s="1"/>
  <c r="U40" i="4" a="1"/>
  <c r="U40" i="4"/>
  <c r="T40" i="4" a="1"/>
  <c r="T40" i="4" s="1"/>
  <c r="S40" i="4" a="1"/>
  <c r="S40" i="4"/>
  <c r="R40" i="4" a="1"/>
  <c r="R40" i="4" s="1"/>
  <c r="Q40" i="4" a="1"/>
  <c r="Q40" i="4" s="1"/>
  <c r="P40" i="4" a="1"/>
  <c r="P40" i="4" s="1"/>
  <c r="O40" i="4" a="1"/>
  <c r="O40" i="4"/>
  <c r="N40" i="4" a="1"/>
  <c r="N40" i="4" s="1"/>
  <c r="M40" i="4" a="1"/>
  <c r="M40" i="4" s="1"/>
  <c r="L40" i="4" a="1"/>
  <c r="L40" i="4" s="1"/>
  <c r="K40" i="4" a="1"/>
  <c r="K40" i="4" s="1"/>
  <c r="J40" i="4" a="1"/>
  <c r="J40" i="4"/>
  <c r="I40" i="4" a="1"/>
  <c r="I40" i="4" s="1"/>
  <c r="H40" i="4" a="1"/>
  <c r="H40" i="4" s="1"/>
  <c r="G40" i="4" a="1"/>
  <c r="G40" i="4"/>
  <c r="F40" i="4" a="1"/>
  <c r="F40" i="4" s="1"/>
  <c r="E40" i="4" a="1"/>
  <c r="E40" i="4"/>
  <c r="D40" i="4" a="1"/>
  <c r="D40" i="4" s="1"/>
  <c r="C40" i="4" a="1"/>
  <c r="C40" i="4" s="1"/>
  <c r="B40" i="4" a="1"/>
  <c r="B40" i="4" s="1"/>
  <c r="AE39" i="4" a="1"/>
  <c r="AE39" i="4" s="1"/>
  <c r="AD39" i="4" a="1"/>
  <c r="AD39" i="4" s="1"/>
  <c r="AC39" i="4" a="1"/>
  <c r="AC39" i="4"/>
  <c r="AB39" i="4" a="1"/>
  <c r="AB39" i="4" s="1"/>
  <c r="AA39" i="4" a="1"/>
  <c r="AA39" i="4" s="1"/>
  <c r="Z39" i="4" a="1"/>
  <c r="Z39" i="4"/>
  <c r="Y39" i="4" a="1"/>
  <c r="Y39" i="4" s="1"/>
  <c r="X39" i="4" a="1"/>
  <c r="X39" i="4" s="1"/>
  <c r="W39" i="4" a="1"/>
  <c r="W39" i="4"/>
  <c r="V39" i="4" a="1"/>
  <c r="V39" i="4" s="1"/>
  <c r="U39" i="4" a="1"/>
  <c r="U39" i="4" s="1"/>
  <c r="T39" i="4" a="1"/>
  <c r="T39" i="4" s="1"/>
  <c r="S39" i="4" a="1"/>
  <c r="S39" i="4" s="1"/>
  <c r="R39" i="4" a="1"/>
  <c r="R39" i="4"/>
  <c r="Q39" i="4" a="1"/>
  <c r="Q39" i="4" s="1"/>
  <c r="P39" i="4" a="1"/>
  <c r="P39" i="4"/>
  <c r="O39" i="4" a="1"/>
  <c r="O39" i="4"/>
  <c r="N39" i="4" a="1"/>
  <c r="N39" i="4" s="1"/>
  <c r="M39" i="4" a="1"/>
  <c r="M39" i="4" s="1"/>
  <c r="L39" i="4" a="1"/>
  <c r="L39" i="4"/>
  <c r="K39" i="4" a="1"/>
  <c r="K39" i="4" s="1"/>
  <c r="J39" i="4" a="1"/>
  <c r="J39" i="4" s="1"/>
  <c r="I39" i="4" a="1"/>
  <c r="I39" i="4" s="1"/>
  <c r="H39" i="4" a="1"/>
  <c r="H39" i="4" s="1"/>
  <c r="G39" i="4" a="1"/>
  <c r="G39" i="4" s="1"/>
  <c r="F39" i="4" a="1"/>
  <c r="F39" i="4" s="1"/>
  <c r="E39" i="4" a="1"/>
  <c r="E39" i="4" s="1"/>
  <c r="D39" i="4" a="1"/>
  <c r="D39" i="4"/>
  <c r="C39" i="4" a="1"/>
  <c r="C39" i="4" s="1"/>
  <c r="B39" i="4" a="1"/>
  <c r="B39" i="4"/>
  <c r="AE38" i="4" a="1"/>
  <c r="AE38" i="4"/>
  <c r="AD38" i="4" a="1"/>
  <c r="AD38" i="4" s="1"/>
  <c r="AC38" i="4" a="1"/>
  <c r="AC38" i="4" s="1"/>
  <c r="AB38" i="4" a="1"/>
  <c r="AB38" i="4"/>
  <c r="AA38" i="4" a="1"/>
  <c r="AA38" i="4" s="1"/>
  <c r="Z38" i="4" a="1"/>
  <c r="Z38" i="4"/>
  <c r="Y38" i="4" a="1"/>
  <c r="Y38" i="4" s="1"/>
  <c r="X38" i="4" a="1"/>
  <c r="X38" i="4"/>
  <c r="W38" i="4" a="1"/>
  <c r="W38" i="4" s="1"/>
  <c r="V38" i="4" a="1"/>
  <c r="V38" i="4" s="1"/>
  <c r="U38" i="4" a="1"/>
  <c r="U38" i="4" s="1"/>
  <c r="T38" i="4" a="1"/>
  <c r="T38" i="4" s="1"/>
  <c r="S38" i="4" a="1"/>
  <c r="S38" i="4" s="1"/>
  <c r="R38" i="4" a="1"/>
  <c r="R38" i="4" s="1"/>
  <c r="Q38" i="4" a="1"/>
  <c r="Q38" i="4" s="1"/>
  <c r="P38" i="4" a="1"/>
  <c r="P38" i="4" s="1"/>
  <c r="O38" i="4" a="1"/>
  <c r="O38" i="4" s="1"/>
  <c r="N38" i="4" a="1"/>
  <c r="N38" i="4" s="1"/>
  <c r="M38" i="4" a="1"/>
  <c r="M38" i="4"/>
  <c r="L38" i="4" a="1"/>
  <c r="L38" i="4"/>
  <c r="K38" i="4" a="1"/>
  <c r="K38" i="4" s="1"/>
  <c r="J38" i="4" a="1"/>
  <c r="J38" i="4"/>
  <c r="I38" i="4" a="1"/>
  <c r="I38" i="4" s="1"/>
  <c r="H38" i="4" a="1"/>
  <c r="H38" i="4" s="1"/>
  <c r="G38" i="4" a="1"/>
  <c r="G38" i="4" s="1"/>
  <c r="F38" i="4" a="1"/>
  <c r="F38" i="4"/>
  <c r="E38" i="4" a="1"/>
  <c r="E38" i="4" s="1"/>
  <c r="D38" i="4" a="1"/>
  <c r="D38" i="4" s="1"/>
  <c r="C38" i="4" a="1"/>
  <c r="C38" i="4" s="1"/>
  <c r="B38" i="4" a="1"/>
  <c r="B38" i="4"/>
  <c r="AE37" i="4" a="1"/>
  <c r="AE37" i="4" s="1"/>
  <c r="AD37" i="4" a="1"/>
  <c r="AD37" i="4" s="1"/>
  <c r="AC37" i="4" a="1"/>
  <c r="AC37" i="4"/>
  <c r="AB37" i="4" a="1"/>
  <c r="AB37" i="4" s="1"/>
  <c r="AA37" i="4" a="1"/>
  <c r="AA37" i="4" s="1"/>
  <c r="Z37" i="4" a="1"/>
  <c r="Z37" i="4" s="1"/>
  <c r="Y37" i="4" a="1"/>
  <c r="Y37" i="4" s="1"/>
  <c r="X37" i="4" a="1"/>
  <c r="X37" i="4" s="1"/>
  <c r="W37" i="4" a="1"/>
  <c r="W37" i="4" s="1"/>
  <c r="V37" i="4" a="1"/>
  <c r="V37" i="4" s="1"/>
  <c r="U37" i="4" a="1"/>
  <c r="U37" i="4" s="1"/>
  <c r="T37" i="4" a="1"/>
  <c r="T37" i="4" s="1"/>
  <c r="S37" i="4" a="1"/>
  <c r="S37" i="4" s="1"/>
  <c r="R37" i="4" a="1"/>
  <c r="R37" i="4"/>
  <c r="Q37" i="4" a="1"/>
  <c r="Q37" i="4" s="1"/>
  <c r="P37" i="4" a="1"/>
  <c r="P37" i="4" s="1"/>
  <c r="O37" i="4" a="1"/>
  <c r="O37" i="4" s="1"/>
  <c r="N37" i="4" a="1"/>
  <c r="N37" i="4" s="1"/>
  <c r="M37" i="4" a="1"/>
  <c r="M37" i="4" s="1"/>
  <c r="L37" i="4" a="1"/>
  <c r="L37" i="4" s="1"/>
  <c r="K37" i="4" a="1"/>
  <c r="K37" i="4" s="1"/>
  <c r="J37" i="4" a="1"/>
  <c r="J37" i="4" s="1"/>
  <c r="I37" i="4" a="1"/>
  <c r="I37" i="4" s="1"/>
  <c r="H37" i="4" a="1"/>
  <c r="H37" i="4" s="1"/>
  <c r="G37" i="4" a="1"/>
  <c r="G37" i="4" s="1"/>
  <c r="F37" i="4" a="1"/>
  <c r="F37" i="4" s="1"/>
  <c r="E37" i="4" a="1"/>
  <c r="E37" i="4" s="1"/>
  <c r="D37" i="4" a="1"/>
  <c r="D37" i="4" s="1"/>
  <c r="C37" i="4" a="1"/>
  <c r="C37" i="4" s="1"/>
  <c r="B37" i="4" a="1"/>
  <c r="B37" i="4" s="1"/>
  <c r="AE36" i="4" a="1"/>
  <c r="AE36" i="4"/>
  <c r="AD36" i="4" a="1"/>
  <c r="AD36" i="4" s="1"/>
  <c r="AC36" i="4" a="1"/>
  <c r="AC36" i="4" s="1"/>
  <c r="AB36" i="4" a="1"/>
  <c r="AB36" i="4" s="1"/>
  <c r="AA36" i="4" a="1"/>
  <c r="AA36" i="4" s="1"/>
  <c r="Z36" i="4" a="1"/>
  <c r="Z36" i="4" s="1"/>
  <c r="Y36" i="4" a="1"/>
  <c r="Y36" i="4" s="1"/>
  <c r="X36" i="4" a="1"/>
  <c r="X36" i="4" s="1"/>
  <c r="W36" i="4" a="1"/>
  <c r="W36" i="4" s="1"/>
  <c r="V36" i="4" a="1"/>
  <c r="V36" i="4" s="1"/>
  <c r="U36" i="4" a="1"/>
  <c r="U36" i="4" s="1"/>
  <c r="T36" i="4" a="1"/>
  <c r="T36" i="4" s="1"/>
  <c r="S36" i="4" a="1"/>
  <c r="S36" i="4" s="1"/>
  <c r="R36" i="4" a="1"/>
  <c r="R36" i="4" s="1"/>
  <c r="Q36" i="4" a="1"/>
  <c r="Q36" i="4"/>
  <c r="P36" i="4" a="1"/>
  <c r="P36" i="4" s="1"/>
  <c r="O36" i="4" a="1"/>
  <c r="O36" i="4" s="1"/>
  <c r="N36" i="4" a="1"/>
  <c r="N36" i="4" s="1"/>
  <c r="M36" i="4" a="1"/>
  <c r="M36" i="4" s="1"/>
  <c r="L36" i="4" a="1"/>
  <c r="L36" i="4" s="1"/>
  <c r="K36" i="4" a="1"/>
  <c r="K36" i="4"/>
  <c r="J36" i="4" a="1"/>
  <c r="J36" i="4" s="1"/>
  <c r="I36" i="4" a="1"/>
  <c r="I36" i="4"/>
  <c r="H36" i="4" a="1"/>
  <c r="H36" i="4" s="1"/>
  <c r="G36" i="4" a="1"/>
  <c r="G36" i="4" s="1"/>
  <c r="F36" i="4" a="1"/>
  <c r="F36" i="4" s="1"/>
  <c r="E36" i="4" a="1"/>
  <c r="E36" i="4" s="1"/>
  <c r="D36" i="4" a="1"/>
  <c r="D36" i="4" s="1"/>
  <c r="C36" i="4" a="1"/>
  <c r="C36" i="4"/>
  <c r="B36" i="4" a="1"/>
  <c r="B36" i="4" s="1"/>
  <c r="AE35" i="4" a="1"/>
  <c r="AE35" i="4" s="1"/>
  <c r="AD35" i="4" a="1"/>
  <c r="AD35" i="4" s="1"/>
  <c r="AC35" i="4" a="1"/>
  <c r="AC35" i="4" s="1"/>
  <c r="AB35" i="4" a="1"/>
  <c r="AB35" i="4" s="1"/>
  <c r="AA35" i="4" a="1"/>
  <c r="AA35" i="4" s="1"/>
  <c r="Z35" i="4" a="1"/>
  <c r="Z35" i="4" s="1"/>
  <c r="Y35" i="4" a="1"/>
  <c r="Y35" i="4"/>
  <c r="X35" i="4" a="1"/>
  <c r="X35" i="4" s="1"/>
  <c r="W35" i="4" a="1"/>
  <c r="W35" i="4" s="1"/>
  <c r="V35" i="4" a="1"/>
  <c r="V35" i="4" s="1"/>
  <c r="U35" i="4" a="1"/>
  <c r="U35" i="4" s="1"/>
  <c r="T35" i="4" a="1"/>
  <c r="T35" i="4" s="1"/>
  <c r="S35" i="4" a="1"/>
  <c r="S35" i="4" s="1"/>
  <c r="R35" i="4" a="1"/>
  <c r="R35" i="4" s="1"/>
  <c r="Q35" i="4" a="1"/>
  <c r="Q35" i="4" s="1"/>
  <c r="P35" i="4" a="1"/>
  <c r="P35" i="4" s="1"/>
  <c r="O35" i="4" a="1"/>
  <c r="O35" i="4" s="1"/>
  <c r="N35" i="4" a="1"/>
  <c r="N35" i="4" s="1"/>
  <c r="M35" i="4" a="1"/>
  <c r="M35" i="4" s="1"/>
  <c r="L35" i="4" a="1"/>
  <c r="L35" i="4" s="1"/>
  <c r="K35" i="4" a="1"/>
  <c r="K35" i="4"/>
  <c r="J35" i="4" a="1"/>
  <c r="J35" i="4" s="1"/>
  <c r="I35" i="4" a="1"/>
  <c r="I35" i="4" s="1"/>
  <c r="H35" i="4" a="1"/>
  <c r="H35" i="4"/>
  <c r="G35" i="4" a="1"/>
  <c r="G35" i="4" s="1"/>
  <c r="F35" i="4" a="1"/>
  <c r="F35" i="4" s="1"/>
  <c r="E35" i="4" a="1"/>
  <c r="E35" i="4" s="1"/>
  <c r="D35" i="4" a="1"/>
  <c r="D35" i="4"/>
  <c r="C35" i="4" a="1"/>
  <c r="C35" i="4" s="1"/>
  <c r="B35" i="4" a="1"/>
  <c r="B35" i="4" s="1"/>
  <c r="AE34" i="4" a="1"/>
  <c r="AE34" i="4" s="1"/>
  <c r="AD34" i="4" a="1"/>
  <c r="AD34" i="4" s="1"/>
  <c r="AC34" i="4" a="1"/>
  <c r="AC34" i="4" s="1"/>
  <c r="AB34" i="4" a="1"/>
  <c r="AB34" i="4" s="1"/>
  <c r="AA34" i="4" a="1"/>
  <c r="AA34" i="4" s="1"/>
  <c r="Z34" i="4" a="1"/>
  <c r="Z34" i="4" s="1"/>
  <c r="Y34" i="4" a="1"/>
  <c r="Y34" i="4"/>
  <c r="X34" i="4" a="1"/>
  <c r="X34" i="4" s="1"/>
  <c r="W34" i="4" a="1"/>
  <c r="W34" i="4" s="1"/>
  <c r="V34" i="4" a="1"/>
  <c r="V34" i="4" s="1"/>
  <c r="U34" i="4" a="1"/>
  <c r="U34" i="4" s="1"/>
  <c r="T34" i="4" a="1"/>
  <c r="T34" i="4"/>
  <c r="S34" i="4" a="1"/>
  <c r="S34" i="4" s="1"/>
  <c r="R34" i="4" a="1"/>
  <c r="R34" i="4" s="1"/>
  <c r="Q34" i="4" a="1"/>
  <c r="Q34" i="4" s="1"/>
  <c r="P34" i="4" a="1"/>
  <c r="P34" i="4"/>
  <c r="O34" i="4" a="1"/>
  <c r="O34" i="4" s="1"/>
  <c r="N34" i="4" a="1"/>
  <c r="N34" i="4"/>
  <c r="M34" i="4" a="1"/>
  <c r="M34" i="4" s="1"/>
  <c r="L34" i="4" a="1"/>
  <c r="L34" i="4"/>
  <c r="K34" i="4" a="1"/>
  <c r="K34" i="4"/>
  <c r="J34" i="4" a="1"/>
  <c r="J34" i="4" s="1"/>
  <c r="I34" i="4" a="1"/>
  <c r="I34" i="4" s="1"/>
  <c r="H34" i="4" a="1"/>
  <c r="H34" i="4" s="1"/>
  <c r="G34" i="4" a="1"/>
  <c r="G34" i="4" s="1"/>
  <c r="F34" i="4" a="1"/>
  <c r="F34" i="4" s="1"/>
  <c r="E34" i="4" a="1"/>
  <c r="E34" i="4"/>
  <c r="D34" i="4" a="1"/>
  <c r="D34" i="4" s="1"/>
  <c r="C34" i="4" a="1"/>
  <c r="C34" i="4" s="1"/>
  <c r="B34" i="4" a="1"/>
  <c r="B34" i="4" s="1"/>
  <c r="AE33" i="4" a="1"/>
  <c r="AE33" i="4" s="1"/>
  <c r="AD33" i="4" a="1"/>
  <c r="AD33" i="4"/>
  <c r="AC33" i="4" a="1"/>
  <c r="AC33" i="4" s="1"/>
  <c r="AB33" i="4" a="1"/>
  <c r="AB33" i="4"/>
  <c r="AA33" i="4" a="1"/>
  <c r="AA33" i="4" s="1"/>
  <c r="Z33" i="4" a="1"/>
  <c r="Z33" i="4" s="1"/>
  <c r="Y33" i="4" a="1"/>
  <c r="Y33" i="4" s="1"/>
  <c r="X33" i="4" a="1"/>
  <c r="X33" i="4"/>
  <c r="W33" i="4" a="1"/>
  <c r="W33" i="4" s="1"/>
  <c r="V33" i="4" a="1"/>
  <c r="V33" i="4" s="1"/>
  <c r="U33" i="4" a="1"/>
  <c r="U33" i="4" s="1"/>
  <c r="T33" i="4" a="1"/>
  <c r="T33" i="4" s="1"/>
  <c r="S33" i="4" a="1"/>
  <c r="S33" i="4" s="1"/>
  <c r="R33" i="4" a="1"/>
  <c r="R33" i="4" s="1"/>
  <c r="Q33" i="4" a="1"/>
  <c r="Q33" i="4" s="1"/>
  <c r="P33" i="4" a="1"/>
  <c r="P33" i="4"/>
  <c r="O33" i="4" a="1"/>
  <c r="O33" i="4" s="1"/>
  <c r="N33" i="4" a="1"/>
  <c r="N33" i="4" s="1"/>
  <c r="M33" i="4" a="1"/>
  <c r="M33" i="4" s="1"/>
  <c r="L33" i="4" a="1"/>
  <c r="L33" i="4" s="1"/>
  <c r="K33" i="4" a="1"/>
  <c r="K33" i="4"/>
  <c r="J33" i="4" a="1"/>
  <c r="J33" i="4" s="1"/>
  <c r="I33" i="4" a="1"/>
  <c r="I33" i="4"/>
  <c r="H33" i="4" a="1"/>
  <c r="H33" i="4" s="1"/>
  <c r="G33" i="4" a="1"/>
  <c r="G33" i="4" s="1"/>
  <c r="F33" i="4" a="1"/>
  <c r="F33" i="4" s="1"/>
  <c r="E33" i="4" a="1"/>
  <c r="E33" i="4" s="1"/>
  <c r="D33" i="4" a="1"/>
  <c r="D33" i="4" s="1"/>
  <c r="C33" i="4" a="1"/>
  <c r="C33" i="4" s="1"/>
  <c r="B33" i="4" a="1"/>
  <c r="B33" i="4" s="1"/>
  <c r="AE32" i="4" a="1"/>
  <c r="AE32" i="4" s="1"/>
  <c r="AD32" i="4" a="1"/>
  <c r="AD32" i="4" s="1"/>
  <c r="AC32" i="4" a="1"/>
  <c r="AC32" i="4" s="1"/>
  <c r="AB32" i="4" a="1"/>
  <c r="AB32" i="4" s="1"/>
  <c r="AA32" i="4" a="1"/>
  <c r="AA32" i="4"/>
  <c r="Z32" i="4" a="1"/>
  <c r="Z32" i="4" s="1"/>
  <c r="Y32" i="4" a="1"/>
  <c r="Y32" i="4"/>
  <c r="X32" i="4" a="1"/>
  <c r="X32" i="4" s="1"/>
  <c r="W32" i="4" a="1"/>
  <c r="W32" i="4" s="1"/>
  <c r="V32" i="4" a="1"/>
  <c r="V32" i="4" s="1"/>
  <c r="U32" i="4" a="1"/>
  <c r="U32" i="4"/>
  <c r="T32" i="4" a="1"/>
  <c r="T32" i="4" s="1"/>
  <c r="S32" i="4" a="1"/>
  <c r="S32" i="4"/>
  <c r="R32" i="4" a="1"/>
  <c r="R32" i="4" s="1"/>
  <c r="Q32" i="4" a="1"/>
  <c r="Q32" i="4"/>
  <c r="P32" i="4" a="1"/>
  <c r="P32" i="4" s="1"/>
  <c r="O32" i="4" a="1"/>
  <c r="O32" i="4" s="1"/>
  <c r="N32" i="4" a="1"/>
  <c r="N32" i="4"/>
  <c r="M32" i="4" a="1"/>
  <c r="M32" i="4"/>
  <c r="L32" i="4" a="1"/>
  <c r="L32" i="4" s="1"/>
  <c r="K32" i="4" a="1"/>
  <c r="K32" i="4" s="1"/>
  <c r="J32" i="4" a="1"/>
  <c r="J32" i="4" s="1"/>
  <c r="I32" i="4" a="1"/>
  <c r="I32" i="4" s="1"/>
  <c r="H32" i="4" a="1"/>
  <c r="H32" i="4"/>
  <c r="G32" i="4" a="1"/>
  <c r="G32" i="4" s="1"/>
  <c r="F32" i="4" a="1"/>
  <c r="F32" i="4" s="1"/>
  <c r="E32" i="4" a="1"/>
  <c r="E32" i="4"/>
  <c r="D32" i="4" a="1"/>
  <c r="D32" i="4" s="1"/>
  <c r="C32" i="4" a="1"/>
  <c r="C32" i="4"/>
  <c r="B32" i="4" a="1"/>
  <c r="B32" i="4" s="1"/>
  <c r="AE31" i="4" a="1"/>
  <c r="AE31" i="4" s="1"/>
  <c r="AD31" i="4" a="1"/>
  <c r="AD31" i="4" s="1"/>
  <c r="AC31" i="4" a="1"/>
  <c r="AC31" i="4" s="1"/>
  <c r="AB31" i="4" a="1"/>
  <c r="AB31" i="4" s="1"/>
  <c r="AA31" i="4" a="1"/>
  <c r="AA31" i="4"/>
  <c r="Z31" i="4" a="1"/>
  <c r="Z31" i="4" s="1"/>
  <c r="Y31" i="4" a="1"/>
  <c r="Y31" i="4" s="1"/>
  <c r="X31" i="4" a="1"/>
  <c r="X31" i="4"/>
  <c r="W31" i="4" a="1"/>
  <c r="W31" i="4" s="1"/>
  <c r="V31" i="4" a="1"/>
  <c r="V31" i="4" s="1"/>
  <c r="U31" i="4" a="1"/>
  <c r="U31" i="4"/>
  <c r="T31" i="4" a="1"/>
  <c r="T31" i="4" s="1"/>
  <c r="S31" i="4" a="1"/>
  <c r="S31" i="4" s="1"/>
  <c r="R31" i="4" a="1"/>
  <c r="R31" i="4" s="1"/>
  <c r="Q31" i="4" a="1"/>
  <c r="Q31" i="4" s="1"/>
  <c r="P31" i="4" a="1"/>
  <c r="P31" i="4"/>
  <c r="O31" i="4" a="1"/>
  <c r="O31" i="4" s="1"/>
  <c r="N31" i="4" a="1"/>
  <c r="N31" i="4"/>
  <c r="M31" i="4" a="1"/>
  <c r="M31" i="4" s="1"/>
  <c r="L31" i="4" a="1"/>
  <c r="L31" i="4" s="1"/>
  <c r="K31" i="4" a="1"/>
  <c r="K31" i="4" s="1"/>
  <c r="J31" i="4" a="1"/>
  <c r="J31" i="4"/>
  <c r="I31" i="4" a="1"/>
  <c r="I31" i="4" s="1"/>
  <c r="H31" i="4" a="1"/>
  <c r="H31" i="4" s="1"/>
  <c r="G31" i="4" a="1"/>
  <c r="G31" i="4" s="1"/>
  <c r="F31" i="4" a="1"/>
  <c r="F31" i="4" s="1"/>
  <c r="E31" i="4" a="1"/>
  <c r="E31" i="4" s="1"/>
  <c r="D31" i="4" a="1"/>
  <c r="D31" i="4" s="1"/>
  <c r="C31" i="4" a="1"/>
  <c r="C31" i="4" s="1"/>
  <c r="B31" i="4" a="1"/>
  <c r="B31" i="4" s="1"/>
  <c r="AE30" i="4" a="1"/>
  <c r="AE30" i="4" s="1"/>
  <c r="AD30" i="4" a="1"/>
  <c r="AD30" i="4"/>
  <c r="AC30" i="4" a="1"/>
  <c r="AC30" i="4" s="1"/>
  <c r="AB30" i="4" a="1"/>
  <c r="AB30" i="4" s="1"/>
  <c r="AA30" i="4" a="1"/>
  <c r="AA30" i="4" s="1"/>
  <c r="Z30" i="4" a="1"/>
  <c r="Z30" i="4"/>
  <c r="Y30" i="4" a="1"/>
  <c r="Y30" i="4" s="1"/>
  <c r="X30" i="4" a="1"/>
  <c r="X30" i="4"/>
  <c r="W30" i="4" a="1"/>
  <c r="W30" i="4" s="1"/>
  <c r="V30" i="4" a="1"/>
  <c r="V30" i="4"/>
  <c r="U30" i="4" a="1"/>
  <c r="U30" i="4" s="1"/>
  <c r="T30" i="4" a="1"/>
  <c r="T30" i="4" s="1"/>
  <c r="S30" i="4" a="1"/>
  <c r="S30" i="4" s="1"/>
  <c r="R30" i="4" a="1"/>
  <c r="R30" i="4" s="1"/>
  <c r="Q30" i="4" a="1"/>
  <c r="Q30" i="4" s="1"/>
  <c r="P30" i="4" a="1"/>
  <c r="P30" i="4" s="1"/>
  <c r="O30" i="4" a="1"/>
  <c r="O30" i="4"/>
  <c r="N30" i="4" a="1"/>
  <c r="N30" i="4" s="1"/>
  <c r="M30" i="4" a="1"/>
  <c r="M30" i="4" s="1"/>
  <c r="L30" i="4" a="1"/>
  <c r="L30" i="4" s="1"/>
  <c r="K30" i="4" a="1"/>
  <c r="K30" i="4"/>
  <c r="J30" i="4" a="1"/>
  <c r="J30" i="4"/>
  <c r="I30" i="4" a="1"/>
  <c r="I30" i="4" s="1"/>
  <c r="H30" i="4" a="1"/>
  <c r="H30" i="4"/>
  <c r="G30" i="4" a="1"/>
  <c r="G30" i="4" s="1"/>
  <c r="F30" i="4" a="1"/>
  <c r="F30" i="4" s="1"/>
  <c r="E30" i="4" a="1"/>
  <c r="E30" i="4" s="1"/>
  <c r="D30" i="4" a="1"/>
  <c r="D30" i="4"/>
  <c r="C30" i="4" a="1"/>
  <c r="C30" i="4" s="1"/>
  <c r="B30" i="4" a="1"/>
  <c r="B30" i="4" s="1"/>
  <c r="AE29" i="4" a="1"/>
  <c r="AE29" i="4" s="1"/>
  <c r="AD29" i="4" a="1"/>
  <c r="AD29" i="4" s="1"/>
  <c r="AC29" i="4" a="1"/>
  <c r="AC29" i="4" s="1"/>
  <c r="AB29" i="4" a="1"/>
  <c r="AB29" i="4" s="1"/>
  <c r="AA29" i="4" a="1"/>
  <c r="AA29" i="4"/>
  <c r="Z29" i="4" a="1"/>
  <c r="Z29" i="4"/>
  <c r="Y29" i="4" a="1"/>
  <c r="Y29" i="4" s="1"/>
  <c r="X29" i="4" a="1"/>
  <c r="X29" i="4" s="1"/>
  <c r="W29" i="4" a="1"/>
  <c r="W29" i="4"/>
  <c r="V29" i="4" a="1"/>
  <c r="V29" i="4" s="1"/>
  <c r="U29" i="4" a="1"/>
  <c r="U29" i="4"/>
  <c r="T29" i="4" a="1"/>
  <c r="T29" i="4" s="1"/>
  <c r="S29" i="4" a="1"/>
  <c r="S29" i="4" s="1"/>
  <c r="R29" i="4" a="1"/>
  <c r="R29" i="4" s="1"/>
  <c r="Q29" i="4" a="1"/>
  <c r="Q29" i="4" s="1"/>
  <c r="P29" i="4" a="1"/>
  <c r="P29" i="4" s="1"/>
  <c r="O29" i="4" a="1"/>
  <c r="O29" i="4" s="1"/>
  <c r="N29" i="4" a="1"/>
  <c r="N29" i="4" s="1"/>
  <c r="M29" i="4" a="1"/>
  <c r="M29" i="4" s="1"/>
  <c r="L29" i="4" a="1"/>
  <c r="L29" i="4"/>
  <c r="K29" i="4" a="1"/>
  <c r="K29" i="4" s="1"/>
  <c r="J29" i="4" a="1"/>
  <c r="J29" i="4" s="1"/>
  <c r="I29" i="4" a="1"/>
  <c r="I29" i="4" s="1"/>
  <c r="H29" i="4" a="1"/>
  <c r="H29" i="4" s="1"/>
  <c r="G29" i="4" a="1"/>
  <c r="G29" i="4" s="1"/>
  <c r="F29" i="4" a="1"/>
  <c r="F29" i="4" s="1"/>
  <c r="E29" i="4" a="1"/>
  <c r="E29" i="4"/>
  <c r="D29" i="4" a="1"/>
  <c r="D29" i="4" s="1"/>
  <c r="C29" i="4" a="1"/>
  <c r="C29" i="4" s="1"/>
  <c r="B29" i="4" a="1"/>
  <c r="B29" i="4" s="1"/>
  <c r="AE28" i="4" a="1"/>
  <c r="AE28" i="4" s="1"/>
  <c r="AD28" i="4" a="1"/>
  <c r="AD28" i="4" s="1"/>
  <c r="AC28" i="4" a="1"/>
  <c r="AC28" i="4"/>
  <c r="AB28" i="4" a="1"/>
  <c r="AB28" i="4" s="1"/>
  <c r="AA28" i="4" a="1"/>
  <c r="AA28" i="4" s="1"/>
  <c r="Z28" i="4" a="1"/>
  <c r="Z28" i="4" s="1"/>
  <c r="Y28" i="4" a="1"/>
  <c r="Y28" i="4" s="1"/>
  <c r="X28" i="4" a="1"/>
  <c r="X28" i="4" s="1"/>
  <c r="W28" i="4" a="1"/>
  <c r="W28" i="4"/>
  <c r="V28" i="4" a="1"/>
  <c r="V28" i="4"/>
  <c r="U28" i="4" a="1"/>
  <c r="U28" i="4" s="1"/>
  <c r="T28" i="4" a="1"/>
  <c r="T28" i="4" s="1"/>
  <c r="S28" i="4" a="1"/>
  <c r="S28" i="4" s="1"/>
  <c r="R28" i="4" a="1"/>
  <c r="R28" i="4"/>
  <c r="Q28" i="4" a="1"/>
  <c r="Q28" i="4" s="1"/>
  <c r="P28" i="4" a="1"/>
  <c r="P28" i="4" s="1"/>
  <c r="O28" i="4" a="1"/>
  <c r="O28" i="4" s="1"/>
  <c r="N28" i="4" a="1"/>
  <c r="N28" i="4"/>
  <c r="M28" i="4" a="1"/>
  <c r="M28" i="4" s="1"/>
  <c r="L28" i="4" a="1"/>
  <c r="L28" i="4" s="1"/>
  <c r="K28" i="4" a="1"/>
  <c r="K28" i="4"/>
  <c r="J28" i="4" a="1"/>
  <c r="J28" i="4" s="1"/>
  <c r="I28" i="4" a="1"/>
  <c r="I28" i="4" s="1"/>
  <c r="H28" i="4" a="1"/>
  <c r="H28" i="4" s="1"/>
  <c r="G28" i="4" a="1"/>
  <c r="G28" i="4"/>
  <c r="F28" i="4" a="1"/>
  <c r="F28" i="4"/>
  <c r="E28" i="4" a="1"/>
  <c r="E28" i="4"/>
  <c r="D28" i="4" a="1"/>
  <c r="D28" i="4"/>
  <c r="C28" i="4" a="1"/>
  <c r="C28" i="4" s="1"/>
  <c r="B28" i="4" a="1"/>
  <c r="B28" i="4" s="1"/>
  <c r="AE27" i="4" a="1"/>
  <c r="AE27" i="4"/>
  <c r="AD27" i="4" a="1"/>
  <c r="AD27" i="4" s="1"/>
  <c r="AC27" i="4" a="1"/>
  <c r="AC27" i="4" s="1"/>
  <c r="AB27" i="4" a="1"/>
  <c r="AB27" i="4"/>
  <c r="AA27" i="4" a="1"/>
  <c r="AA27" i="4" s="1"/>
  <c r="Z27" i="4" a="1"/>
  <c r="Z27" i="4"/>
  <c r="Y27" i="4" a="1"/>
  <c r="Y27" i="4" s="1"/>
  <c r="X27" i="4" a="1"/>
  <c r="X27" i="4" s="1"/>
  <c r="W27" i="4" a="1"/>
  <c r="W27" i="4"/>
  <c r="V27" i="4" a="1"/>
  <c r="V27" i="4" s="1"/>
  <c r="U27" i="4" a="1"/>
  <c r="U27" i="4" s="1"/>
  <c r="T27" i="4" a="1"/>
  <c r="T27" i="4"/>
  <c r="S27" i="4" a="1"/>
  <c r="S27" i="4" s="1"/>
  <c r="R27" i="4" a="1"/>
  <c r="R27" i="4" s="1"/>
  <c r="Q27" i="4" a="1"/>
  <c r="Q27" i="4"/>
  <c r="P27" i="4" a="1"/>
  <c r="P27" i="4"/>
  <c r="O27" i="4" a="1"/>
  <c r="O27" i="4"/>
  <c r="N27" i="4" a="1"/>
  <c r="N27" i="4"/>
  <c r="M27" i="4" a="1"/>
  <c r="M27" i="4"/>
  <c r="L27" i="4" a="1"/>
  <c r="L27" i="4"/>
  <c r="K27" i="4" a="1"/>
  <c r="K27" i="4" s="1"/>
  <c r="J27" i="4" a="1"/>
  <c r="J27" i="4" s="1"/>
  <c r="I27" i="4" a="1"/>
  <c r="I27" i="4"/>
  <c r="H27" i="4" a="1"/>
  <c r="H27" i="4" s="1"/>
  <c r="G27" i="4" a="1"/>
  <c r="G27" i="4"/>
  <c r="F27" i="4" a="1"/>
  <c r="F27" i="4"/>
  <c r="E27" i="4" a="1"/>
  <c r="E27" i="4"/>
  <c r="D27" i="4" a="1"/>
  <c r="D27" i="4" s="1"/>
  <c r="C27" i="4" a="1"/>
  <c r="C27" i="4" s="1"/>
  <c r="B27" i="4" a="1"/>
  <c r="B27" i="4" s="1"/>
  <c r="AE26" i="4" a="1"/>
  <c r="AE26" i="4" s="1"/>
  <c r="AD26" i="4" a="1"/>
  <c r="AD26" i="4"/>
  <c r="AC26" i="4" a="1"/>
  <c r="AC26" i="4" s="1"/>
  <c r="AB26" i="4" a="1"/>
  <c r="AB26" i="4"/>
  <c r="AA26" i="4" a="1"/>
  <c r="AA26" i="4" s="1"/>
  <c r="Z26" i="4" a="1"/>
  <c r="Z26" i="4" s="1"/>
  <c r="Y26" i="4" a="1"/>
  <c r="Y26" i="4"/>
  <c r="X26" i="4" a="1"/>
  <c r="X26" i="4" s="1"/>
  <c r="W26" i="4" a="1"/>
  <c r="W26" i="4"/>
  <c r="V26" i="4" a="1"/>
  <c r="V26" i="4"/>
  <c r="U26" i="4" a="1"/>
  <c r="U26" i="4"/>
  <c r="T26" i="4" a="1"/>
  <c r="T26" i="4"/>
  <c r="S26" i="4" a="1"/>
  <c r="S26" i="4"/>
  <c r="R26" i="4" a="1"/>
  <c r="R26" i="4" s="1"/>
  <c r="Q26" i="4" a="1"/>
  <c r="Q26" i="4"/>
  <c r="P26" i="4" a="1"/>
  <c r="P26" i="4" s="1"/>
  <c r="O26" i="4" a="1"/>
  <c r="O26" i="4"/>
  <c r="N26" i="4" a="1"/>
  <c r="N26" i="4"/>
  <c r="M26" i="4" a="1"/>
  <c r="M26" i="4" s="1"/>
  <c r="L26" i="4" a="1"/>
  <c r="L26" i="4"/>
  <c r="K26" i="4" a="1"/>
  <c r="K26" i="4" s="1"/>
  <c r="J26" i="4" a="1"/>
  <c r="J26" i="4"/>
  <c r="I26" i="4" a="1"/>
  <c r="I26" i="4" s="1"/>
  <c r="H26" i="4" a="1"/>
  <c r="H26" i="4" s="1"/>
  <c r="G26" i="4" a="1"/>
  <c r="G26" i="4"/>
  <c r="F26" i="4" a="1"/>
  <c r="F26" i="4"/>
  <c r="E26" i="4" a="1"/>
  <c r="E26" i="4" s="1"/>
  <c r="D26" i="4" a="1"/>
  <c r="D26" i="4" s="1"/>
  <c r="C26" i="4" a="1"/>
  <c r="C26" i="4" s="1"/>
  <c r="B26" i="4" a="1"/>
  <c r="B26" i="4" s="1"/>
  <c r="AE25" i="4" a="1"/>
  <c r="AE25" i="4" s="1"/>
  <c r="AD25" i="4" a="1"/>
  <c r="AD25" i="4"/>
  <c r="AC25" i="4" a="1"/>
  <c r="AC25" i="4"/>
  <c r="AB25" i="4" a="1"/>
  <c r="AB25" i="4" s="1"/>
  <c r="AA25" i="4" a="1"/>
  <c r="AA25" i="4"/>
  <c r="Z25" i="4" a="1"/>
  <c r="Z25" i="4"/>
  <c r="Y25" i="4" a="1"/>
  <c r="Y25" i="4" s="1"/>
  <c r="X25" i="4" a="1"/>
  <c r="X25" i="4" s="1"/>
  <c r="W25" i="4" a="1"/>
  <c r="W25" i="4" s="1"/>
  <c r="V25" i="4" a="1"/>
  <c r="V25" i="4"/>
  <c r="U25" i="4" a="1"/>
  <c r="U25" i="4"/>
  <c r="T25" i="4" a="1"/>
  <c r="T25" i="4" s="1"/>
  <c r="T2" i="4" s="1"/>
  <c r="P9" i="5" s="1"/>
  <c r="S25" i="4" a="1"/>
  <c r="S25" i="4"/>
  <c r="R25" i="4" a="1"/>
  <c r="R25" i="4" s="1"/>
  <c r="Q25" i="4" a="1"/>
  <c r="Q25" i="4"/>
  <c r="P25" i="4" a="1"/>
  <c r="P25" i="4" s="1"/>
  <c r="O25" i="4" a="1"/>
  <c r="O25" i="4" s="1"/>
  <c r="N25" i="4" a="1"/>
  <c r="N25" i="4"/>
  <c r="M25" i="4" a="1"/>
  <c r="M25" i="4" s="1"/>
  <c r="L25" i="4" a="1"/>
  <c r="L25" i="4" s="1"/>
  <c r="K25" i="4" a="1"/>
  <c r="K25" i="4" s="1"/>
  <c r="J25" i="4" a="1"/>
  <c r="J25" i="4" s="1"/>
  <c r="I25" i="4" a="1"/>
  <c r="I25" i="4" s="1"/>
  <c r="H25" i="4" a="1"/>
  <c r="H25" i="4" s="1"/>
  <c r="G25" i="4" a="1"/>
  <c r="G25" i="4"/>
  <c r="F25" i="4" a="1"/>
  <c r="F25" i="4"/>
  <c r="E25" i="4" a="1"/>
  <c r="E25" i="4" s="1"/>
  <c r="D25" i="4" a="1"/>
  <c r="D25" i="4"/>
  <c r="C25" i="4" a="1"/>
  <c r="C25" i="4"/>
  <c r="B25" i="4" a="1"/>
  <c r="B25" i="4" s="1"/>
  <c r="AE24" i="4" a="1"/>
  <c r="AE24" i="4" s="1"/>
  <c r="AD24" i="4" a="1"/>
  <c r="AD24" i="4" s="1"/>
  <c r="AC24" i="4" a="1"/>
  <c r="AC24" i="4"/>
  <c r="AB24" i="4" a="1"/>
  <c r="AB24" i="4"/>
  <c r="AA24" i="4" a="1"/>
  <c r="AA24" i="4" s="1"/>
  <c r="Z24" i="4" a="1"/>
  <c r="Z24" i="4"/>
  <c r="Y24" i="4" a="1"/>
  <c r="Y24" i="4" s="1"/>
  <c r="X24" i="4" a="1"/>
  <c r="X24" i="4"/>
  <c r="W24" i="4" a="1"/>
  <c r="W24" i="4" s="1"/>
  <c r="V24" i="4" a="1"/>
  <c r="V24" i="4" s="1"/>
  <c r="U24" i="4" a="1"/>
  <c r="U24" i="4" s="1"/>
  <c r="T24" i="4" a="1"/>
  <c r="T24" i="4" s="1"/>
  <c r="S24" i="4" a="1"/>
  <c r="S24" i="4" s="1"/>
  <c r="R24" i="4" a="1"/>
  <c r="R24" i="4" s="1"/>
  <c r="Q24" i="4" a="1"/>
  <c r="Q24" i="4" s="1"/>
  <c r="P24" i="4" a="1"/>
  <c r="P24" i="4" s="1"/>
  <c r="O24" i="4" a="1"/>
  <c r="O24" i="4" s="1"/>
  <c r="N24" i="4" a="1"/>
  <c r="N24" i="4"/>
  <c r="M24" i="4" a="1"/>
  <c r="M24" i="4"/>
  <c r="L24" i="4" a="1"/>
  <c r="L24" i="4"/>
  <c r="K24" i="4" a="1"/>
  <c r="K24" i="4"/>
  <c r="J24" i="4" a="1"/>
  <c r="J24" i="4" s="1"/>
  <c r="I24" i="4" a="1"/>
  <c r="I24" i="4"/>
  <c r="H24" i="4" a="1"/>
  <c r="H24" i="4" s="1"/>
  <c r="G24" i="4" a="1"/>
  <c r="G24" i="4" s="1"/>
  <c r="F24" i="4" a="1"/>
  <c r="F24" i="4"/>
  <c r="E24" i="4" a="1"/>
  <c r="E24" i="4"/>
  <c r="D24" i="4" a="1"/>
  <c r="D24" i="4" s="1"/>
  <c r="C24" i="4" a="1"/>
  <c r="C24" i="4"/>
  <c r="B24" i="4" a="1"/>
  <c r="B24" i="4" s="1"/>
  <c r="AE23" i="4" a="1"/>
  <c r="AE23" i="4" s="1"/>
  <c r="AD23" i="4" a="1"/>
  <c r="AD23" i="4" s="1"/>
  <c r="AC23" i="4" a="1"/>
  <c r="AC23" i="4" s="1"/>
  <c r="AB23" i="4" a="1"/>
  <c r="AB23" i="4"/>
  <c r="AA23" i="4" a="1"/>
  <c r="AA23" i="4" s="1"/>
  <c r="Z23" i="4" a="1"/>
  <c r="Z23" i="4" s="1"/>
  <c r="Y23" i="4" a="1"/>
  <c r="Y23" i="4" s="1"/>
  <c r="X23" i="4" a="1"/>
  <c r="X23" i="4" s="1"/>
  <c r="W23" i="4" a="1"/>
  <c r="W23" i="4" s="1"/>
  <c r="V23" i="4" a="1"/>
  <c r="V23" i="4" s="1"/>
  <c r="U23" i="4" a="1"/>
  <c r="U23" i="4"/>
  <c r="T23" i="4" a="1"/>
  <c r="T23" i="4"/>
  <c r="S23" i="4" a="1"/>
  <c r="S23" i="4" s="1"/>
  <c r="R23" i="4" a="1"/>
  <c r="R23" i="4" s="1"/>
  <c r="Q23" i="4" a="1"/>
  <c r="Q23" i="4" s="1"/>
  <c r="P23" i="4" a="1"/>
  <c r="P23" i="4"/>
  <c r="O23" i="4" a="1"/>
  <c r="O23" i="4" s="1"/>
  <c r="N23" i="4" a="1"/>
  <c r="N23" i="4" s="1"/>
  <c r="M23" i="4" a="1"/>
  <c r="M23" i="4"/>
  <c r="L23" i="4" a="1"/>
  <c r="L23" i="4"/>
  <c r="K23" i="4" a="1"/>
  <c r="K23" i="4" s="1"/>
  <c r="J23" i="4" a="1"/>
  <c r="J23" i="4"/>
  <c r="I23" i="4" a="1"/>
  <c r="I23" i="4" s="1"/>
  <c r="H23" i="4" a="1"/>
  <c r="H23" i="4"/>
  <c r="G23" i="4" a="1"/>
  <c r="G23" i="4" s="1"/>
  <c r="F23" i="4" a="1"/>
  <c r="F23" i="4"/>
  <c r="E23" i="4" a="1"/>
  <c r="E23" i="4"/>
  <c r="D23" i="4" a="1"/>
  <c r="D23" i="4" s="1"/>
  <c r="C23" i="4" a="1"/>
  <c r="C23" i="4" s="1"/>
  <c r="B23" i="4" a="1"/>
  <c r="B23" i="4" s="1"/>
  <c r="AE22" i="4" a="1"/>
  <c r="AE22" i="4" s="1"/>
  <c r="AD22" i="4" a="1"/>
  <c r="AD22" i="4" s="1"/>
  <c r="AC22" i="4" a="1"/>
  <c r="AC22" i="4" s="1"/>
  <c r="AB22" i="4" a="1"/>
  <c r="AB22" i="4"/>
  <c r="AA22" i="4" a="1"/>
  <c r="AA22" i="4"/>
  <c r="Z22" i="4" a="1"/>
  <c r="Z22" i="4" s="1"/>
  <c r="Y22" i="4" a="1"/>
  <c r="Y22" i="4" s="1"/>
  <c r="X22" i="4" a="1"/>
  <c r="X22" i="4" s="1"/>
  <c r="W22" i="4" a="1"/>
  <c r="W22" i="4"/>
  <c r="V22" i="4" a="1"/>
  <c r="V22" i="4" s="1"/>
  <c r="U22" i="4" a="1"/>
  <c r="U22" i="4" s="1"/>
  <c r="T22" i="4" a="1"/>
  <c r="T22" i="4"/>
  <c r="S22" i="4" a="1"/>
  <c r="S22" i="4"/>
  <c r="R22" i="4" a="1"/>
  <c r="R22" i="4" s="1"/>
  <c r="Q22" i="4" a="1"/>
  <c r="Q22" i="4"/>
  <c r="P22" i="4" a="1"/>
  <c r="P22" i="4" s="1"/>
  <c r="O22" i="4" a="1"/>
  <c r="O22" i="4" s="1"/>
  <c r="N22" i="4" a="1"/>
  <c r="N22" i="4" s="1"/>
  <c r="M22" i="4" a="1"/>
  <c r="M22" i="4"/>
  <c r="L22" i="4" a="1"/>
  <c r="L22" i="4"/>
  <c r="K22" i="4" a="1"/>
  <c r="K22" i="4" s="1"/>
  <c r="J22" i="4" a="1"/>
  <c r="J22" i="4" s="1"/>
  <c r="I22" i="4" a="1"/>
  <c r="I22" i="4" s="1"/>
  <c r="H22" i="4" a="1"/>
  <c r="H22" i="4"/>
  <c r="G22" i="4" a="1"/>
  <c r="G22" i="4" s="1"/>
  <c r="F22" i="4" a="1"/>
  <c r="F22" i="4" s="1"/>
  <c r="E22" i="4" a="1"/>
  <c r="E22" i="4"/>
  <c r="D22" i="4" a="1"/>
  <c r="D22" i="4" s="1"/>
  <c r="C22" i="4" a="1"/>
  <c r="C22" i="4"/>
  <c r="B22" i="4" a="1"/>
  <c r="B22" i="4" s="1"/>
  <c r="AE21" i="4" a="1"/>
  <c r="AE21" i="4" s="1"/>
  <c r="AD21" i="4" a="1"/>
  <c r="AD21" i="4"/>
  <c r="AC21" i="4" a="1"/>
  <c r="AC21" i="4" s="1"/>
  <c r="AB21" i="4" a="1"/>
  <c r="AB21" i="4" s="1"/>
  <c r="AA21" i="4" a="1"/>
  <c r="AA21" i="4"/>
  <c r="Z21" i="4" a="1"/>
  <c r="Z21" i="4"/>
  <c r="Y21" i="4" a="1"/>
  <c r="Y21" i="4" s="1"/>
  <c r="X21" i="4" a="1"/>
  <c r="X21" i="4"/>
  <c r="W21" i="4" a="1"/>
  <c r="W21" i="4" s="1"/>
  <c r="V21" i="4" a="1"/>
  <c r="V21" i="4"/>
  <c r="U21" i="4" a="1"/>
  <c r="U21" i="4"/>
  <c r="T21" i="4" a="1"/>
  <c r="T21" i="4"/>
  <c r="S21" i="4" a="1"/>
  <c r="S21" i="4"/>
  <c r="R21" i="4" a="1"/>
  <c r="R21" i="4" s="1"/>
  <c r="Q21" i="4" a="1"/>
  <c r="Q21" i="4" s="1"/>
  <c r="P21" i="4" a="1"/>
  <c r="P21" i="4" s="1"/>
  <c r="O21" i="4" a="1"/>
  <c r="O21" i="4" s="1"/>
  <c r="N21" i="4" a="1"/>
  <c r="N21" i="4" s="1"/>
  <c r="M21" i="4" a="1"/>
  <c r="M21" i="4" s="1"/>
  <c r="L21" i="4" a="1"/>
  <c r="L21" i="4" s="1"/>
  <c r="K21" i="4" a="1"/>
  <c r="K21" i="4" s="1"/>
  <c r="J21" i="4" a="1"/>
  <c r="J21" i="4" s="1"/>
  <c r="I21" i="4" a="1"/>
  <c r="I21" i="4" s="1"/>
  <c r="H21" i="4" a="1"/>
  <c r="H21" i="4" s="1"/>
  <c r="G21" i="4" a="1"/>
  <c r="G21" i="4"/>
  <c r="F21" i="4" a="1"/>
  <c r="F21" i="4" s="1"/>
  <c r="E21" i="4" a="1"/>
  <c r="E21" i="4" s="1"/>
  <c r="D21" i="4" a="1"/>
  <c r="D21" i="4"/>
  <c r="C21" i="4" a="1"/>
  <c r="C21" i="4"/>
  <c r="B21" i="4" a="1"/>
  <c r="B21" i="4" s="1"/>
  <c r="AE20" i="4" a="1"/>
  <c r="AE20" i="4" s="1"/>
  <c r="AD20" i="4" a="1"/>
  <c r="AD20" i="4"/>
  <c r="AC20" i="4" a="1"/>
  <c r="AC20" i="4"/>
  <c r="AB20" i="4" a="1"/>
  <c r="AB20" i="4"/>
  <c r="AA20" i="4" a="1"/>
  <c r="AA20" i="4"/>
  <c r="Z20" i="4" a="1"/>
  <c r="Z20" i="4"/>
  <c r="Y20" i="4" a="1"/>
  <c r="Y20" i="4" s="1"/>
  <c r="X20" i="4" a="1"/>
  <c r="X20" i="4" s="1"/>
  <c r="W20" i="4" a="1"/>
  <c r="W20" i="4" s="1"/>
  <c r="V20" i="4" a="1"/>
  <c r="V20" i="4" s="1"/>
  <c r="U20" i="4" a="1"/>
  <c r="U20" i="4" s="1"/>
  <c r="T20" i="4" a="1"/>
  <c r="T20" i="4" s="1"/>
  <c r="S20" i="4" a="1"/>
  <c r="S20" i="4"/>
  <c r="R20" i="4" a="1"/>
  <c r="R20" i="4" s="1"/>
  <c r="Q20" i="4" a="1"/>
  <c r="Q20" i="4"/>
  <c r="P20" i="4" a="1"/>
  <c r="P20" i="4" s="1"/>
  <c r="O20" i="4" a="1"/>
  <c r="O20" i="4" s="1"/>
  <c r="N20" i="4" a="1"/>
  <c r="N20" i="4"/>
  <c r="M20" i="4" a="1"/>
  <c r="M20" i="4" s="1"/>
  <c r="L20" i="4" a="1"/>
  <c r="L20" i="4" s="1"/>
  <c r="K20" i="4" a="1"/>
  <c r="K20" i="4"/>
  <c r="J20" i="4" a="1"/>
  <c r="J20" i="4"/>
  <c r="I20" i="4" a="1"/>
  <c r="I20" i="4" s="1"/>
  <c r="H20" i="4" a="1"/>
  <c r="H20" i="4" s="1"/>
  <c r="G20" i="4" a="1"/>
  <c r="G20" i="4"/>
  <c r="F20" i="4" a="1"/>
  <c r="F20" i="4"/>
  <c r="E20" i="4" a="1"/>
  <c r="E20" i="4"/>
  <c r="D20" i="4" a="1"/>
  <c r="D20" i="4" s="1"/>
  <c r="C20" i="4" a="1"/>
  <c r="C20" i="4"/>
  <c r="B20" i="4" a="1"/>
  <c r="B20" i="4" s="1"/>
  <c r="AE19" i="4" a="1"/>
  <c r="AE19" i="4" s="1"/>
  <c r="AD19" i="4" a="1"/>
  <c r="AD19" i="4" s="1"/>
  <c r="AC19" i="4" a="1"/>
  <c r="AC19" i="4" s="1"/>
  <c r="AB19" i="4" a="1"/>
  <c r="AB19" i="4" s="1"/>
  <c r="AA19" i="4" a="1"/>
  <c r="AA19" i="4" s="1"/>
  <c r="Z19" i="4" a="1"/>
  <c r="Z19" i="4"/>
  <c r="Y19" i="4" a="1"/>
  <c r="Y19" i="4" s="1"/>
  <c r="X19" i="4" a="1"/>
  <c r="X19" i="4"/>
  <c r="W19" i="4" a="1"/>
  <c r="W19" i="4" s="1"/>
  <c r="V19" i="4" a="1"/>
  <c r="V19" i="4" s="1"/>
  <c r="U19" i="4" a="1"/>
  <c r="U19" i="4"/>
  <c r="T19" i="4" a="1"/>
  <c r="T19" i="4" s="1"/>
  <c r="S19" i="4" a="1"/>
  <c r="S19" i="4" s="1"/>
  <c r="R19" i="4" a="1"/>
  <c r="R19" i="4"/>
  <c r="Q19" i="4" a="1"/>
  <c r="Q19" i="4" s="1"/>
  <c r="P19" i="4" a="1"/>
  <c r="P19" i="4" s="1"/>
  <c r="O19" i="4" a="1"/>
  <c r="O19" i="4" s="1"/>
  <c r="N19" i="4" a="1"/>
  <c r="N19" i="4"/>
  <c r="M19" i="4" a="1"/>
  <c r="M19" i="4"/>
  <c r="L19" i="4" a="1"/>
  <c r="L19" i="4" s="1"/>
  <c r="K19" i="4" a="1"/>
  <c r="K19" i="4"/>
  <c r="J19" i="4" a="1"/>
  <c r="J19" i="4"/>
  <c r="I19" i="4" a="1"/>
  <c r="I19" i="4" s="1"/>
  <c r="H19" i="4" a="1"/>
  <c r="H19" i="4" s="1"/>
  <c r="G19" i="4" a="1"/>
  <c r="G19" i="4" s="1"/>
  <c r="F19" i="4" a="1"/>
  <c r="F19" i="4" s="1"/>
  <c r="E19" i="4" a="1"/>
  <c r="E19" i="4"/>
  <c r="D19" i="4" a="1"/>
  <c r="D19" i="4" s="1"/>
  <c r="C19" i="4" a="1"/>
  <c r="C19" i="4"/>
  <c r="B19" i="4" a="1"/>
  <c r="B19" i="4" s="1"/>
  <c r="AE18" i="4" a="1"/>
  <c r="AE18" i="4" s="1"/>
  <c r="AD18" i="4" a="1"/>
  <c r="AD18" i="4" s="1"/>
  <c r="AC18" i="4" a="1"/>
  <c r="AC18" i="4" s="1"/>
  <c r="AB18" i="4" a="1"/>
  <c r="AB18" i="4"/>
  <c r="AA18" i="4" a="1"/>
  <c r="AA18" i="4" s="1"/>
  <c r="Z18" i="4" a="1"/>
  <c r="Z18" i="4" s="1"/>
  <c r="Y18" i="4" a="1"/>
  <c r="Y18" i="4" s="1"/>
  <c r="X18" i="4" a="1"/>
  <c r="X18" i="4" s="1"/>
  <c r="W18" i="4" a="1"/>
  <c r="W18" i="4" s="1"/>
  <c r="V18" i="4" a="1"/>
  <c r="V18" i="4" s="1"/>
  <c r="U18" i="4" a="1"/>
  <c r="U18" i="4"/>
  <c r="T18" i="4" a="1"/>
  <c r="T18" i="4"/>
  <c r="S18" i="4" a="1"/>
  <c r="S18" i="4"/>
  <c r="R18" i="4" a="1"/>
  <c r="R18" i="4"/>
  <c r="Q18" i="4" a="1"/>
  <c r="Q18" i="4"/>
  <c r="P18" i="4" a="1"/>
  <c r="P18" i="4" s="1"/>
  <c r="O18" i="4" a="1"/>
  <c r="O18" i="4" s="1"/>
  <c r="N18" i="4" a="1"/>
  <c r="N18" i="4" s="1"/>
  <c r="M18" i="4" a="1"/>
  <c r="M18" i="4"/>
  <c r="L18" i="4" a="1"/>
  <c r="L18" i="4"/>
  <c r="K18" i="4" a="1"/>
  <c r="K18" i="4"/>
  <c r="J18" i="4" a="1"/>
  <c r="J18" i="4"/>
  <c r="I18" i="4" a="1"/>
  <c r="I18" i="4" s="1"/>
  <c r="H18" i="4" a="1"/>
  <c r="H18" i="4" s="1"/>
  <c r="G18" i="4" a="1"/>
  <c r="G18" i="4" s="1"/>
  <c r="F18" i="4" a="1"/>
  <c r="F18" i="4" s="1"/>
  <c r="E18" i="4" a="1"/>
  <c r="E18" i="4"/>
  <c r="D18" i="4" a="1"/>
  <c r="D18" i="4" s="1"/>
  <c r="C18" i="4" a="1"/>
  <c r="C18" i="4" s="1"/>
  <c r="B18" i="4" a="1"/>
  <c r="B18" i="4" s="1"/>
  <c r="AE17" i="4" a="1"/>
  <c r="AE17" i="4" s="1"/>
  <c r="AD17" i="4" a="1"/>
  <c r="AD17" i="4" s="1"/>
  <c r="AC17" i="4" a="1"/>
  <c r="AC17" i="4" s="1"/>
  <c r="AB17" i="4" a="1"/>
  <c r="AB17" i="4"/>
  <c r="AA17" i="4" a="1"/>
  <c r="AA17" i="4"/>
  <c r="Z17" i="4" a="1"/>
  <c r="Z17" i="4" s="1"/>
  <c r="Y17" i="4" a="1"/>
  <c r="Y17" i="4"/>
  <c r="X17" i="4" a="1"/>
  <c r="X17" i="4"/>
  <c r="W17" i="4" a="1"/>
  <c r="W17" i="4" s="1"/>
  <c r="V17" i="4" a="1"/>
  <c r="V17" i="4" s="1"/>
  <c r="U17" i="4" a="1"/>
  <c r="U17" i="4" s="1"/>
  <c r="T17" i="4" a="1"/>
  <c r="T17" i="4"/>
  <c r="S17" i="4" a="1"/>
  <c r="S17" i="4"/>
  <c r="R17" i="4" a="1"/>
  <c r="R17" i="4"/>
  <c r="Q17" i="4" a="1"/>
  <c r="Q17" i="4"/>
  <c r="P17" i="4" a="1"/>
  <c r="P17" i="4" s="1"/>
  <c r="O17" i="4" a="1"/>
  <c r="O17" i="4"/>
  <c r="N17" i="4" a="1"/>
  <c r="N17" i="4" s="1"/>
  <c r="M17" i="4" a="1"/>
  <c r="M17" i="4" s="1"/>
  <c r="L17" i="4" a="1"/>
  <c r="L17" i="4"/>
  <c r="K17" i="4" a="1"/>
  <c r="K17" i="4" s="1"/>
  <c r="J17" i="4" a="1"/>
  <c r="J17" i="4" s="1"/>
  <c r="I17" i="4" a="1"/>
  <c r="I17" i="4" s="1"/>
  <c r="H17" i="4" a="1"/>
  <c r="H17" i="4" s="1"/>
  <c r="G17" i="4" a="1"/>
  <c r="G17" i="4" s="1"/>
  <c r="F17" i="4" a="1"/>
  <c r="F17" i="4" s="1"/>
  <c r="E17" i="4" a="1"/>
  <c r="E17" i="4"/>
  <c r="D17" i="4" a="1"/>
  <c r="D17" i="4"/>
  <c r="C17" i="4" a="1"/>
  <c r="C17" i="4" s="1"/>
  <c r="B17" i="4" a="1"/>
  <c r="B17" i="4"/>
  <c r="AE16" i="4" a="1"/>
  <c r="AE16" i="4"/>
  <c r="AD16" i="4" a="1"/>
  <c r="AD16" i="4" s="1"/>
  <c r="AC16" i="4" a="1"/>
  <c r="AC16" i="4" s="1"/>
  <c r="AB16" i="4" a="1"/>
  <c r="AB16" i="4" s="1"/>
  <c r="AA16" i="4" a="1"/>
  <c r="AA16" i="4"/>
  <c r="Z16" i="4" a="1"/>
  <c r="Z16" i="4"/>
  <c r="Y16" i="4" a="1"/>
  <c r="Y16" i="4"/>
  <c r="X16" i="4" a="1"/>
  <c r="X16" i="4"/>
  <c r="W16" i="4" a="1"/>
  <c r="W16" i="4" s="1"/>
  <c r="V16" i="4" a="1"/>
  <c r="V16" i="4" s="1"/>
  <c r="U16" i="4" a="1"/>
  <c r="U16" i="4" s="1"/>
  <c r="T16" i="4" a="1"/>
  <c r="T16" i="4" s="1"/>
  <c r="S16" i="4" a="1"/>
  <c r="S16" i="4" s="1"/>
  <c r="R16" i="4" a="1"/>
  <c r="R16" i="4" s="1"/>
  <c r="Q16" i="4" a="1"/>
  <c r="Q16" i="4" s="1"/>
  <c r="P16" i="4" a="1"/>
  <c r="P16" i="4" s="1"/>
  <c r="O16" i="4" a="1"/>
  <c r="O16" i="4" s="1"/>
  <c r="N16" i="4" a="1"/>
  <c r="N16" i="4" s="1"/>
  <c r="M16" i="4" a="1"/>
  <c r="M16" i="4" s="1"/>
  <c r="L16" i="4" a="1"/>
  <c r="L16" i="4"/>
  <c r="K16" i="4" a="1"/>
  <c r="K16" i="4"/>
  <c r="J16" i="4" a="1"/>
  <c r="J16" i="4"/>
  <c r="I16" i="4" a="1"/>
  <c r="I16" i="4"/>
  <c r="H16" i="4" a="1"/>
  <c r="H16" i="4" s="1"/>
  <c r="G16" i="4" a="1"/>
  <c r="G16" i="4" s="1"/>
  <c r="F16" i="4" a="1"/>
  <c r="F16" i="4" s="1"/>
  <c r="E16" i="4" a="1"/>
  <c r="E16" i="4" s="1"/>
  <c r="D16" i="4" a="1"/>
  <c r="D16" i="4"/>
  <c r="C16" i="4" a="1"/>
  <c r="C16" i="4"/>
  <c r="B16" i="4" a="1"/>
  <c r="B16" i="4"/>
  <c r="AE15" i="4" a="1"/>
  <c r="AE15" i="4"/>
  <c r="AD15" i="4" a="1"/>
  <c r="AD15" i="4" s="1"/>
  <c r="AC15" i="4" a="1"/>
  <c r="AC15" i="4" s="1"/>
  <c r="AB15" i="4" a="1"/>
  <c r="AB15" i="4" s="1"/>
  <c r="AA15" i="4" a="1"/>
  <c r="AA15" i="4" s="1"/>
  <c r="Z15" i="4" a="1"/>
  <c r="Z15" i="4"/>
  <c r="Y15" i="4" a="1"/>
  <c r="Y15" i="4" s="1"/>
  <c r="X15" i="4" a="1"/>
  <c r="X15" i="4" s="1"/>
  <c r="W15" i="4" a="1"/>
  <c r="W15" i="4" s="1"/>
  <c r="V15" i="4" a="1"/>
  <c r="V15" i="4" s="1"/>
  <c r="U15" i="4" a="1"/>
  <c r="U15" i="4" s="1"/>
  <c r="T15" i="4" a="1"/>
  <c r="T15" i="4" s="1"/>
  <c r="S15" i="4" a="1"/>
  <c r="S15" i="4"/>
  <c r="R15" i="4" a="1"/>
  <c r="R15" i="4"/>
  <c r="Q15" i="4" a="1"/>
  <c r="Q15" i="4" s="1"/>
  <c r="P15" i="4" a="1"/>
  <c r="P15" i="4" s="1"/>
  <c r="O15" i="4" a="1"/>
  <c r="O15" i="4" s="1"/>
  <c r="N15" i="4" a="1"/>
  <c r="N15" i="4" s="1"/>
  <c r="M15" i="4" a="1"/>
  <c r="M15" i="4" s="1"/>
  <c r="L15" i="4" a="1"/>
  <c r="L15" i="4" s="1"/>
  <c r="K15" i="4" a="1"/>
  <c r="K15" i="4"/>
  <c r="J15" i="4" a="1"/>
  <c r="J15" i="4" s="1"/>
  <c r="I15" i="4" a="1"/>
  <c r="I15" i="4"/>
  <c r="H15" i="4" a="1"/>
  <c r="H15" i="4"/>
  <c r="G15" i="4" a="1"/>
  <c r="G15" i="4" s="1"/>
  <c r="F15" i="4" a="1"/>
  <c r="F15" i="4"/>
  <c r="E15" i="4" a="1"/>
  <c r="E15" i="4" s="1"/>
  <c r="D15" i="4" a="1"/>
  <c r="D15" i="4"/>
  <c r="C15" i="4" a="1"/>
  <c r="C15" i="4"/>
  <c r="B15" i="4" a="1"/>
  <c r="B15" i="4"/>
  <c r="AE14" i="4" a="1"/>
  <c r="AE14" i="4" s="1"/>
  <c r="AD14" i="4" a="1"/>
  <c r="AD14" i="4" s="1"/>
  <c r="AC14" i="4" a="1"/>
  <c r="AC14" i="4"/>
  <c r="AB14" i="4" a="1"/>
  <c r="AB14" i="4" s="1"/>
  <c r="AA14" i="4" a="1"/>
  <c r="AA14" i="4" s="1"/>
  <c r="Z14" i="4" a="1"/>
  <c r="Z14" i="4"/>
  <c r="Y14" i="4" a="1"/>
  <c r="Y14" i="4"/>
  <c r="X14" i="4" a="1"/>
  <c r="X14" i="4" s="1"/>
  <c r="W14" i="4" a="1"/>
  <c r="W14" i="4" s="1"/>
  <c r="V14" i="4" a="1"/>
  <c r="V14" i="4" s="1"/>
  <c r="U14" i="4" a="1"/>
  <c r="U14" i="4"/>
  <c r="T14" i="4" a="1"/>
  <c r="T14" i="4" s="1"/>
  <c r="S14" i="4" a="1"/>
  <c r="S14" i="4" s="1"/>
  <c r="R14" i="4" a="1"/>
  <c r="R14" i="4"/>
  <c r="Q14" i="4" a="1"/>
  <c r="Q14" i="4" s="1"/>
  <c r="P14" i="4" a="1"/>
  <c r="P14" i="4"/>
  <c r="O14" i="4" a="1"/>
  <c r="O14" i="4"/>
  <c r="N14" i="4" a="1"/>
  <c r="N14" i="4" s="1"/>
  <c r="M14" i="4" a="1"/>
  <c r="M14" i="4" s="1"/>
  <c r="L14" i="4" a="1"/>
  <c r="L14" i="4"/>
  <c r="K14" i="4" a="1"/>
  <c r="K14" i="4"/>
  <c r="J14" i="4" a="1"/>
  <c r="J14" i="4"/>
  <c r="I14" i="4" a="1"/>
  <c r="I14" i="4"/>
  <c r="H14" i="4" a="1"/>
  <c r="H14" i="4" s="1"/>
  <c r="G14" i="4" a="1"/>
  <c r="G14" i="4" s="1"/>
  <c r="F14" i="4" a="1"/>
  <c r="F14" i="4" s="1"/>
  <c r="E14" i="4" a="1"/>
  <c r="E14" i="4" s="1"/>
  <c r="D14" i="4" a="1"/>
  <c r="D14" i="4" s="1"/>
  <c r="C14" i="4" a="1"/>
  <c r="C14" i="4"/>
  <c r="B14" i="4" a="1"/>
  <c r="B14" i="4" s="1"/>
  <c r="AE13" i="4" a="1"/>
  <c r="AE13" i="4"/>
  <c r="AD13" i="4" a="1"/>
  <c r="AD13" i="4" s="1"/>
  <c r="AC13" i="4" a="1"/>
  <c r="AC13" i="4" s="1"/>
  <c r="AB13" i="4" a="1"/>
  <c r="AB13" i="4"/>
  <c r="AA13" i="4" a="1"/>
  <c r="AA13" i="4" s="1"/>
  <c r="Z13" i="4" a="1"/>
  <c r="Z13" i="4" s="1"/>
  <c r="Y13" i="4" a="1"/>
  <c r="Y13" i="4"/>
  <c r="X13" i="4" a="1"/>
  <c r="X13" i="4" s="1"/>
  <c r="W13" i="4" a="1"/>
  <c r="W13" i="4"/>
  <c r="V13" i="4" a="1"/>
  <c r="V13" i="4"/>
  <c r="U13" i="4" a="1"/>
  <c r="U13" i="4" s="1"/>
  <c r="T13" i="4" a="1"/>
  <c r="T13" i="4"/>
  <c r="S13" i="4" a="1"/>
  <c r="S13" i="4" s="1"/>
  <c r="R13" i="4" a="1"/>
  <c r="R13" i="4"/>
  <c r="Q13" i="4" a="1"/>
  <c r="Q13" i="4"/>
  <c r="P13" i="4" a="1"/>
  <c r="P13" i="4" s="1"/>
  <c r="O13" i="4" a="1"/>
  <c r="O13" i="4" s="1"/>
  <c r="N13" i="4" a="1"/>
  <c r="N13" i="4" s="1"/>
  <c r="M13" i="4" a="1"/>
  <c r="M13" i="4" s="1"/>
  <c r="L13" i="4" a="1"/>
  <c r="L13" i="4" s="1"/>
  <c r="K13" i="4" a="1"/>
  <c r="K13" i="4" s="1"/>
  <c r="J13" i="4" a="1"/>
  <c r="J13" i="4" s="1"/>
  <c r="I13" i="4" a="1"/>
  <c r="I13" i="4" s="1"/>
  <c r="H13" i="4" a="1"/>
  <c r="H13" i="4"/>
  <c r="G13" i="4" a="1"/>
  <c r="G13" i="4" s="1"/>
  <c r="F13" i="4" a="1"/>
  <c r="F13" i="4" s="1"/>
  <c r="E13" i="4" a="1"/>
  <c r="E13" i="4" s="1"/>
  <c r="D13" i="4" a="1"/>
  <c r="D13" i="4" s="1"/>
  <c r="C13" i="4" a="1"/>
  <c r="C13" i="4" s="1"/>
  <c r="B13" i="4" a="1"/>
  <c r="B13" i="4"/>
  <c r="AE12" i="4" a="1"/>
  <c r="AE12" i="4" s="1"/>
  <c r="AD12" i="4" a="1"/>
  <c r="AD12" i="4"/>
  <c r="AC12" i="4" a="1"/>
  <c r="AC12" i="4" s="1"/>
  <c r="AB12" i="4" a="1"/>
  <c r="AB12" i="4" s="1"/>
  <c r="AA12" i="4" a="1"/>
  <c r="AA12" i="4"/>
  <c r="Z12" i="4" a="1"/>
  <c r="Z12" i="4" s="1"/>
  <c r="Y12" i="4" a="1"/>
  <c r="Y12" i="4"/>
  <c r="X12" i="4" a="1"/>
  <c r="X12" i="4"/>
  <c r="W12" i="4" a="1"/>
  <c r="W12" i="4"/>
  <c r="V12" i="4" a="1"/>
  <c r="V12" i="4" s="1"/>
  <c r="U12" i="4" a="1"/>
  <c r="U12" i="4" s="1"/>
  <c r="T12" i="4" a="1"/>
  <c r="T12" i="4"/>
  <c r="S12" i="4" a="1"/>
  <c r="S12" i="4" s="1"/>
  <c r="R12" i="4" a="1"/>
  <c r="R12" i="4" s="1"/>
  <c r="Q12" i="4" a="1"/>
  <c r="Q12" i="4"/>
  <c r="P12" i="4" a="1"/>
  <c r="P12" i="4" s="1"/>
  <c r="O12" i="4" a="1"/>
  <c r="O12" i="4" s="1"/>
  <c r="N12" i="4" a="1"/>
  <c r="N12" i="4" s="1"/>
  <c r="M12" i="4" a="1"/>
  <c r="M12" i="4" s="1"/>
  <c r="L12" i="4" a="1"/>
  <c r="L12" i="4" s="1"/>
  <c r="K12" i="4" a="1"/>
  <c r="K12" i="4"/>
  <c r="J12" i="4" a="1"/>
  <c r="J12" i="4"/>
  <c r="I12" i="4" a="1"/>
  <c r="I12" i="4"/>
  <c r="H12" i="4" a="1"/>
  <c r="H12" i="4"/>
  <c r="G12" i="4" a="1"/>
  <c r="G12" i="4" s="1"/>
  <c r="F12" i="4" a="1"/>
  <c r="F12" i="4" s="1"/>
  <c r="E12" i="4" a="1"/>
  <c r="E12" i="4"/>
  <c r="D12" i="4" a="1"/>
  <c r="D12" i="4"/>
  <c r="C12" i="4" a="1"/>
  <c r="C12" i="4"/>
  <c r="B12" i="4" a="1"/>
  <c r="B12" i="4"/>
  <c r="AE11" i="4" a="1"/>
  <c r="AE11" i="4"/>
  <c r="AD11" i="4" a="1"/>
  <c r="AD11" i="4" s="1"/>
  <c r="AC11" i="4" a="1"/>
  <c r="AC11" i="4" s="1"/>
  <c r="AB11" i="4" a="1"/>
  <c r="AB11" i="4" s="1"/>
  <c r="AA11" i="4" a="1"/>
  <c r="AA11" i="4"/>
  <c r="Z11" i="4" a="1"/>
  <c r="Z11" i="4" s="1"/>
  <c r="Y11" i="4" a="1"/>
  <c r="Y11" i="4"/>
  <c r="X11" i="4" a="1"/>
  <c r="X11" i="4"/>
  <c r="W11" i="4" a="1"/>
  <c r="W11" i="4" s="1"/>
  <c r="V11" i="4" a="1"/>
  <c r="V11" i="4"/>
  <c r="U11" i="4" a="1"/>
  <c r="U11" i="4" s="1"/>
  <c r="T11" i="4" a="1"/>
  <c r="T11" i="4" s="1"/>
  <c r="S11" i="4" a="1"/>
  <c r="S11" i="4" s="1"/>
  <c r="R11" i="4" a="1"/>
  <c r="R11" i="4" s="1"/>
  <c r="Q11" i="4" a="1"/>
  <c r="Q11" i="4"/>
  <c r="P11" i="4" a="1"/>
  <c r="P11" i="4"/>
  <c r="O11" i="4" a="1"/>
  <c r="O11" i="4" s="1"/>
  <c r="N11" i="4" a="1"/>
  <c r="N11" i="4" s="1"/>
  <c r="M11" i="4" a="1"/>
  <c r="M11" i="4" s="1"/>
  <c r="L11" i="4" a="1"/>
  <c r="L11" i="4"/>
  <c r="K11" i="4" a="1"/>
  <c r="K11" i="4"/>
  <c r="J11" i="4" a="1"/>
  <c r="J11" i="4"/>
  <c r="I11" i="4" a="1"/>
  <c r="I11" i="4"/>
  <c r="H11" i="4" a="1"/>
  <c r="H11" i="4"/>
  <c r="G11" i="4" a="1"/>
  <c r="G11" i="4"/>
  <c r="F11" i="4" a="1"/>
  <c r="F11" i="4" s="1"/>
  <c r="E11" i="4" a="1"/>
  <c r="E11" i="4" s="1"/>
  <c r="D11" i="4" a="1"/>
  <c r="D11" i="4" s="1"/>
  <c r="C11" i="4" a="1"/>
  <c r="C11" i="4" s="1"/>
  <c r="B11" i="4" a="1"/>
  <c r="B11" i="4"/>
  <c r="AE10" i="4" a="1"/>
  <c r="AE10" i="4"/>
  <c r="AD10" i="4" a="1"/>
  <c r="AD10" i="4" s="1"/>
  <c r="AC10" i="4" a="1"/>
  <c r="AC10" i="4"/>
  <c r="AB10" i="4" a="1"/>
  <c r="AB10" i="4" s="1"/>
  <c r="AA10" i="4" a="1"/>
  <c r="AA10" i="4" s="1"/>
  <c r="Z10" i="4" a="1"/>
  <c r="Z10" i="4"/>
  <c r="Y10" i="4" a="1"/>
  <c r="Y10" i="4"/>
  <c r="X10" i="4" a="1"/>
  <c r="X10" i="4"/>
  <c r="W10" i="4" a="1"/>
  <c r="W10" i="4" s="1"/>
  <c r="V10" i="4" a="1"/>
  <c r="V10" i="4"/>
  <c r="U10" i="4" a="1"/>
  <c r="U10" i="4" s="1"/>
  <c r="T10" i="4" a="1"/>
  <c r="T10" i="4" s="1"/>
  <c r="S10" i="4" a="1"/>
  <c r="S10" i="4" s="1"/>
  <c r="R10" i="4" a="1"/>
  <c r="R10" i="4"/>
  <c r="Q10" i="4" a="1"/>
  <c r="Q10" i="4" s="1"/>
  <c r="P10" i="4" a="1"/>
  <c r="P10" i="4"/>
  <c r="O10" i="4" a="1"/>
  <c r="O10" i="4"/>
  <c r="N10" i="4" a="1"/>
  <c r="N10" i="4" s="1"/>
  <c r="M10" i="4" a="1"/>
  <c r="M10" i="4" s="1"/>
  <c r="L10" i="4" a="1"/>
  <c r="L10" i="4" s="1"/>
  <c r="K10" i="4" a="1"/>
  <c r="K10" i="4"/>
  <c r="J10" i="4" a="1"/>
  <c r="J10" i="4" s="1"/>
  <c r="I10" i="4" a="1"/>
  <c r="I10" i="4"/>
  <c r="H10" i="4" a="1"/>
  <c r="H10" i="4"/>
  <c r="G10" i="4" a="1"/>
  <c r="G10" i="4" s="1"/>
  <c r="F10" i="4" a="1"/>
  <c r="F10" i="4"/>
  <c r="E10" i="4" a="1"/>
  <c r="E10" i="4" s="1"/>
  <c r="D10" i="4" a="1"/>
  <c r="D10" i="4" s="1"/>
  <c r="C10" i="4" a="1"/>
  <c r="C10" i="4"/>
  <c r="B10" i="4" a="1"/>
  <c r="B10" i="4"/>
  <c r="AE9" i="4" a="1"/>
  <c r="AE9" i="4" s="1"/>
  <c r="AD9" i="4" a="1"/>
  <c r="AD9" i="4" s="1"/>
  <c r="AC9" i="4" a="1"/>
  <c r="AC9" i="4" s="1"/>
  <c r="AB9" i="4" a="1"/>
  <c r="AB9" i="4" s="1"/>
  <c r="AA9" i="4" a="1"/>
  <c r="AA9" i="4" s="1"/>
  <c r="Z9" i="4" a="1"/>
  <c r="Z9" i="4"/>
  <c r="Y9" i="4" a="1"/>
  <c r="Y9" i="4"/>
  <c r="X9" i="4" a="1"/>
  <c r="X9" i="4" s="1"/>
  <c r="W9" i="4" a="1"/>
  <c r="W9" i="4"/>
  <c r="V9" i="4" a="1"/>
  <c r="V9" i="4"/>
  <c r="U9" i="4" a="1"/>
  <c r="U9" i="4"/>
  <c r="T9" i="4" a="1"/>
  <c r="T9" i="4" s="1"/>
  <c r="S9" i="4" a="1"/>
  <c r="S9" i="4"/>
  <c r="R9" i="4" a="1"/>
  <c r="R9" i="4"/>
  <c r="Q9" i="4" a="1"/>
  <c r="Q9" i="4"/>
  <c r="P9" i="4" a="1"/>
  <c r="P9" i="4"/>
  <c r="O9" i="4" a="1"/>
  <c r="O9" i="4"/>
  <c r="N9" i="4" a="1"/>
  <c r="N9" i="4" s="1"/>
  <c r="M9" i="4" a="1"/>
  <c r="M9" i="4"/>
  <c r="L9" i="4" a="1"/>
  <c r="L9" i="4" s="1"/>
  <c r="K9" i="4" a="1"/>
  <c r="K9" i="4" s="1"/>
  <c r="J9" i="4" a="1"/>
  <c r="J9" i="4" s="1"/>
  <c r="I9" i="4" a="1"/>
  <c r="I9" i="4" s="1"/>
  <c r="H9" i="4" a="1"/>
  <c r="H9" i="4" s="1"/>
  <c r="G9" i="4" a="1"/>
  <c r="G9" i="4" s="1"/>
  <c r="F9" i="4" a="1"/>
  <c r="F9" i="4" s="1"/>
  <c r="E9" i="4" a="1"/>
  <c r="E9" i="4" s="1"/>
  <c r="D9" i="4" a="1"/>
  <c r="D9" i="4" s="1"/>
  <c r="C9" i="4" a="1"/>
  <c r="C9" i="4" s="1"/>
  <c r="B9" i="4" a="1"/>
  <c r="B9" i="4"/>
  <c r="AE8" i="4" a="1"/>
  <c r="AE8" i="4" s="1"/>
  <c r="AD8" i="4" a="1"/>
  <c r="AD8" i="4"/>
  <c r="AC8" i="4" a="1"/>
  <c r="AC8" i="4"/>
  <c r="AB8" i="4" a="1"/>
  <c r="AB8" i="4" s="1"/>
  <c r="AA8" i="4" a="1"/>
  <c r="AA8" i="4"/>
  <c r="Z8" i="4" a="1"/>
  <c r="Z8" i="4"/>
  <c r="Y8" i="4" a="1"/>
  <c r="Y8" i="4"/>
  <c r="X8" i="4" a="1"/>
  <c r="X8" i="4"/>
  <c r="W8" i="4" a="1"/>
  <c r="W8" i="4"/>
  <c r="V8" i="4" a="1"/>
  <c r="V8" i="4"/>
  <c r="U8" i="4" a="1"/>
  <c r="U8" i="4" s="1"/>
  <c r="T8" i="4" a="1"/>
  <c r="T8" i="4" s="1"/>
  <c r="S8" i="4" a="1"/>
  <c r="S8" i="4" s="1"/>
  <c r="R8" i="4" a="1"/>
  <c r="R8" i="4" s="1"/>
  <c r="Q8" i="4" a="1"/>
  <c r="Q8" i="4" s="1"/>
  <c r="P8" i="4" a="1"/>
  <c r="P8" i="4" s="1"/>
  <c r="O8" i="4" a="1"/>
  <c r="O8" i="4" s="1"/>
  <c r="N8" i="4" a="1"/>
  <c r="N8" i="4" s="1"/>
  <c r="M8" i="4" a="1"/>
  <c r="M8" i="4" s="1"/>
  <c r="L8" i="4" a="1"/>
  <c r="L8" i="4" s="1"/>
  <c r="K8" i="4" a="1"/>
  <c r="K8" i="4" s="1"/>
  <c r="J8" i="4" a="1"/>
  <c r="J8" i="4" s="1"/>
  <c r="I8" i="4" a="1"/>
  <c r="I8" i="4"/>
  <c r="H8" i="4" a="1"/>
  <c r="H8" i="4"/>
  <c r="G8" i="4" a="1"/>
  <c r="G8" i="4" s="1"/>
  <c r="F8" i="4" a="1"/>
  <c r="F8" i="4" s="1"/>
  <c r="E8" i="4" a="1"/>
  <c r="E8" i="4" s="1"/>
  <c r="D8" i="4" a="1"/>
  <c r="D8" i="4"/>
  <c r="C8" i="4" a="1"/>
  <c r="C8" i="4"/>
  <c r="B8" i="4" a="1"/>
  <c r="B8" i="4"/>
  <c r="AE7" i="4" a="1"/>
  <c r="AE7" i="4" s="1"/>
  <c r="AD7" i="4" a="1"/>
  <c r="AD7" i="4"/>
  <c r="AC7" i="4" a="1"/>
  <c r="AC7" i="4"/>
  <c r="AB7" i="4" a="1"/>
  <c r="AB7" i="4" s="1"/>
  <c r="AA7" i="4" a="1"/>
  <c r="AA7" i="4" s="1"/>
  <c r="Z7" i="4" a="1"/>
  <c r="Z7" i="4"/>
  <c r="Y7" i="4" a="1"/>
  <c r="Y7" i="4" s="1"/>
  <c r="X7" i="4" a="1"/>
  <c r="X7" i="4"/>
  <c r="W7" i="4" a="1"/>
  <c r="W7" i="4"/>
  <c r="V7" i="4" a="1"/>
  <c r="V7" i="4" s="1"/>
  <c r="U7" i="4" a="1"/>
  <c r="U7" i="4" s="1"/>
  <c r="T7" i="4" a="1"/>
  <c r="T7" i="4" s="1"/>
  <c r="S7" i="4" a="1"/>
  <c r="S7" i="4" s="1"/>
  <c r="R7" i="4" a="1"/>
  <c r="R7" i="4" s="1"/>
  <c r="Q7" i="4" a="1"/>
  <c r="Q7" i="4" s="1"/>
  <c r="P7" i="4" a="1"/>
  <c r="P7" i="4"/>
  <c r="O7" i="4" a="1"/>
  <c r="O7" i="4"/>
  <c r="N7" i="4" a="1"/>
  <c r="N7" i="4" s="1"/>
  <c r="M7" i="4" a="1"/>
  <c r="M7" i="4" s="1"/>
  <c r="L7" i="4" a="1"/>
  <c r="L7" i="4"/>
  <c r="K7" i="4" a="1"/>
  <c r="K7" i="4"/>
  <c r="J7" i="4" a="1"/>
  <c r="J7" i="4"/>
  <c r="I7" i="4" a="1"/>
  <c r="I7" i="4"/>
  <c r="H7" i="4" a="1"/>
  <c r="H7" i="4"/>
  <c r="G7" i="4" a="1"/>
  <c r="G7" i="4"/>
  <c r="F7" i="4" a="1"/>
  <c r="F7" i="4"/>
  <c r="E7" i="4" a="1"/>
  <c r="E7" i="4" s="1"/>
  <c r="D7" i="4" a="1"/>
  <c r="D7" i="4"/>
  <c r="C7" i="4" a="1"/>
  <c r="C7" i="4" s="1"/>
  <c r="B7" i="4" a="1"/>
  <c r="B7" i="4"/>
  <c r="AE6" i="4" a="1"/>
  <c r="AE6" i="4"/>
  <c r="AD6" i="4" a="1"/>
  <c r="AD6" i="4"/>
  <c r="AC6" i="4" a="1"/>
  <c r="AC6" i="4" s="1"/>
  <c r="AB6" i="4" a="1"/>
  <c r="AB6" i="4" s="1"/>
  <c r="AA6" i="4" a="1"/>
  <c r="AA6" i="4"/>
  <c r="Z6" i="4" a="1"/>
  <c r="Z6" i="4" s="1"/>
  <c r="Y6" i="4" a="1"/>
  <c r="Y6" i="4" s="1"/>
  <c r="X6" i="4" a="1"/>
  <c r="X6" i="4"/>
  <c r="W6" i="4" a="1"/>
  <c r="W6" i="4"/>
  <c r="V6" i="4" a="1"/>
  <c r="V6" i="4" s="1"/>
  <c r="U6" i="4" a="1"/>
  <c r="U6" i="4"/>
  <c r="T6" i="4" a="1"/>
  <c r="T6" i="4"/>
  <c r="S6" i="4" a="1"/>
  <c r="S6" i="4" s="1"/>
  <c r="R6" i="4" a="1"/>
  <c r="R6" i="4" s="1"/>
  <c r="Q6" i="4" a="1"/>
  <c r="Q6" i="4"/>
  <c r="P6" i="4" a="1"/>
  <c r="P6" i="4"/>
  <c r="O6" i="4" a="1"/>
  <c r="O6" i="4" s="1"/>
  <c r="N6" i="4" a="1"/>
  <c r="N6" i="4"/>
  <c r="M6" i="4" a="1"/>
  <c r="M6" i="4"/>
  <c r="L6" i="4" a="1"/>
  <c r="L6" i="4" s="1"/>
  <c r="K6" i="4" a="1"/>
  <c r="K6" i="4" s="1"/>
  <c r="J6" i="4" a="1"/>
  <c r="J6" i="4" s="1"/>
  <c r="I6" i="4" a="1"/>
  <c r="I6" i="4"/>
  <c r="H6" i="4" a="1"/>
  <c r="H6" i="4"/>
  <c r="G6" i="4" a="1"/>
  <c r="G6" i="4" s="1"/>
  <c r="F6" i="4" a="1"/>
  <c r="F6" i="4" s="1"/>
  <c r="E6" i="4" a="1"/>
  <c r="E6" i="4" s="1"/>
  <c r="D6" i="4" a="1"/>
  <c r="D6" i="4" s="1"/>
  <c r="C6" i="4" a="1"/>
  <c r="C6" i="4" s="1"/>
  <c r="B6" i="4" a="1"/>
  <c r="B6" i="4" s="1"/>
  <c r="AE5" i="4" a="1"/>
  <c r="AE5" i="4" s="1"/>
  <c r="AD5" i="4" a="1"/>
  <c r="AD5" i="4" s="1"/>
  <c r="AC5" i="4" a="1"/>
  <c r="AC5" i="4" s="1"/>
  <c r="AB5" i="4" a="1"/>
  <c r="AB5" i="4"/>
  <c r="AA5" i="4" a="1"/>
  <c r="AA5" i="4"/>
  <c r="Z5" i="4" a="1"/>
  <c r="Z5" i="4"/>
  <c r="Y5" i="4" a="1"/>
  <c r="Y5" i="4"/>
  <c r="X5" i="4" a="1"/>
  <c r="X5" i="4"/>
  <c r="W5" i="4" a="1"/>
  <c r="W5" i="4"/>
  <c r="V5" i="4" a="1"/>
  <c r="V5" i="4"/>
  <c r="U5" i="4" a="1"/>
  <c r="U5" i="4"/>
  <c r="T5" i="4" a="1"/>
  <c r="T5" i="4"/>
  <c r="S5" i="4" a="1"/>
  <c r="S5" i="4" s="1"/>
  <c r="R5" i="4" a="1"/>
  <c r="R5" i="4"/>
  <c r="Q5" i="4" a="1"/>
  <c r="Q5" i="4" s="1"/>
  <c r="P5" i="4" a="1"/>
  <c r="P5" i="4"/>
  <c r="O5" i="4" a="1"/>
  <c r="O5" i="4" s="1"/>
  <c r="N5" i="4" a="1"/>
  <c r="N5" i="4" s="1"/>
  <c r="M5" i="4" a="1"/>
  <c r="M5" i="4" s="1"/>
  <c r="L5" i="4" a="1"/>
  <c r="L5" i="4" s="1"/>
  <c r="K5" i="4" a="1"/>
  <c r="K5" i="4"/>
  <c r="J5" i="4" a="1"/>
  <c r="J5" i="4" s="1"/>
  <c r="I5" i="4" a="1"/>
  <c r="I5" i="4" s="1"/>
  <c r="H5" i="4" a="1"/>
  <c r="H5" i="4" s="1"/>
  <c r="G5" i="4" a="1"/>
  <c r="G5" i="4" s="1"/>
  <c r="F5" i="4" a="1"/>
  <c r="F5" i="4"/>
  <c r="E5" i="4" a="1"/>
  <c r="E5" i="4"/>
  <c r="D5" i="4" a="1"/>
  <c r="D5" i="4"/>
  <c r="C5" i="4" a="1"/>
  <c r="C5" i="4"/>
  <c r="B5" i="4" a="1"/>
  <c r="B5" i="4" s="1"/>
  <c r="AE4" i="4" a="1"/>
  <c r="AE4" i="4"/>
  <c r="AD4" i="4" a="1"/>
  <c r="AD4" i="4"/>
  <c r="AC4" i="4" a="1"/>
  <c r="AC4" i="4" s="1"/>
  <c r="AB4" i="4" a="1"/>
  <c r="AB4" i="4"/>
  <c r="AA4" i="4" a="1"/>
  <c r="AA4" i="4"/>
  <c r="Z4" i="4" a="1"/>
  <c r="Z4" i="4" s="1"/>
  <c r="Y4" i="4" a="1"/>
  <c r="Y4" i="4"/>
  <c r="X4" i="4" a="1"/>
  <c r="X4" i="4"/>
  <c r="X2" i="4" s="1"/>
  <c r="P21" i="5" s="1"/>
  <c r="W4" i="4" a="1"/>
  <c r="W4" i="4" s="1"/>
  <c r="W2" i="4" s="1"/>
  <c r="P12" i="5" s="1"/>
  <c r="V4" i="4" a="1"/>
  <c r="V4" i="4" s="1"/>
  <c r="U4" i="4" a="1"/>
  <c r="U4" i="4"/>
  <c r="T4" i="4" a="1"/>
  <c r="T4" i="4" s="1"/>
  <c r="S4" i="4" a="1"/>
  <c r="S4" i="4"/>
  <c r="R4" i="4" a="1"/>
  <c r="R4" i="4" s="1"/>
  <c r="Q4" i="4" a="1"/>
  <c r="Q4" i="4"/>
  <c r="P4" i="4" a="1"/>
  <c r="P4" i="4"/>
  <c r="O4" i="4" a="1"/>
  <c r="O4" i="4" s="1"/>
  <c r="N4" i="4" a="1"/>
  <c r="N4" i="4"/>
  <c r="M4" i="4" a="1"/>
  <c r="M4" i="4" s="1"/>
  <c r="L4" i="4" a="1"/>
  <c r="L4" i="4"/>
  <c r="L2" i="4" s="1"/>
  <c r="P25" i="5" s="1"/>
  <c r="K4" i="4" a="1"/>
  <c r="K4" i="4" s="1"/>
  <c r="J4" i="4" a="1"/>
  <c r="J4" i="4"/>
  <c r="I4" i="4" a="1"/>
  <c r="I4" i="4" s="1"/>
  <c r="H4" i="4" a="1"/>
  <c r="H4" i="4"/>
  <c r="G4" i="4" a="1"/>
  <c r="G4" i="4"/>
  <c r="F4" i="4" a="1"/>
  <c r="F4" i="4"/>
  <c r="E4" i="4" a="1"/>
  <c r="E4" i="4"/>
  <c r="D4" i="4" a="1"/>
  <c r="D4" i="4" s="1"/>
  <c r="C4" i="4" a="1"/>
  <c r="C4" i="4" s="1"/>
  <c r="B4" i="4" a="1"/>
  <c r="B4" i="4"/>
  <c r="AE3" i="4" a="1"/>
  <c r="AE3" i="4" s="1"/>
  <c r="AD3" i="4" a="1"/>
  <c r="AD3" i="4"/>
  <c r="AC3" i="4" a="1"/>
  <c r="AC3" i="4" s="1"/>
  <c r="AB3" i="4" a="1"/>
  <c r="AB3" i="4"/>
  <c r="AA3" i="4" a="1"/>
  <c r="AA3" i="4"/>
  <c r="AA2" i="4" s="1"/>
  <c r="P24" i="5" s="1"/>
  <c r="Z3" i="4" a="1"/>
  <c r="Z3" i="4" s="1"/>
  <c r="Y3" i="4" a="1"/>
  <c r="Y3" i="4" s="1"/>
  <c r="X3" i="4" a="1"/>
  <c r="X3" i="4"/>
  <c r="W3" i="4" a="1"/>
  <c r="W3" i="4" s="1"/>
  <c r="V3" i="4" a="1"/>
  <c r="V3" i="4"/>
  <c r="U3" i="4" a="1"/>
  <c r="U3" i="4"/>
  <c r="T3" i="4" a="1"/>
  <c r="T3" i="4" s="1"/>
  <c r="S3" i="4" a="1"/>
  <c r="S3" i="4" s="1"/>
  <c r="R3" i="4" a="1"/>
  <c r="R3" i="4" s="1"/>
  <c r="Q3" i="4" a="1"/>
  <c r="Q3" i="4"/>
  <c r="P3" i="4" a="1"/>
  <c r="P3" i="4"/>
  <c r="O3" i="4" a="1"/>
  <c r="O3" i="4"/>
  <c r="N3" i="4" a="1"/>
  <c r="N3" i="4"/>
  <c r="M3" i="4" a="1"/>
  <c r="M3" i="4"/>
  <c r="L3" i="4" a="1"/>
  <c r="L3" i="4" s="1"/>
  <c r="K3" i="4" a="1"/>
  <c r="K3" i="4" s="1"/>
  <c r="J3" i="4" a="1"/>
  <c r="J3" i="4" s="1"/>
  <c r="I3" i="4" a="1"/>
  <c r="I3" i="4"/>
  <c r="H3" i="4" a="1"/>
  <c r="H3" i="4"/>
  <c r="G3" i="4" a="1"/>
  <c r="G3" i="4"/>
  <c r="F3" i="4" a="1"/>
  <c r="F3" i="4" s="1"/>
  <c r="E3" i="4" a="1"/>
  <c r="E3" i="4"/>
  <c r="D3" i="4" a="1"/>
  <c r="D3" i="4" s="1"/>
  <c r="D2" i="4" s="1"/>
  <c r="P5" i="5" s="1"/>
  <c r="C3" i="4" a="1"/>
  <c r="C3" i="4" s="1"/>
  <c r="B3" i="4" a="1"/>
  <c r="B3" i="4"/>
  <c r="Z2" i="4"/>
  <c r="P23" i="5" s="1"/>
  <c r="I1491" i="3" a="1"/>
  <c r="I1491" i="3" s="1"/>
  <c r="I1490" i="3" a="1"/>
  <c r="I1490" i="3" s="1"/>
  <c r="I1489" i="3" a="1"/>
  <c r="I1489" i="3" s="1"/>
  <c r="I1488" i="3" a="1"/>
  <c r="I1488" i="3" s="1"/>
  <c r="I1487" i="3" a="1"/>
  <c r="I1487" i="3" s="1"/>
  <c r="I1486" i="3" a="1"/>
  <c r="I1486" i="3" s="1"/>
  <c r="I1485" i="3" a="1"/>
  <c r="I1485" i="3" s="1"/>
  <c r="I1484" i="3" a="1"/>
  <c r="I1484" i="3" s="1"/>
  <c r="I1483" i="3" a="1"/>
  <c r="I1483" i="3" s="1"/>
  <c r="I1482" i="3" a="1"/>
  <c r="I1482" i="3" s="1"/>
  <c r="I1481" i="3" a="1"/>
  <c r="I1481" i="3" s="1"/>
  <c r="I1480" i="3" a="1"/>
  <c r="I1480" i="3" s="1"/>
  <c r="I1479" i="3" a="1"/>
  <c r="I1479" i="3" s="1"/>
  <c r="I1478" i="3" a="1"/>
  <c r="I1478" i="3"/>
  <c r="I1477" i="3" a="1"/>
  <c r="I1477" i="3" s="1"/>
  <c r="I1476" i="3" a="1"/>
  <c r="I1476" i="3" s="1"/>
  <c r="I1475" i="3" a="1"/>
  <c r="I1475" i="3" s="1"/>
  <c r="I1474" i="3" a="1"/>
  <c r="I1474" i="3" s="1"/>
  <c r="I1473" i="3" a="1"/>
  <c r="I1473" i="3" s="1"/>
  <c r="I1472" i="3" a="1"/>
  <c r="I1472" i="3" s="1"/>
  <c r="I1471" i="3" a="1"/>
  <c r="I1471" i="3" s="1"/>
  <c r="I1470" i="3" a="1"/>
  <c r="I1470" i="3" s="1"/>
  <c r="I1469" i="3" a="1"/>
  <c r="I1469" i="3" s="1"/>
  <c r="I1468" i="3" a="1"/>
  <c r="I1468" i="3"/>
  <c r="I1467" i="3" a="1"/>
  <c r="I1467" i="3" s="1"/>
  <c r="I1466" i="3" a="1"/>
  <c r="I1466" i="3" s="1"/>
  <c r="I1465" i="3" a="1"/>
  <c r="I1465" i="3" s="1"/>
  <c r="I1464" i="3" a="1"/>
  <c r="I1464" i="3" s="1"/>
  <c r="I1463" i="3" a="1"/>
  <c r="I1463" i="3" s="1"/>
  <c r="I1462" i="3" a="1"/>
  <c r="I1462" i="3" s="1"/>
  <c r="I1461" i="3" a="1"/>
  <c r="I1461" i="3"/>
  <c r="I1460" i="3" a="1"/>
  <c r="I1460" i="3" s="1"/>
  <c r="I1459" i="3" a="1"/>
  <c r="I1459" i="3"/>
  <c r="I1458" i="3" a="1"/>
  <c r="I1458" i="3" s="1"/>
  <c r="I1457" i="3" a="1"/>
  <c r="I1457" i="3"/>
  <c r="I1456" i="3" a="1"/>
  <c r="I1456" i="3" s="1"/>
  <c r="I1455" i="3" a="1"/>
  <c r="I1455" i="3" s="1"/>
  <c r="I1454" i="3" a="1"/>
  <c r="I1454" i="3"/>
  <c r="I1453" i="3" a="1"/>
  <c r="I1453" i="3" s="1"/>
  <c r="I1452" i="3" a="1"/>
  <c r="I1452" i="3" s="1"/>
  <c r="I1451" i="3" a="1"/>
  <c r="I1451" i="3" s="1"/>
  <c r="I1450" i="3" a="1"/>
  <c r="I1450" i="3"/>
  <c r="I1449" i="3" a="1"/>
  <c r="I1449" i="3" s="1"/>
  <c r="I1448" i="3" a="1"/>
  <c r="I1448" i="3" s="1"/>
  <c r="I1447" i="3" a="1"/>
  <c r="I1447" i="3" s="1"/>
  <c r="I1446" i="3" a="1"/>
  <c r="I1446" i="3" s="1"/>
  <c r="I1445" i="3" a="1"/>
  <c r="I1445" i="3" s="1"/>
  <c r="I1444" i="3" a="1"/>
  <c r="I1444" i="3" s="1"/>
  <c r="I1443" i="3" a="1"/>
  <c r="I1443" i="3" s="1"/>
  <c r="I1442" i="3" a="1"/>
  <c r="I1442" i="3" s="1"/>
  <c r="I1441" i="3" a="1"/>
  <c r="I1441" i="3"/>
  <c r="I1440" i="3" a="1"/>
  <c r="I1440" i="3" s="1"/>
  <c r="I1439" i="3" a="1"/>
  <c r="I1439" i="3" s="1"/>
  <c r="I1438" i="3" a="1"/>
  <c r="I1438" i="3" s="1"/>
  <c r="I1437" i="3" a="1"/>
  <c r="I1437" i="3" s="1"/>
  <c r="I1436" i="3" a="1"/>
  <c r="I1436" i="3"/>
  <c r="I1435" i="3" a="1"/>
  <c r="I1435" i="3"/>
  <c r="I1434" i="3" a="1"/>
  <c r="I1434" i="3" s="1"/>
  <c r="I1433" i="3" a="1"/>
  <c r="I1433" i="3"/>
  <c r="I1432" i="3" a="1"/>
  <c r="I1432" i="3" s="1"/>
  <c r="I1431" i="3" a="1"/>
  <c r="I1431" i="3"/>
  <c r="I1430" i="3" a="1"/>
  <c r="I1430" i="3"/>
  <c r="I1429" i="3" a="1"/>
  <c r="I1429" i="3" s="1"/>
  <c r="I1428" i="3" a="1"/>
  <c r="I1428" i="3" s="1"/>
  <c r="I1427" i="3" a="1"/>
  <c r="I1427" i="3" s="1"/>
  <c r="I1426" i="3" a="1"/>
  <c r="I1426" i="3" s="1"/>
  <c r="I1425" i="3" a="1"/>
  <c r="I1425" i="3" s="1"/>
  <c r="I1424" i="3" a="1"/>
  <c r="I1424" i="3" s="1"/>
  <c r="I1423" i="3" a="1"/>
  <c r="I1423" i="3" s="1"/>
  <c r="I1422" i="3" a="1"/>
  <c r="I1422" i="3"/>
  <c r="I1421" i="3" a="1"/>
  <c r="I1421" i="3" s="1"/>
  <c r="I1420" i="3" a="1"/>
  <c r="I1420" i="3"/>
  <c r="I1419" i="3" a="1"/>
  <c r="I1419" i="3" s="1"/>
  <c r="I1418" i="3" a="1"/>
  <c r="I1418" i="3" s="1"/>
  <c r="I1417" i="3" a="1"/>
  <c r="I1417" i="3" s="1"/>
  <c r="I1416" i="3" a="1"/>
  <c r="I1416" i="3" s="1"/>
  <c r="I1415" i="3" a="1"/>
  <c r="I1415" i="3"/>
  <c r="I1414" i="3" a="1"/>
  <c r="I1414" i="3" s="1"/>
  <c r="I1413" i="3" a="1"/>
  <c r="I1413" i="3"/>
  <c r="I1412" i="3" a="1"/>
  <c r="I1412" i="3"/>
  <c r="I1411" i="3" a="1"/>
  <c r="I1411" i="3" s="1"/>
  <c r="I1410" i="3" a="1"/>
  <c r="I1410" i="3" s="1"/>
  <c r="I1409" i="3" a="1"/>
  <c r="I1409" i="3" s="1"/>
  <c r="I1408" i="3" a="1"/>
  <c r="I1408" i="3" s="1"/>
  <c r="I1407" i="3" a="1"/>
  <c r="I1407" i="3" s="1"/>
  <c r="I1406" i="3" a="1"/>
  <c r="I1406" i="3"/>
  <c r="I1405" i="3" a="1"/>
  <c r="I1405" i="3" s="1"/>
  <c r="I1404" i="3" a="1"/>
  <c r="I1404" i="3" s="1"/>
  <c r="I1403" i="3" a="1"/>
  <c r="I1403" i="3" s="1"/>
  <c r="I1402" i="3" a="1"/>
  <c r="I1402" i="3" s="1"/>
  <c r="I1401" i="3" a="1"/>
  <c r="I1401" i="3" s="1"/>
  <c r="I1400" i="3" a="1"/>
  <c r="I1400" i="3" s="1"/>
  <c r="I1399" i="3" a="1"/>
  <c r="I1399" i="3" s="1"/>
  <c r="I1398" i="3" a="1"/>
  <c r="I1398" i="3" s="1"/>
  <c r="I1397" i="3" a="1"/>
  <c r="I1397" i="3" s="1"/>
  <c r="I1396" i="3" a="1"/>
  <c r="I1396" i="3" s="1"/>
  <c r="I1395" i="3" a="1"/>
  <c r="I1395" i="3"/>
  <c r="I1394" i="3" a="1"/>
  <c r="I1394" i="3" s="1"/>
  <c r="I1393" i="3" a="1"/>
  <c r="I1393" i="3" s="1"/>
  <c r="I1392" i="3" a="1"/>
  <c r="I1392" i="3" s="1"/>
  <c r="I1391" i="3" a="1"/>
  <c r="I1391" i="3" s="1"/>
  <c r="I1390" i="3" a="1"/>
  <c r="I1390" i="3" s="1"/>
  <c r="I1389" i="3" a="1"/>
  <c r="I1389" i="3" s="1"/>
  <c r="I1388" i="3" a="1"/>
  <c r="I1388" i="3" s="1"/>
  <c r="I1387" i="3" a="1"/>
  <c r="I1387" i="3"/>
  <c r="I1386" i="3" a="1"/>
  <c r="I1386" i="3" s="1"/>
  <c r="I1385" i="3" a="1"/>
  <c r="I1385" i="3" s="1"/>
  <c r="I1384" i="3" a="1"/>
  <c r="I1384" i="3" s="1"/>
  <c r="I1383" i="3" a="1"/>
  <c r="I1383" i="3" s="1"/>
  <c r="I1382" i="3" a="1"/>
  <c r="I1382" i="3" s="1"/>
  <c r="I1381" i="3" a="1"/>
  <c r="I1381" i="3" s="1"/>
  <c r="I1380" i="3" a="1"/>
  <c r="I1380" i="3" s="1"/>
  <c r="I1379" i="3" a="1"/>
  <c r="I1379" i="3" s="1"/>
  <c r="I1378" i="3" a="1"/>
  <c r="I1378" i="3" s="1"/>
  <c r="I1377" i="3" a="1"/>
  <c r="I1377" i="3" s="1"/>
  <c r="I1376" i="3" a="1"/>
  <c r="I1376" i="3" s="1"/>
  <c r="I1375" i="3" a="1"/>
  <c r="I1375" i="3"/>
  <c r="I1374" i="3" a="1"/>
  <c r="I1374" i="3" s="1"/>
  <c r="I1373" i="3" a="1"/>
  <c r="I1373" i="3" s="1"/>
  <c r="I1372" i="3" a="1"/>
  <c r="I1372" i="3" s="1"/>
  <c r="I1371" i="3" a="1"/>
  <c r="I1371" i="3" s="1"/>
  <c r="I1370" i="3" a="1"/>
  <c r="I1370" i="3" s="1"/>
  <c r="I1369" i="3" a="1"/>
  <c r="I1369" i="3" s="1"/>
  <c r="I1368" i="3" a="1"/>
  <c r="I1368" i="3" s="1"/>
  <c r="I1367" i="3" a="1"/>
  <c r="I1367" i="3" s="1"/>
  <c r="I1366" i="3" a="1"/>
  <c r="I1366" i="3" s="1"/>
  <c r="I1365" i="3" a="1"/>
  <c r="I1365" i="3" s="1"/>
  <c r="I1364" i="3" a="1"/>
  <c r="I1364" i="3" s="1"/>
  <c r="I1363" i="3" a="1"/>
  <c r="I1363" i="3" s="1"/>
  <c r="I1362" i="3" a="1"/>
  <c r="I1362" i="3" s="1"/>
  <c r="I1361" i="3" a="1"/>
  <c r="I1361" i="3" s="1"/>
  <c r="I1360" i="3" a="1"/>
  <c r="I1360" i="3"/>
  <c r="I1359" i="3" a="1"/>
  <c r="I1359" i="3" s="1"/>
  <c r="I1358" i="3" a="1"/>
  <c r="I1358" i="3" s="1"/>
  <c r="I1357" i="3" a="1"/>
  <c r="I1357" i="3" s="1"/>
  <c r="I1356" i="3" a="1"/>
  <c r="I1356" i="3" s="1"/>
  <c r="I1355" i="3" a="1"/>
  <c r="I1355" i="3" s="1"/>
  <c r="I1354" i="3" a="1"/>
  <c r="I1354" i="3" s="1"/>
  <c r="I1353" i="3" a="1"/>
  <c r="I1353" i="3" s="1"/>
  <c r="I1352" i="3" a="1"/>
  <c r="I1352" i="3" s="1"/>
  <c r="I1351" i="3" a="1"/>
  <c r="I1351" i="3"/>
  <c r="I1350" i="3" a="1"/>
  <c r="I1350" i="3" s="1"/>
  <c r="I1349" i="3" a="1"/>
  <c r="I1349" i="3" s="1"/>
  <c r="I1348" i="3" a="1"/>
  <c r="I1348" i="3" s="1"/>
  <c r="I1347" i="3" a="1"/>
  <c r="I1347" i="3" s="1"/>
  <c r="I1346" i="3" a="1"/>
  <c r="I1346" i="3" s="1"/>
  <c r="I1345" i="3" a="1"/>
  <c r="I1345" i="3" s="1"/>
  <c r="I1344" i="3" a="1"/>
  <c r="I1344" i="3" s="1"/>
  <c r="I1343" i="3" a="1"/>
  <c r="I1343" i="3" s="1"/>
  <c r="I1342" i="3" a="1"/>
  <c r="I1342" i="3"/>
  <c r="I1341" i="3" a="1"/>
  <c r="I1341" i="3" s="1"/>
  <c r="I1340" i="3" a="1"/>
  <c r="I1340" i="3" s="1"/>
  <c r="I1339" i="3" a="1"/>
  <c r="I1339" i="3" s="1"/>
  <c r="I1338" i="3" a="1"/>
  <c r="I1338" i="3" s="1"/>
  <c r="I1337" i="3" a="1"/>
  <c r="I1337" i="3" s="1"/>
  <c r="I1336" i="3" a="1"/>
  <c r="I1336" i="3" s="1"/>
  <c r="I1335" i="3" a="1"/>
  <c r="I1335" i="3" s="1"/>
  <c r="I1334" i="3" a="1"/>
  <c r="I1334" i="3" s="1"/>
  <c r="I1333" i="3" a="1"/>
  <c r="I1333" i="3" s="1"/>
  <c r="I1332" i="3" a="1"/>
  <c r="I1332" i="3" s="1"/>
  <c r="I1331" i="3" a="1"/>
  <c r="I1331" i="3" s="1"/>
  <c r="I1330" i="3" a="1"/>
  <c r="I1330" i="3" s="1"/>
  <c r="I1329" i="3" a="1"/>
  <c r="I1329" i="3" s="1"/>
  <c r="I1328" i="3" a="1"/>
  <c r="I1328" i="3" s="1"/>
  <c r="I1327" i="3" a="1"/>
  <c r="I1327" i="3" s="1"/>
  <c r="I1326" i="3" a="1"/>
  <c r="I1326" i="3" s="1"/>
  <c r="I1325" i="3" a="1"/>
  <c r="I1325" i="3"/>
  <c r="I1324" i="3" a="1"/>
  <c r="I1324" i="3"/>
  <c r="I1323" i="3" a="1"/>
  <c r="I1323" i="3" s="1"/>
  <c r="I1322" i="3" a="1"/>
  <c r="I1322" i="3" s="1"/>
  <c r="I1321" i="3" a="1"/>
  <c r="I1321" i="3" s="1"/>
  <c r="I1320" i="3" a="1"/>
  <c r="I1320" i="3" s="1"/>
  <c r="I1319" i="3" a="1"/>
  <c r="I1319" i="3" s="1"/>
  <c r="I1318" i="3" a="1"/>
  <c r="I1318" i="3" s="1"/>
  <c r="I1317" i="3" a="1"/>
  <c r="I1317" i="3" s="1"/>
  <c r="I1316" i="3" a="1"/>
  <c r="I1316" i="3" s="1"/>
  <c r="I1315" i="3" a="1"/>
  <c r="I1315" i="3" s="1"/>
  <c r="I1314" i="3" a="1"/>
  <c r="I1314" i="3" s="1"/>
  <c r="I1313" i="3" a="1"/>
  <c r="I1313" i="3" s="1"/>
  <c r="I1312" i="3" a="1"/>
  <c r="I1312" i="3" s="1"/>
  <c r="I1311" i="3" a="1"/>
  <c r="I1311" i="3" s="1"/>
  <c r="I1310" i="3" a="1"/>
  <c r="I1310" i="3" s="1"/>
  <c r="I1309" i="3" a="1"/>
  <c r="I1309" i="3" s="1"/>
  <c r="I1308" i="3" a="1"/>
  <c r="I1308" i="3" s="1"/>
  <c r="I1307" i="3" a="1"/>
  <c r="I1307" i="3"/>
  <c r="I1306" i="3" a="1"/>
  <c r="I1306" i="3" s="1"/>
  <c r="I1305" i="3" a="1"/>
  <c r="I1305" i="3" s="1"/>
  <c r="I1304" i="3" a="1"/>
  <c r="I1304" i="3" s="1"/>
  <c r="I1303" i="3" a="1"/>
  <c r="I1303" i="3" s="1"/>
  <c r="I1302" i="3" a="1"/>
  <c r="I1302" i="3"/>
  <c r="I1301" i="3" a="1"/>
  <c r="I1301" i="3" s="1"/>
  <c r="I1300" i="3" a="1"/>
  <c r="I1300" i="3" s="1"/>
  <c r="I1299" i="3" a="1"/>
  <c r="I1299" i="3" s="1"/>
  <c r="I1298" i="3" a="1"/>
  <c r="I1298" i="3"/>
  <c r="I1297" i="3" a="1"/>
  <c r="I1297" i="3" s="1"/>
  <c r="I1296" i="3" a="1"/>
  <c r="I1296" i="3" s="1"/>
  <c r="I1295" i="3" a="1"/>
  <c r="I1295" i="3" s="1"/>
  <c r="I1294" i="3" a="1"/>
  <c r="I1294" i="3" s="1"/>
  <c r="I1293" i="3" a="1"/>
  <c r="I1293" i="3" s="1"/>
  <c r="I1292" i="3" a="1"/>
  <c r="I1292" i="3" s="1"/>
  <c r="I1291" i="3" a="1"/>
  <c r="I1291" i="3" s="1"/>
  <c r="I1290" i="3" a="1"/>
  <c r="I1290" i="3" s="1"/>
  <c r="I1289" i="3" a="1"/>
  <c r="I1289" i="3" s="1"/>
  <c r="I1288" i="3" a="1"/>
  <c r="I1288" i="3" s="1"/>
  <c r="I1287" i="3" a="1"/>
  <c r="I1287" i="3" s="1"/>
  <c r="I1286" i="3" a="1"/>
  <c r="I1286" i="3" s="1"/>
  <c r="I1285" i="3" a="1"/>
  <c r="I1285" i="3" s="1"/>
  <c r="I1284" i="3" a="1"/>
  <c r="I1284" i="3" s="1"/>
  <c r="I1283" i="3" a="1"/>
  <c r="I1283" i="3" s="1"/>
  <c r="I1282" i="3" a="1"/>
  <c r="I1282" i="3" s="1"/>
  <c r="I1281" i="3" a="1"/>
  <c r="I1281" i="3" s="1"/>
  <c r="I1280" i="3" a="1"/>
  <c r="I1280" i="3"/>
  <c r="I1279" i="3" a="1"/>
  <c r="I1279" i="3" s="1"/>
  <c r="I1278" i="3" a="1"/>
  <c r="I1278" i="3"/>
  <c r="I1277" i="3" a="1"/>
  <c r="I1277" i="3" s="1"/>
  <c r="I1276" i="3" a="1"/>
  <c r="I1276" i="3" s="1"/>
  <c r="I1275" i="3" a="1"/>
  <c r="I1275" i="3" s="1"/>
  <c r="I1274" i="3" a="1"/>
  <c r="I1274" i="3" s="1"/>
  <c r="I1273" i="3" a="1"/>
  <c r="I1273" i="3" s="1"/>
  <c r="I1272" i="3" a="1"/>
  <c r="I1272" i="3"/>
  <c r="I1271" i="3" a="1"/>
  <c r="I1271" i="3"/>
  <c r="I1270" i="3" a="1"/>
  <c r="I1270" i="3" s="1"/>
  <c r="I1269" i="3" a="1"/>
  <c r="I1269" i="3" s="1"/>
  <c r="I1268" i="3" a="1"/>
  <c r="I1268" i="3"/>
  <c r="I1267" i="3" a="1"/>
  <c r="I1267" i="3" s="1"/>
  <c r="I1266" i="3" a="1"/>
  <c r="I1266" i="3" s="1"/>
  <c r="I1265" i="3" a="1"/>
  <c r="I1265" i="3" s="1"/>
  <c r="I1264" i="3" a="1"/>
  <c r="I1264" i="3" s="1"/>
  <c r="I1263" i="3" a="1"/>
  <c r="I1263" i="3"/>
  <c r="I1262" i="3" a="1"/>
  <c r="I1262" i="3" s="1"/>
  <c r="I1261" i="3" a="1"/>
  <c r="I1261" i="3" s="1"/>
  <c r="I1260" i="3" a="1"/>
  <c r="I1260" i="3" s="1"/>
  <c r="I1259" i="3" a="1"/>
  <c r="I1259" i="3" s="1"/>
  <c r="I1258" i="3" a="1"/>
  <c r="I1258" i="3" s="1"/>
  <c r="I1257" i="3" a="1"/>
  <c r="I1257" i="3" s="1"/>
  <c r="I1256" i="3" a="1"/>
  <c r="I1256" i="3" s="1"/>
  <c r="I1255" i="3" a="1"/>
  <c r="I1255" i="3"/>
  <c r="I1254" i="3" a="1"/>
  <c r="I1254" i="3" s="1"/>
  <c r="I1253" i="3" a="1"/>
  <c r="I1253" i="3" s="1"/>
  <c r="I1252" i="3" a="1"/>
  <c r="I1252" i="3" s="1"/>
  <c r="I1251" i="3" a="1"/>
  <c r="I1251" i="3" s="1"/>
  <c r="I1250" i="3" a="1"/>
  <c r="I1250" i="3" s="1"/>
  <c r="I1249" i="3" a="1"/>
  <c r="I1249" i="3" s="1"/>
  <c r="I1248" i="3" a="1"/>
  <c r="I1248" i="3"/>
  <c r="I1247" i="3" a="1"/>
  <c r="I1247" i="3" s="1"/>
  <c r="I1246" i="3" a="1"/>
  <c r="I1246" i="3" s="1"/>
  <c r="I1245" i="3" a="1"/>
  <c r="I1245" i="3" s="1"/>
  <c r="I1244" i="3" a="1"/>
  <c r="I1244" i="3"/>
  <c r="I1243" i="3" a="1"/>
  <c r="I1243" i="3" s="1"/>
  <c r="I1242" i="3" a="1"/>
  <c r="I1242" i="3" s="1"/>
  <c r="I1241" i="3" a="1"/>
  <c r="I1241" i="3" s="1"/>
  <c r="I1240" i="3" a="1"/>
  <c r="I1240" i="3" s="1"/>
  <c r="I1239" i="3" a="1"/>
  <c r="I1239" i="3"/>
  <c r="I1238" i="3" a="1"/>
  <c r="I1238" i="3"/>
  <c r="I1237" i="3" a="1"/>
  <c r="I1237" i="3" s="1"/>
  <c r="I1236" i="3" a="1"/>
  <c r="I1236" i="3" s="1"/>
  <c r="I1235" i="3" a="1"/>
  <c r="I1235" i="3" s="1"/>
  <c r="I1234" i="3" a="1"/>
  <c r="I1234" i="3" s="1"/>
  <c r="I1233" i="3" a="1"/>
  <c r="I1233" i="3" s="1"/>
  <c r="I1232" i="3" a="1"/>
  <c r="I1232" i="3"/>
  <c r="I1231" i="3" a="1"/>
  <c r="I1231" i="3" s="1"/>
  <c r="I1230" i="3" a="1"/>
  <c r="I1230" i="3" s="1"/>
  <c r="I1229" i="3" a="1"/>
  <c r="I1229" i="3" s="1"/>
  <c r="I1228" i="3" a="1"/>
  <c r="I1228" i="3" s="1"/>
  <c r="I1227" i="3" a="1"/>
  <c r="I1227" i="3" s="1"/>
  <c r="I1226" i="3" a="1"/>
  <c r="I1226" i="3" s="1"/>
  <c r="I1225" i="3" a="1"/>
  <c r="I1225" i="3" s="1"/>
  <c r="I1224" i="3" a="1"/>
  <c r="I1224" i="3" s="1"/>
  <c r="I1223" i="3" a="1"/>
  <c r="I1223" i="3" s="1"/>
  <c r="I1222" i="3" a="1"/>
  <c r="I1222" i="3" s="1"/>
  <c r="I1221" i="3" a="1"/>
  <c r="I1221" i="3" s="1"/>
  <c r="I1220" i="3" a="1"/>
  <c r="I1220" i="3" s="1"/>
  <c r="I1219" i="3" a="1"/>
  <c r="I1219" i="3"/>
  <c r="I1218" i="3" a="1"/>
  <c r="I1218" i="3" s="1"/>
  <c r="I1217" i="3" a="1"/>
  <c r="I1217" i="3" s="1"/>
  <c r="I1216" i="3" a="1"/>
  <c r="I1216" i="3" s="1"/>
  <c r="I1215" i="3" a="1"/>
  <c r="I1215" i="3"/>
  <c r="I1214" i="3" a="1"/>
  <c r="I1214" i="3"/>
  <c r="I1213" i="3" a="1"/>
  <c r="I1213" i="3" s="1"/>
  <c r="I1212" i="3" a="1"/>
  <c r="I1212" i="3" s="1"/>
  <c r="I1211" i="3" a="1"/>
  <c r="I1211" i="3"/>
  <c r="I1210" i="3" a="1"/>
  <c r="I1210" i="3" s="1"/>
  <c r="I1209" i="3" a="1"/>
  <c r="I1209" i="3" s="1"/>
  <c r="I1208" i="3" a="1"/>
  <c r="I1208" i="3" s="1"/>
  <c r="I1207" i="3" a="1"/>
  <c r="I1207" i="3"/>
  <c r="I1206" i="3" a="1"/>
  <c r="I1206" i="3" s="1"/>
  <c r="I1205" i="3" a="1"/>
  <c r="I1205" i="3" s="1"/>
  <c r="I1204" i="3" a="1"/>
  <c r="I1204" i="3" s="1"/>
  <c r="I1203" i="3" a="1"/>
  <c r="I1203" i="3"/>
  <c r="I1202" i="3" a="1"/>
  <c r="I1202" i="3" s="1"/>
  <c r="I1201" i="3" a="1"/>
  <c r="I1201" i="3" s="1"/>
  <c r="I1200" i="3" a="1"/>
  <c r="I1200" i="3" s="1"/>
  <c r="I1199" i="3" a="1"/>
  <c r="I1199" i="3" s="1"/>
  <c r="I1198" i="3" a="1"/>
  <c r="I1198" i="3" s="1"/>
  <c r="I1197" i="3" a="1"/>
  <c r="I1197" i="3" s="1"/>
  <c r="I1196" i="3" a="1"/>
  <c r="I1196" i="3" s="1"/>
  <c r="I1195" i="3" a="1"/>
  <c r="I1195" i="3" s="1"/>
  <c r="I1194" i="3" a="1"/>
  <c r="I1194" i="3" s="1"/>
  <c r="I1193" i="3" a="1"/>
  <c r="I1193" i="3" s="1"/>
  <c r="I1192" i="3" a="1"/>
  <c r="I1192" i="3" s="1"/>
  <c r="I1191" i="3" a="1"/>
  <c r="I1191" i="3" s="1"/>
  <c r="I1190" i="3" a="1"/>
  <c r="I1190" i="3" s="1"/>
  <c r="I1189" i="3" a="1"/>
  <c r="I1189" i="3"/>
  <c r="I1188" i="3" a="1"/>
  <c r="I1188" i="3"/>
  <c r="I1187" i="3" a="1"/>
  <c r="I1187" i="3" s="1"/>
  <c r="I1186" i="3" a="1"/>
  <c r="I1186" i="3" s="1"/>
  <c r="I1185" i="3" a="1"/>
  <c r="I1185" i="3" s="1"/>
  <c r="I1184" i="3" a="1"/>
  <c r="I1184" i="3" s="1"/>
  <c r="I1183" i="3" a="1"/>
  <c r="I1183" i="3" s="1"/>
  <c r="I1182" i="3" a="1"/>
  <c r="I1182" i="3" s="1"/>
  <c r="I1181" i="3" a="1"/>
  <c r="I1181" i="3" s="1"/>
  <c r="I1180" i="3" a="1"/>
  <c r="I1180" i="3" s="1"/>
  <c r="I1179" i="3" a="1"/>
  <c r="I1179" i="3" s="1"/>
  <c r="I1178" i="3" a="1"/>
  <c r="I1178" i="3" s="1"/>
  <c r="I1177" i="3" a="1"/>
  <c r="I1177" i="3" s="1"/>
  <c r="I1176" i="3" a="1"/>
  <c r="I1176" i="3" s="1"/>
  <c r="I1175" i="3" a="1"/>
  <c r="I1175" i="3"/>
  <c r="I1174" i="3" a="1"/>
  <c r="I1174" i="3" s="1"/>
  <c r="I1173" i="3" a="1"/>
  <c r="I1173" i="3" s="1"/>
  <c r="I1172" i="3" a="1"/>
  <c r="I1172" i="3" s="1"/>
  <c r="I1171" i="3" a="1"/>
  <c r="I1171" i="3" s="1"/>
  <c r="I1170" i="3" a="1"/>
  <c r="I1170" i="3"/>
  <c r="I1169" i="3" a="1"/>
  <c r="I1169" i="3" s="1"/>
  <c r="I1168" i="3" a="1"/>
  <c r="I1168" i="3" s="1"/>
  <c r="I1167" i="3" a="1"/>
  <c r="I1167" i="3" s="1"/>
  <c r="I1166" i="3" a="1"/>
  <c r="I1166" i="3" s="1"/>
  <c r="I1165" i="3" a="1"/>
  <c r="I1165" i="3" s="1"/>
  <c r="I1164" i="3" a="1"/>
  <c r="I1164" i="3" s="1"/>
  <c r="I1163" i="3" a="1"/>
  <c r="I1163" i="3" s="1"/>
  <c r="I1162" i="3" a="1"/>
  <c r="I1162" i="3" s="1"/>
  <c r="I1161" i="3" a="1"/>
  <c r="I1161" i="3" s="1"/>
  <c r="I1160" i="3" a="1"/>
  <c r="I1160" i="3" s="1"/>
  <c r="I1159" i="3" a="1"/>
  <c r="I1159" i="3" s="1"/>
  <c r="I1158" i="3" a="1"/>
  <c r="I1158" i="3" s="1"/>
  <c r="I1157" i="3" a="1"/>
  <c r="I1157" i="3" s="1"/>
  <c r="I1156" i="3" a="1"/>
  <c r="I1156" i="3" s="1"/>
  <c r="I1155" i="3" a="1"/>
  <c r="I1155" i="3"/>
  <c r="I1154" i="3" a="1"/>
  <c r="I1154" i="3" s="1"/>
  <c r="I1153" i="3" a="1"/>
  <c r="I1153" i="3"/>
  <c r="I1152" i="3" a="1"/>
  <c r="I1152" i="3" s="1"/>
  <c r="I1151" i="3" a="1"/>
  <c r="I1151" i="3" s="1"/>
  <c r="I1150" i="3" a="1"/>
  <c r="I1150" i="3" s="1"/>
  <c r="I1149" i="3" a="1"/>
  <c r="I1149" i="3" s="1"/>
  <c r="I1148" i="3" a="1"/>
  <c r="I1148" i="3" s="1"/>
  <c r="I1147" i="3" a="1"/>
  <c r="I1147" i="3" s="1"/>
  <c r="I1146" i="3" a="1"/>
  <c r="I1146" i="3"/>
  <c r="I1145" i="3" a="1"/>
  <c r="I1145" i="3"/>
  <c r="I1144" i="3" a="1"/>
  <c r="I1144" i="3" s="1"/>
  <c r="I1143" i="3" a="1"/>
  <c r="I1143" i="3" s="1"/>
  <c r="I1142" i="3" a="1"/>
  <c r="I1142" i="3" s="1"/>
  <c r="I1141" i="3" a="1"/>
  <c r="I1141" i="3" s="1"/>
  <c r="I1140" i="3" a="1"/>
  <c r="I1140" i="3" s="1"/>
  <c r="I1139" i="3" a="1"/>
  <c r="I1139" i="3" s="1"/>
  <c r="I1138" i="3" a="1"/>
  <c r="I1138" i="3" s="1"/>
  <c r="I1137" i="3" a="1"/>
  <c r="I1137" i="3" s="1"/>
  <c r="I1136" i="3" a="1"/>
  <c r="I1136" i="3" s="1"/>
  <c r="I1135" i="3" a="1"/>
  <c r="I1135" i="3" s="1"/>
  <c r="I1134" i="3" a="1"/>
  <c r="I1134" i="3"/>
  <c r="I1133" i="3" a="1"/>
  <c r="I1133" i="3" s="1"/>
  <c r="I1132" i="3" a="1"/>
  <c r="I1132" i="3" s="1"/>
  <c r="I1131" i="3" a="1"/>
  <c r="I1131" i="3" s="1"/>
  <c r="I1130" i="3" a="1"/>
  <c r="I1130" i="3"/>
  <c r="I1129" i="3" a="1"/>
  <c r="I1129" i="3" s="1"/>
  <c r="I1128" i="3" a="1"/>
  <c r="I1128" i="3" s="1"/>
  <c r="I1127" i="3" a="1"/>
  <c r="I1127" i="3" s="1"/>
  <c r="I1126" i="3" a="1"/>
  <c r="I1126" i="3" s="1"/>
  <c r="I1125" i="3" a="1"/>
  <c r="I1125" i="3"/>
  <c r="I1124" i="3" a="1"/>
  <c r="I1124" i="3" s="1"/>
  <c r="I1123" i="3" a="1"/>
  <c r="I1123" i="3" s="1"/>
  <c r="I1122" i="3" a="1"/>
  <c r="I1122" i="3" s="1"/>
  <c r="I1121" i="3" a="1"/>
  <c r="I1121" i="3" s="1"/>
  <c r="I1120" i="3" a="1"/>
  <c r="I1120" i="3" s="1"/>
  <c r="I1119" i="3" a="1"/>
  <c r="I1119" i="3" s="1"/>
  <c r="I1118" i="3" a="1"/>
  <c r="I1118" i="3" s="1"/>
  <c r="I1117" i="3" a="1"/>
  <c r="I1117" i="3" s="1"/>
  <c r="I1116" i="3" a="1"/>
  <c r="I1116" i="3" s="1"/>
  <c r="I1115" i="3" a="1"/>
  <c r="I1115" i="3"/>
  <c r="I1114" i="3" a="1"/>
  <c r="I1114" i="3" s="1"/>
  <c r="I1113" i="3" a="1"/>
  <c r="I1113" i="3" s="1"/>
  <c r="I1112" i="3" a="1"/>
  <c r="I1112" i="3" s="1"/>
  <c r="I1111" i="3" a="1"/>
  <c r="I1111" i="3" s="1"/>
  <c r="I1110" i="3" a="1"/>
  <c r="I1110" i="3" s="1"/>
  <c r="I1109" i="3" a="1"/>
  <c r="I1109" i="3" s="1"/>
  <c r="I1108" i="3" a="1"/>
  <c r="I1108" i="3" s="1"/>
  <c r="I1107" i="3" a="1"/>
  <c r="I1107" i="3" s="1"/>
  <c r="I1106" i="3" a="1"/>
  <c r="I1106" i="3" s="1"/>
  <c r="I1105" i="3" a="1"/>
  <c r="I1105" i="3" s="1"/>
  <c r="I1104" i="3" a="1"/>
  <c r="I1104" i="3" s="1"/>
  <c r="I1103" i="3" a="1"/>
  <c r="I1103" i="3" s="1"/>
  <c r="I1102" i="3" a="1"/>
  <c r="I1102" i="3" s="1"/>
  <c r="I1101" i="3" a="1"/>
  <c r="I1101" i="3" s="1"/>
  <c r="I1100" i="3" a="1"/>
  <c r="I1100" i="3"/>
  <c r="I1099" i="3" a="1"/>
  <c r="I1099" i="3" s="1"/>
  <c r="I1098" i="3" a="1"/>
  <c r="I1098" i="3" s="1"/>
  <c r="I1097" i="3" a="1"/>
  <c r="I1097" i="3" s="1"/>
  <c r="I1096" i="3" a="1"/>
  <c r="I1096" i="3" s="1"/>
  <c r="I1095" i="3" a="1"/>
  <c r="I1095" i="3" s="1"/>
  <c r="I1094" i="3" a="1"/>
  <c r="I1094" i="3" s="1"/>
  <c r="I1093" i="3" a="1"/>
  <c r="I1093" i="3" s="1"/>
  <c r="I1092" i="3" a="1"/>
  <c r="I1092" i="3" s="1"/>
  <c r="I1091" i="3" a="1"/>
  <c r="I1091" i="3" s="1"/>
  <c r="I1090" i="3" a="1"/>
  <c r="I1090" i="3" s="1"/>
  <c r="I1089" i="3" a="1"/>
  <c r="I1089" i="3" s="1"/>
  <c r="I1088" i="3" a="1"/>
  <c r="I1088" i="3" s="1"/>
  <c r="I1087" i="3" a="1"/>
  <c r="I1087" i="3" s="1"/>
  <c r="I1086" i="3" a="1"/>
  <c r="I1086" i="3" s="1"/>
  <c r="I1085" i="3" a="1"/>
  <c r="I1085" i="3" s="1"/>
  <c r="I1084" i="3" a="1"/>
  <c r="I1084" i="3" s="1"/>
  <c r="I1083" i="3" a="1"/>
  <c r="I1083" i="3"/>
  <c r="I1082" i="3" a="1"/>
  <c r="I1082" i="3" s="1"/>
  <c r="I1081" i="3" a="1"/>
  <c r="I1081" i="3" s="1"/>
  <c r="I1080" i="3" a="1"/>
  <c r="I1080" i="3" s="1"/>
  <c r="I1079" i="3" a="1"/>
  <c r="I1079" i="3" s="1"/>
  <c r="I1078" i="3" a="1"/>
  <c r="I1078" i="3"/>
  <c r="I1077" i="3" a="1"/>
  <c r="I1077" i="3" s="1"/>
  <c r="I1076" i="3" a="1"/>
  <c r="I1076" i="3" s="1"/>
  <c r="I1075" i="3" a="1"/>
  <c r="I1075" i="3" s="1"/>
  <c r="I1074" i="3" a="1"/>
  <c r="I1074" i="3" s="1"/>
  <c r="I1073" i="3" a="1"/>
  <c r="I1073" i="3" s="1"/>
  <c r="I1072" i="3" a="1"/>
  <c r="I1072" i="3" s="1"/>
  <c r="I1071" i="3" a="1"/>
  <c r="I1071" i="3" s="1"/>
  <c r="I1070" i="3" a="1"/>
  <c r="I1070" i="3" s="1"/>
  <c r="I1069" i="3" a="1"/>
  <c r="I1069" i="3" s="1"/>
  <c r="I1068" i="3" a="1"/>
  <c r="I1068" i="3" s="1"/>
  <c r="I1067" i="3" a="1"/>
  <c r="I1067" i="3" s="1"/>
  <c r="I1066" i="3" a="1"/>
  <c r="I1066" i="3" s="1"/>
  <c r="I1065" i="3" a="1"/>
  <c r="I1065" i="3" s="1"/>
  <c r="I1064" i="3" a="1"/>
  <c r="I1064" i="3" s="1"/>
  <c r="I1063" i="3" a="1"/>
  <c r="I1063" i="3" s="1"/>
  <c r="I1062" i="3" a="1"/>
  <c r="I1062" i="3" s="1"/>
  <c r="I1061" i="3" a="1"/>
  <c r="I1061" i="3" s="1"/>
  <c r="I1060" i="3" a="1"/>
  <c r="I1060" i="3"/>
  <c r="I1059" i="3" a="1"/>
  <c r="I1059" i="3"/>
  <c r="I1058" i="3" a="1"/>
  <c r="I1058" i="3" s="1"/>
  <c r="I1057" i="3" a="1"/>
  <c r="I1057" i="3" s="1"/>
  <c r="I1056" i="3" a="1"/>
  <c r="I1056" i="3" s="1"/>
  <c r="I1055" i="3" a="1"/>
  <c r="I1055" i="3" s="1"/>
  <c r="I1054" i="3" a="1"/>
  <c r="I1054" i="3" s="1"/>
  <c r="I1053" i="3" a="1"/>
  <c r="I1053" i="3"/>
  <c r="I1052" i="3" a="1"/>
  <c r="I1052" i="3" s="1"/>
  <c r="I1051" i="3" a="1"/>
  <c r="I1051" i="3" s="1"/>
  <c r="I1050" i="3" a="1"/>
  <c r="I1050" i="3" s="1"/>
  <c r="I1049" i="3" a="1"/>
  <c r="I1049" i="3" s="1"/>
  <c r="I1048" i="3" a="1"/>
  <c r="I1048" i="3"/>
  <c r="I1047" i="3" a="1"/>
  <c r="I1047" i="3" s="1"/>
  <c r="I1046" i="3" a="1"/>
  <c r="I1046" i="3" s="1"/>
  <c r="I1045" i="3" a="1"/>
  <c r="I1045" i="3" s="1"/>
  <c r="I1044" i="3" a="1"/>
  <c r="I1044" i="3" s="1"/>
  <c r="I1043" i="3" a="1"/>
  <c r="I1043" i="3" s="1"/>
  <c r="I1042" i="3" a="1"/>
  <c r="I1042" i="3"/>
  <c r="I1041" i="3" a="1"/>
  <c r="I1041" i="3" s="1"/>
  <c r="I1040" i="3" a="1"/>
  <c r="I1040" i="3" s="1"/>
  <c r="I1039" i="3" a="1"/>
  <c r="I1039" i="3" s="1"/>
  <c r="I1038" i="3" a="1"/>
  <c r="I1038" i="3" s="1"/>
  <c r="I1037" i="3" a="1"/>
  <c r="I1037" i="3" s="1"/>
  <c r="I1036" i="3" a="1"/>
  <c r="I1036" i="3" s="1"/>
  <c r="I1035" i="3" a="1"/>
  <c r="I1035" i="3" s="1"/>
  <c r="I1034" i="3" a="1"/>
  <c r="I1034" i="3" s="1"/>
  <c r="I1033" i="3" a="1"/>
  <c r="I1033" i="3" s="1"/>
  <c r="I1032" i="3" a="1"/>
  <c r="I1032" i="3" s="1"/>
  <c r="I1031" i="3" a="1"/>
  <c r="I1031" i="3" s="1"/>
  <c r="I1030" i="3" a="1"/>
  <c r="I1030" i="3" s="1"/>
  <c r="I1029" i="3" a="1"/>
  <c r="I1029" i="3"/>
  <c r="I1028" i="3" a="1"/>
  <c r="I1028" i="3" s="1"/>
  <c r="I1027" i="3" a="1"/>
  <c r="I1027" i="3" s="1"/>
  <c r="I1026" i="3" a="1"/>
  <c r="I1026" i="3"/>
  <c r="I1025" i="3" a="1"/>
  <c r="I1025" i="3" s="1"/>
  <c r="I1024" i="3" a="1"/>
  <c r="I1024" i="3"/>
  <c r="I1023" i="3" a="1"/>
  <c r="I1023" i="3" s="1"/>
  <c r="I1022" i="3" a="1"/>
  <c r="I1022" i="3" s="1"/>
  <c r="I1021" i="3" a="1"/>
  <c r="I1021" i="3" s="1"/>
  <c r="I1020" i="3" a="1"/>
  <c r="I1020" i="3"/>
  <c r="I1019" i="3" a="1"/>
  <c r="I1019" i="3" s="1"/>
  <c r="I1018" i="3" a="1"/>
  <c r="I1018" i="3" s="1"/>
  <c r="I1017" i="3" a="1"/>
  <c r="I1017" i="3" s="1"/>
  <c r="I1016" i="3" a="1"/>
  <c r="I1016" i="3" s="1"/>
  <c r="I1015" i="3" a="1"/>
  <c r="I1015" i="3" s="1"/>
  <c r="I1014" i="3" a="1"/>
  <c r="I1014" i="3" s="1"/>
  <c r="I1013" i="3" a="1"/>
  <c r="I1013" i="3" s="1"/>
  <c r="I1012" i="3" a="1"/>
  <c r="I1012" i="3" s="1"/>
  <c r="I1011" i="3" a="1"/>
  <c r="I1011" i="3" s="1"/>
  <c r="I1010" i="3" a="1"/>
  <c r="I1010" i="3" s="1"/>
  <c r="I1009" i="3" a="1"/>
  <c r="I1009" i="3" s="1"/>
  <c r="I1008" i="3" a="1"/>
  <c r="I1008" i="3" s="1"/>
  <c r="I1007" i="3" a="1"/>
  <c r="I1007" i="3" s="1"/>
  <c r="I1006" i="3" a="1"/>
  <c r="I1006" i="3" s="1"/>
  <c r="I1005" i="3" a="1"/>
  <c r="I1005" i="3"/>
  <c r="I1004" i="3" a="1"/>
  <c r="I1004" i="3" s="1"/>
  <c r="I1003" i="3" a="1"/>
  <c r="I1003" i="3"/>
  <c r="I1002" i="3" a="1"/>
  <c r="I1002" i="3" s="1"/>
  <c r="I1001" i="3" a="1"/>
  <c r="I1001" i="3" s="1"/>
  <c r="I1000" i="3" a="1"/>
  <c r="I1000" i="3" s="1"/>
  <c r="I999" i="3" a="1"/>
  <c r="I999" i="3" s="1"/>
  <c r="I998" i="3" a="1"/>
  <c r="I998" i="3" s="1"/>
  <c r="I997" i="3" a="1"/>
  <c r="I997" i="3" s="1"/>
  <c r="I996" i="3" a="1"/>
  <c r="I996" i="3" s="1"/>
  <c r="I995" i="3" a="1"/>
  <c r="I995" i="3" s="1"/>
  <c r="I994" i="3" a="1"/>
  <c r="I994" i="3" s="1"/>
  <c r="I993" i="3" a="1"/>
  <c r="I993" i="3" s="1"/>
  <c r="I992" i="3" a="1"/>
  <c r="I992" i="3"/>
  <c r="I991" i="3" a="1"/>
  <c r="I991" i="3" s="1"/>
  <c r="I990" i="3" a="1"/>
  <c r="I990" i="3" s="1"/>
  <c r="I989" i="3" a="1"/>
  <c r="I989" i="3" s="1"/>
  <c r="I988" i="3" a="1"/>
  <c r="I988" i="3" s="1"/>
  <c r="I987" i="3" a="1"/>
  <c r="I987" i="3"/>
  <c r="I986" i="3" a="1"/>
  <c r="I986" i="3"/>
  <c r="I985" i="3" a="1"/>
  <c r="I985" i="3" s="1"/>
  <c r="I984" i="3" a="1"/>
  <c r="I984" i="3" s="1"/>
  <c r="I983" i="3" a="1"/>
  <c r="I983" i="3"/>
  <c r="I982" i="3" a="1"/>
  <c r="I982" i="3" s="1"/>
  <c r="I981" i="3" a="1"/>
  <c r="I981" i="3" s="1"/>
  <c r="I980" i="3" a="1"/>
  <c r="I980" i="3" s="1"/>
  <c r="I979" i="3" a="1"/>
  <c r="I979" i="3" s="1"/>
  <c r="I978" i="3" a="1"/>
  <c r="I978" i="3"/>
  <c r="I977" i="3" a="1"/>
  <c r="I977" i="3" s="1"/>
  <c r="I976" i="3" a="1"/>
  <c r="I976" i="3" s="1"/>
  <c r="I975" i="3" a="1"/>
  <c r="I975" i="3" s="1"/>
  <c r="I974" i="3" a="1"/>
  <c r="I974" i="3"/>
  <c r="I973" i="3" a="1"/>
  <c r="I973" i="3" s="1"/>
  <c r="I972" i="3" a="1"/>
  <c r="I972" i="3" s="1"/>
  <c r="I971" i="3" a="1"/>
  <c r="I971" i="3" s="1"/>
  <c r="I970" i="3" a="1"/>
  <c r="I970" i="3"/>
  <c r="I969" i="3" a="1"/>
  <c r="I969" i="3" s="1"/>
  <c r="I968" i="3" a="1"/>
  <c r="I968" i="3" s="1"/>
  <c r="I967" i="3" a="1"/>
  <c r="I967" i="3" s="1"/>
  <c r="I966" i="3" a="1"/>
  <c r="I966" i="3" s="1"/>
  <c r="I965" i="3" a="1"/>
  <c r="I965" i="3" s="1"/>
  <c r="I964" i="3" a="1"/>
  <c r="I964" i="3" s="1"/>
  <c r="I963" i="3" a="1"/>
  <c r="I963" i="3"/>
  <c r="I962" i="3" a="1"/>
  <c r="I962" i="3" s="1"/>
  <c r="I961" i="3" a="1"/>
  <c r="I961" i="3" s="1"/>
  <c r="I960" i="3" a="1"/>
  <c r="I960" i="3" s="1"/>
  <c r="I959" i="3" a="1"/>
  <c r="I959" i="3"/>
  <c r="I958" i="3" a="1"/>
  <c r="I958" i="3" s="1"/>
  <c r="I957" i="3" a="1"/>
  <c r="I957" i="3" s="1"/>
  <c r="I956" i="3" a="1"/>
  <c r="I956" i="3" s="1"/>
  <c r="I955" i="3" a="1"/>
  <c r="I955" i="3" s="1"/>
  <c r="I954" i="3" a="1"/>
  <c r="I954" i="3"/>
  <c r="I953" i="3" a="1"/>
  <c r="I953" i="3" s="1"/>
  <c r="I952" i="3" a="1"/>
  <c r="I952" i="3" s="1"/>
  <c r="I951" i="3" a="1"/>
  <c r="I951" i="3"/>
  <c r="I950" i="3" a="1"/>
  <c r="I950" i="3" s="1"/>
  <c r="I949" i="3" a="1"/>
  <c r="I949" i="3" s="1"/>
  <c r="I948" i="3" a="1"/>
  <c r="I948" i="3" s="1"/>
  <c r="I947" i="3" a="1"/>
  <c r="I947" i="3"/>
  <c r="I946" i="3" a="1"/>
  <c r="I946" i="3"/>
  <c r="I945" i="3" a="1"/>
  <c r="I945" i="3" s="1"/>
  <c r="I944" i="3" a="1"/>
  <c r="I944" i="3" s="1"/>
  <c r="I943" i="3" a="1"/>
  <c r="I943" i="3" s="1"/>
  <c r="I942" i="3" a="1"/>
  <c r="I942" i="3" s="1"/>
  <c r="I941" i="3" a="1"/>
  <c r="I941" i="3"/>
  <c r="I940" i="3" a="1"/>
  <c r="I940" i="3" s="1"/>
  <c r="I939" i="3" a="1"/>
  <c r="I939" i="3" s="1"/>
  <c r="I938" i="3" a="1"/>
  <c r="I938" i="3" s="1"/>
  <c r="I937" i="3" a="1"/>
  <c r="I937" i="3"/>
  <c r="I936" i="3" a="1"/>
  <c r="I936" i="3" s="1"/>
  <c r="I935" i="3" a="1"/>
  <c r="I935" i="3" s="1"/>
  <c r="I934" i="3" a="1"/>
  <c r="I934" i="3" s="1"/>
  <c r="I933" i="3" a="1"/>
  <c r="I933" i="3" s="1"/>
  <c r="I932" i="3" a="1"/>
  <c r="I932" i="3" s="1"/>
  <c r="I931" i="3" a="1"/>
  <c r="I931" i="3" s="1"/>
  <c r="I930" i="3" a="1"/>
  <c r="I930" i="3"/>
  <c r="I929" i="3" a="1"/>
  <c r="I929" i="3"/>
  <c r="I928" i="3" a="1"/>
  <c r="I928" i="3" s="1"/>
  <c r="I927" i="3" a="1"/>
  <c r="I927" i="3"/>
  <c r="I926" i="3" a="1"/>
  <c r="I926" i="3" s="1"/>
  <c r="I925" i="3" a="1"/>
  <c r="I925" i="3" s="1"/>
  <c r="I924" i="3" a="1"/>
  <c r="I924" i="3" s="1"/>
  <c r="I923" i="3" a="1"/>
  <c r="I923" i="3" s="1"/>
  <c r="I922" i="3" a="1"/>
  <c r="I922" i="3" s="1"/>
  <c r="I921" i="3" a="1"/>
  <c r="I921" i="3" s="1"/>
  <c r="I920" i="3" a="1"/>
  <c r="I920" i="3" s="1"/>
  <c r="I919" i="3" a="1"/>
  <c r="I919" i="3" s="1"/>
  <c r="I918" i="3" a="1"/>
  <c r="I918" i="3" s="1"/>
  <c r="I917" i="3" a="1"/>
  <c r="I917" i="3" s="1"/>
  <c r="I916" i="3" a="1"/>
  <c r="I916" i="3" s="1"/>
  <c r="I915" i="3" a="1"/>
  <c r="I915" i="3" s="1"/>
  <c r="I914" i="3" a="1"/>
  <c r="I914" i="3" s="1"/>
  <c r="I913" i="3" a="1"/>
  <c r="I913" i="3" s="1"/>
  <c r="I912" i="3" a="1"/>
  <c r="I912" i="3" s="1"/>
  <c r="I911" i="3" a="1"/>
  <c r="I911" i="3" s="1"/>
  <c r="I910" i="3" a="1"/>
  <c r="I910" i="3" s="1"/>
  <c r="I909" i="3" a="1"/>
  <c r="I909" i="3"/>
  <c r="I908" i="3" a="1"/>
  <c r="I908" i="3" s="1"/>
  <c r="I907" i="3" a="1"/>
  <c r="I907" i="3" s="1"/>
  <c r="I906" i="3" a="1"/>
  <c r="I906" i="3" s="1"/>
  <c r="I905" i="3" a="1"/>
  <c r="I905" i="3"/>
  <c r="I904" i="3" a="1"/>
  <c r="I904" i="3" s="1"/>
  <c r="I903" i="3" a="1"/>
  <c r="I903" i="3" s="1"/>
  <c r="I902" i="3" a="1"/>
  <c r="I902" i="3" s="1"/>
  <c r="I901" i="3" a="1"/>
  <c r="I901" i="3"/>
  <c r="I900" i="3" a="1"/>
  <c r="I900" i="3" s="1"/>
  <c r="I899" i="3" a="1"/>
  <c r="I899" i="3" s="1"/>
  <c r="I898" i="3" a="1"/>
  <c r="I898" i="3" s="1"/>
  <c r="I897" i="3" a="1"/>
  <c r="I897" i="3" s="1"/>
  <c r="I896" i="3" a="1"/>
  <c r="I896" i="3" s="1"/>
  <c r="I895" i="3" a="1"/>
  <c r="I895" i="3" s="1"/>
  <c r="I894" i="3" a="1"/>
  <c r="I894" i="3" s="1"/>
  <c r="I893" i="3" a="1"/>
  <c r="I893" i="3" s="1"/>
  <c r="I892" i="3" a="1"/>
  <c r="I892" i="3" s="1"/>
  <c r="I891" i="3" a="1"/>
  <c r="I891" i="3" s="1"/>
  <c r="I890" i="3" a="1"/>
  <c r="I890" i="3"/>
  <c r="I889" i="3" a="1"/>
  <c r="I889" i="3" s="1"/>
  <c r="I888" i="3" a="1"/>
  <c r="I888" i="3" s="1"/>
  <c r="I887" i="3" a="1"/>
  <c r="I887" i="3" s="1"/>
  <c r="I886" i="3" a="1"/>
  <c r="I886" i="3" s="1"/>
  <c r="I885" i="3" a="1"/>
  <c r="I885" i="3" s="1"/>
  <c r="I884" i="3" a="1"/>
  <c r="I884" i="3"/>
  <c r="I883" i="3" a="1"/>
  <c r="I883" i="3" s="1"/>
  <c r="I882" i="3" a="1"/>
  <c r="I882" i="3"/>
  <c r="I881" i="3" a="1"/>
  <c r="I881" i="3" s="1"/>
  <c r="I880" i="3" a="1"/>
  <c r="I880" i="3" s="1"/>
  <c r="I879" i="3" a="1"/>
  <c r="I879" i="3" s="1"/>
  <c r="I878" i="3" a="1"/>
  <c r="I878" i="3" s="1"/>
  <c r="I877" i="3" a="1"/>
  <c r="I877" i="3" s="1"/>
  <c r="I876" i="3" a="1"/>
  <c r="I876" i="3" s="1"/>
  <c r="I875" i="3" a="1"/>
  <c r="I875" i="3"/>
  <c r="I874" i="3" a="1"/>
  <c r="I874" i="3" s="1"/>
  <c r="I873" i="3" a="1"/>
  <c r="I873" i="3" s="1"/>
  <c r="I872" i="3" a="1"/>
  <c r="I872" i="3" s="1"/>
  <c r="I871" i="3" a="1"/>
  <c r="I871" i="3" s="1"/>
  <c r="I870" i="3" a="1"/>
  <c r="I870" i="3" s="1"/>
  <c r="I869" i="3" a="1"/>
  <c r="I869" i="3" s="1"/>
  <c r="I868" i="3" a="1"/>
  <c r="I868" i="3"/>
  <c r="I867" i="3" a="1"/>
  <c r="I867" i="3" s="1"/>
  <c r="I866" i="3" a="1"/>
  <c r="I866" i="3" s="1"/>
  <c r="I865" i="3" a="1"/>
  <c r="I865" i="3" s="1"/>
  <c r="I864" i="3" a="1"/>
  <c r="I864" i="3"/>
  <c r="I863" i="3" a="1"/>
  <c r="I863" i="3" s="1"/>
  <c r="I862" i="3" a="1"/>
  <c r="I862" i="3" s="1"/>
  <c r="I861" i="3" a="1"/>
  <c r="I861" i="3" s="1"/>
  <c r="I860" i="3" a="1"/>
  <c r="I860" i="3" s="1"/>
  <c r="I859" i="3" a="1"/>
  <c r="I859" i="3" s="1"/>
  <c r="I858" i="3" a="1"/>
  <c r="I858" i="3" s="1"/>
  <c r="I857" i="3" a="1"/>
  <c r="I857" i="3" s="1"/>
  <c r="I856" i="3" a="1"/>
  <c r="I856" i="3" s="1"/>
  <c r="I855" i="3" a="1"/>
  <c r="I855" i="3"/>
  <c r="I854" i="3" a="1"/>
  <c r="I854" i="3" s="1"/>
  <c r="I853" i="3" a="1"/>
  <c r="I853" i="3" s="1"/>
  <c r="I852" i="3" a="1"/>
  <c r="I852" i="3" s="1"/>
  <c r="I851" i="3" a="1"/>
  <c r="I851" i="3"/>
  <c r="I850" i="3" a="1"/>
  <c r="I850" i="3" s="1"/>
  <c r="I849" i="3" a="1"/>
  <c r="I849" i="3"/>
  <c r="I848" i="3" a="1"/>
  <c r="I848" i="3" s="1"/>
  <c r="I847" i="3" a="1"/>
  <c r="I847" i="3" s="1"/>
  <c r="I846" i="3" a="1"/>
  <c r="I846" i="3" s="1"/>
  <c r="I845" i="3" a="1"/>
  <c r="I845" i="3" s="1"/>
  <c r="I844" i="3" a="1"/>
  <c r="I844" i="3" s="1"/>
  <c r="I843" i="3" a="1"/>
  <c r="I843" i="3" s="1"/>
  <c r="I842" i="3" a="1"/>
  <c r="I842" i="3"/>
  <c r="I841" i="3" a="1"/>
  <c r="I841" i="3" s="1"/>
  <c r="I840" i="3" a="1"/>
  <c r="I840" i="3" s="1"/>
  <c r="I839" i="3" a="1"/>
  <c r="I839" i="3" s="1"/>
  <c r="I838" i="3" a="1"/>
  <c r="I838" i="3" s="1"/>
  <c r="I837" i="3" a="1"/>
  <c r="I837" i="3" s="1"/>
  <c r="I836" i="3" a="1"/>
  <c r="I836" i="3" s="1"/>
  <c r="I835" i="3" a="1"/>
  <c r="I835" i="3" s="1"/>
  <c r="I834" i="3" a="1"/>
  <c r="I834" i="3" s="1"/>
  <c r="I833" i="3" a="1"/>
  <c r="I833" i="3" s="1"/>
  <c r="I832" i="3" a="1"/>
  <c r="I832" i="3" s="1"/>
  <c r="I831" i="3" a="1"/>
  <c r="I831" i="3" s="1"/>
  <c r="I830" i="3" a="1"/>
  <c r="I830" i="3" s="1"/>
  <c r="I829" i="3" a="1"/>
  <c r="I829" i="3" s="1"/>
  <c r="I828" i="3" a="1"/>
  <c r="I828" i="3" s="1"/>
  <c r="I827" i="3" a="1"/>
  <c r="I827" i="3" s="1"/>
  <c r="I826" i="3" a="1"/>
  <c r="I826" i="3" s="1"/>
  <c r="I825" i="3" a="1"/>
  <c r="I825" i="3" s="1"/>
  <c r="I824" i="3" a="1"/>
  <c r="I824" i="3" s="1"/>
  <c r="I823" i="3" a="1"/>
  <c r="I823" i="3" s="1"/>
  <c r="I822" i="3" a="1"/>
  <c r="I822" i="3"/>
  <c r="I821" i="3" a="1"/>
  <c r="I821" i="3" s="1"/>
  <c r="I820" i="3" a="1"/>
  <c r="I820" i="3" s="1"/>
  <c r="I819" i="3" a="1"/>
  <c r="I819" i="3" s="1"/>
  <c r="I818" i="3" a="1"/>
  <c r="I818" i="3" s="1"/>
  <c r="I817" i="3" a="1"/>
  <c r="I817" i="3" s="1"/>
  <c r="I816" i="3" a="1"/>
  <c r="I816" i="3" s="1"/>
  <c r="I815" i="3" a="1"/>
  <c r="I815" i="3" s="1"/>
  <c r="I814" i="3" a="1"/>
  <c r="I814" i="3" s="1"/>
  <c r="I813" i="3" a="1"/>
  <c r="I813" i="3" s="1"/>
  <c r="I812" i="3" a="1"/>
  <c r="I812" i="3" s="1"/>
  <c r="I811" i="3" a="1"/>
  <c r="I811" i="3" s="1"/>
  <c r="I810" i="3" a="1"/>
  <c r="I810" i="3"/>
  <c r="I809" i="3" a="1"/>
  <c r="I809" i="3" s="1"/>
  <c r="I808" i="3" a="1"/>
  <c r="I808" i="3" s="1"/>
  <c r="I807" i="3" a="1"/>
  <c r="I807" i="3" s="1"/>
  <c r="I806" i="3" a="1"/>
  <c r="I806" i="3" s="1"/>
  <c r="I805" i="3" a="1"/>
  <c r="I805" i="3" s="1"/>
  <c r="I804" i="3" a="1"/>
  <c r="I804" i="3" s="1"/>
  <c r="I803" i="3" a="1"/>
  <c r="I803" i="3" s="1"/>
  <c r="I802" i="3" a="1"/>
  <c r="I802" i="3" s="1"/>
  <c r="I801" i="3" a="1"/>
  <c r="I801" i="3" s="1"/>
  <c r="I800" i="3" a="1"/>
  <c r="I800" i="3" s="1"/>
  <c r="I799" i="3" a="1"/>
  <c r="I799" i="3"/>
  <c r="I798" i="3" a="1"/>
  <c r="I798" i="3" s="1"/>
  <c r="I797" i="3" a="1"/>
  <c r="I797" i="3" s="1"/>
  <c r="I796" i="3" a="1"/>
  <c r="I796" i="3" s="1"/>
  <c r="I795" i="3" a="1"/>
  <c r="I795" i="3" s="1"/>
  <c r="I794" i="3" a="1"/>
  <c r="I794" i="3" s="1"/>
  <c r="I793" i="3" a="1"/>
  <c r="I793" i="3" s="1"/>
  <c r="I792" i="3" a="1"/>
  <c r="I792" i="3" s="1"/>
  <c r="I791" i="3" a="1"/>
  <c r="I791" i="3"/>
  <c r="I790" i="3" a="1"/>
  <c r="I790" i="3" s="1"/>
  <c r="I789" i="3" a="1"/>
  <c r="I789" i="3" s="1"/>
  <c r="I788" i="3" a="1"/>
  <c r="I788" i="3" s="1"/>
  <c r="I787" i="3" a="1"/>
  <c r="I787" i="3"/>
  <c r="I786" i="3" a="1"/>
  <c r="I786" i="3"/>
  <c r="I785" i="3" a="1"/>
  <c r="I785" i="3" s="1"/>
  <c r="I784" i="3" a="1"/>
  <c r="I784" i="3" s="1"/>
  <c r="I783" i="3" a="1"/>
  <c r="I783" i="3"/>
  <c r="I782" i="3" a="1"/>
  <c r="I782" i="3" s="1"/>
  <c r="I781" i="3" a="1"/>
  <c r="I781" i="3" s="1"/>
  <c r="I780" i="3" a="1"/>
  <c r="I780" i="3" s="1"/>
  <c r="I779" i="3" a="1"/>
  <c r="I779" i="3" s="1"/>
  <c r="I778" i="3" a="1"/>
  <c r="I778" i="3"/>
  <c r="I777" i="3" a="1"/>
  <c r="I777" i="3" s="1"/>
  <c r="I776" i="3" a="1"/>
  <c r="I776" i="3" s="1"/>
  <c r="I775" i="3" a="1"/>
  <c r="I775" i="3" s="1"/>
  <c r="I774" i="3" a="1"/>
  <c r="I774" i="3" s="1"/>
  <c r="I773" i="3" a="1"/>
  <c r="I773" i="3" s="1"/>
  <c r="I772" i="3" a="1"/>
  <c r="I772" i="3" s="1"/>
  <c r="I771" i="3" a="1"/>
  <c r="I771" i="3" s="1"/>
  <c r="I770" i="3" a="1"/>
  <c r="I770" i="3" s="1"/>
  <c r="I769" i="3" a="1"/>
  <c r="I769" i="3" s="1"/>
  <c r="I768" i="3" a="1"/>
  <c r="I768" i="3" s="1"/>
  <c r="I767" i="3" a="1"/>
  <c r="I767" i="3" s="1"/>
  <c r="I766" i="3" a="1"/>
  <c r="I766" i="3" s="1"/>
  <c r="I765" i="3" a="1"/>
  <c r="I765" i="3" s="1"/>
  <c r="I764" i="3" a="1"/>
  <c r="I764" i="3" s="1"/>
  <c r="I763" i="3" a="1"/>
  <c r="I763" i="3"/>
  <c r="I762" i="3" a="1"/>
  <c r="I762" i="3" s="1"/>
  <c r="I761" i="3" a="1"/>
  <c r="I761" i="3" s="1"/>
  <c r="I760" i="3" a="1"/>
  <c r="I760" i="3" s="1"/>
  <c r="I759" i="3" a="1"/>
  <c r="I759" i="3"/>
  <c r="I758" i="3" a="1"/>
  <c r="I758" i="3" s="1"/>
  <c r="I757" i="3" a="1"/>
  <c r="I757" i="3" s="1"/>
  <c r="I756" i="3" a="1"/>
  <c r="I756" i="3"/>
  <c r="I755" i="3" a="1"/>
  <c r="I755" i="3" s="1"/>
  <c r="I754" i="3" a="1"/>
  <c r="I754" i="3" s="1"/>
  <c r="I753" i="3" a="1"/>
  <c r="I753" i="3" s="1"/>
  <c r="I752" i="3" a="1"/>
  <c r="I752" i="3" s="1"/>
  <c r="I751" i="3" a="1"/>
  <c r="I751" i="3" s="1"/>
  <c r="I750" i="3" a="1"/>
  <c r="I750" i="3" s="1"/>
  <c r="I749" i="3" a="1"/>
  <c r="I749" i="3"/>
  <c r="I748" i="3" a="1"/>
  <c r="I748" i="3" s="1"/>
  <c r="I747" i="3" a="1"/>
  <c r="I747" i="3" s="1"/>
  <c r="I746" i="3" a="1"/>
  <c r="I746" i="3" s="1"/>
  <c r="I745" i="3" a="1"/>
  <c r="I745" i="3" s="1"/>
  <c r="I744" i="3" a="1"/>
  <c r="I744" i="3" s="1"/>
  <c r="I743" i="3" a="1"/>
  <c r="I743" i="3"/>
  <c r="I742" i="3" a="1"/>
  <c r="I742" i="3"/>
  <c r="I741" i="3" a="1"/>
  <c r="I741" i="3" s="1"/>
  <c r="I740" i="3" a="1"/>
  <c r="I740" i="3"/>
  <c r="I739" i="3" a="1"/>
  <c r="I739" i="3" s="1"/>
  <c r="I738" i="3" a="1"/>
  <c r="I738" i="3" s="1"/>
  <c r="I737" i="3" a="1"/>
  <c r="I737" i="3" s="1"/>
  <c r="I736" i="3" a="1"/>
  <c r="I736" i="3" s="1"/>
  <c r="I735" i="3" a="1"/>
  <c r="I735" i="3" s="1"/>
  <c r="I734" i="3" a="1"/>
  <c r="I734" i="3" s="1"/>
  <c r="I733" i="3" a="1"/>
  <c r="I733" i="3" s="1"/>
  <c r="I732" i="3" a="1"/>
  <c r="I732" i="3" s="1"/>
  <c r="I731" i="3" a="1"/>
  <c r="I731" i="3" s="1"/>
  <c r="I730" i="3" a="1"/>
  <c r="I730" i="3" s="1"/>
  <c r="I729" i="3" a="1"/>
  <c r="I729" i="3" s="1"/>
  <c r="I728" i="3" a="1"/>
  <c r="I728" i="3" s="1"/>
  <c r="I727" i="3" a="1"/>
  <c r="I727" i="3" s="1"/>
  <c r="I726" i="3" a="1"/>
  <c r="I726" i="3" s="1"/>
  <c r="I725" i="3" a="1"/>
  <c r="I725" i="3" s="1"/>
  <c r="I724" i="3" a="1"/>
  <c r="I724" i="3" s="1"/>
  <c r="I723" i="3" a="1"/>
  <c r="I723" i="3" s="1"/>
  <c r="I722" i="3" a="1"/>
  <c r="I722" i="3" s="1"/>
  <c r="I721" i="3" a="1"/>
  <c r="I721" i="3" s="1"/>
  <c r="I720" i="3" a="1"/>
  <c r="I720" i="3" s="1"/>
  <c r="I719" i="3" a="1"/>
  <c r="I719" i="3" s="1"/>
  <c r="I718" i="3" a="1"/>
  <c r="I718" i="3" s="1"/>
  <c r="I717" i="3" a="1"/>
  <c r="I717" i="3" s="1"/>
  <c r="I716" i="3" a="1"/>
  <c r="I716" i="3"/>
  <c r="I715" i="3" a="1"/>
  <c r="I715" i="3"/>
  <c r="I714" i="3" a="1"/>
  <c r="I714" i="3" s="1"/>
  <c r="I713" i="3" a="1"/>
  <c r="I713" i="3" s="1"/>
  <c r="I712" i="3" a="1"/>
  <c r="I712" i="3" s="1"/>
  <c r="I711" i="3" a="1"/>
  <c r="I711" i="3" s="1"/>
  <c r="I710" i="3" a="1"/>
  <c r="I710" i="3" s="1"/>
  <c r="I709" i="3" a="1"/>
  <c r="I709" i="3"/>
  <c r="I708" i="3" a="1"/>
  <c r="I708" i="3" s="1"/>
  <c r="I707" i="3" a="1"/>
  <c r="I707" i="3" s="1"/>
  <c r="I706" i="3" a="1"/>
  <c r="I706" i="3"/>
  <c r="I705" i="3" a="1"/>
  <c r="I705" i="3" s="1"/>
  <c r="I704" i="3" a="1"/>
  <c r="I704" i="3" s="1"/>
  <c r="I703" i="3" a="1"/>
  <c r="I703" i="3"/>
  <c r="I702" i="3" a="1"/>
  <c r="I702" i="3" s="1"/>
  <c r="I701" i="3" a="1"/>
  <c r="I701" i="3" s="1"/>
  <c r="I700" i="3" a="1"/>
  <c r="I700" i="3"/>
  <c r="I699" i="3" a="1"/>
  <c r="I699" i="3" s="1"/>
  <c r="I698" i="3" a="1"/>
  <c r="I698" i="3" s="1"/>
  <c r="I697" i="3" a="1"/>
  <c r="I697" i="3" s="1"/>
  <c r="I696" i="3" a="1"/>
  <c r="I696" i="3" s="1"/>
  <c r="I695" i="3" a="1"/>
  <c r="I695" i="3" s="1"/>
  <c r="I694" i="3" a="1"/>
  <c r="I694" i="3" s="1"/>
  <c r="I693" i="3" a="1"/>
  <c r="I693" i="3" s="1"/>
  <c r="I692" i="3" a="1"/>
  <c r="I692" i="3" s="1"/>
  <c r="I691" i="3" a="1"/>
  <c r="I691" i="3" s="1"/>
  <c r="I690" i="3" a="1"/>
  <c r="I690" i="3" s="1"/>
  <c r="I689" i="3" a="1"/>
  <c r="I689" i="3"/>
  <c r="I688" i="3" a="1"/>
  <c r="I688" i="3" s="1"/>
  <c r="I687" i="3" a="1"/>
  <c r="I687" i="3" s="1"/>
  <c r="I686" i="3" a="1"/>
  <c r="I686" i="3" s="1"/>
  <c r="I685" i="3" a="1"/>
  <c r="I685" i="3" s="1"/>
  <c r="I684" i="3" a="1"/>
  <c r="I684" i="3" s="1"/>
  <c r="I683" i="3" a="1"/>
  <c r="I683" i="3" s="1"/>
  <c r="I682" i="3" a="1"/>
  <c r="I682" i="3" s="1"/>
  <c r="I681" i="3" a="1"/>
  <c r="I681" i="3" s="1"/>
  <c r="I680" i="3" a="1"/>
  <c r="I680" i="3" s="1"/>
  <c r="I679" i="3" a="1"/>
  <c r="I679" i="3" s="1"/>
  <c r="I678" i="3" a="1"/>
  <c r="I678" i="3" s="1"/>
  <c r="I677" i="3" a="1"/>
  <c r="I677" i="3" s="1"/>
  <c r="I676" i="3" a="1"/>
  <c r="I676" i="3" s="1"/>
  <c r="I675" i="3" a="1"/>
  <c r="I675" i="3" s="1"/>
  <c r="I674" i="3" a="1"/>
  <c r="I674" i="3" s="1"/>
  <c r="I673" i="3" a="1"/>
  <c r="I673" i="3"/>
  <c r="I672" i="3" a="1"/>
  <c r="I672" i="3" s="1"/>
  <c r="I671" i="3" a="1"/>
  <c r="I671" i="3" s="1"/>
  <c r="I670" i="3" a="1"/>
  <c r="I670" i="3" s="1"/>
  <c r="I669" i="3" a="1"/>
  <c r="I669" i="3" s="1"/>
  <c r="I668" i="3" a="1"/>
  <c r="I668" i="3" s="1"/>
  <c r="I667" i="3" a="1"/>
  <c r="I667" i="3" s="1"/>
  <c r="I666" i="3" a="1"/>
  <c r="I666" i="3"/>
  <c r="I665" i="3" a="1"/>
  <c r="I665" i="3" s="1"/>
  <c r="I664" i="3" a="1"/>
  <c r="I664" i="3" s="1"/>
  <c r="I663" i="3" a="1"/>
  <c r="I663" i="3" s="1"/>
  <c r="I662" i="3" a="1"/>
  <c r="I662" i="3"/>
  <c r="I661" i="3" a="1"/>
  <c r="I661" i="3" s="1"/>
  <c r="I660" i="3" a="1"/>
  <c r="I660" i="3" s="1"/>
  <c r="I659" i="3" a="1"/>
  <c r="I659" i="3" s="1"/>
  <c r="I658" i="3" a="1"/>
  <c r="I658" i="3" s="1"/>
  <c r="I657" i="3" a="1"/>
  <c r="I657" i="3" s="1"/>
  <c r="I656" i="3" a="1"/>
  <c r="I656" i="3" s="1"/>
  <c r="I655" i="3" a="1"/>
  <c r="I655" i="3"/>
  <c r="I654" i="3" a="1"/>
  <c r="I654" i="3" s="1"/>
  <c r="I653" i="3" a="1"/>
  <c r="I653" i="3" s="1"/>
  <c r="I652" i="3" a="1"/>
  <c r="I652" i="3" s="1"/>
  <c r="I651" i="3" a="1"/>
  <c r="I651" i="3" s="1"/>
  <c r="I650" i="3" a="1"/>
  <c r="I650" i="3" s="1"/>
  <c r="I649" i="3" a="1"/>
  <c r="I649" i="3"/>
  <c r="I648" i="3" a="1"/>
  <c r="I648" i="3" s="1"/>
  <c r="I647" i="3" a="1"/>
  <c r="I647" i="3" s="1"/>
  <c r="I646" i="3" a="1"/>
  <c r="I646" i="3" s="1"/>
  <c r="I645" i="3" a="1"/>
  <c r="I645" i="3"/>
  <c r="I644" i="3" a="1"/>
  <c r="I644" i="3" s="1"/>
  <c r="I643" i="3" a="1"/>
  <c r="I643" i="3" s="1"/>
  <c r="I642" i="3" a="1"/>
  <c r="I642" i="3" s="1"/>
  <c r="I641" i="3" a="1"/>
  <c r="I641" i="3" s="1"/>
  <c r="I640" i="3" a="1"/>
  <c r="I640" i="3" s="1"/>
  <c r="I639" i="3" a="1"/>
  <c r="I639" i="3" s="1"/>
  <c r="I638" i="3" a="1"/>
  <c r="I638" i="3" s="1"/>
  <c r="I637" i="3" a="1"/>
  <c r="I637" i="3" s="1"/>
  <c r="I636" i="3" a="1"/>
  <c r="I636" i="3" s="1"/>
  <c r="I635" i="3" a="1"/>
  <c r="I635" i="3"/>
  <c r="I634" i="3" a="1"/>
  <c r="I634" i="3" s="1"/>
  <c r="I633" i="3" a="1"/>
  <c r="I633" i="3"/>
  <c r="I632" i="3" a="1"/>
  <c r="I632" i="3" s="1"/>
  <c r="I631" i="3" a="1"/>
  <c r="I631" i="3" s="1"/>
  <c r="I630" i="3" a="1"/>
  <c r="I630" i="3" s="1"/>
  <c r="I629" i="3" a="1"/>
  <c r="I629" i="3" s="1"/>
  <c r="I628" i="3" a="1"/>
  <c r="I628" i="3" s="1"/>
  <c r="I627" i="3" a="1"/>
  <c r="I627" i="3" s="1"/>
  <c r="I626" i="3" a="1"/>
  <c r="I626" i="3" s="1"/>
  <c r="I625" i="3" a="1"/>
  <c r="I625" i="3" s="1"/>
  <c r="I624" i="3" a="1"/>
  <c r="I624" i="3" s="1"/>
  <c r="I623" i="3" a="1"/>
  <c r="I623" i="3" s="1"/>
  <c r="I622" i="3" a="1"/>
  <c r="I622" i="3" s="1"/>
  <c r="I621" i="3" a="1"/>
  <c r="I621" i="3" s="1"/>
  <c r="I620" i="3" a="1"/>
  <c r="I620" i="3" s="1"/>
  <c r="I619" i="3" a="1"/>
  <c r="I619" i="3" s="1"/>
  <c r="I618" i="3" a="1"/>
  <c r="I618" i="3" s="1"/>
  <c r="I617" i="3" a="1"/>
  <c r="I617" i="3" s="1"/>
  <c r="I616" i="3" a="1"/>
  <c r="I616" i="3" s="1"/>
  <c r="I615" i="3" a="1"/>
  <c r="I615" i="3" s="1"/>
  <c r="I614" i="3" a="1"/>
  <c r="I614" i="3" s="1"/>
  <c r="I613" i="3" a="1"/>
  <c r="I613" i="3" s="1"/>
  <c r="I612" i="3" a="1"/>
  <c r="I612" i="3"/>
  <c r="I611" i="3" a="1"/>
  <c r="I611" i="3"/>
  <c r="I610" i="3" a="1"/>
  <c r="I610" i="3" s="1"/>
  <c r="I609" i="3" a="1"/>
  <c r="I609" i="3" s="1"/>
  <c r="I608" i="3" a="1"/>
  <c r="I608" i="3" s="1"/>
  <c r="I607" i="3" a="1"/>
  <c r="I607" i="3" s="1"/>
  <c r="I606" i="3" a="1"/>
  <c r="I606" i="3" s="1"/>
  <c r="I605" i="3" a="1"/>
  <c r="I605" i="3" s="1"/>
  <c r="I604" i="3" a="1"/>
  <c r="I604" i="3" s="1"/>
  <c r="I603" i="3" a="1"/>
  <c r="I603" i="3" s="1"/>
  <c r="I602" i="3" a="1"/>
  <c r="I602" i="3" s="1"/>
  <c r="I601" i="3" a="1"/>
  <c r="I601" i="3" s="1"/>
  <c r="I600" i="3" a="1"/>
  <c r="I600" i="3" s="1"/>
  <c r="I599" i="3" a="1"/>
  <c r="I599" i="3" s="1"/>
  <c r="I598" i="3" a="1"/>
  <c r="I598" i="3" s="1"/>
  <c r="I597" i="3" a="1"/>
  <c r="I597" i="3" s="1"/>
  <c r="I596" i="3" a="1"/>
  <c r="I596" i="3" s="1"/>
  <c r="I595" i="3" a="1"/>
  <c r="I595" i="3"/>
  <c r="I594" i="3" a="1"/>
  <c r="I594" i="3"/>
  <c r="I593" i="3" a="1"/>
  <c r="I593" i="3" s="1"/>
  <c r="I592" i="3" a="1"/>
  <c r="I592" i="3" s="1"/>
  <c r="I591" i="3" a="1"/>
  <c r="I591" i="3"/>
  <c r="I590" i="3" a="1"/>
  <c r="I590" i="3" s="1"/>
  <c r="I589" i="3" a="1"/>
  <c r="I589" i="3" s="1"/>
  <c r="I588" i="3" a="1"/>
  <c r="I588" i="3" s="1"/>
  <c r="I587" i="3" a="1"/>
  <c r="I587" i="3" s="1"/>
  <c r="I586" i="3" a="1"/>
  <c r="I586" i="3" s="1"/>
  <c r="I585" i="3" a="1"/>
  <c r="I585" i="3"/>
  <c r="I584" i="3" a="1"/>
  <c r="I584" i="3" s="1"/>
  <c r="I583" i="3" a="1"/>
  <c r="I583" i="3" s="1"/>
  <c r="I582" i="3" a="1"/>
  <c r="I582" i="3" s="1"/>
  <c r="I581" i="3" a="1"/>
  <c r="I581" i="3" s="1"/>
  <c r="I580" i="3" a="1"/>
  <c r="I580" i="3" s="1"/>
  <c r="I579" i="3" a="1"/>
  <c r="I579" i="3"/>
  <c r="I578" i="3" a="1"/>
  <c r="I578" i="3" s="1"/>
  <c r="I577" i="3" a="1"/>
  <c r="I577" i="3"/>
  <c r="I576" i="3" a="1"/>
  <c r="I576" i="3" s="1"/>
  <c r="I575" i="3" a="1"/>
  <c r="I575" i="3" s="1"/>
  <c r="I574" i="3" a="1"/>
  <c r="I574" i="3" s="1"/>
  <c r="I573" i="3" a="1"/>
  <c r="I573" i="3" s="1"/>
  <c r="I572" i="3" a="1"/>
  <c r="I572" i="3" s="1"/>
  <c r="I571" i="3" a="1"/>
  <c r="I571" i="3" s="1"/>
  <c r="I570" i="3" a="1"/>
  <c r="I570" i="3" s="1"/>
  <c r="I569" i="3" a="1"/>
  <c r="I569" i="3" s="1"/>
  <c r="I568" i="3" a="1"/>
  <c r="I568" i="3"/>
  <c r="I567" i="3" a="1"/>
  <c r="I567" i="3" s="1"/>
  <c r="I566" i="3" a="1"/>
  <c r="I566" i="3" s="1"/>
  <c r="I565" i="3" a="1"/>
  <c r="I565" i="3" s="1"/>
  <c r="I564" i="3" a="1"/>
  <c r="I564" i="3" s="1"/>
  <c r="I563" i="3" a="1"/>
  <c r="I563" i="3" s="1"/>
  <c r="I562" i="3" a="1"/>
  <c r="I562" i="3" s="1"/>
  <c r="I561" i="3" a="1"/>
  <c r="I561" i="3" s="1"/>
  <c r="I560" i="3" a="1"/>
  <c r="I560" i="3" s="1"/>
  <c r="I559" i="3" a="1"/>
  <c r="I559" i="3" s="1"/>
  <c r="I558" i="3" a="1"/>
  <c r="I558" i="3"/>
  <c r="I557" i="3" a="1"/>
  <c r="I557" i="3" s="1"/>
  <c r="I556" i="3" a="1"/>
  <c r="I556" i="3" s="1"/>
  <c r="I555" i="3" a="1"/>
  <c r="I555" i="3" s="1"/>
  <c r="I554" i="3" a="1"/>
  <c r="I554" i="3" s="1"/>
  <c r="I553" i="3" a="1"/>
  <c r="I553" i="3" s="1"/>
  <c r="I552" i="3" a="1"/>
  <c r="I552" i="3" s="1"/>
  <c r="I551" i="3" a="1"/>
  <c r="I551" i="3" s="1"/>
  <c r="I550" i="3" a="1"/>
  <c r="I550" i="3" s="1"/>
  <c r="I549" i="3" a="1"/>
  <c r="I549" i="3" s="1"/>
  <c r="I548" i="3" a="1"/>
  <c r="I548" i="3" s="1"/>
  <c r="I547" i="3" a="1"/>
  <c r="I547" i="3" s="1"/>
  <c r="I546" i="3" a="1"/>
  <c r="I546" i="3" s="1"/>
  <c r="I545" i="3" a="1"/>
  <c r="I545" i="3"/>
  <c r="I544" i="3" a="1"/>
  <c r="I544" i="3" s="1"/>
  <c r="I543" i="3" a="1"/>
  <c r="I543" i="3" s="1"/>
  <c r="I542" i="3" a="1"/>
  <c r="I542" i="3"/>
  <c r="I541" i="3" a="1"/>
  <c r="I541" i="3" s="1"/>
  <c r="I540" i="3" a="1"/>
  <c r="I540" i="3" s="1"/>
  <c r="I539" i="3" a="1"/>
  <c r="I539" i="3" s="1"/>
  <c r="I538" i="3" a="1"/>
  <c r="I538" i="3" s="1"/>
  <c r="I537" i="3" a="1"/>
  <c r="I537" i="3" s="1"/>
  <c r="I536" i="3" a="1"/>
  <c r="I536" i="3" s="1"/>
  <c r="I535" i="3" a="1"/>
  <c r="I535" i="3" s="1"/>
  <c r="I534" i="3" a="1"/>
  <c r="I534" i="3" s="1"/>
  <c r="I533" i="3" a="1"/>
  <c r="I533" i="3" s="1"/>
  <c r="I532" i="3" a="1"/>
  <c r="I532" i="3" s="1"/>
  <c r="I531" i="3" a="1"/>
  <c r="I531" i="3" s="1"/>
  <c r="I530" i="3" a="1"/>
  <c r="I530" i="3" s="1"/>
  <c r="I529" i="3" a="1"/>
  <c r="I529" i="3"/>
  <c r="I528" i="3" a="1"/>
  <c r="I528" i="3" s="1"/>
  <c r="I527" i="3" a="1"/>
  <c r="I527" i="3" s="1"/>
  <c r="I526" i="3" a="1"/>
  <c r="I526" i="3" s="1"/>
  <c r="I525" i="3" a="1"/>
  <c r="I525" i="3" s="1"/>
  <c r="I524" i="3" a="1"/>
  <c r="I524" i="3" s="1"/>
  <c r="I523" i="3" a="1"/>
  <c r="I523" i="3" s="1"/>
  <c r="I522" i="3" a="1"/>
  <c r="I522" i="3" s="1"/>
  <c r="I521" i="3" a="1"/>
  <c r="I521" i="3" s="1"/>
  <c r="I520" i="3" a="1"/>
  <c r="I520" i="3" s="1"/>
  <c r="I519" i="3" a="1"/>
  <c r="I519" i="3" s="1"/>
  <c r="I518" i="3" a="1"/>
  <c r="I518" i="3" s="1"/>
  <c r="I517" i="3" a="1"/>
  <c r="I517" i="3" s="1"/>
  <c r="I516" i="3" a="1"/>
  <c r="I516" i="3" s="1"/>
  <c r="I515" i="3" a="1"/>
  <c r="I515" i="3" s="1"/>
  <c r="I514" i="3" a="1"/>
  <c r="I514" i="3"/>
  <c r="I513" i="3" a="1"/>
  <c r="I513" i="3" s="1"/>
  <c r="I512" i="3" a="1"/>
  <c r="I512" i="3"/>
  <c r="I511" i="3" a="1"/>
  <c r="I511" i="3" s="1"/>
  <c r="I510" i="3" a="1"/>
  <c r="I510" i="3" s="1"/>
  <c r="I509" i="3" a="1"/>
  <c r="I509" i="3"/>
  <c r="I508" i="3" a="1"/>
  <c r="I508" i="3" s="1"/>
  <c r="I507" i="3" a="1"/>
  <c r="I507" i="3" s="1"/>
  <c r="I506" i="3" a="1"/>
  <c r="I506" i="3" s="1"/>
  <c r="I505" i="3" a="1"/>
  <c r="I505" i="3" s="1"/>
  <c r="I504" i="3" a="1"/>
  <c r="I504" i="3" s="1"/>
  <c r="I503" i="3" a="1"/>
  <c r="I503" i="3"/>
  <c r="I502" i="3" a="1"/>
  <c r="I502" i="3" s="1"/>
  <c r="I501" i="3" a="1"/>
  <c r="I501" i="3" s="1"/>
  <c r="I500" i="3" a="1"/>
  <c r="I500" i="3" s="1"/>
  <c r="I499" i="3" a="1"/>
  <c r="I499" i="3" s="1"/>
  <c r="I498" i="3" a="1"/>
  <c r="I498" i="3" s="1"/>
  <c r="I497" i="3" a="1"/>
  <c r="I497" i="3" s="1"/>
  <c r="I496" i="3" a="1"/>
  <c r="I496" i="3" s="1"/>
  <c r="I495" i="3" a="1"/>
  <c r="I495" i="3"/>
  <c r="I494" i="3" a="1"/>
  <c r="I494" i="3" s="1"/>
  <c r="I493" i="3" a="1"/>
  <c r="I493" i="3" s="1"/>
  <c r="I492" i="3" a="1"/>
  <c r="I492" i="3" s="1"/>
  <c r="I491" i="3" a="1"/>
  <c r="I491" i="3" s="1"/>
  <c r="I490" i="3" a="1"/>
  <c r="I490" i="3" s="1"/>
  <c r="I489" i="3" a="1"/>
  <c r="I489" i="3" s="1"/>
  <c r="I488" i="3" a="1"/>
  <c r="I488" i="3" s="1"/>
  <c r="I487" i="3" a="1"/>
  <c r="I487" i="3" s="1"/>
  <c r="I486" i="3" a="1"/>
  <c r="I486" i="3" s="1"/>
  <c r="I485" i="3" a="1"/>
  <c r="I485" i="3" s="1"/>
  <c r="I484" i="3" a="1"/>
  <c r="I484" i="3" s="1"/>
  <c r="I483" i="3" a="1"/>
  <c r="I483" i="3" s="1"/>
  <c r="I482" i="3" a="1"/>
  <c r="I482" i="3" s="1"/>
  <c r="I481" i="3" a="1"/>
  <c r="I481" i="3" s="1"/>
  <c r="I480" i="3" a="1"/>
  <c r="I480" i="3" s="1"/>
  <c r="I479" i="3" a="1"/>
  <c r="I479" i="3"/>
  <c r="I478" i="3" a="1"/>
  <c r="I478" i="3" s="1"/>
  <c r="I477" i="3" a="1"/>
  <c r="I477" i="3" s="1"/>
  <c r="I476" i="3" a="1"/>
  <c r="I476" i="3" s="1"/>
  <c r="I475" i="3" a="1"/>
  <c r="I475" i="3" s="1"/>
  <c r="I474" i="3" a="1"/>
  <c r="I474" i="3" s="1"/>
  <c r="I473" i="3" a="1"/>
  <c r="I473" i="3" s="1"/>
  <c r="I472" i="3" a="1"/>
  <c r="I472" i="3" s="1"/>
  <c r="I471" i="3" a="1"/>
  <c r="I471" i="3" s="1"/>
  <c r="I470" i="3" a="1"/>
  <c r="I470" i="3" s="1"/>
  <c r="I469" i="3" a="1"/>
  <c r="I469" i="3"/>
  <c r="I468" i="3" a="1"/>
  <c r="I468" i="3"/>
  <c r="I467" i="3" a="1"/>
  <c r="I467" i="3" s="1"/>
  <c r="I466" i="3" a="1"/>
  <c r="I466" i="3" s="1"/>
  <c r="I465" i="3" a="1"/>
  <c r="I465" i="3" s="1"/>
  <c r="I464" i="3" a="1"/>
  <c r="I464" i="3" s="1"/>
  <c r="I463" i="3" a="1"/>
  <c r="I463" i="3" s="1"/>
  <c r="I462" i="3" a="1"/>
  <c r="I462" i="3" s="1"/>
  <c r="I461" i="3" a="1"/>
  <c r="I461" i="3" s="1"/>
  <c r="I460" i="3" a="1"/>
  <c r="I460" i="3" s="1"/>
  <c r="I459" i="3" a="1"/>
  <c r="I459" i="3" s="1"/>
  <c r="I458" i="3" a="1"/>
  <c r="I458" i="3" s="1"/>
  <c r="I457" i="3" a="1"/>
  <c r="I457" i="3" s="1"/>
  <c r="I456" i="3" a="1"/>
  <c r="I456" i="3" s="1"/>
  <c r="I455" i="3" a="1"/>
  <c r="I455" i="3" s="1"/>
  <c r="I454" i="3" a="1"/>
  <c r="I454" i="3" s="1"/>
  <c r="I453" i="3" a="1"/>
  <c r="I453" i="3" s="1"/>
  <c r="I452" i="3" a="1"/>
  <c r="I452" i="3" s="1"/>
  <c r="I451" i="3" a="1"/>
  <c r="I451" i="3" s="1"/>
  <c r="I450" i="3" a="1"/>
  <c r="I450" i="3" s="1"/>
  <c r="I449" i="3" a="1"/>
  <c r="I449" i="3" s="1"/>
  <c r="I448" i="3" a="1"/>
  <c r="I448" i="3"/>
  <c r="I447" i="3" a="1"/>
  <c r="I447" i="3" s="1"/>
  <c r="I446" i="3" a="1"/>
  <c r="I446" i="3" s="1"/>
  <c r="I445" i="3" a="1"/>
  <c r="I445" i="3"/>
  <c r="I444" i="3" a="1"/>
  <c r="I444" i="3" s="1"/>
  <c r="I443" i="3" a="1"/>
  <c r="I443" i="3" s="1"/>
  <c r="I442" i="3" a="1"/>
  <c r="I442" i="3" s="1"/>
  <c r="I441" i="3" a="1"/>
  <c r="I441" i="3" s="1"/>
  <c r="I440" i="3" a="1"/>
  <c r="I440" i="3" s="1"/>
  <c r="I439" i="3" a="1"/>
  <c r="I439" i="3"/>
  <c r="I438" i="3" a="1"/>
  <c r="I438" i="3" s="1"/>
  <c r="I437" i="3" a="1"/>
  <c r="I437" i="3" s="1"/>
  <c r="I436" i="3" a="1"/>
  <c r="I436" i="3" s="1"/>
  <c r="I435" i="3" a="1"/>
  <c r="I435" i="3" s="1"/>
  <c r="I434" i="3" a="1"/>
  <c r="I434" i="3" s="1"/>
  <c r="I433" i="3" a="1"/>
  <c r="I433" i="3" s="1"/>
  <c r="I432" i="3" a="1"/>
  <c r="I432" i="3" s="1"/>
  <c r="I431" i="3" a="1"/>
  <c r="I431" i="3" s="1"/>
  <c r="I430" i="3" a="1"/>
  <c r="I430" i="3" s="1"/>
  <c r="I429" i="3" a="1"/>
  <c r="I429" i="3"/>
  <c r="I428" i="3" a="1"/>
  <c r="I428" i="3" s="1"/>
  <c r="I427" i="3" a="1"/>
  <c r="I427" i="3" s="1"/>
  <c r="I426" i="3" a="1"/>
  <c r="I426" i="3" s="1"/>
  <c r="I425" i="3" a="1"/>
  <c r="I425" i="3" s="1"/>
  <c r="I424" i="3" a="1"/>
  <c r="I424" i="3" s="1"/>
  <c r="I423" i="3" a="1"/>
  <c r="I423" i="3" s="1"/>
  <c r="I422" i="3" a="1"/>
  <c r="I422" i="3" s="1"/>
  <c r="I421" i="3" a="1"/>
  <c r="I421" i="3" s="1"/>
  <c r="I420" i="3" a="1"/>
  <c r="I420" i="3" s="1"/>
  <c r="I419" i="3" a="1"/>
  <c r="I419" i="3" s="1"/>
  <c r="I418" i="3" a="1"/>
  <c r="I418" i="3" s="1"/>
  <c r="I417" i="3" a="1"/>
  <c r="I417" i="3" s="1"/>
  <c r="I416" i="3" a="1"/>
  <c r="I416" i="3" s="1"/>
  <c r="I415" i="3" a="1"/>
  <c r="I415" i="3" s="1"/>
  <c r="I414" i="3" a="1"/>
  <c r="I414" i="3" s="1"/>
  <c r="I413" i="3" a="1"/>
  <c r="I413" i="3" s="1"/>
  <c r="I412" i="3" a="1"/>
  <c r="I412" i="3" s="1"/>
  <c r="I411" i="3" a="1"/>
  <c r="I411" i="3"/>
  <c r="I410" i="3" a="1"/>
  <c r="I410" i="3" s="1"/>
  <c r="I409" i="3" a="1"/>
  <c r="I409" i="3" s="1"/>
  <c r="I408" i="3" a="1"/>
  <c r="I408" i="3" s="1"/>
  <c r="I407" i="3" a="1"/>
  <c r="I407" i="3" s="1"/>
  <c r="I406" i="3" a="1"/>
  <c r="I406" i="3" s="1"/>
  <c r="I405" i="3" a="1"/>
  <c r="I405" i="3" s="1"/>
  <c r="I404" i="3" a="1"/>
  <c r="I404" i="3" s="1"/>
  <c r="I403" i="3" a="1"/>
  <c r="I403" i="3" s="1"/>
  <c r="I402" i="3" a="1"/>
  <c r="I402" i="3" s="1"/>
  <c r="I401" i="3" a="1"/>
  <c r="I401" i="3" s="1"/>
  <c r="I400" i="3" a="1"/>
  <c r="I400" i="3" s="1"/>
  <c r="I399" i="3" a="1"/>
  <c r="I399" i="3" s="1"/>
  <c r="I398" i="3" a="1"/>
  <c r="I398" i="3" s="1"/>
  <c r="I397" i="3" a="1"/>
  <c r="I397" i="3" s="1"/>
  <c r="I396" i="3" a="1"/>
  <c r="I396" i="3" s="1"/>
  <c r="I395" i="3" a="1"/>
  <c r="I395" i="3" s="1"/>
  <c r="I394" i="3" a="1"/>
  <c r="I394" i="3" s="1"/>
  <c r="I393" i="3" a="1"/>
  <c r="I393" i="3" s="1"/>
  <c r="I392" i="3" a="1"/>
  <c r="I392" i="3" s="1"/>
  <c r="I391" i="3" a="1"/>
  <c r="I391" i="3" s="1"/>
  <c r="I390" i="3" a="1"/>
  <c r="I390" i="3" s="1"/>
  <c r="I389" i="3" a="1"/>
  <c r="I389" i="3"/>
  <c r="I388" i="3" a="1"/>
  <c r="I388" i="3" s="1"/>
  <c r="I387" i="3" a="1"/>
  <c r="I387" i="3" s="1"/>
  <c r="I386" i="3" a="1"/>
  <c r="I386" i="3" s="1"/>
  <c r="I385" i="3" a="1"/>
  <c r="I385" i="3" s="1"/>
  <c r="I384" i="3" a="1"/>
  <c r="I384" i="3" s="1"/>
  <c r="I383" i="3" a="1"/>
  <c r="I383" i="3" s="1"/>
  <c r="I382" i="3" a="1"/>
  <c r="I382" i="3" s="1"/>
  <c r="I381" i="3" a="1"/>
  <c r="I381" i="3" s="1"/>
  <c r="I380" i="3" a="1"/>
  <c r="I380" i="3"/>
  <c r="I379" i="3" a="1"/>
  <c r="I379" i="3"/>
  <c r="I378" i="3" a="1"/>
  <c r="I378" i="3" s="1"/>
  <c r="I377" i="3" a="1"/>
  <c r="I377" i="3" s="1"/>
  <c r="I376" i="3" a="1"/>
  <c r="I376" i="3" s="1"/>
  <c r="I375" i="3" a="1"/>
  <c r="I375" i="3" s="1"/>
  <c r="I374" i="3" a="1"/>
  <c r="I374" i="3"/>
  <c r="I373" i="3" a="1"/>
  <c r="I373" i="3" s="1"/>
  <c r="I372" i="3" a="1"/>
  <c r="I372" i="3" s="1"/>
  <c r="I371" i="3" a="1"/>
  <c r="I371" i="3" s="1"/>
  <c r="I370" i="3" a="1"/>
  <c r="I370" i="3"/>
  <c r="I369" i="3" a="1"/>
  <c r="I369" i="3" s="1"/>
  <c r="I368" i="3" a="1"/>
  <c r="I368" i="3" s="1"/>
  <c r="I367" i="3" a="1"/>
  <c r="I367" i="3" s="1"/>
  <c r="I366" i="3" a="1"/>
  <c r="I366" i="3" s="1"/>
  <c r="I365" i="3" a="1"/>
  <c r="I365" i="3" s="1"/>
  <c r="I364" i="3" a="1"/>
  <c r="I364" i="3" s="1"/>
  <c r="I363" i="3" a="1"/>
  <c r="I363" i="3" s="1"/>
  <c r="I362" i="3" a="1"/>
  <c r="I362" i="3" s="1"/>
  <c r="I361" i="3" a="1"/>
  <c r="I361" i="3" s="1"/>
  <c r="I360" i="3" a="1"/>
  <c r="I360" i="3"/>
  <c r="I359" i="3" a="1"/>
  <c r="I359" i="3" s="1"/>
  <c r="I358" i="3" a="1"/>
  <c r="I358" i="3" s="1"/>
  <c r="I357" i="3" a="1"/>
  <c r="I357" i="3"/>
  <c r="I356" i="3" a="1"/>
  <c r="I356" i="3" s="1"/>
  <c r="I355" i="3" a="1"/>
  <c r="I355" i="3" s="1"/>
  <c r="I354" i="3" a="1"/>
  <c r="I354" i="3" s="1"/>
  <c r="I353" i="3" a="1"/>
  <c r="I353" i="3" s="1"/>
  <c r="I352" i="3" a="1"/>
  <c r="I352" i="3" s="1"/>
  <c r="I351" i="3" a="1"/>
  <c r="I351" i="3" s="1"/>
  <c r="I350" i="3" a="1"/>
  <c r="I350" i="3" s="1"/>
  <c r="I349" i="3" a="1"/>
  <c r="I349" i="3" s="1"/>
  <c r="I348" i="3" a="1"/>
  <c r="I348" i="3" s="1"/>
  <c r="I347" i="3" a="1"/>
  <c r="I347" i="3" s="1"/>
  <c r="I346" i="3" a="1"/>
  <c r="I346" i="3"/>
  <c r="I345" i="3" a="1"/>
  <c r="I345" i="3" s="1"/>
  <c r="I344" i="3" a="1"/>
  <c r="I344" i="3" s="1"/>
  <c r="I343" i="3" a="1"/>
  <c r="I343" i="3" s="1"/>
  <c r="I342" i="3" a="1"/>
  <c r="I342" i="3" s="1"/>
  <c r="I341" i="3" a="1"/>
  <c r="I341" i="3" s="1"/>
  <c r="I340" i="3" a="1"/>
  <c r="I340" i="3" s="1"/>
  <c r="I339" i="3" a="1"/>
  <c r="I339" i="3" s="1"/>
  <c r="I338" i="3" a="1"/>
  <c r="I338" i="3" s="1"/>
  <c r="I337" i="3" a="1"/>
  <c r="I337" i="3"/>
  <c r="I336" i="3" a="1"/>
  <c r="I336" i="3" s="1"/>
  <c r="I335" i="3" a="1"/>
  <c r="I335" i="3" s="1"/>
  <c r="I334" i="3" a="1"/>
  <c r="I334" i="3" s="1"/>
  <c r="I333" i="3" a="1"/>
  <c r="I333" i="3" s="1"/>
  <c r="I332" i="3" a="1"/>
  <c r="I332" i="3" s="1"/>
  <c r="I331" i="3" a="1"/>
  <c r="I331" i="3" s="1"/>
  <c r="I330" i="3" a="1"/>
  <c r="I330" i="3" s="1"/>
  <c r="I329" i="3" a="1"/>
  <c r="I329" i="3" s="1"/>
  <c r="I328" i="3" a="1"/>
  <c r="I328" i="3" s="1"/>
  <c r="I327" i="3" a="1"/>
  <c r="I327" i="3"/>
  <c r="I326" i="3" a="1"/>
  <c r="I326" i="3" s="1"/>
  <c r="I325" i="3" a="1"/>
  <c r="I325" i="3" s="1"/>
  <c r="I324" i="3" a="1"/>
  <c r="I324" i="3" s="1"/>
  <c r="I323" i="3" a="1"/>
  <c r="I323" i="3" s="1"/>
  <c r="I322" i="3" a="1"/>
  <c r="I322" i="3" s="1"/>
  <c r="I321" i="3" a="1"/>
  <c r="I321" i="3" s="1"/>
  <c r="I320" i="3" a="1"/>
  <c r="I320" i="3" s="1"/>
  <c r="I319" i="3" a="1"/>
  <c r="I319" i="3" s="1"/>
  <c r="I318" i="3" a="1"/>
  <c r="I318" i="3" s="1"/>
  <c r="I317" i="3" a="1"/>
  <c r="I317" i="3" s="1"/>
  <c r="I316" i="3" a="1"/>
  <c r="I316" i="3" s="1"/>
  <c r="I315" i="3" a="1"/>
  <c r="I315" i="3" s="1"/>
  <c r="I314" i="3" a="1"/>
  <c r="I314" i="3" s="1"/>
  <c r="I313" i="3" a="1"/>
  <c r="I313" i="3" s="1"/>
  <c r="I312" i="3" a="1"/>
  <c r="I312" i="3" s="1"/>
  <c r="I311" i="3" a="1"/>
  <c r="I311" i="3" s="1"/>
  <c r="I310" i="3" a="1"/>
  <c r="I310" i="3" s="1"/>
  <c r="I309" i="3" a="1"/>
  <c r="I309" i="3"/>
  <c r="I308" i="3" a="1"/>
  <c r="I308" i="3" s="1"/>
  <c r="I307" i="3" a="1"/>
  <c r="I307" i="3" s="1"/>
  <c r="I306" i="3" a="1"/>
  <c r="I306" i="3" s="1"/>
  <c r="I305" i="3" a="1"/>
  <c r="I305" i="3" s="1"/>
  <c r="I304" i="3" a="1"/>
  <c r="I304" i="3" s="1"/>
  <c r="I303" i="3" a="1"/>
  <c r="I303" i="3"/>
  <c r="I302" i="3" a="1"/>
  <c r="I302" i="3" s="1"/>
  <c r="I301" i="3" a="1"/>
  <c r="I301" i="3" s="1"/>
  <c r="I300" i="3" a="1"/>
  <c r="I300" i="3" s="1"/>
  <c r="I299" i="3" a="1"/>
  <c r="I299" i="3" s="1"/>
  <c r="I298" i="3" a="1"/>
  <c r="I298" i="3" s="1"/>
  <c r="I297" i="3" a="1"/>
  <c r="I297" i="3" s="1"/>
  <c r="I296" i="3" a="1"/>
  <c r="I296" i="3" s="1"/>
  <c r="I295" i="3" a="1"/>
  <c r="I295" i="3" s="1"/>
  <c r="I294" i="3" a="1"/>
  <c r="I294" i="3" s="1"/>
  <c r="I293" i="3" a="1"/>
  <c r="I293" i="3" s="1"/>
  <c r="I292" i="3" a="1"/>
  <c r="I292" i="3"/>
  <c r="I291" i="3" a="1"/>
  <c r="I291" i="3" s="1"/>
  <c r="I290" i="3" a="1"/>
  <c r="I290" i="3"/>
  <c r="I289" i="3" a="1"/>
  <c r="I289" i="3" s="1"/>
  <c r="I288" i="3" a="1"/>
  <c r="I288" i="3"/>
  <c r="I287" i="3" a="1"/>
  <c r="I287" i="3" s="1"/>
  <c r="I286" i="3" a="1"/>
  <c r="I286" i="3"/>
  <c r="I285" i="3" a="1"/>
  <c r="I285" i="3" s="1"/>
  <c r="I284" i="3" a="1"/>
  <c r="I284" i="3" s="1"/>
  <c r="I283" i="3" a="1"/>
  <c r="I283" i="3" s="1"/>
  <c r="I282" i="3" a="1"/>
  <c r="I282" i="3"/>
  <c r="I281" i="3" a="1"/>
  <c r="I281" i="3" s="1"/>
  <c r="I280" i="3" a="1"/>
  <c r="I280" i="3" s="1"/>
  <c r="I279" i="3" a="1"/>
  <c r="I279" i="3" s="1"/>
  <c r="I278" i="3" a="1"/>
  <c r="I278" i="3" s="1"/>
  <c r="I277" i="3" a="1"/>
  <c r="I277" i="3" s="1"/>
  <c r="I276" i="3" a="1"/>
  <c r="I276" i="3" s="1"/>
  <c r="I275" i="3" a="1"/>
  <c r="I275" i="3"/>
  <c r="I274" i="3" a="1"/>
  <c r="I274" i="3" s="1"/>
  <c r="I273" i="3" a="1"/>
  <c r="I273" i="3" s="1"/>
  <c r="I272" i="3" a="1"/>
  <c r="I272" i="3"/>
  <c r="I271" i="3" a="1"/>
  <c r="I271" i="3" s="1"/>
  <c r="I270" i="3" a="1"/>
  <c r="I270" i="3" s="1"/>
  <c r="I269" i="3" a="1"/>
  <c r="I269" i="3" s="1"/>
  <c r="I268" i="3" a="1"/>
  <c r="I268" i="3" s="1"/>
  <c r="I267" i="3" a="1"/>
  <c r="I267" i="3" s="1"/>
  <c r="I266" i="3" a="1"/>
  <c r="I266" i="3" s="1"/>
  <c r="I265" i="3" a="1"/>
  <c r="I265" i="3" s="1"/>
  <c r="I264" i="3" a="1"/>
  <c r="I264" i="3" s="1"/>
  <c r="I263" i="3" a="1"/>
  <c r="I263" i="3" s="1"/>
  <c r="I262" i="3" a="1"/>
  <c r="I262" i="3" s="1"/>
  <c r="I261" i="3" a="1"/>
  <c r="I261" i="3" s="1"/>
  <c r="I260" i="3" a="1"/>
  <c r="I260" i="3" s="1"/>
  <c r="I259" i="3" a="1"/>
  <c r="I259" i="3" s="1"/>
  <c r="I258" i="3" a="1"/>
  <c r="I258" i="3" s="1"/>
  <c r="I257" i="3" a="1"/>
  <c r="I257" i="3" s="1"/>
  <c r="I256" i="3" a="1"/>
  <c r="I256" i="3" s="1"/>
  <c r="I255" i="3" a="1"/>
  <c r="I255" i="3" s="1"/>
  <c r="I254" i="3" a="1"/>
  <c r="I254" i="3" s="1"/>
  <c r="I253" i="3" a="1"/>
  <c r="I253" i="3" s="1"/>
  <c r="I252" i="3" a="1"/>
  <c r="I252" i="3" s="1"/>
  <c r="I251" i="3" a="1"/>
  <c r="I251" i="3" s="1"/>
  <c r="I250" i="3" a="1"/>
  <c r="I250" i="3" s="1"/>
  <c r="I249" i="3" a="1"/>
  <c r="I249" i="3" s="1"/>
  <c r="I248" i="3" a="1"/>
  <c r="I248" i="3" s="1"/>
  <c r="I247" i="3" a="1"/>
  <c r="I247" i="3"/>
  <c r="I246" i="3" a="1"/>
  <c r="I246" i="3" s="1"/>
  <c r="I245" i="3" a="1"/>
  <c r="I245" i="3" s="1"/>
  <c r="I244" i="3" a="1"/>
  <c r="I244" i="3" s="1"/>
  <c r="I243" i="3" a="1"/>
  <c r="I243" i="3" s="1"/>
  <c r="I242" i="3" a="1"/>
  <c r="I242" i="3" s="1"/>
  <c r="I241" i="3" a="1"/>
  <c r="I241" i="3" s="1"/>
  <c r="I240" i="3" a="1"/>
  <c r="I240" i="3" s="1"/>
  <c r="I239" i="3" a="1"/>
  <c r="I239" i="3" s="1"/>
  <c r="I238" i="3" a="1"/>
  <c r="I238" i="3" s="1"/>
  <c r="I237" i="3" a="1"/>
  <c r="I237" i="3"/>
  <c r="I236" i="3" a="1"/>
  <c r="I236" i="3" s="1"/>
  <c r="I235" i="3" a="1"/>
  <c r="I235" i="3" s="1"/>
  <c r="I234" i="3" a="1"/>
  <c r="I234" i="3" s="1"/>
  <c r="I233" i="3" a="1"/>
  <c r="I233" i="3" s="1"/>
  <c r="I232" i="3" a="1"/>
  <c r="I232" i="3" s="1"/>
  <c r="I231" i="3" a="1"/>
  <c r="I231" i="3" s="1"/>
  <c r="I230" i="3" a="1"/>
  <c r="I230" i="3" s="1"/>
  <c r="I229" i="3" a="1"/>
  <c r="I229" i="3" s="1"/>
  <c r="I228" i="3" a="1"/>
  <c r="I228" i="3" s="1"/>
  <c r="I227" i="3" a="1"/>
  <c r="I227" i="3" s="1"/>
  <c r="I226" i="3" a="1"/>
  <c r="I226" i="3" s="1"/>
  <c r="I225" i="3" a="1"/>
  <c r="I225" i="3" s="1"/>
  <c r="I224" i="3" a="1"/>
  <c r="I224" i="3" s="1"/>
  <c r="I223" i="3" a="1"/>
  <c r="I223" i="3" s="1"/>
  <c r="I222" i="3" a="1"/>
  <c r="I222" i="3" s="1"/>
  <c r="I221" i="3" a="1"/>
  <c r="I221" i="3" s="1"/>
  <c r="I220" i="3" a="1"/>
  <c r="I220" i="3" s="1"/>
  <c r="I219" i="3" a="1"/>
  <c r="I219" i="3" s="1"/>
  <c r="I218" i="3" a="1"/>
  <c r="I218" i="3" s="1"/>
  <c r="I217" i="3" a="1"/>
  <c r="I217" i="3" s="1"/>
  <c r="I216" i="3" a="1"/>
  <c r="I216" i="3" s="1"/>
  <c r="I215" i="3" a="1"/>
  <c r="I215" i="3" s="1"/>
  <c r="I214" i="3" a="1"/>
  <c r="I214" i="3" s="1"/>
  <c r="I213" i="3" a="1"/>
  <c r="I213" i="3"/>
  <c r="I212" i="3" a="1"/>
  <c r="I212" i="3" s="1"/>
  <c r="I211" i="3" a="1"/>
  <c r="I211" i="3" s="1"/>
  <c r="I210" i="3" a="1"/>
  <c r="I210" i="3" s="1"/>
  <c r="I209" i="3" a="1"/>
  <c r="I209" i="3" s="1"/>
  <c r="I208" i="3" a="1"/>
  <c r="I208" i="3" s="1"/>
  <c r="I207" i="3" a="1"/>
  <c r="I207" i="3" s="1"/>
  <c r="I206" i="3" a="1"/>
  <c r="I206" i="3"/>
  <c r="I205" i="3" a="1"/>
  <c r="I205" i="3" s="1"/>
  <c r="I204" i="3" a="1"/>
  <c r="I204" i="3" s="1"/>
  <c r="I203" i="3" a="1"/>
  <c r="I203" i="3" s="1"/>
  <c r="I202" i="3" a="1"/>
  <c r="I202" i="3" s="1"/>
  <c r="I201" i="3" a="1"/>
  <c r="I201" i="3" s="1"/>
  <c r="I200" i="3" a="1"/>
  <c r="I200" i="3" s="1"/>
  <c r="I199" i="3" a="1"/>
  <c r="I199" i="3" s="1"/>
  <c r="I198" i="3" a="1"/>
  <c r="I198" i="3" s="1"/>
  <c r="I197" i="3" a="1"/>
  <c r="I197" i="3" s="1"/>
  <c r="I196" i="3" a="1"/>
  <c r="I196" i="3" s="1"/>
  <c r="I195" i="3" a="1"/>
  <c r="I195" i="3"/>
  <c r="I194" i="3" a="1"/>
  <c r="I194" i="3" s="1"/>
  <c r="I193" i="3" a="1"/>
  <c r="I193" i="3" s="1"/>
  <c r="I192" i="3" a="1"/>
  <c r="I192" i="3" s="1"/>
  <c r="I191" i="3" a="1"/>
  <c r="I191" i="3" s="1"/>
  <c r="I190" i="3" a="1"/>
  <c r="I190" i="3" s="1"/>
  <c r="I189" i="3" a="1"/>
  <c r="I189" i="3" s="1"/>
  <c r="I188" i="3" a="1"/>
  <c r="I188" i="3" s="1"/>
  <c r="I187" i="3" a="1"/>
  <c r="I187" i="3" s="1"/>
  <c r="I186" i="3" a="1"/>
  <c r="I186" i="3" s="1"/>
  <c r="I185" i="3" a="1"/>
  <c r="I185" i="3" s="1"/>
  <c r="I184" i="3" a="1"/>
  <c r="I184" i="3" s="1"/>
  <c r="I183" i="3" a="1"/>
  <c r="I183" i="3" s="1"/>
  <c r="I182" i="3" a="1"/>
  <c r="I182" i="3" s="1"/>
  <c r="I181" i="3" a="1"/>
  <c r="I181" i="3" s="1"/>
  <c r="I180" i="3" a="1"/>
  <c r="I180" i="3" s="1"/>
  <c r="I179" i="3" a="1"/>
  <c r="I179" i="3"/>
  <c r="I178" i="3" a="1"/>
  <c r="I178" i="3" s="1"/>
  <c r="I177" i="3" a="1"/>
  <c r="I177" i="3" s="1"/>
  <c r="I176" i="3" a="1"/>
  <c r="I176" i="3" s="1"/>
  <c r="I175" i="3" a="1"/>
  <c r="I175" i="3" s="1"/>
  <c r="I174" i="3" a="1"/>
  <c r="I174" i="3" s="1"/>
  <c r="I173" i="3" a="1"/>
  <c r="I173" i="3" s="1"/>
  <c r="I172" i="3" a="1"/>
  <c r="I172" i="3" s="1"/>
  <c r="I171" i="3" a="1"/>
  <c r="I171" i="3" s="1"/>
  <c r="I170" i="3" a="1"/>
  <c r="I170" i="3" s="1"/>
  <c r="I169" i="3" a="1"/>
  <c r="I169" i="3" s="1"/>
  <c r="I168" i="3" a="1"/>
  <c r="I168" i="3" s="1"/>
  <c r="I167" i="3" a="1"/>
  <c r="I167" i="3" s="1"/>
  <c r="I166" i="3" a="1"/>
  <c r="I166" i="3" s="1"/>
  <c r="I165" i="3" a="1"/>
  <c r="I165" i="3" s="1"/>
  <c r="I164" i="3" a="1"/>
  <c r="I164" i="3" s="1"/>
  <c r="I163" i="3" a="1"/>
  <c r="I163" i="3" s="1"/>
  <c r="I162" i="3" a="1"/>
  <c r="I162" i="3" s="1"/>
  <c r="I161" i="3" a="1"/>
  <c r="I161" i="3" s="1"/>
  <c r="I160" i="3" a="1"/>
  <c r="I160" i="3" s="1"/>
  <c r="I159" i="3" a="1"/>
  <c r="I159" i="3" s="1"/>
  <c r="I158" i="3" a="1"/>
  <c r="I158" i="3" s="1"/>
  <c r="I157" i="3" a="1"/>
  <c r="I157" i="3" s="1"/>
  <c r="I156" i="3" a="1"/>
  <c r="I156" i="3"/>
  <c r="I155" i="3" a="1"/>
  <c r="I155" i="3" s="1"/>
  <c r="I154" i="3" a="1"/>
  <c r="I154" i="3" s="1"/>
  <c r="I153" i="3" a="1"/>
  <c r="I153" i="3" s="1"/>
  <c r="I152" i="3" a="1"/>
  <c r="I152" i="3" s="1"/>
  <c r="I151" i="3" a="1"/>
  <c r="I151" i="3" s="1"/>
  <c r="I150" i="3" a="1"/>
  <c r="I150" i="3" s="1"/>
  <c r="I149" i="3" a="1"/>
  <c r="I149" i="3"/>
  <c r="I148" i="3" a="1"/>
  <c r="I148" i="3" s="1"/>
  <c r="I147" i="3" a="1"/>
  <c r="I147" i="3" s="1"/>
  <c r="I146" i="3" a="1"/>
  <c r="I146" i="3" s="1"/>
  <c r="I145" i="3" a="1"/>
  <c r="I145" i="3" s="1"/>
  <c r="I144" i="3" a="1"/>
  <c r="I144" i="3" s="1"/>
  <c r="I143" i="3" a="1"/>
  <c r="I143" i="3" s="1"/>
  <c r="I142" i="3" a="1"/>
  <c r="I142" i="3" s="1"/>
  <c r="I141" i="3" a="1"/>
  <c r="I141" i="3" s="1"/>
  <c r="I140" i="3" a="1"/>
  <c r="I140" i="3" s="1"/>
  <c r="I139" i="3" a="1"/>
  <c r="I139" i="3"/>
  <c r="I138" i="3" a="1"/>
  <c r="I138" i="3"/>
  <c r="I137" i="3" a="1"/>
  <c r="I137" i="3" s="1"/>
  <c r="I136" i="3" a="1"/>
  <c r="I136" i="3" s="1"/>
  <c r="I135" i="3" a="1"/>
  <c r="I135" i="3" s="1"/>
  <c r="I134" i="3" a="1"/>
  <c r="I134" i="3" s="1"/>
  <c r="I133" i="3" a="1"/>
  <c r="I133" i="3" s="1"/>
  <c r="I132" i="3" a="1"/>
  <c r="I132" i="3" s="1"/>
  <c r="I131" i="3" a="1"/>
  <c r="I131" i="3" s="1"/>
  <c r="I130" i="3" a="1"/>
  <c r="I130" i="3" s="1"/>
  <c r="I129" i="3" a="1"/>
  <c r="I129" i="3" s="1"/>
  <c r="I128" i="3" a="1"/>
  <c r="I128" i="3"/>
  <c r="I127" i="3" a="1"/>
  <c r="I127" i="3" s="1"/>
  <c r="I126" i="3" a="1"/>
  <c r="I126" i="3" s="1"/>
  <c r="I125" i="3" a="1"/>
  <c r="I125" i="3" s="1"/>
  <c r="I124" i="3" a="1"/>
  <c r="I124" i="3" s="1"/>
  <c r="I123" i="3" a="1"/>
  <c r="I123" i="3" s="1"/>
  <c r="I122" i="3" a="1"/>
  <c r="I122" i="3" s="1"/>
  <c r="I121" i="3" a="1"/>
  <c r="I121" i="3" s="1"/>
  <c r="I120" i="3" a="1"/>
  <c r="I120" i="3" s="1"/>
  <c r="I119" i="3" a="1"/>
  <c r="I119" i="3" s="1"/>
  <c r="I118" i="3" a="1"/>
  <c r="I118" i="3" s="1"/>
  <c r="I117" i="3" a="1"/>
  <c r="I117" i="3" s="1"/>
  <c r="I116" i="3" a="1"/>
  <c r="I116" i="3" s="1"/>
  <c r="I115" i="3" a="1"/>
  <c r="I115" i="3" s="1"/>
  <c r="I114" i="3" a="1"/>
  <c r="I114" i="3" s="1"/>
  <c r="I113" i="3" a="1"/>
  <c r="I113" i="3" s="1"/>
  <c r="I112" i="3" a="1"/>
  <c r="I112" i="3" s="1"/>
  <c r="I111" i="3" a="1"/>
  <c r="I111" i="3" s="1"/>
  <c r="I110" i="3" a="1"/>
  <c r="I110" i="3" s="1"/>
  <c r="I109" i="3" a="1"/>
  <c r="I109" i="3" s="1"/>
  <c r="I108" i="3" a="1"/>
  <c r="I108" i="3" s="1"/>
  <c r="I107" i="3" a="1"/>
  <c r="I107" i="3"/>
  <c r="I106" i="3" a="1"/>
  <c r="I106" i="3" s="1"/>
  <c r="I105" i="3" a="1"/>
  <c r="I105" i="3" s="1"/>
  <c r="I104" i="3" a="1"/>
  <c r="I104" i="3" s="1"/>
  <c r="I103" i="3" a="1"/>
  <c r="I103" i="3" s="1"/>
  <c r="I102" i="3" a="1"/>
  <c r="I102" i="3" s="1"/>
  <c r="I101" i="3" a="1"/>
  <c r="I101" i="3" s="1"/>
  <c r="I100" i="3" a="1"/>
  <c r="I100" i="3" s="1"/>
  <c r="I99" i="3" a="1"/>
  <c r="I99" i="3" s="1"/>
  <c r="I98" i="3" a="1"/>
  <c r="I98" i="3" s="1"/>
  <c r="I97" i="3" a="1"/>
  <c r="I97" i="3" s="1"/>
  <c r="I96" i="3" a="1"/>
  <c r="I96" i="3" s="1"/>
  <c r="I95" i="3" a="1"/>
  <c r="I95" i="3" s="1"/>
  <c r="I94" i="3" a="1"/>
  <c r="I94" i="3" s="1"/>
  <c r="I93" i="3" a="1"/>
  <c r="I93" i="3" s="1"/>
  <c r="I92" i="3" a="1"/>
  <c r="I92" i="3" s="1"/>
  <c r="I91" i="3" a="1"/>
  <c r="I91" i="3" s="1"/>
  <c r="I90" i="3" a="1"/>
  <c r="I90" i="3" s="1"/>
  <c r="I89" i="3" a="1"/>
  <c r="I89" i="3" s="1"/>
  <c r="I88" i="3" a="1"/>
  <c r="I88" i="3" s="1"/>
  <c r="I87" i="3" a="1"/>
  <c r="I87" i="3" s="1"/>
  <c r="I86" i="3" a="1"/>
  <c r="I86" i="3" s="1"/>
  <c r="I85" i="3" a="1"/>
  <c r="I85" i="3" s="1"/>
  <c r="I84" i="3" a="1"/>
  <c r="I84" i="3" s="1"/>
  <c r="I83" i="3" a="1"/>
  <c r="I83" i="3" s="1"/>
  <c r="I82" i="3" a="1"/>
  <c r="I82" i="3"/>
  <c r="I81" i="3" a="1"/>
  <c r="I81" i="3" s="1"/>
  <c r="I80" i="3" a="1"/>
  <c r="I80" i="3"/>
  <c r="I79" i="3" a="1"/>
  <c r="I79" i="3" s="1"/>
  <c r="I78" i="3" a="1"/>
  <c r="I78" i="3" s="1"/>
  <c r="I77" i="3" a="1"/>
  <c r="I77" i="3" s="1"/>
  <c r="I76" i="3" a="1"/>
  <c r="I76" i="3" s="1"/>
  <c r="I75" i="3" a="1"/>
  <c r="I75" i="3" s="1"/>
  <c r="I74" i="3" a="1"/>
  <c r="I74" i="3" s="1"/>
  <c r="I73" i="3" a="1"/>
  <c r="I73" i="3" s="1"/>
  <c r="I72" i="3" a="1"/>
  <c r="I72" i="3" s="1"/>
  <c r="I71" i="3" a="1"/>
  <c r="I71" i="3" s="1"/>
  <c r="I70" i="3" a="1"/>
  <c r="I70" i="3" s="1"/>
  <c r="I69" i="3" a="1"/>
  <c r="I69" i="3"/>
  <c r="I68" i="3" a="1"/>
  <c r="I68" i="3" s="1"/>
  <c r="I67" i="3" a="1"/>
  <c r="I67" i="3" s="1"/>
  <c r="I66" i="3" a="1"/>
  <c r="I66" i="3" s="1"/>
  <c r="I65" i="3" a="1"/>
  <c r="I65" i="3" s="1"/>
  <c r="I64" i="3" a="1"/>
  <c r="I64" i="3" s="1"/>
  <c r="I63" i="3" a="1"/>
  <c r="I63" i="3"/>
  <c r="I62" i="3" a="1"/>
  <c r="I62" i="3" s="1"/>
  <c r="I61" i="3" a="1"/>
  <c r="I61" i="3" s="1"/>
  <c r="I60" i="3" a="1"/>
  <c r="I60" i="3" s="1"/>
  <c r="I59" i="3" a="1"/>
  <c r="I59" i="3" s="1"/>
  <c r="I58" i="3" a="1"/>
  <c r="I58" i="3"/>
  <c r="I57" i="3" a="1"/>
  <c r="I57" i="3" s="1"/>
  <c r="I56" i="3" a="1"/>
  <c r="I56" i="3" s="1"/>
  <c r="I55" i="3" a="1"/>
  <c r="I55" i="3" s="1"/>
  <c r="I54" i="3" a="1"/>
  <c r="I54" i="3" s="1"/>
  <c r="I53" i="3" a="1"/>
  <c r="I53" i="3" s="1"/>
  <c r="I52" i="3" a="1"/>
  <c r="I52" i="3"/>
  <c r="I51" i="3" a="1"/>
  <c r="I51" i="3" s="1"/>
  <c r="I50" i="3" a="1"/>
  <c r="I50" i="3"/>
  <c r="I49" i="3" a="1"/>
  <c r="I49" i="3" s="1"/>
  <c r="I48" i="3" a="1"/>
  <c r="I48" i="3" s="1"/>
  <c r="I47" i="3" a="1"/>
  <c r="I47" i="3" s="1"/>
  <c r="I46" i="3" a="1"/>
  <c r="I46" i="3" s="1"/>
  <c r="I45" i="3" a="1"/>
  <c r="I45" i="3"/>
  <c r="I44" i="3" a="1"/>
  <c r="I44" i="3" s="1"/>
  <c r="I43" i="3" a="1"/>
  <c r="I43" i="3" s="1"/>
  <c r="I42" i="3" a="1"/>
  <c r="I42" i="3" s="1"/>
  <c r="I41" i="3" a="1"/>
  <c r="I41" i="3" s="1"/>
  <c r="I40" i="3" a="1"/>
  <c r="I40" i="3" s="1"/>
  <c r="I39" i="3" a="1"/>
  <c r="I39" i="3" s="1"/>
  <c r="I38" i="3" a="1"/>
  <c r="I38" i="3" s="1"/>
  <c r="I37" i="3" a="1"/>
  <c r="I37" i="3" s="1"/>
  <c r="I36" i="3" a="1"/>
  <c r="I36" i="3" s="1"/>
  <c r="I35" i="3" a="1"/>
  <c r="I35" i="3" s="1"/>
  <c r="I34" i="3" a="1"/>
  <c r="I34" i="3" s="1"/>
  <c r="I33" i="3" a="1"/>
  <c r="I33" i="3" s="1"/>
  <c r="I32" i="3" a="1"/>
  <c r="I32" i="3" s="1"/>
  <c r="I31" i="3" a="1"/>
  <c r="I31" i="3" s="1"/>
  <c r="I30" i="3" a="1"/>
  <c r="I30" i="3" s="1"/>
  <c r="I29" i="3" a="1"/>
  <c r="I29" i="3" s="1"/>
  <c r="I28" i="3" a="1"/>
  <c r="I28" i="3" s="1"/>
  <c r="I27" i="3" a="1"/>
  <c r="I27" i="3" s="1"/>
  <c r="I26" i="3" a="1"/>
  <c r="I26" i="3" s="1"/>
  <c r="I25" i="3" a="1"/>
  <c r="I25" i="3" s="1"/>
  <c r="I24" i="3" a="1"/>
  <c r="I24" i="3"/>
  <c r="I23" i="3" a="1"/>
  <c r="I23" i="3" s="1"/>
  <c r="I22" i="3" a="1"/>
  <c r="I22" i="3" s="1"/>
  <c r="I21" i="3" a="1"/>
  <c r="I21" i="3" s="1"/>
  <c r="I20" i="3" a="1"/>
  <c r="I20" i="3" s="1"/>
  <c r="I19" i="3" a="1"/>
  <c r="I19" i="3" s="1"/>
  <c r="I18" i="3" a="1"/>
  <c r="I18" i="3"/>
  <c r="I17" i="3" a="1"/>
  <c r="I17" i="3" s="1"/>
  <c r="I16" i="3" a="1"/>
  <c r="I16" i="3" s="1"/>
  <c r="I15" i="3" a="1"/>
  <c r="I15" i="3" s="1"/>
  <c r="I14" i="3" a="1"/>
  <c r="I14" i="3" s="1"/>
  <c r="I13" i="3" a="1"/>
  <c r="I13" i="3" s="1"/>
  <c r="I12" i="3" a="1"/>
  <c r="I12" i="3" s="1"/>
  <c r="I11" i="3" a="1"/>
  <c r="I11" i="3" s="1"/>
  <c r="I10" i="3" a="1"/>
  <c r="I10" i="3" s="1"/>
  <c r="I9" i="3" a="1"/>
  <c r="I9" i="3" s="1"/>
  <c r="I8" i="3" a="1"/>
  <c r="I8" i="3" s="1"/>
  <c r="I7" i="3" a="1"/>
  <c r="I7" i="3" s="1"/>
  <c r="I6" i="3" a="1"/>
  <c r="I6" i="3" s="1"/>
  <c r="I5" i="3" a="1"/>
  <c r="I5" i="3" s="1"/>
  <c r="I4" i="3" a="1"/>
  <c r="I4" i="3" s="1"/>
  <c r="I3" i="3" a="1"/>
  <c r="I3" i="3" s="1"/>
  <c r="I2" i="3" a="1"/>
  <c r="I2" i="3" s="1"/>
  <c r="V1368" i="2"/>
  <c r="U1368" i="2" a="1"/>
  <c r="U1368" i="2"/>
  <c r="T1368" i="2"/>
  <c r="R1368" i="2"/>
  <c r="G1368" i="2"/>
  <c r="F1368" i="2"/>
  <c r="E1368" i="2"/>
  <c r="D1368" i="2"/>
  <c r="V1367" i="2"/>
  <c r="U1367" i="2" a="1"/>
  <c r="U1367" i="2" s="1"/>
  <c r="T1367" i="2"/>
  <c r="R1367" i="2"/>
  <c r="K1367" i="2"/>
  <c r="J1367" i="2"/>
  <c r="I1367" i="2"/>
  <c r="E1367" i="2"/>
  <c r="D1367" i="2"/>
  <c r="G1367" i="2" s="1"/>
  <c r="H1367" i="2" s="1"/>
  <c r="V1366" i="2"/>
  <c r="U1366" i="2" a="1"/>
  <c r="U1366" i="2" s="1"/>
  <c r="T1366" i="2"/>
  <c r="R1366" i="2"/>
  <c r="J1366" i="2"/>
  <c r="I1366" i="2"/>
  <c r="H1366" i="2"/>
  <c r="G1366" i="2"/>
  <c r="F1366" i="2"/>
  <c r="E1366" i="2"/>
  <c r="D1366" i="2"/>
  <c r="K1366" i="2" s="1"/>
  <c r="V1365" i="2"/>
  <c r="U1365" i="2" a="1"/>
  <c r="U1365" i="2" s="1"/>
  <c r="T1365" i="2"/>
  <c r="R1365" i="2"/>
  <c r="K1365" i="2"/>
  <c r="J1365" i="2"/>
  <c r="I1365" i="2"/>
  <c r="H1365" i="2"/>
  <c r="G1365" i="2"/>
  <c r="F1365" i="2"/>
  <c r="D1365" i="2"/>
  <c r="E1365" i="2" s="1"/>
  <c r="V1364" i="2"/>
  <c r="U1364" i="2" a="1"/>
  <c r="U1364" i="2" s="1"/>
  <c r="T1364" i="2"/>
  <c r="R1364" i="2"/>
  <c r="D1364" i="2"/>
  <c r="V1363" i="2"/>
  <c r="U1363" i="2" a="1"/>
  <c r="U1363" i="2"/>
  <c r="T1363" i="2"/>
  <c r="R1363" i="2"/>
  <c r="K1363" i="2"/>
  <c r="J1363" i="2"/>
  <c r="E1363" i="2"/>
  <c r="D1363" i="2"/>
  <c r="V1362" i="2"/>
  <c r="U1362" i="2" a="1"/>
  <c r="U1362" i="2" s="1"/>
  <c r="T1362" i="2"/>
  <c r="R1362" i="2"/>
  <c r="J1362" i="2"/>
  <c r="D1362" i="2"/>
  <c r="V1361" i="2"/>
  <c r="U1361" i="2" a="1"/>
  <c r="U1361" i="2"/>
  <c r="T1361" i="2"/>
  <c r="R1361" i="2"/>
  <c r="D1361" i="2"/>
  <c r="V1360" i="2"/>
  <c r="U1360" i="2" a="1"/>
  <c r="U1360" i="2"/>
  <c r="T1360" i="2"/>
  <c r="R1360" i="2"/>
  <c r="D1360" i="2"/>
  <c r="V1359" i="2"/>
  <c r="U1359" i="2" a="1"/>
  <c r="U1359" i="2"/>
  <c r="T1359" i="2"/>
  <c r="R1359" i="2"/>
  <c r="D1359" i="2"/>
  <c r="V1358" i="2"/>
  <c r="U1358" i="2" a="1"/>
  <c r="U1358" i="2" s="1"/>
  <c r="T1358" i="2"/>
  <c r="R1358" i="2"/>
  <c r="K1358" i="2"/>
  <c r="J1358" i="2"/>
  <c r="I1358" i="2"/>
  <c r="H1358" i="2"/>
  <c r="G1358" i="2"/>
  <c r="D1358" i="2"/>
  <c r="V1357" i="2"/>
  <c r="U1357" i="2" a="1"/>
  <c r="U1357" i="2"/>
  <c r="T1357" i="2"/>
  <c r="R1357" i="2"/>
  <c r="D1357" i="2"/>
  <c r="V1356" i="2"/>
  <c r="U1356" i="2" a="1"/>
  <c r="U1356" i="2" s="1"/>
  <c r="T1356" i="2"/>
  <c r="R1356" i="2"/>
  <c r="D1356" i="2"/>
  <c r="V1355" i="2"/>
  <c r="U1355" i="2" a="1"/>
  <c r="U1355" i="2"/>
  <c r="T1355" i="2"/>
  <c r="R1355" i="2"/>
  <c r="D1355" i="2"/>
  <c r="V1354" i="2"/>
  <c r="U1354" i="2" a="1"/>
  <c r="U1354" i="2" s="1"/>
  <c r="T1354" i="2"/>
  <c r="R1354" i="2"/>
  <c r="E1354" i="2"/>
  <c r="F1354" i="2" s="1"/>
  <c r="D1354" i="2"/>
  <c r="V1353" i="2"/>
  <c r="U1353" i="2" a="1"/>
  <c r="U1353" i="2"/>
  <c r="T1353" i="2"/>
  <c r="R1353" i="2"/>
  <c r="D1353" i="2"/>
  <c r="V1352" i="2"/>
  <c r="U1352" i="2" a="1"/>
  <c r="U1352" i="2" s="1"/>
  <c r="T1352" i="2"/>
  <c r="R1352" i="2"/>
  <c r="K1352" i="2"/>
  <c r="J1352" i="2"/>
  <c r="I1352" i="2"/>
  <c r="G1352" i="2"/>
  <c r="H1352" i="2" s="1"/>
  <c r="F1352" i="2"/>
  <c r="E1352" i="2"/>
  <c r="D1352" i="2"/>
  <c r="V1351" i="2"/>
  <c r="U1351" i="2" a="1"/>
  <c r="U1351" i="2"/>
  <c r="T1351" i="2"/>
  <c r="R1351" i="2"/>
  <c r="K1351" i="2"/>
  <c r="J1351" i="2"/>
  <c r="H1351" i="2"/>
  <c r="E1351" i="2"/>
  <c r="G1351" i="2" s="1"/>
  <c r="D1351" i="2"/>
  <c r="V1350" i="2"/>
  <c r="U1350" i="2" a="1"/>
  <c r="U1350" i="2"/>
  <c r="T1350" i="2"/>
  <c r="R1350" i="2"/>
  <c r="D1350" i="2"/>
  <c r="V1349" i="2"/>
  <c r="U1349" i="2" a="1"/>
  <c r="U1349" i="2"/>
  <c r="T1349" i="2"/>
  <c r="R1349" i="2"/>
  <c r="K1349" i="2"/>
  <c r="J1349" i="2"/>
  <c r="D1349" i="2"/>
  <c r="V1348" i="2"/>
  <c r="U1348" i="2" a="1"/>
  <c r="U1348" i="2"/>
  <c r="T1348" i="2"/>
  <c r="R1348" i="2"/>
  <c r="K1348" i="2"/>
  <c r="J1348" i="2"/>
  <c r="E1348" i="2"/>
  <c r="F1348" i="2" s="1"/>
  <c r="D1348" i="2"/>
  <c r="V1347" i="2"/>
  <c r="U1347" i="2" a="1"/>
  <c r="U1347" i="2"/>
  <c r="T1347" i="2"/>
  <c r="R1347" i="2"/>
  <c r="I1347" i="2"/>
  <c r="H1347" i="2"/>
  <c r="G1347" i="2"/>
  <c r="F1347" i="2"/>
  <c r="E1347" i="2"/>
  <c r="D1347" i="2"/>
  <c r="V1346" i="2"/>
  <c r="U1346" i="2" a="1"/>
  <c r="U1346" i="2" s="1"/>
  <c r="T1346" i="2"/>
  <c r="R1346" i="2"/>
  <c r="D1346" i="2"/>
  <c r="V1345" i="2"/>
  <c r="U1345" i="2" a="1"/>
  <c r="U1345" i="2"/>
  <c r="T1345" i="2"/>
  <c r="R1345" i="2"/>
  <c r="E1345" i="2"/>
  <c r="G1345" i="2" s="1"/>
  <c r="D1345" i="2"/>
  <c r="V1344" i="2"/>
  <c r="U1344" i="2" a="1"/>
  <c r="U1344" i="2" s="1"/>
  <c r="T1344" i="2"/>
  <c r="R1344" i="2"/>
  <c r="K1344" i="2"/>
  <c r="J1344" i="2"/>
  <c r="G1344" i="2"/>
  <c r="H1344" i="2" s="1"/>
  <c r="I1344" i="2" s="1"/>
  <c r="E1344" i="2"/>
  <c r="D1344" i="2"/>
  <c r="F1344" i="2" s="1"/>
  <c r="V1343" i="2"/>
  <c r="U1343" i="2" a="1"/>
  <c r="U1343" i="2" s="1"/>
  <c r="T1343" i="2"/>
  <c r="R1343" i="2"/>
  <c r="K1343" i="2"/>
  <c r="J1343" i="2"/>
  <c r="H1343" i="2"/>
  <c r="I1343" i="2" s="1"/>
  <c r="F1343" i="2"/>
  <c r="E1343" i="2"/>
  <c r="G1343" i="2" s="1"/>
  <c r="D1343" i="2"/>
  <c r="V1342" i="2"/>
  <c r="U1342" i="2" a="1"/>
  <c r="U1342" i="2" s="1"/>
  <c r="T1342" i="2"/>
  <c r="R1342" i="2"/>
  <c r="K1342" i="2"/>
  <c r="F1342" i="2"/>
  <c r="E1342" i="2"/>
  <c r="G1342" i="2" s="1"/>
  <c r="D1342" i="2"/>
  <c r="V1341" i="2"/>
  <c r="U1341" i="2" a="1"/>
  <c r="U1341" i="2" s="1"/>
  <c r="T1341" i="2"/>
  <c r="R1341" i="2"/>
  <c r="K1341" i="2"/>
  <c r="J1341" i="2"/>
  <c r="H1341" i="2"/>
  <c r="I1341" i="2" s="1"/>
  <c r="G1341" i="2"/>
  <c r="F1341" i="2"/>
  <c r="E1341" i="2"/>
  <c r="D1341" i="2"/>
  <c r="V1340" i="2"/>
  <c r="U1340" i="2" a="1"/>
  <c r="U1340" i="2" s="1"/>
  <c r="T1340" i="2"/>
  <c r="R1340" i="2"/>
  <c r="E1340" i="2"/>
  <c r="D1340" i="2"/>
  <c r="V1339" i="2"/>
  <c r="U1339" i="2" a="1"/>
  <c r="U1339" i="2"/>
  <c r="T1339" i="2"/>
  <c r="R1339" i="2"/>
  <c r="K1339" i="2"/>
  <c r="J1339" i="2"/>
  <c r="I1339" i="2"/>
  <c r="F1339" i="2"/>
  <c r="D1339" i="2"/>
  <c r="E1339" i="2" s="1"/>
  <c r="G1339" i="2" s="1"/>
  <c r="H1339" i="2" s="1"/>
  <c r="V1338" i="2"/>
  <c r="U1338" i="2" a="1"/>
  <c r="U1338" i="2"/>
  <c r="T1338" i="2"/>
  <c r="R1338" i="2"/>
  <c r="J1338" i="2"/>
  <c r="D1338" i="2"/>
  <c r="V1337" i="2"/>
  <c r="U1337" i="2" a="1"/>
  <c r="U1337" i="2" s="1"/>
  <c r="T1337" i="2"/>
  <c r="R1337" i="2"/>
  <c r="D1337" i="2"/>
  <c r="V1336" i="2"/>
  <c r="U1336" i="2" a="1"/>
  <c r="U1336" i="2"/>
  <c r="T1336" i="2"/>
  <c r="R1336" i="2"/>
  <c r="D1336" i="2"/>
  <c r="V1335" i="2"/>
  <c r="U1335" i="2" a="1"/>
  <c r="U1335" i="2" s="1"/>
  <c r="T1335" i="2"/>
  <c r="R1335" i="2"/>
  <c r="G1335" i="2"/>
  <c r="D1335" i="2"/>
  <c r="V1334" i="2"/>
  <c r="U1334" i="2" a="1"/>
  <c r="U1334" i="2"/>
  <c r="T1334" i="2"/>
  <c r="R1334" i="2"/>
  <c r="K1334" i="2"/>
  <c r="J1334" i="2"/>
  <c r="I1334" i="2"/>
  <c r="G1334" i="2"/>
  <c r="H1334" i="2" s="1"/>
  <c r="E1334" i="2"/>
  <c r="F1334" i="2" s="1"/>
  <c r="D1334" i="2"/>
  <c r="V1333" i="2"/>
  <c r="U1333" i="2" a="1"/>
  <c r="U1333" i="2"/>
  <c r="T1333" i="2"/>
  <c r="R1333" i="2"/>
  <c r="K1333" i="2"/>
  <c r="I1333" i="2"/>
  <c r="G1333" i="2"/>
  <c r="H1333" i="2" s="1"/>
  <c r="D1333" i="2"/>
  <c r="J1333" i="2" s="1"/>
  <c r="V1332" i="2"/>
  <c r="U1332" i="2" a="1"/>
  <c r="U1332" i="2"/>
  <c r="T1332" i="2"/>
  <c r="R1332" i="2"/>
  <c r="J1332" i="2"/>
  <c r="D1332" i="2"/>
  <c r="V1331" i="2"/>
  <c r="U1331" i="2" a="1"/>
  <c r="U1331" i="2"/>
  <c r="T1331" i="2"/>
  <c r="R1331" i="2"/>
  <c r="J1331" i="2"/>
  <c r="I1331" i="2"/>
  <c r="G1331" i="2"/>
  <c r="H1331" i="2" s="1"/>
  <c r="D1331" i="2"/>
  <c r="K1331" i="2" s="1"/>
  <c r="V1330" i="2"/>
  <c r="U1330" i="2" a="1"/>
  <c r="U1330" i="2"/>
  <c r="T1330" i="2"/>
  <c r="R1330" i="2"/>
  <c r="I1330" i="2"/>
  <c r="H1330" i="2"/>
  <c r="G1330" i="2"/>
  <c r="F1330" i="2"/>
  <c r="E1330" i="2"/>
  <c r="D1330" i="2"/>
  <c r="V1329" i="2"/>
  <c r="U1329" i="2" a="1"/>
  <c r="U1329" i="2"/>
  <c r="T1329" i="2"/>
  <c r="R1329" i="2"/>
  <c r="K1329" i="2"/>
  <c r="I1329" i="2"/>
  <c r="H1329" i="2"/>
  <c r="E1329" i="2"/>
  <c r="D1329" i="2"/>
  <c r="G1329" i="2" s="1"/>
  <c r="V1328" i="2"/>
  <c r="U1328" i="2" a="1"/>
  <c r="U1328" i="2" s="1"/>
  <c r="T1328" i="2"/>
  <c r="R1328" i="2"/>
  <c r="D1328" i="2"/>
  <c r="V1327" i="2"/>
  <c r="U1327" i="2" a="1"/>
  <c r="U1327" i="2" s="1"/>
  <c r="T1327" i="2"/>
  <c r="R1327" i="2"/>
  <c r="J1327" i="2"/>
  <c r="I1327" i="2"/>
  <c r="F1327" i="2"/>
  <c r="D1327" i="2"/>
  <c r="E1327" i="2" s="1"/>
  <c r="V1326" i="2"/>
  <c r="U1326" i="2" a="1"/>
  <c r="U1326" i="2"/>
  <c r="T1326" i="2"/>
  <c r="R1326" i="2"/>
  <c r="D1326" i="2"/>
  <c r="V1325" i="2"/>
  <c r="U1325" i="2" a="1"/>
  <c r="U1325" i="2" s="1"/>
  <c r="T1325" i="2"/>
  <c r="R1325" i="2"/>
  <c r="J1325" i="2"/>
  <c r="E1325" i="2"/>
  <c r="D1325" i="2"/>
  <c r="K1325" i="2" s="1"/>
  <c r="V1324" i="2"/>
  <c r="U1324" i="2" a="1"/>
  <c r="U1324" i="2" s="1"/>
  <c r="T1324" i="2"/>
  <c r="R1324" i="2"/>
  <c r="K1324" i="2"/>
  <c r="D1324" i="2"/>
  <c r="V1323" i="2"/>
  <c r="U1323" i="2" a="1"/>
  <c r="U1323" i="2" s="1"/>
  <c r="T1323" i="2"/>
  <c r="R1323" i="2"/>
  <c r="K1323" i="2"/>
  <c r="J1323" i="2"/>
  <c r="G1323" i="2"/>
  <c r="H1323" i="2" s="1"/>
  <c r="I1323" i="2" s="1"/>
  <c r="F1323" i="2"/>
  <c r="E1323" i="2"/>
  <c r="D1323" i="2"/>
  <c r="V1322" i="2"/>
  <c r="U1322" i="2" a="1"/>
  <c r="U1322" i="2" s="1"/>
  <c r="T1322" i="2"/>
  <c r="R1322" i="2"/>
  <c r="K1322" i="2"/>
  <c r="J1322" i="2"/>
  <c r="D1322" i="2"/>
  <c r="V1321" i="2"/>
  <c r="U1321" i="2" a="1"/>
  <c r="U1321" i="2" s="1"/>
  <c r="T1321" i="2"/>
  <c r="R1321" i="2"/>
  <c r="K1321" i="2"/>
  <c r="J1321" i="2"/>
  <c r="G1321" i="2"/>
  <c r="E1321" i="2"/>
  <c r="F1321" i="2" s="1"/>
  <c r="D1321" i="2"/>
  <c r="I1321" i="2" s="1"/>
  <c r="V1320" i="2"/>
  <c r="U1320" i="2" a="1"/>
  <c r="U1320" i="2"/>
  <c r="T1320" i="2"/>
  <c r="R1320" i="2"/>
  <c r="K1320" i="2"/>
  <c r="J1320" i="2"/>
  <c r="I1320" i="2"/>
  <c r="D1320" i="2"/>
  <c r="V1319" i="2"/>
  <c r="U1319" i="2" a="1"/>
  <c r="U1319" i="2"/>
  <c r="T1319" i="2"/>
  <c r="R1319" i="2"/>
  <c r="K1319" i="2"/>
  <c r="G1319" i="2"/>
  <c r="D1319" i="2"/>
  <c r="V1318" i="2"/>
  <c r="U1318" i="2" a="1"/>
  <c r="U1318" i="2"/>
  <c r="T1318" i="2"/>
  <c r="R1318" i="2"/>
  <c r="K1318" i="2"/>
  <c r="J1318" i="2"/>
  <c r="I1318" i="2"/>
  <c r="G1318" i="2"/>
  <c r="H1318" i="2" s="1"/>
  <c r="F1318" i="2"/>
  <c r="E1318" i="2"/>
  <c r="D1318" i="2"/>
  <c r="V1317" i="2"/>
  <c r="U1317" i="2" a="1"/>
  <c r="U1317" i="2"/>
  <c r="T1317" i="2"/>
  <c r="R1317" i="2"/>
  <c r="E1317" i="2"/>
  <c r="F1317" i="2" s="1"/>
  <c r="D1317" i="2"/>
  <c r="V1316" i="2"/>
  <c r="U1316" i="2" a="1"/>
  <c r="U1316" i="2" s="1"/>
  <c r="T1316" i="2"/>
  <c r="R1316" i="2"/>
  <c r="K1316" i="2"/>
  <c r="J1316" i="2"/>
  <c r="E1316" i="2"/>
  <c r="D1316" i="2"/>
  <c r="V1315" i="2"/>
  <c r="U1315" i="2" a="1"/>
  <c r="U1315" i="2"/>
  <c r="T1315" i="2"/>
  <c r="R1315" i="2"/>
  <c r="J1315" i="2"/>
  <c r="H1315" i="2"/>
  <c r="I1315" i="2" s="1"/>
  <c r="G1315" i="2"/>
  <c r="F1315" i="2"/>
  <c r="E1315" i="2"/>
  <c r="D1315" i="2"/>
  <c r="K1315" i="2" s="1"/>
  <c r="V1314" i="2"/>
  <c r="U1314" i="2" a="1"/>
  <c r="U1314" i="2" s="1"/>
  <c r="T1314" i="2"/>
  <c r="R1314" i="2"/>
  <c r="D1314" i="2"/>
  <c r="K1314" i="2" s="1"/>
  <c r="V1313" i="2"/>
  <c r="U1313" i="2" a="1"/>
  <c r="U1313" i="2" s="1"/>
  <c r="T1313" i="2"/>
  <c r="R1313" i="2"/>
  <c r="K1313" i="2"/>
  <c r="J1313" i="2"/>
  <c r="E1313" i="2"/>
  <c r="D1313" i="2"/>
  <c r="V1312" i="2"/>
  <c r="U1312" i="2" a="1"/>
  <c r="U1312" i="2"/>
  <c r="T1312" i="2"/>
  <c r="R1312" i="2"/>
  <c r="J1312" i="2"/>
  <c r="D1312" i="2"/>
  <c r="K1312" i="2" s="1"/>
  <c r="V1311" i="2"/>
  <c r="U1311" i="2" a="1"/>
  <c r="U1311" i="2" s="1"/>
  <c r="T1311" i="2"/>
  <c r="R1311" i="2"/>
  <c r="E1311" i="2"/>
  <c r="D1311" i="2"/>
  <c r="V1310" i="2"/>
  <c r="U1310" i="2" a="1"/>
  <c r="U1310" i="2"/>
  <c r="T1310" i="2"/>
  <c r="R1310" i="2"/>
  <c r="D1310" i="2"/>
  <c r="V1309" i="2"/>
  <c r="U1309" i="2" a="1"/>
  <c r="U1309" i="2" s="1"/>
  <c r="T1309" i="2"/>
  <c r="R1309" i="2"/>
  <c r="I1309" i="2"/>
  <c r="G1309" i="2"/>
  <c r="H1309" i="2" s="1"/>
  <c r="D1309" i="2"/>
  <c r="V1308" i="2"/>
  <c r="U1308" i="2" a="1"/>
  <c r="U1308" i="2"/>
  <c r="T1308" i="2"/>
  <c r="R1308" i="2"/>
  <c r="D1308" i="2"/>
  <c r="V1307" i="2"/>
  <c r="U1307" i="2" a="1"/>
  <c r="U1307" i="2" s="1"/>
  <c r="T1307" i="2"/>
  <c r="R1307" i="2"/>
  <c r="J1307" i="2"/>
  <c r="I1307" i="2"/>
  <c r="D1307" i="2"/>
  <c r="V1306" i="2"/>
  <c r="U1306" i="2" a="1"/>
  <c r="U1306" i="2"/>
  <c r="T1306" i="2"/>
  <c r="R1306" i="2"/>
  <c r="G1306" i="2"/>
  <c r="D1306" i="2"/>
  <c r="V1305" i="2"/>
  <c r="U1305" i="2" a="1"/>
  <c r="U1305" i="2"/>
  <c r="T1305" i="2"/>
  <c r="R1305" i="2"/>
  <c r="K1305" i="2"/>
  <c r="D1305" i="2"/>
  <c r="J1305" i="2" s="1"/>
  <c r="V1304" i="2"/>
  <c r="U1304" i="2" a="1"/>
  <c r="U1304" i="2" s="1"/>
  <c r="T1304" i="2"/>
  <c r="R1304" i="2"/>
  <c r="K1304" i="2"/>
  <c r="H1304" i="2"/>
  <c r="G1304" i="2"/>
  <c r="D1304" i="2"/>
  <c r="V1303" i="2"/>
  <c r="U1303" i="2" a="1"/>
  <c r="U1303" i="2"/>
  <c r="T1303" i="2"/>
  <c r="R1303" i="2"/>
  <c r="D1303" i="2"/>
  <c r="V1302" i="2"/>
  <c r="U1302" i="2" a="1"/>
  <c r="U1302" i="2" s="1"/>
  <c r="T1302" i="2"/>
  <c r="R1302" i="2"/>
  <c r="J1302" i="2"/>
  <c r="I1302" i="2"/>
  <c r="D1302" i="2"/>
  <c r="V1301" i="2"/>
  <c r="U1301" i="2" a="1"/>
  <c r="U1301" i="2"/>
  <c r="T1301" i="2"/>
  <c r="R1301" i="2"/>
  <c r="K1301" i="2"/>
  <c r="J1301" i="2"/>
  <c r="I1301" i="2"/>
  <c r="G1301" i="2"/>
  <c r="H1301" i="2" s="1"/>
  <c r="F1301" i="2"/>
  <c r="E1301" i="2"/>
  <c r="D1301" i="2"/>
  <c r="V1300" i="2"/>
  <c r="U1300" i="2" a="1"/>
  <c r="U1300" i="2" s="1"/>
  <c r="T1300" i="2"/>
  <c r="R1300" i="2"/>
  <c r="K1300" i="2"/>
  <c r="J1300" i="2"/>
  <c r="H1300" i="2"/>
  <c r="G1300" i="2"/>
  <c r="D1300" i="2"/>
  <c r="V1299" i="2"/>
  <c r="U1299" i="2" a="1"/>
  <c r="U1299" i="2" s="1"/>
  <c r="T1299" i="2"/>
  <c r="R1299" i="2"/>
  <c r="D1299" i="2"/>
  <c r="V1298" i="2"/>
  <c r="U1298" i="2" a="1"/>
  <c r="U1298" i="2" s="1"/>
  <c r="T1298" i="2"/>
  <c r="R1298" i="2"/>
  <c r="I1298" i="2"/>
  <c r="D1298" i="2"/>
  <c r="V1297" i="2"/>
  <c r="U1297" i="2" a="1"/>
  <c r="U1297" i="2"/>
  <c r="T1297" i="2"/>
  <c r="R1297" i="2"/>
  <c r="K1297" i="2"/>
  <c r="J1297" i="2"/>
  <c r="I1297" i="2"/>
  <c r="G1297" i="2"/>
  <c r="H1297" i="2" s="1"/>
  <c r="F1297" i="2"/>
  <c r="D1297" i="2"/>
  <c r="E1297" i="2" s="1"/>
  <c r="V1296" i="2"/>
  <c r="U1296" i="2" a="1"/>
  <c r="U1296" i="2"/>
  <c r="T1296" i="2"/>
  <c r="R1296" i="2"/>
  <c r="K1296" i="2"/>
  <c r="J1296" i="2"/>
  <c r="I1296" i="2"/>
  <c r="H1296" i="2"/>
  <c r="G1296" i="2"/>
  <c r="E1296" i="2"/>
  <c r="F1296" i="2" s="1"/>
  <c r="D1296" i="2"/>
  <c r="V1295" i="2"/>
  <c r="U1295" i="2" a="1"/>
  <c r="U1295" i="2"/>
  <c r="T1295" i="2"/>
  <c r="R1295" i="2"/>
  <c r="K1295" i="2"/>
  <c r="J1295" i="2"/>
  <c r="G1295" i="2"/>
  <c r="E1295" i="2"/>
  <c r="D1295" i="2"/>
  <c r="V1294" i="2"/>
  <c r="U1294" i="2" a="1"/>
  <c r="U1294" i="2"/>
  <c r="T1294" i="2"/>
  <c r="R1294" i="2"/>
  <c r="I1294" i="2"/>
  <c r="D1294" i="2"/>
  <c r="V1293" i="2"/>
  <c r="U1293" i="2" a="1"/>
  <c r="U1293" i="2"/>
  <c r="T1293" i="2"/>
  <c r="R1293" i="2"/>
  <c r="K1293" i="2"/>
  <c r="J1293" i="2"/>
  <c r="I1293" i="2"/>
  <c r="G1293" i="2"/>
  <c r="H1293" i="2" s="1"/>
  <c r="D1293" i="2"/>
  <c r="E1293" i="2" s="1"/>
  <c r="F1293" i="2" s="1"/>
  <c r="V1292" i="2"/>
  <c r="U1292" i="2" a="1"/>
  <c r="U1292" i="2"/>
  <c r="T1292" i="2"/>
  <c r="R1292" i="2"/>
  <c r="J1292" i="2"/>
  <c r="I1292" i="2"/>
  <c r="D1292" i="2"/>
  <c r="V1291" i="2"/>
  <c r="U1291" i="2" a="1"/>
  <c r="U1291" i="2" s="1"/>
  <c r="T1291" i="2"/>
  <c r="R1291" i="2"/>
  <c r="I1291" i="2"/>
  <c r="D1291" i="2"/>
  <c r="V1290" i="2"/>
  <c r="U1290" i="2" a="1"/>
  <c r="U1290" i="2"/>
  <c r="T1290" i="2"/>
  <c r="R1290" i="2"/>
  <c r="K1290" i="2"/>
  <c r="J1290" i="2"/>
  <c r="I1290" i="2"/>
  <c r="H1290" i="2"/>
  <c r="G1290" i="2"/>
  <c r="D1290" i="2"/>
  <c r="E1290" i="2" s="1"/>
  <c r="F1290" i="2" s="1"/>
  <c r="V1289" i="2"/>
  <c r="U1289" i="2" a="1"/>
  <c r="U1289" i="2"/>
  <c r="T1289" i="2"/>
  <c r="R1289" i="2"/>
  <c r="D1289" i="2"/>
  <c r="V1288" i="2"/>
  <c r="U1288" i="2" a="1"/>
  <c r="U1288" i="2"/>
  <c r="T1288" i="2"/>
  <c r="R1288" i="2"/>
  <c r="K1288" i="2"/>
  <c r="J1288" i="2"/>
  <c r="I1288" i="2"/>
  <c r="F1288" i="2"/>
  <c r="D1288" i="2"/>
  <c r="V1287" i="2"/>
  <c r="U1287" i="2" a="1"/>
  <c r="U1287" i="2"/>
  <c r="T1287" i="2"/>
  <c r="R1287" i="2"/>
  <c r="K1287" i="2"/>
  <c r="G1287" i="2"/>
  <c r="F1287" i="2"/>
  <c r="D1287" i="2"/>
  <c r="J1287" i="2" s="1"/>
  <c r="V1286" i="2"/>
  <c r="U1286" i="2" a="1"/>
  <c r="U1286" i="2"/>
  <c r="T1286" i="2"/>
  <c r="R1286" i="2"/>
  <c r="K1286" i="2"/>
  <c r="J1286" i="2"/>
  <c r="I1286" i="2"/>
  <c r="G1286" i="2"/>
  <c r="H1286" i="2" s="1"/>
  <c r="F1286" i="2"/>
  <c r="D1286" i="2"/>
  <c r="E1286" i="2" s="1"/>
  <c r="V1285" i="2"/>
  <c r="U1285" i="2" a="1"/>
  <c r="U1285" i="2" s="1"/>
  <c r="T1285" i="2"/>
  <c r="R1285" i="2"/>
  <c r="J1285" i="2"/>
  <c r="I1285" i="2"/>
  <c r="F1285" i="2"/>
  <c r="E1285" i="2"/>
  <c r="D1285" i="2"/>
  <c r="V1284" i="2"/>
  <c r="U1284" i="2" a="1"/>
  <c r="U1284" i="2" s="1"/>
  <c r="T1284" i="2"/>
  <c r="R1284" i="2"/>
  <c r="J1284" i="2"/>
  <c r="I1284" i="2"/>
  <c r="D1284" i="2"/>
  <c r="E1284" i="2" s="1"/>
  <c r="V1283" i="2"/>
  <c r="U1283" i="2" a="1"/>
  <c r="U1283" i="2"/>
  <c r="T1283" i="2"/>
  <c r="R1283" i="2"/>
  <c r="J1283" i="2"/>
  <c r="I1283" i="2"/>
  <c r="H1283" i="2"/>
  <c r="G1283" i="2"/>
  <c r="F1283" i="2"/>
  <c r="E1283" i="2"/>
  <c r="D1283" i="2"/>
  <c r="K1283" i="2" s="1"/>
  <c r="V1282" i="2"/>
  <c r="U1282" i="2" a="1"/>
  <c r="U1282" i="2" s="1"/>
  <c r="T1282" i="2"/>
  <c r="R1282" i="2"/>
  <c r="F1282" i="2"/>
  <c r="D1282" i="2"/>
  <c r="I1282" i="2" s="1"/>
  <c r="V1281" i="2"/>
  <c r="U1281" i="2" a="1"/>
  <c r="U1281" i="2" s="1"/>
  <c r="T1281" i="2"/>
  <c r="R1281" i="2"/>
  <c r="K1281" i="2"/>
  <c r="J1281" i="2"/>
  <c r="I1281" i="2"/>
  <c r="H1281" i="2"/>
  <c r="G1281" i="2"/>
  <c r="F1281" i="2"/>
  <c r="E1281" i="2"/>
  <c r="D1281" i="2"/>
  <c r="V1280" i="2"/>
  <c r="U1280" i="2" a="1"/>
  <c r="U1280" i="2" s="1"/>
  <c r="T1280" i="2"/>
  <c r="R1280" i="2"/>
  <c r="J1280" i="2"/>
  <c r="D1280" i="2"/>
  <c r="V1279" i="2"/>
  <c r="U1279" i="2" a="1"/>
  <c r="U1279" i="2" s="1"/>
  <c r="T1279" i="2"/>
  <c r="R1279" i="2"/>
  <c r="K1279" i="2"/>
  <c r="J1279" i="2"/>
  <c r="I1279" i="2"/>
  <c r="G1279" i="2"/>
  <c r="H1279" i="2" s="1"/>
  <c r="F1279" i="2"/>
  <c r="E1279" i="2"/>
  <c r="D1279" i="2"/>
  <c r="V1278" i="2"/>
  <c r="U1278" i="2" a="1"/>
  <c r="U1278" i="2"/>
  <c r="T1278" i="2"/>
  <c r="R1278" i="2"/>
  <c r="K1278" i="2"/>
  <c r="J1278" i="2"/>
  <c r="D1278" i="2"/>
  <c r="V1277" i="2"/>
  <c r="U1277" i="2" a="1"/>
  <c r="U1277" i="2"/>
  <c r="T1277" i="2"/>
  <c r="R1277" i="2"/>
  <c r="K1277" i="2"/>
  <c r="D1277" i="2"/>
  <c r="V1276" i="2"/>
  <c r="U1276" i="2" a="1"/>
  <c r="U1276" i="2"/>
  <c r="T1276" i="2"/>
  <c r="R1276" i="2"/>
  <c r="K1276" i="2"/>
  <c r="J1276" i="2"/>
  <c r="I1276" i="2"/>
  <c r="H1276" i="2"/>
  <c r="G1276" i="2"/>
  <c r="F1276" i="2"/>
  <c r="D1276" i="2"/>
  <c r="E1276" i="2" s="1"/>
  <c r="V1275" i="2"/>
  <c r="U1275" i="2" a="1"/>
  <c r="U1275" i="2"/>
  <c r="T1275" i="2"/>
  <c r="R1275" i="2"/>
  <c r="E1275" i="2"/>
  <c r="D1275" i="2"/>
  <c r="V1274" i="2"/>
  <c r="U1274" i="2" a="1"/>
  <c r="U1274" i="2"/>
  <c r="T1274" i="2"/>
  <c r="R1274" i="2"/>
  <c r="G1274" i="2"/>
  <c r="D1274" i="2"/>
  <c r="V1273" i="2"/>
  <c r="U1273" i="2" a="1"/>
  <c r="U1273" i="2"/>
  <c r="T1273" i="2"/>
  <c r="R1273" i="2"/>
  <c r="D1273" i="2"/>
  <c r="V1272" i="2"/>
  <c r="U1272" i="2" a="1"/>
  <c r="U1272" i="2" s="1"/>
  <c r="T1272" i="2"/>
  <c r="R1272" i="2"/>
  <c r="K1272" i="2"/>
  <c r="I1272" i="2"/>
  <c r="H1272" i="2"/>
  <c r="D1272" i="2"/>
  <c r="G1272" i="2" s="1"/>
  <c r="V1271" i="2"/>
  <c r="U1271" i="2" a="1"/>
  <c r="U1271" i="2" s="1"/>
  <c r="T1271" i="2"/>
  <c r="R1271" i="2"/>
  <c r="F1271" i="2"/>
  <c r="D1271" i="2"/>
  <c r="J1271" i="2" s="1"/>
  <c r="V1270" i="2"/>
  <c r="U1270" i="2" a="1"/>
  <c r="U1270" i="2"/>
  <c r="T1270" i="2"/>
  <c r="R1270" i="2"/>
  <c r="J1270" i="2"/>
  <c r="E1270" i="2"/>
  <c r="D1270" i="2"/>
  <c r="K1270" i="2" s="1"/>
  <c r="V1269" i="2"/>
  <c r="U1269" i="2" a="1"/>
  <c r="U1269" i="2" s="1"/>
  <c r="T1269" i="2"/>
  <c r="R1269" i="2"/>
  <c r="K1269" i="2"/>
  <c r="J1269" i="2"/>
  <c r="D1269" i="2"/>
  <c r="V1268" i="2"/>
  <c r="U1268" i="2" a="1"/>
  <c r="U1268" i="2"/>
  <c r="T1268" i="2"/>
  <c r="R1268" i="2"/>
  <c r="K1268" i="2"/>
  <c r="J1268" i="2"/>
  <c r="I1268" i="2"/>
  <c r="G1268" i="2"/>
  <c r="H1268" i="2" s="1"/>
  <c r="E1268" i="2"/>
  <c r="F1268" i="2" s="1"/>
  <c r="D1268" i="2"/>
  <c r="V1267" i="2"/>
  <c r="U1267" i="2" a="1"/>
  <c r="U1267" i="2"/>
  <c r="T1267" i="2"/>
  <c r="R1267" i="2"/>
  <c r="K1267" i="2"/>
  <c r="D1267" i="2"/>
  <c r="V1266" i="2"/>
  <c r="U1266" i="2" a="1"/>
  <c r="U1266" i="2"/>
  <c r="T1266" i="2"/>
  <c r="R1266" i="2"/>
  <c r="I1266" i="2"/>
  <c r="D1266" i="2"/>
  <c r="V1265" i="2"/>
  <c r="U1265" i="2" a="1"/>
  <c r="U1265" i="2" s="1"/>
  <c r="T1265" i="2"/>
  <c r="R1265" i="2"/>
  <c r="K1265" i="2"/>
  <c r="G1265" i="2"/>
  <c r="H1265" i="2" s="1"/>
  <c r="D1265" i="2"/>
  <c r="J1265" i="2" s="1"/>
  <c r="V1264" i="2"/>
  <c r="U1264" i="2" a="1"/>
  <c r="U1264" i="2" s="1"/>
  <c r="T1264" i="2"/>
  <c r="R1264" i="2"/>
  <c r="K1264" i="2"/>
  <c r="F1264" i="2"/>
  <c r="E1264" i="2"/>
  <c r="D1264" i="2"/>
  <c r="J1264" i="2" s="1"/>
  <c r="V1263" i="2"/>
  <c r="U1263" i="2" a="1"/>
  <c r="U1263" i="2" s="1"/>
  <c r="T1263" i="2"/>
  <c r="R1263" i="2"/>
  <c r="K1263" i="2"/>
  <c r="J1263" i="2"/>
  <c r="E1263" i="2"/>
  <c r="D1263" i="2"/>
  <c r="I1263" i="2" s="1"/>
  <c r="V1262" i="2"/>
  <c r="U1262" i="2" a="1"/>
  <c r="U1262" i="2"/>
  <c r="T1262" i="2"/>
  <c r="R1262" i="2"/>
  <c r="K1262" i="2"/>
  <c r="J1262" i="2"/>
  <c r="I1262" i="2"/>
  <c r="G1262" i="2"/>
  <c r="H1262" i="2" s="1"/>
  <c r="D1262" i="2"/>
  <c r="E1262" i="2" s="1"/>
  <c r="V1261" i="2"/>
  <c r="U1261" i="2" a="1"/>
  <c r="U1261" i="2"/>
  <c r="T1261" i="2"/>
  <c r="R1261" i="2"/>
  <c r="E1261" i="2"/>
  <c r="D1261" i="2"/>
  <c r="V1260" i="2"/>
  <c r="U1260" i="2" a="1"/>
  <c r="U1260" i="2"/>
  <c r="T1260" i="2"/>
  <c r="R1260" i="2"/>
  <c r="K1260" i="2"/>
  <c r="D1260" i="2"/>
  <c r="V1259" i="2"/>
  <c r="U1259" i="2" a="1"/>
  <c r="U1259" i="2"/>
  <c r="T1259" i="2"/>
  <c r="R1259" i="2"/>
  <c r="K1259" i="2"/>
  <c r="H1259" i="2"/>
  <c r="G1259" i="2"/>
  <c r="D1259" i="2"/>
  <c r="V1258" i="2"/>
  <c r="U1258" i="2" a="1"/>
  <c r="U1258" i="2" s="1"/>
  <c r="T1258" i="2"/>
  <c r="R1258" i="2"/>
  <c r="K1258" i="2"/>
  <c r="J1258" i="2"/>
  <c r="D1258" i="2"/>
  <c r="V1257" i="2"/>
  <c r="U1257" i="2" a="1"/>
  <c r="U1257" i="2" s="1"/>
  <c r="T1257" i="2"/>
  <c r="R1257" i="2"/>
  <c r="K1257" i="2"/>
  <c r="J1257" i="2"/>
  <c r="G1257" i="2"/>
  <c r="H1257" i="2" s="1"/>
  <c r="I1257" i="2" s="1"/>
  <c r="F1257" i="2"/>
  <c r="E1257" i="2"/>
  <c r="D1257" i="2"/>
  <c r="V1256" i="2"/>
  <c r="U1256" i="2" a="1"/>
  <c r="U1256" i="2"/>
  <c r="T1256" i="2"/>
  <c r="R1256" i="2"/>
  <c r="K1256" i="2"/>
  <c r="D1256" i="2"/>
  <c r="V1255" i="2"/>
  <c r="U1255" i="2" a="1"/>
  <c r="U1255" i="2" s="1"/>
  <c r="T1255" i="2"/>
  <c r="R1255" i="2"/>
  <c r="J1255" i="2"/>
  <c r="D1255" i="2"/>
  <c r="V1254" i="2"/>
  <c r="U1254" i="2" a="1"/>
  <c r="U1254" i="2" s="1"/>
  <c r="T1254" i="2"/>
  <c r="R1254" i="2"/>
  <c r="K1254" i="2"/>
  <c r="J1254" i="2"/>
  <c r="F1254" i="2"/>
  <c r="E1254" i="2"/>
  <c r="G1254" i="2" s="1"/>
  <c r="H1254" i="2" s="1"/>
  <c r="I1254" i="2" s="1"/>
  <c r="D1254" i="2"/>
  <c r="V1253" i="2"/>
  <c r="U1253" i="2" a="1"/>
  <c r="U1253" i="2" s="1"/>
  <c r="T1253" i="2"/>
  <c r="R1253" i="2"/>
  <c r="K1253" i="2"/>
  <c r="J1253" i="2"/>
  <c r="E1253" i="2"/>
  <c r="D1253" i="2"/>
  <c r="V1252" i="2"/>
  <c r="U1252" i="2" a="1"/>
  <c r="U1252" i="2"/>
  <c r="T1252" i="2"/>
  <c r="R1252" i="2"/>
  <c r="K1252" i="2"/>
  <c r="G1252" i="2"/>
  <c r="E1252" i="2"/>
  <c r="D1252" i="2"/>
  <c r="V1251" i="2"/>
  <c r="U1251" i="2" a="1"/>
  <c r="U1251" i="2"/>
  <c r="T1251" i="2"/>
  <c r="R1251" i="2"/>
  <c r="J1251" i="2"/>
  <c r="D1251" i="2"/>
  <c r="V1250" i="2"/>
  <c r="U1250" i="2" a="1"/>
  <c r="U1250" i="2" s="1"/>
  <c r="T1250" i="2"/>
  <c r="R1250" i="2"/>
  <c r="K1250" i="2"/>
  <c r="J1250" i="2"/>
  <c r="E1250" i="2"/>
  <c r="D1250" i="2"/>
  <c r="V1249" i="2"/>
  <c r="U1249" i="2" a="1"/>
  <c r="U1249" i="2" s="1"/>
  <c r="T1249" i="2"/>
  <c r="R1249" i="2"/>
  <c r="D1249" i="2"/>
  <c r="V1248" i="2"/>
  <c r="U1248" i="2" a="1"/>
  <c r="U1248" i="2"/>
  <c r="T1248" i="2"/>
  <c r="R1248" i="2"/>
  <c r="J1248" i="2"/>
  <c r="G1248" i="2"/>
  <c r="H1248" i="2" s="1"/>
  <c r="I1248" i="2" s="1"/>
  <c r="E1248" i="2"/>
  <c r="F1248" i="2" s="1"/>
  <c r="D1248" i="2"/>
  <c r="K1248" i="2" s="1"/>
  <c r="V1247" i="2"/>
  <c r="U1247" i="2" a="1"/>
  <c r="U1247" i="2" s="1"/>
  <c r="T1247" i="2"/>
  <c r="R1247" i="2"/>
  <c r="J1247" i="2"/>
  <c r="D1247" i="2"/>
  <c r="V1246" i="2"/>
  <c r="U1246" i="2" a="1"/>
  <c r="U1246" i="2"/>
  <c r="T1246" i="2"/>
  <c r="R1246" i="2"/>
  <c r="K1246" i="2"/>
  <c r="J1246" i="2"/>
  <c r="D1246" i="2"/>
  <c r="E1246" i="2" s="1"/>
  <c r="V1245" i="2"/>
  <c r="U1245" i="2" a="1"/>
  <c r="U1245" i="2"/>
  <c r="T1245" i="2"/>
  <c r="R1245" i="2"/>
  <c r="K1245" i="2"/>
  <c r="J1245" i="2"/>
  <c r="D1245" i="2"/>
  <c r="V1244" i="2"/>
  <c r="U1244" i="2" a="1"/>
  <c r="U1244" i="2" s="1"/>
  <c r="T1244" i="2"/>
  <c r="R1244" i="2"/>
  <c r="J1244" i="2"/>
  <c r="I1244" i="2"/>
  <c r="D1244" i="2"/>
  <c r="V1243" i="2"/>
  <c r="U1243" i="2" a="1"/>
  <c r="U1243" i="2"/>
  <c r="T1243" i="2"/>
  <c r="R1243" i="2"/>
  <c r="K1243" i="2"/>
  <c r="E1243" i="2"/>
  <c r="G1243" i="2" s="1"/>
  <c r="H1243" i="2" s="1"/>
  <c r="I1243" i="2" s="1"/>
  <c r="D1243" i="2"/>
  <c r="J1243" i="2" s="1"/>
  <c r="V1242" i="2"/>
  <c r="U1242" i="2" a="1"/>
  <c r="U1242" i="2" s="1"/>
  <c r="T1242" i="2"/>
  <c r="R1242" i="2"/>
  <c r="G1242" i="2"/>
  <c r="E1242" i="2"/>
  <c r="D1242" i="2"/>
  <c r="V1241" i="2"/>
  <c r="U1241" i="2" a="1"/>
  <c r="U1241" i="2" s="1"/>
  <c r="T1241" i="2"/>
  <c r="R1241" i="2"/>
  <c r="K1241" i="2"/>
  <c r="J1241" i="2"/>
  <c r="I1241" i="2"/>
  <c r="H1241" i="2"/>
  <c r="G1241" i="2"/>
  <c r="F1241" i="2"/>
  <c r="E1241" i="2"/>
  <c r="D1241" i="2"/>
  <c r="V1240" i="2"/>
  <c r="U1240" i="2" a="1"/>
  <c r="U1240" i="2" s="1"/>
  <c r="T1240" i="2"/>
  <c r="R1240" i="2"/>
  <c r="K1240" i="2"/>
  <c r="J1240" i="2"/>
  <c r="I1240" i="2"/>
  <c r="G1240" i="2"/>
  <c r="H1240" i="2" s="1"/>
  <c r="F1240" i="2"/>
  <c r="D1240" i="2"/>
  <c r="E1240" i="2" s="1"/>
  <c r="V1239" i="2"/>
  <c r="U1239" i="2" a="1"/>
  <c r="U1239" i="2" s="1"/>
  <c r="T1239" i="2"/>
  <c r="R1239" i="2"/>
  <c r="K1239" i="2"/>
  <c r="J1239" i="2"/>
  <c r="I1239" i="2"/>
  <c r="H1239" i="2"/>
  <c r="G1239" i="2"/>
  <c r="F1239" i="2"/>
  <c r="E1239" i="2"/>
  <c r="D1239" i="2"/>
  <c r="V1238" i="2"/>
  <c r="U1238" i="2" a="1"/>
  <c r="U1238" i="2" s="1"/>
  <c r="T1238" i="2"/>
  <c r="R1238" i="2"/>
  <c r="K1238" i="2"/>
  <c r="F1238" i="2"/>
  <c r="E1238" i="2"/>
  <c r="D1238" i="2"/>
  <c r="V1237" i="2"/>
  <c r="U1237" i="2" a="1"/>
  <c r="U1237" i="2"/>
  <c r="T1237" i="2"/>
  <c r="R1237" i="2"/>
  <c r="D1237" i="2"/>
  <c r="V1236" i="2"/>
  <c r="U1236" i="2" a="1"/>
  <c r="U1236" i="2"/>
  <c r="T1236" i="2"/>
  <c r="R1236" i="2"/>
  <c r="D1236" i="2"/>
  <c r="V1235" i="2"/>
  <c r="U1235" i="2" a="1"/>
  <c r="U1235" i="2"/>
  <c r="T1235" i="2"/>
  <c r="R1235" i="2"/>
  <c r="E1235" i="2"/>
  <c r="D1235" i="2"/>
  <c r="V1234" i="2"/>
  <c r="U1234" i="2" a="1"/>
  <c r="U1234" i="2" s="1"/>
  <c r="T1234" i="2"/>
  <c r="R1234" i="2"/>
  <c r="D1234" i="2"/>
  <c r="V1233" i="2"/>
  <c r="U1233" i="2" a="1"/>
  <c r="U1233" i="2"/>
  <c r="T1233" i="2"/>
  <c r="R1233" i="2"/>
  <c r="D1233" i="2"/>
  <c r="V1232" i="2"/>
  <c r="U1232" i="2" a="1"/>
  <c r="U1232" i="2"/>
  <c r="T1232" i="2"/>
  <c r="R1232" i="2"/>
  <c r="K1232" i="2"/>
  <c r="E1232" i="2"/>
  <c r="D1232" i="2"/>
  <c r="G1232" i="2" s="1"/>
  <c r="H1232" i="2" s="1"/>
  <c r="I1232" i="2" s="1"/>
  <c r="V1231" i="2"/>
  <c r="U1231" i="2" a="1"/>
  <c r="U1231" i="2"/>
  <c r="T1231" i="2"/>
  <c r="R1231" i="2"/>
  <c r="D1231" i="2"/>
  <c r="V1230" i="2"/>
  <c r="U1230" i="2" a="1"/>
  <c r="U1230" i="2" s="1"/>
  <c r="T1230" i="2"/>
  <c r="R1230" i="2"/>
  <c r="G1230" i="2"/>
  <c r="E1230" i="2"/>
  <c r="F1230" i="2" s="1"/>
  <c r="D1230" i="2"/>
  <c r="V1229" i="2"/>
  <c r="U1229" i="2" a="1"/>
  <c r="U1229" i="2"/>
  <c r="T1229" i="2"/>
  <c r="R1229" i="2"/>
  <c r="K1229" i="2"/>
  <c r="J1229" i="2"/>
  <c r="F1229" i="2"/>
  <c r="D1229" i="2"/>
  <c r="E1229" i="2" s="1"/>
  <c r="V1228" i="2"/>
  <c r="U1228" i="2" a="1"/>
  <c r="U1228" i="2" s="1"/>
  <c r="T1228" i="2"/>
  <c r="R1228" i="2"/>
  <c r="D1228" i="2"/>
  <c r="V1227" i="2"/>
  <c r="U1227" i="2" a="1"/>
  <c r="U1227" i="2" s="1"/>
  <c r="T1227" i="2"/>
  <c r="R1227" i="2"/>
  <c r="J1227" i="2"/>
  <c r="D1227" i="2"/>
  <c r="V1226" i="2"/>
  <c r="U1226" i="2" a="1"/>
  <c r="U1226" i="2"/>
  <c r="T1226" i="2"/>
  <c r="R1226" i="2"/>
  <c r="D1226" i="2"/>
  <c r="V1225" i="2"/>
  <c r="U1225" i="2" a="1"/>
  <c r="U1225" i="2" s="1"/>
  <c r="T1225" i="2"/>
  <c r="R1225" i="2"/>
  <c r="K1225" i="2"/>
  <c r="E1225" i="2"/>
  <c r="D1225" i="2"/>
  <c r="V1224" i="2"/>
  <c r="U1224" i="2" a="1"/>
  <c r="U1224" i="2" s="1"/>
  <c r="T1224" i="2"/>
  <c r="R1224" i="2"/>
  <c r="K1224" i="2"/>
  <c r="J1224" i="2"/>
  <c r="E1224" i="2"/>
  <c r="D1224" i="2"/>
  <c r="V1223" i="2"/>
  <c r="U1223" i="2" a="1"/>
  <c r="U1223" i="2" s="1"/>
  <c r="T1223" i="2"/>
  <c r="R1223" i="2"/>
  <c r="D1223" i="2"/>
  <c r="V1222" i="2"/>
  <c r="U1222" i="2" a="1"/>
  <c r="U1222" i="2"/>
  <c r="T1222" i="2"/>
  <c r="R1222" i="2"/>
  <c r="K1222" i="2"/>
  <c r="J1222" i="2"/>
  <c r="I1222" i="2"/>
  <c r="G1222" i="2"/>
  <c r="H1222" i="2" s="1"/>
  <c r="F1222" i="2"/>
  <c r="E1222" i="2"/>
  <c r="D1222" i="2"/>
  <c r="V1221" i="2"/>
  <c r="U1221" i="2" a="1"/>
  <c r="U1221" i="2"/>
  <c r="T1221" i="2"/>
  <c r="R1221" i="2"/>
  <c r="K1221" i="2"/>
  <c r="J1221" i="2"/>
  <c r="E1221" i="2"/>
  <c r="D1221" i="2"/>
  <c r="V1220" i="2"/>
  <c r="U1220" i="2" a="1"/>
  <c r="U1220" i="2"/>
  <c r="T1220" i="2"/>
  <c r="R1220" i="2"/>
  <c r="K1220" i="2"/>
  <c r="G1220" i="2"/>
  <c r="F1220" i="2"/>
  <c r="E1220" i="2"/>
  <c r="D1220" i="2"/>
  <c r="V1219" i="2"/>
  <c r="U1219" i="2" a="1"/>
  <c r="U1219" i="2" s="1"/>
  <c r="T1219" i="2"/>
  <c r="R1219" i="2"/>
  <c r="J1219" i="2"/>
  <c r="I1219" i="2"/>
  <c r="H1219" i="2"/>
  <c r="G1219" i="2"/>
  <c r="D1219" i="2"/>
  <c r="V1218" i="2"/>
  <c r="U1218" i="2" a="1"/>
  <c r="U1218" i="2" s="1"/>
  <c r="T1218" i="2"/>
  <c r="R1218" i="2"/>
  <c r="K1218" i="2"/>
  <c r="J1218" i="2"/>
  <c r="I1218" i="2"/>
  <c r="G1218" i="2"/>
  <c r="H1218" i="2" s="1"/>
  <c r="E1218" i="2"/>
  <c r="F1218" i="2" s="1"/>
  <c r="D1218" i="2"/>
  <c r="V1217" i="2"/>
  <c r="U1217" i="2" a="1"/>
  <c r="U1217" i="2"/>
  <c r="T1217" i="2"/>
  <c r="R1217" i="2"/>
  <c r="K1217" i="2"/>
  <c r="J1217" i="2"/>
  <c r="I1217" i="2"/>
  <c r="H1217" i="2"/>
  <c r="G1217" i="2"/>
  <c r="F1217" i="2"/>
  <c r="E1217" i="2"/>
  <c r="D1217" i="2"/>
  <c r="V1216" i="2"/>
  <c r="U1216" i="2" a="1"/>
  <c r="U1216" i="2" s="1"/>
  <c r="T1216" i="2"/>
  <c r="R1216" i="2"/>
  <c r="I1216" i="2"/>
  <c r="G1216" i="2"/>
  <c r="D1216" i="2"/>
  <c r="V1215" i="2"/>
  <c r="U1215" i="2" a="1"/>
  <c r="U1215" i="2"/>
  <c r="T1215" i="2"/>
  <c r="R1215" i="2"/>
  <c r="J1215" i="2"/>
  <c r="I1215" i="2"/>
  <c r="D1215" i="2"/>
  <c r="V1214" i="2"/>
  <c r="U1214" i="2" a="1"/>
  <c r="U1214" i="2"/>
  <c r="T1214" i="2"/>
  <c r="R1214" i="2"/>
  <c r="K1214" i="2"/>
  <c r="J1214" i="2"/>
  <c r="I1214" i="2"/>
  <c r="E1214" i="2"/>
  <c r="D1214" i="2"/>
  <c r="G1214" i="2" s="1"/>
  <c r="H1214" i="2" s="1"/>
  <c r="V1213" i="2"/>
  <c r="U1213" i="2" a="1"/>
  <c r="U1213" i="2"/>
  <c r="T1213" i="2"/>
  <c r="R1213" i="2"/>
  <c r="E1213" i="2"/>
  <c r="D1213" i="2"/>
  <c r="V1212" i="2"/>
  <c r="U1212" i="2" a="1"/>
  <c r="U1212" i="2"/>
  <c r="T1212" i="2"/>
  <c r="R1212" i="2"/>
  <c r="D1212" i="2"/>
  <c r="V1211" i="2"/>
  <c r="U1211" i="2" a="1"/>
  <c r="U1211" i="2"/>
  <c r="T1211" i="2"/>
  <c r="R1211" i="2"/>
  <c r="H1211" i="2"/>
  <c r="E1211" i="2"/>
  <c r="F1211" i="2" s="1"/>
  <c r="D1211" i="2"/>
  <c r="G1211" i="2" s="1"/>
  <c r="V1210" i="2"/>
  <c r="U1210" i="2" a="1"/>
  <c r="U1210" i="2"/>
  <c r="T1210" i="2"/>
  <c r="R1210" i="2"/>
  <c r="E1210" i="2"/>
  <c r="D1210" i="2"/>
  <c r="V1209" i="2"/>
  <c r="U1209" i="2" a="1"/>
  <c r="U1209" i="2"/>
  <c r="T1209" i="2"/>
  <c r="R1209" i="2"/>
  <c r="G1209" i="2"/>
  <c r="F1209" i="2"/>
  <c r="E1209" i="2"/>
  <c r="D1209" i="2"/>
  <c r="K1209" i="2" s="1"/>
  <c r="V1208" i="2"/>
  <c r="U1208" i="2" a="1"/>
  <c r="U1208" i="2" s="1"/>
  <c r="T1208" i="2"/>
  <c r="R1208" i="2"/>
  <c r="E1208" i="2"/>
  <c r="D1208" i="2"/>
  <c r="V1207" i="2"/>
  <c r="U1207" i="2" a="1"/>
  <c r="U1207" i="2"/>
  <c r="T1207" i="2"/>
  <c r="R1207" i="2"/>
  <c r="G1207" i="2"/>
  <c r="H1207" i="2" s="1"/>
  <c r="F1207" i="2"/>
  <c r="D1207" i="2"/>
  <c r="E1207" i="2" s="1"/>
  <c r="V1206" i="2"/>
  <c r="U1206" i="2" a="1"/>
  <c r="U1206" i="2"/>
  <c r="T1206" i="2"/>
  <c r="R1206" i="2"/>
  <c r="K1206" i="2"/>
  <c r="J1206" i="2"/>
  <c r="I1206" i="2"/>
  <c r="G1206" i="2"/>
  <c r="H1206" i="2" s="1"/>
  <c r="D1206" i="2"/>
  <c r="V1205" i="2"/>
  <c r="U1205" i="2" a="1"/>
  <c r="U1205" i="2"/>
  <c r="T1205" i="2"/>
  <c r="R1205" i="2"/>
  <c r="J1205" i="2"/>
  <c r="D1205" i="2"/>
  <c r="V1204" i="2"/>
  <c r="U1204" i="2" a="1"/>
  <c r="U1204" i="2"/>
  <c r="T1204" i="2"/>
  <c r="R1204" i="2"/>
  <c r="K1204" i="2"/>
  <c r="D1204" i="2"/>
  <c r="J1204" i="2" s="1"/>
  <c r="V1203" i="2"/>
  <c r="U1203" i="2" a="1"/>
  <c r="U1203" i="2"/>
  <c r="T1203" i="2"/>
  <c r="R1203" i="2"/>
  <c r="H1203" i="2"/>
  <c r="G1203" i="2"/>
  <c r="D1203" i="2"/>
  <c r="V1202" i="2"/>
  <c r="U1202" i="2" a="1"/>
  <c r="U1202" i="2" s="1"/>
  <c r="T1202" i="2"/>
  <c r="R1202" i="2"/>
  <c r="K1202" i="2"/>
  <c r="J1202" i="2"/>
  <c r="I1202" i="2"/>
  <c r="H1202" i="2"/>
  <c r="G1202" i="2"/>
  <c r="E1202" i="2"/>
  <c r="F1202" i="2" s="1"/>
  <c r="D1202" i="2"/>
  <c r="V1201" i="2"/>
  <c r="U1201" i="2" a="1"/>
  <c r="U1201" i="2" s="1"/>
  <c r="T1201" i="2"/>
  <c r="R1201" i="2"/>
  <c r="D1201" i="2"/>
  <c r="V1200" i="2"/>
  <c r="U1200" i="2" a="1"/>
  <c r="U1200" i="2" s="1"/>
  <c r="T1200" i="2"/>
  <c r="R1200" i="2"/>
  <c r="K1200" i="2"/>
  <c r="J1200" i="2"/>
  <c r="I1200" i="2"/>
  <c r="G1200" i="2"/>
  <c r="D1200" i="2"/>
  <c r="E1200" i="2" s="1"/>
  <c r="F1200" i="2" s="1"/>
  <c r="V1199" i="2"/>
  <c r="U1199" i="2" a="1"/>
  <c r="U1199" i="2" s="1"/>
  <c r="T1199" i="2"/>
  <c r="R1199" i="2"/>
  <c r="K1199" i="2"/>
  <c r="J1199" i="2"/>
  <c r="E1199" i="2"/>
  <c r="D1199" i="2"/>
  <c r="V1198" i="2"/>
  <c r="U1198" i="2" a="1"/>
  <c r="U1198" i="2" s="1"/>
  <c r="T1198" i="2"/>
  <c r="R1198" i="2"/>
  <c r="K1198" i="2"/>
  <c r="J1198" i="2"/>
  <c r="D1198" i="2"/>
  <c r="V1197" i="2"/>
  <c r="U1197" i="2" a="1"/>
  <c r="U1197" i="2"/>
  <c r="T1197" i="2"/>
  <c r="R1197" i="2"/>
  <c r="K1197" i="2"/>
  <c r="J1197" i="2"/>
  <c r="D1197" i="2"/>
  <c r="V1196" i="2"/>
  <c r="U1196" i="2" a="1"/>
  <c r="U1196" i="2" s="1"/>
  <c r="T1196" i="2"/>
  <c r="R1196" i="2"/>
  <c r="K1196" i="2"/>
  <c r="J1196" i="2"/>
  <c r="G1196" i="2"/>
  <c r="H1196" i="2" s="1"/>
  <c r="I1196" i="2" s="1"/>
  <c r="E1196" i="2"/>
  <c r="F1196" i="2" s="1"/>
  <c r="D1196" i="2"/>
  <c r="V1195" i="2"/>
  <c r="U1195" i="2" a="1"/>
  <c r="U1195" i="2" s="1"/>
  <c r="T1195" i="2"/>
  <c r="R1195" i="2"/>
  <c r="E1195" i="2"/>
  <c r="F1195" i="2" s="1"/>
  <c r="D1195" i="2"/>
  <c r="V1194" i="2"/>
  <c r="U1194" i="2" a="1"/>
  <c r="U1194" i="2" s="1"/>
  <c r="T1194" i="2"/>
  <c r="R1194" i="2"/>
  <c r="J1194" i="2"/>
  <c r="D1194" i="2"/>
  <c r="V1193" i="2"/>
  <c r="U1193" i="2" a="1"/>
  <c r="U1193" i="2"/>
  <c r="T1193" i="2"/>
  <c r="R1193" i="2"/>
  <c r="J1193" i="2"/>
  <c r="E1193" i="2"/>
  <c r="D1193" i="2"/>
  <c r="V1192" i="2"/>
  <c r="U1192" i="2" a="1"/>
  <c r="U1192" i="2" s="1"/>
  <c r="T1192" i="2"/>
  <c r="R1192" i="2"/>
  <c r="J1192" i="2"/>
  <c r="D1192" i="2"/>
  <c r="V1191" i="2"/>
  <c r="U1191" i="2" a="1"/>
  <c r="U1191" i="2"/>
  <c r="T1191" i="2"/>
  <c r="R1191" i="2"/>
  <c r="J1191" i="2"/>
  <c r="H1191" i="2"/>
  <c r="I1191" i="2" s="1"/>
  <c r="F1191" i="2"/>
  <c r="E1191" i="2"/>
  <c r="G1191" i="2" s="1"/>
  <c r="D1191" i="2"/>
  <c r="K1191" i="2" s="1"/>
  <c r="V1190" i="2"/>
  <c r="U1190" i="2" a="1"/>
  <c r="U1190" i="2" s="1"/>
  <c r="T1190" i="2"/>
  <c r="R1190" i="2"/>
  <c r="D1190" i="2"/>
  <c r="V1189" i="2"/>
  <c r="U1189" i="2" a="1"/>
  <c r="U1189" i="2"/>
  <c r="T1189" i="2"/>
  <c r="R1189" i="2"/>
  <c r="K1189" i="2"/>
  <c r="I1189" i="2"/>
  <c r="E1189" i="2"/>
  <c r="D1189" i="2"/>
  <c r="G1189" i="2" s="1"/>
  <c r="H1189" i="2" s="1"/>
  <c r="V1188" i="2"/>
  <c r="U1188" i="2" a="1"/>
  <c r="U1188" i="2"/>
  <c r="T1188" i="2"/>
  <c r="R1188" i="2"/>
  <c r="K1188" i="2"/>
  <c r="I1188" i="2"/>
  <c r="E1188" i="2"/>
  <c r="D1188" i="2"/>
  <c r="V1187" i="2"/>
  <c r="U1187" i="2" a="1"/>
  <c r="U1187" i="2"/>
  <c r="T1187" i="2"/>
  <c r="R1187" i="2"/>
  <c r="D1187" i="2"/>
  <c r="V1186" i="2"/>
  <c r="U1186" i="2" a="1"/>
  <c r="U1186" i="2" s="1"/>
  <c r="T1186" i="2"/>
  <c r="R1186" i="2"/>
  <c r="I1186" i="2"/>
  <c r="F1186" i="2"/>
  <c r="E1186" i="2"/>
  <c r="D1186" i="2"/>
  <c r="V1185" i="2"/>
  <c r="U1185" i="2" a="1"/>
  <c r="U1185" i="2" s="1"/>
  <c r="T1185" i="2"/>
  <c r="R1185" i="2"/>
  <c r="D1185" i="2"/>
  <c r="V1184" i="2"/>
  <c r="U1184" i="2" a="1"/>
  <c r="U1184" i="2" s="1"/>
  <c r="T1184" i="2"/>
  <c r="R1184" i="2"/>
  <c r="J1184" i="2"/>
  <c r="G1184" i="2"/>
  <c r="E1184" i="2"/>
  <c r="D1184" i="2"/>
  <c r="I1184" i="2" s="1"/>
  <c r="V1183" i="2"/>
  <c r="U1183" i="2" a="1"/>
  <c r="U1183" i="2" s="1"/>
  <c r="T1183" i="2"/>
  <c r="R1183" i="2"/>
  <c r="J1183" i="2"/>
  <c r="H1183" i="2"/>
  <c r="G1183" i="2"/>
  <c r="D1183" i="2"/>
  <c r="V1182" i="2"/>
  <c r="U1182" i="2" a="1"/>
  <c r="U1182" i="2"/>
  <c r="T1182" i="2"/>
  <c r="R1182" i="2"/>
  <c r="I1182" i="2"/>
  <c r="D1182" i="2"/>
  <c r="V1181" i="2"/>
  <c r="U1181" i="2" a="1"/>
  <c r="U1181" i="2"/>
  <c r="T1181" i="2"/>
  <c r="R1181" i="2"/>
  <c r="D1181" i="2"/>
  <c r="V1180" i="2"/>
  <c r="U1180" i="2" a="1"/>
  <c r="U1180" i="2" s="1"/>
  <c r="T1180" i="2"/>
  <c r="R1180" i="2"/>
  <c r="K1180" i="2"/>
  <c r="J1180" i="2"/>
  <c r="I1180" i="2"/>
  <c r="G1180" i="2"/>
  <c r="H1180" i="2" s="1"/>
  <c r="E1180" i="2"/>
  <c r="F1180" i="2" s="1"/>
  <c r="D1180" i="2"/>
  <c r="V1179" i="2"/>
  <c r="U1179" i="2" a="1"/>
  <c r="U1179" i="2"/>
  <c r="T1179" i="2"/>
  <c r="R1179" i="2"/>
  <c r="D1179" i="2"/>
  <c r="V1178" i="2"/>
  <c r="U1178" i="2" a="1"/>
  <c r="U1178" i="2"/>
  <c r="T1178" i="2"/>
  <c r="R1178" i="2"/>
  <c r="K1178" i="2"/>
  <c r="I1178" i="2"/>
  <c r="G1178" i="2"/>
  <c r="D1178" i="2"/>
  <c r="J1178" i="2" s="1"/>
  <c r="V1177" i="2"/>
  <c r="U1177" i="2" a="1"/>
  <c r="U1177" i="2" s="1"/>
  <c r="T1177" i="2"/>
  <c r="R1177" i="2"/>
  <c r="J1177" i="2"/>
  <c r="G1177" i="2"/>
  <c r="E1177" i="2"/>
  <c r="D1177" i="2"/>
  <c r="V1176" i="2"/>
  <c r="U1176" i="2" a="1"/>
  <c r="U1176" i="2"/>
  <c r="T1176" i="2"/>
  <c r="R1176" i="2"/>
  <c r="K1176" i="2"/>
  <c r="D1176" i="2"/>
  <c r="J1176" i="2" s="1"/>
  <c r="V1175" i="2"/>
  <c r="U1175" i="2" a="1"/>
  <c r="U1175" i="2"/>
  <c r="T1175" i="2"/>
  <c r="R1175" i="2"/>
  <c r="K1175" i="2"/>
  <c r="J1175" i="2"/>
  <c r="I1175" i="2"/>
  <c r="H1175" i="2"/>
  <c r="G1175" i="2"/>
  <c r="E1175" i="2"/>
  <c r="D1175" i="2"/>
  <c r="F1175" i="2" s="1"/>
  <c r="V1174" i="2"/>
  <c r="U1174" i="2" a="1"/>
  <c r="U1174" i="2" s="1"/>
  <c r="T1174" i="2"/>
  <c r="R1174" i="2"/>
  <c r="J1174" i="2"/>
  <c r="E1174" i="2"/>
  <c r="D1174" i="2"/>
  <c r="V1173" i="2"/>
  <c r="U1173" i="2" a="1"/>
  <c r="U1173" i="2" s="1"/>
  <c r="T1173" i="2"/>
  <c r="R1173" i="2"/>
  <c r="K1173" i="2"/>
  <c r="J1173" i="2"/>
  <c r="I1173" i="2"/>
  <c r="H1173" i="2"/>
  <c r="E1173" i="2"/>
  <c r="F1173" i="2" s="1"/>
  <c r="D1173" i="2"/>
  <c r="G1173" i="2" s="1"/>
  <c r="V1172" i="2"/>
  <c r="U1172" i="2" a="1"/>
  <c r="U1172" i="2" s="1"/>
  <c r="T1172" i="2"/>
  <c r="R1172" i="2"/>
  <c r="I1172" i="2"/>
  <c r="D1172" i="2"/>
  <c r="V1171" i="2"/>
  <c r="U1171" i="2" a="1"/>
  <c r="U1171" i="2"/>
  <c r="T1171" i="2"/>
  <c r="R1171" i="2"/>
  <c r="I1171" i="2"/>
  <c r="E1171" i="2"/>
  <c r="D1171" i="2"/>
  <c r="K1171" i="2" s="1"/>
  <c r="V1170" i="2"/>
  <c r="U1170" i="2" a="1"/>
  <c r="U1170" i="2"/>
  <c r="T1170" i="2"/>
  <c r="R1170" i="2"/>
  <c r="J1170" i="2"/>
  <c r="G1170" i="2"/>
  <c r="H1170" i="2" s="1"/>
  <c r="F1170" i="2"/>
  <c r="E1170" i="2"/>
  <c r="D1170" i="2"/>
  <c r="I1170" i="2" s="1"/>
  <c r="V1169" i="2"/>
  <c r="U1169" i="2" a="1"/>
  <c r="U1169" i="2"/>
  <c r="T1169" i="2"/>
  <c r="R1169" i="2"/>
  <c r="J1169" i="2"/>
  <c r="I1169" i="2"/>
  <c r="G1169" i="2"/>
  <c r="H1169" i="2" s="1"/>
  <c r="E1169" i="2"/>
  <c r="F1169" i="2" s="1"/>
  <c r="D1169" i="2"/>
  <c r="K1169" i="2" s="1"/>
  <c r="V1168" i="2"/>
  <c r="U1168" i="2" a="1"/>
  <c r="U1168" i="2"/>
  <c r="T1168" i="2"/>
  <c r="R1168" i="2"/>
  <c r="K1168" i="2"/>
  <c r="J1168" i="2"/>
  <c r="I1168" i="2"/>
  <c r="E1168" i="2"/>
  <c r="D1168" i="2"/>
  <c r="V1167" i="2"/>
  <c r="U1167" i="2" a="1"/>
  <c r="U1167" i="2" s="1"/>
  <c r="T1167" i="2"/>
  <c r="R1167" i="2"/>
  <c r="J1167" i="2"/>
  <c r="D1167" i="2"/>
  <c r="V1166" i="2"/>
  <c r="U1166" i="2" a="1"/>
  <c r="U1166" i="2" s="1"/>
  <c r="T1166" i="2"/>
  <c r="R1166" i="2"/>
  <c r="K1166" i="2"/>
  <c r="I1166" i="2"/>
  <c r="H1166" i="2"/>
  <c r="G1166" i="2"/>
  <c r="E1166" i="2"/>
  <c r="F1166" i="2" s="1"/>
  <c r="D1166" i="2"/>
  <c r="J1166" i="2" s="1"/>
  <c r="V1165" i="2"/>
  <c r="U1165" i="2" a="1"/>
  <c r="U1165" i="2" s="1"/>
  <c r="T1165" i="2"/>
  <c r="R1165" i="2"/>
  <c r="H1165" i="2"/>
  <c r="G1165" i="2"/>
  <c r="D1165" i="2"/>
  <c r="V1164" i="2"/>
  <c r="U1164" i="2" a="1"/>
  <c r="U1164" i="2" s="1"/>
  <c r="T1164" i="2"/>
  <c r="R1164" i="2"/>
  <c r="J1164" i="2"/>
  <c r="I1164" i="2"/>
  <c r="D1164" i="2"/>
  <c r="V1163" i="2"/>
  <c r="U1163" i="2" a="1"/>
  <c r="U1163" i="2" s="1"/>
  <c r="T1163" i="2"/>
  <c r="R1163" i="2"/>
  <c r="K1163" i="2"/>
  <c r="J1163" i="2"/>
  <c r="I1163" i="2"/>
  <c r="G1163" i="2"/>
  <c r="H1163" i="2" s="1"/>
  <c r="E1163" i="2"/>
  <c r="F1163" i="2" s="1"/>
  <c r="D1163" i="2"/>
  <c r="V1162" i="2"/>
  <c r="U1162" i="2" a="1"/>
  <c r="U1162" i="2"/>
  <c r="T1162" i="2"/>
  <c r="R1162" i="2"/>
  <c r="D1162" i="2"/>
  <c r="V1161" i="2"/>
  <c r="U1161" i="2" a="1"/>
  <c r="U1161" i="2" s="1"/>
  <c r="T1161" i="2"/>
  <c r="R1161" i="2"/>
  <c r="G1161" i="2"/>
  <c r="E1161" i="2"/>
  <c r="D1161" i="2"/>
  <c r="V1160" i="2"/>
  <c r="U1160" i="2" a="1"/>
  <c r="U1160" i="2"/>
  <c r="T1160" i="2"/>
  <c r="R1160" i="2"/>
  <c r="D1160" i="2"/>
  <c r="V1159" i="2"/>
  <c r="U1159" i="2" a="1"/>
  <c r="U1159" i="2"/>
  <c r="T1159" i="2"/>
  <c r="R1159" i="2"/>
  <c r="K1159" i="2"/>
  <c r="I1159" i="2"/>
  <c r="E1159" i="2"/>
  <c r="D1159" i="2"/>
  <c r="G1159" i="2" s="1"/>
  <c r="H1159" i="2" s="1"/>
  <c r="V1158" i="2"/>
  <c r="U1158" i="2" a="1"/>
  <c r="U1158" i="2"/>
  <c r="T1158" i="2"/>
  <c r="R1158" i="2"/>
  <c r="J1158" i="2"/>
  <c r="E1158" i="2"/>
  <c r="D1158" i="2"/>
  <c r="V1157" i="2"/>
  <c r="U1157" i="2" a="1"/>
  <c r="U1157" i="2" s="1"/>
  <c r="T1157" i="2"/>
  <c r="R1157" i="2"/>
  <c r="J1157" i="2"/>
  <c r="I1157" i="2"/>
  <c r="G1157" i="2"/>
  <c r="H1157" i="2" s="1"/>
  <c r="E1157" i="2"/>
  <c r="F1157" i="2" s="1"/>
  <c r="D1157" i="2"/>
  <c r="K1157" i="2" s="1"/>
  <c r="V1156" i="2"/>
  <c r="U1156" i="2" a="1"/>
  <c r="U1156" i="2" s="1"/>
  <c r="T1156" i="2"/>
  <c r="R1156" i="2"/>
  <c r="K1156" i="2"/>
  <c r="I1156" i="2"/>
  <c r="D1156" i="2"/>
  <c r="V1155" i="2"/>
  <c r="U1155" i="2" a="1"/>
  <c r="U1155" i="2"/>
  <c r="T1155" i="2"/>
  <c r="R1155" i="2"/>
  <c r="K1155" i="2"/>
  <c r="I1155" i="2"/>
  <c r="G1155" i="2"/>
  <c r="F1155" i="2"/>
  <c r="E1155" i="2"/>
  <c r="D1155" i="2"/>
  <c r="J1155" i="2" s="1"/>
  <c r="V1154" i="2"/>
  <c r="U1154" i="2" a="1"/>
  <c r="U1154" i="2"/>
  <c r="T1154" i="2"/>
  <c r="R1154" i="2"/>
  <c r="J1154" i="2"/>
  <c r="G1154" i="2"/>
  <c r="H1154" i="2" s="1"/>
  <c r="D1154" i="2"/>
  <c r="V1153" i="2"/>
  <c r="U1153" i="2" a="1"/>
  <c r="U1153" i="2" s="1"/>
  <c r="T1153" i="2"/>
  <c r="R1153" i="2"/>
  <c r="D1153" i="2"/>
  <c r="V1152" i="2"/>
  <c r="U1152" i="2" a="1"/>
  <c r="U1152" i="2"/>
  <c r="T1152" i="2"/>
  <c r="R1152" i="2"/>
  <c r="K1152" i="2"/>
  <c r="D1152" i="2"/>
  <c r="J1152" i="2" s="1"/>
  <c r="V1151" i="2"/>
  <c r="U1151" i="2" a="1"/>
  <c r="U1151" i="2" s="1"/>
  <c r="T1151" i="2"/>
  <c r="R1151" i="2"/>
  <c r="K1151" i="2"/>
  <c r="J1151" i="2"/>
  <c r="I1151" i="2"/>
  <c r="G1151" i="2"/>
  <c r="H1151" i="2" s="1"/>
  <c r="E1151" i="2"/>
  <c r="D1151" i="2"/>
  <c r="F1151" i="2" s="1"/>
  <c r="V1150" i="2"/>
  <c r="U1150" i="2" a="1"/>
  <c r="U1150" i="2" s="1"/>
  <c r="T1150" i="2"/>
  <c r="R1150" i="2"/>
  <c r="F1150" i="2"/>
  <c r="E1150" i="2"/>
  <c r="D1150" i="2"/>
  <c r="V1149" i="2"/>
  <c r="U1149" i="2" a="1"/>
  <c r="U1149" i="2" s="1"/>
  <c r="T1149" i="2"/>
  <c r="R1149" i="2"/>
  <c r="K1149" i="2"/>
  <c r="I1149" i="2"/>
  <c r="G1149" i="2"/>
  <c r="H1149" i="2" s="1"/>
  <c r="F1149" i="2"/>
  <c r="D1149" i="2"/>
  <c r="E1149" i="2" s="1"/>
  <c r="V1148" i="2"/>
  <c r="U1148" i="2" a="1"/>
  <c r="U1148" i="2"/>
  <c r="T1148" i="2"/>
  <c r="R1148" i="2"/>
  <c r="D1148" i="2"/>
  <c r="V1147" i="2"/>
  <c r="U1147" i="2" a="1"/>
  <c r="U1147" i="2" s="1"/>
  <c r="T1147" i="2"/>
  <c r="R1147" i="2"/>
  <c r="K1147" i="2"/>
  <c r="J1147" i="2"/>
  <c r="G1147" i="2"/>
  <c r="H1147" i="2" s="1"/>
  <c r="E1147" i="2"/>
  <c r="F1147" i="2" s="1"/>
  <c r="D1147" i="2"/>
  <c r="I1147" i="2" s="1"/>
  <c r="V1146" i="2"/>
  <c r="U1146" i="2" a="1"/>
  <c r="U1146" i="2"/>
  <c r="T1146" i="2"/>
  <c r="R1146" i="2"/>
  <c r="J1146" i="2"/>
  <c r="D1146" i="2"/>
  <c r="V1145" i="2"/>
  <c r="U1145" i="2" a="1"/>
  <c r="U1145" i="2" s="1"/>
  <c r="T1145" i="2"/>
  <c r="R1145" i="2"/>
  <c r="I1145" i="2"/>
  <c r="G1145" i="2"/>
  <c r="D1145" i="2"/>
  <c r="V1144" i="2"/>
  <c r="U1144" i="2" a="1"/>
  <c r="U1144" i="2"/>
  <c r="T1144" i="2"/>
  <c r="R1144" i="2"/>
  <c r="K1144" i="2"/>
  <c r="J1144" i="2"/>
  <c r="I1144" i="2"/>
  <c r="H1144" i="2"/>
  <c r="G1144" i="2"/>
  <c r="F1144" i="2"/>
  <c r="E1144" i="2"/>
  <c r="D1144" i="2"/>
  <c r="V1143" i="2"/>
  <c r="U1143" i="2" a="1"/>
  <c r="U1143" i="2" s="1"/>
  <c r="T1143" i="2"/>
  <c r="R1143" i="2"/>
  <c r="D1143" i="2"/>
  <c r="V1142" i="2"/>
  <c r="U1142" i="2" a="1"/>
  <c r="U1142" i="2" s="1"/>
  <c r="T1142" i="2"/>
  <c r="R1142" i="2"/>
  <c r="J1142" i="2"/>
  <c r="D1142" i="2"/>
  <c r="V1141" i="2"/>
  <c r="U1141" i="2" a="1"/>
  <c r="U1141" i="2" s="1"/>
  <c r="T1141" i="2"/>
  <c r="R1141" i="2"/>
  <c r="K1141" i="2"/>
  <c r="J1141" i="2"/>
  <c r="I1141" i="2"/>
  <c r="G1141" i="2"/>
  <c r="H1141" i="2" s="1"/>
  <c r="F1141" i="2"/>
  <c r="E1141" i="2"/>
  <c r="D1141" i="2"/>
  <c r="V1140" i="2"/>
  <c r="U1140" i="2" a="1"/>
  <c r="U1140" i="2"/>
  <c r="T1140" i="2"/>
  <c r="R1140" i="2"/>
  <c r="J1140" i="2"/>
  <c r="D1140" i="2"/>
  <c r="V1139" i="2"/>
  <c r="U1139" i="2" a="1"/>
  <c r="U1139" i="2" s="1"/>
  <c r="T1139" i="2"/>
  <c r="R1139" i="2"/>
  <c r="G1139" i="2"/>
  <c r="D1139" i="2"/>
  <c r="V1138" i="2"/>
  <c r="U1138" i="2" a="1"/>
  <c r="U1138" i="2"/>
  <c r="T1138" i="2"/>
  <c r="R1138" i="2"/>
  <c r="D1138" i="2"/>
  <c r="V1137" i="2"/>
  <c r="U1137" i="2" a="1"/>
  <c r="U1137" i="2" s="1"/>
  <c r="T1137" i="2"/>
  <c r="R1137" i="2"/>
  <c r="K1137" i="2"/>
  <c r="J1137" i="2"/>
  <c r="I1137" i="2"/>
  <c r="E1137" i="2"/>
  <c r="F1137" i="2" s="1"/>
  <c r="D1137" i="2"/>
  <c r="G1137" i="2" s="1"/>
  <c r="H1137" i="2" s="1"/>
  <c r="V1136" i="2"/>
  <c r="U1136" i="2" a="1"/>
  <c r="U1136" i="2"/>
  <c r="T1136" i="2"/>
  <c r="R1136" i="2"/>
  <c r="K1136" i="2"/>
  <c r="J1136" i="2"/>
  <c r="G1136" i="2"/>
  <c r="E1136" i="2"/>
  <c r="F1136" i="2" s="1"/>
  <c r="D1136" i="2"/>
  <c r="I1136" i="2" s="1"/>
  <c r="V1135" i="2"/>
  <c r="U1135" i="2" a="1"/>
  <c r="U1135" i="2" s="1"/>
  <c r="T1135" i="2"/>
  <c r="R1135" i="2"/>
  <c r="J1135" i="2"/>
  <c r="I1135" i="2"/>
  <c r="G1135" i="2"/>
  <c r="H1135" i="2" s="1"/>
  <c r="E1135" i="2"/>
  <c r="F1135" i="2" s="1"/>
  <c r="D1135" i="2"/>
  <c r="K1135" i="2" s="1"/>
  <c r="V1134" i="2"/>
  <c r="U1134" i="2" a="1"/>
  <c r="U1134" i="2"/>
  <c r="T1134" i="2"/>
  <c r="R1134" i="2"/>
  <c r="K1134" i="2"/>
  <c r="J1134" i="2"/>
  <c r="D1134" i="2"/>
  <c r="V1133" i="2"/>
  <c r="U1133" i="2" a="1"/>
  <c r="U1133" i="2"/>
  <c r="T1133" i="2"/>
  <c r="R1133" i="2"/>
  <c r="K1133" i="2"/>
  <c r="I1133" i="2"/>
  <c r="G1133" i="2"/>
  <c r="F1133" i="2"/>
  <c r="E1133" i="2"/>
  <c r="D1133" i="2"/>
  <c r="J1133" i="2" s="1"/>
  <c r="V1132" i="2"/>
  <c r="U1132" i="2" a="1"/>
  <c r="U1132" i="2"/>
  <c r="T1132" i="2"/>
  <c r="R1132" i="2"/>
  <c r="J1132" i="2"/>
  <c r="H1132" i="2"/>
  <c r="G1132" i="2"/>
  <c r="D1132" i="2"/>
  <c r="V1131" i="2"/>
  <c r="U1131" i="2" a="1"/>
  <c r="U1131" i="2" s="1"/>
  <c r="T1131" i="2"/>
  <c r="R1131" i="2"/>
  <c r="E1131" i="2"/>
  <c r="F1131" i="2" s="1"/>
  <c r="D1131" i="2"/>
  <c r="V1130" i="2"/>
  <c r="U1130" i="2" a="1"/>
  <c r="U1130" i="2"/>
  <c r="T1130" i="2"/>
  <c r="R1130" i="2"/>
  <c r="D1130" i="2"/>
  <c r="V1129" i="2"/>
  <c r="U1129" i="2" a="1"/>
  <c r="U1129" i="2"/>
  <c r="T1129" i="2"/>
  <c r="R1129" i="2"/>
  <c r="K1129" i="2"/>
  <c r="J1129" i="2"/>
  <c r="I1129" i="2"/>
  <c r="G1129" i="2"/>
  <c r="H1129" i="2" s="1"/>
  <c r="E1129" i="2"/>
  <c r="D1129" i="2"/>
  <c r="F1129" i="2" s="1"/>
  <c r="V1128" i="2"/>
  <c r="U1128" i="2" a="1"/>
  <c r="U1128" i="2" s="1"/>
  <c r="T1128" i="2"/>
  <c r="R1128" i="2"/>
  <c r="D1128" i="2"/>
  <c r="V1127" i="2"/>
  <c r="U1127" i="2" a="1"/>
  <c r="U1127" i="2" s="1"/>
  <c r="T1127" i="2"/>
  <c r="R1127" i="2"/>
  <c r="K1127" i="2"/>
  <c r="I1127" i="2"/>
  <c r="G1127" i="2"/>
  <c r="D1127" i="2"/>
  <c r="E1127" i="2" s="1"/>
  <c r="F1127" i="2" s="1"/>
  <c r="V1126" i="2"/>
  <c r="U1126" i="2" a="1"/>
  <c r="U1126" i="2"/>
  <c r="T1126" i="2"/>
  <c r="R1126" i="2"/>
  <c r="J1126" i="2"/>
  <c r="D1126" i="2"/>
  <c r="V1125" i="2"/>
  <c r="U1125" i="2" a="1"/>
  <c r="U1125" i="2" s="1"/>
  <c r="T1125" i="2"/>
  <c r="R1125" i="2"/>
  <c r="K1125" i="2"/>
  <c r="J1125" i="2"/>
  <c r="G1125" i="2"/>
  <c r="H1125" i="2" s="1"/>
  <c r="E1125" i="2"/>
  <c r="F1125" i="2" s="1"/>
  <c r="D1125" i="2"/>
  <c r="I1125" i="2" s="1"/>
  <c r="V1124" i="2"/>
  <c r="U1124" i="2" a="1"/>
  <c r="U1124" i="2"/>
  <c r="T1124" i="2"/>
  <c r="R1124" i="2"/>
  <c r="J1124" i="2"/>
  <c r="I1124" i="2"/>
  <c r="G1124" i="2"/>
  <c r="H1124" i="2" s="1"/>
  <c r="D1124" i="2"/>
  <c r="V1123" i="2"/>
  <c r="U1123" i="2" a="1"/>
  <c r="U1123" i="2"/>
  <c r="T1123" i="2"/>
  <c r="R1123" i="2"/>
  <c r="K1123" i="2"/>
  <c r="J1123" i="2"/>
  <c r="I1123" i="2"/>
  <c r="E1123" i="2"/>
  <c r="D1123" i="2"/>
  <c r="V1122" i="2"/>
  <c r="U1122" i="2" a="1"/>
  <c r="U1122" i="2"/>
  <c r="T1122" i="2"/>
  <c r="R1122" i="2"/>
  <c r="K1122" i="2"/>
  <c r="J1122" i="2"/>
  <c r="I1122" i="2"/>
  <c r="H1122" i="2"/>
  <c r="G1122" i="2"/>
  <c r="E1122" i="2"/>
  <c r="F1122" i="2" s="1"/>
  <c r="D1122" i="2"/>
  <c r="V1121" i="2"/>
  <c r="U1121" i="2" a="1"/>
  <c r="U1121" i="2" s="1"/>
  <c r="T1121" i="2"/>
  <c r="R1121" i="2"/>
  <c r="K1121" i="2"/>
  <c r="D1121" i="2"/>
  <c r="V1120" i="2"/>
  <c r="U1120" i="2" a="1"/>
  <c r="U1120" i="2" s="1"/>
  <c r="T1120" i="2"/>
  <c r="R1120" i="2"/>
  <c r="J1120" i="2"/>
  <c r="I1120" i="2"/>
  <c r="D1120" i="2"/>
  <c r="V1119" i="2"/>
  <c r="U1119" i="2" a="1"/>
  <c r="U1119" i="2" s="1"/>
  <c r="T1119" i="2"/>
  <c r="R1119" i="2"/>
  <c r="K1119" i="2"/>
  <c r="J1119" i="2"/>
  <c r="I1119" i="2"/>
  <c r="G1119" i="2"/>
  <c r="H1119" i="2" s="1"/>
  <c r="E1119" i="2"/>
  <c r="F1119" i="2" s="1"/>
  <c r="D1119" i="2"/>
  <c r="V1118" i="2"/>
  <c r="U1118" i="2" a="1"/>
  <c r="U1118" i="2"/>
  <c r="T1118" i="2"/>
  <c r="R1118" i="2"/>
  <c r="K1118" i="2"/>
  <c r="I1118" i="2"/>
  <c r="D1118" i="2"/>
  <c r="J1118" i="2" s="1"/>
  <c r="V1117" i="2"/>
  <c r="U1117" i="2" a="1"/>
  <c r="U1117" i="2" s="1"/>
  <c r="T1117" i="2"/>
  <c r="R1117" i="2"/>
  <c r="E1117" i="2"/>
  <c r="D1117" i="2"/>
  <c r="V1116" i="2"/>
  <c r="U1116" i="2" a="1"/>
  <c r="U1116" i="2"/>
  <c r="T1116" i="2"/>
  <c r="R1116" i="2"/>
  <c r="D1116" i="2"/>
  <c r="V1115" i="2"/>
  <c r="U1115" i="2" a="1"/>
  <c r="U1115" i="2"/>
  <c r="T1115" i="2"/>
  <c r="R1115" i="2"/>
  <c r="E1115" i="2"/>
  <c r="D1115" i="2"/>
  <c r="V1114" i="2"/>
  <c r="U1114" i="2" a="1"/>
  <c r="U1114" i="2"/>
  <c r="T1114" i="2"/>
  <c r="R1114" i="2"/>
  <c r="K1114" i="2"/>
  <c r="J1114" i="2"/>
  <c r="G1114" i="2"/>
  <c r="H1114" i="2" s="1"/>
  <c r="F1114" i="2"/>
  <c r="E1114" i="2"/>
  <c r="D1114" i="2"/>
  <c r="I1114" i="2" s="1"/>
  <c r="V1113" i="2"/>
  <c r="U1113" i="2" a="1"/>
  <c r="U1113" i="2"/>
  <c r="T1113" i="2"/>
  <c r="R1113" i="2"/>
  <c r="J1113" i="2"/>
  <c r="I1113" i="2"/>
  <c r="G1113" i="2"/>
  <c r="H1113" i="2" s="1"/>
  <c r="E1113" i="2"/>
  <c r="F1113" i="2" s="1"/>
  <c r="D1113" i="2"/>
  <c r="K1113" i="2" s="1"/>
  <c r="V1112" i="2"/>
  <c r="U1112" i="2" a="1"/>
  <c r="U1112" i="2" s="1"/>
  <c r="T1112" i="2"/>
  <c r="R1112" i="2"/>
  <c r="J1112" i="2"/>
  <c r="I1112" i="2"/>
  <c r="H1112" i="2"/>
  <c r="D1112" i="2"/>
  <c r="G1112" i="2" s="1"/>
  <c r="V1111" i="2"/>
  <c r="U1111" i="2" a="1"/>
  <c r="U1111" i="2"/>
  <c r="T1111" i="2"/>
  <c r="R1111" i="2"/>
  <c r="K1111" i="2"/>
  <c r="I1111" i="2"/>
  <c r="G1111" i="2"/>
  <c r="F1111" i="2"/>
  <c r="E1111" i="2"/>
  <c r="D1111" i="2"/>
  <c r="J1111" i="2" s="1"/>
  <c r="V1110" i="2"/>
  <c r="U1110" i="2" a="1"/>
  <c r="U1110" i="2"/>
  <c r="T1110" i="2"/>
  <c r="R1110" i="2"/>
  <c r="J1110" i="2"/>
  <c r="I1110" i="2"/>
  <c r="H1110" i="2"/>
  <c r="G1110" i="2"/>
  <c r="D1110" i="2"/>
  <c r="V1109" i="2"/>
  <c r="U1109" i="2" a="1"/>
  <c r="U1109" i="2" s="1"/>
  <c r="T1109" i="2"/>
  <c r="R1109" i="2"/>
  <c r="I1109" i="2"/>
  <c r="G1109" i="2"/>
  <c r="F1109" i="2"/>
  <c r="E1109" i="2"/>
  <c r="D1109" i="2"/>
  <c r="V1108" i="2"/>
  <c r="U1108" i="2" a="1"/>
  <c r="U1108" i="2"/>
  <c r="T1108" i="2"/>
  <c r="R1108" i="2"/>
  <c r="K1108" i="2"/>
  <c r="I1108" i="2"/>
  <c r="H1108" i="2"/>
  <c r="G1108" i="2"/>
  <c r="D1108" i="2"/>
  <c r="V1107" i="2"/>
  <c r="U1107" i="2" a="1"/>
  <c r="U1107" i="2" s="1"/>
  <c r="T1107" i="2"/>
  <c r="R1107" i="2"/>
  <c r="I1107" i="2"/>
  <c r="D1107" i="2"/>
  <c r="V1106" i="2"/>
  <c r="U1106" i="2" a="1"/>
  <c r="U1106" i="2" s="1"/>
  <c r="T1106" i="2"/>
  <c r="R1106" i="2"/>
  <c r="K1106" i="2"/>
  <c r="J1106" i="2"/>
  <c r="D1106" i="2"/>
  <c r="V1105" i="2"/>
  <c r="U1105" i="2" a="1"/>
  <c r="U1105" i="2" s="1"/>
  <c r="T1105" i="2"/>
  <c r="R1105" i="2"/>
  <c r="H1105" i="2"/>
  <c r="G1105" i="2"/>
  <c r="D1105" i="2"/>
  <c r="V1104" i="2"/>
  <c r="U1104" i="2" a="1"/>
  <c r="U1104" i="2"/>
  <c r="T1104" i="2"/>
  <c r="R1104" i="2"/>
  <c r="I1104" i="2"/>
  <c r="D1104" i="2"/>
  <c r="K1104" i="2" s="1"/>
  <c r="V1103" i="2"/>
  <c r="U1103" i="2" a="1"/>
  <c r="U1103" i="2" s="1"/>
  <c r="T1103" i="2"/>
  <c r="R1103" i="2"/>
  <c r="K1103" i="2"/>
  <c r="J1103" i="2"/>
  <c r="G1103" i="2"/>
  <c r="H1103" i="2" s="1"/>
  <c r="F1103" i="2"/>
  <c r="E1103" i="2"/>
  <c r="D1103" i="2"/>
  <c r="I1103" i="2" s="1"/>
  <c r="V1102" i="2"/>
  <c r="U1102" i="2" a="1"/>
  <c r="U1102" i="2"/>
  <c r="T1102" i="2"/>
  <c r="R1102" i="2"/>
  <c r="K1102" i="2"/>
  <c r="J1102" i="2"/>
  <c r="D1102" i="2"/>
  <c r="E1102" i="2" s="1"/>
  <c r="V1101" i="2"/>
  <c r="U1101" i="2" a="1"/>
  <c r="U1101" i="2" s="1"/>
  <c r="T1101" i="2"/>
  <c r="R1101" i="2"/>
  <c r="K1101" i="2"/>
  <c r="J1101" i="2"/>
  <c r="I1101" i="2"/>
  <c r="E1101" i="2"/>
  <c r="D1101" i="2"/>
  <c r="V1100" i="2"/>
  <c r="U1100" i="2" a="1"/>
  <c r="U1100" i="2" s="1"/>
  <c r="T1100" i="2"/>
  <c r="R1100" i="2"/>
  <c r="K1100" i="2"/>
  <c r="J1100" i="2"/>
  <c r="I1100" i="2"/>
  <c r="G1100" i="2"/>
  <c r="H1100" i="2" s="1"/>
  <c r="F1100" i="2"/>
  <c r="E1100" i="2"/>
  <c r="D1100" i="2"/>
  <c r="V1099" i="2"/>
  <c r="U1099" i="2" a="1"/>
  <c r="U1099" i="2"/>
  <c r="T1099" i="2"/>
  <c r="R1099" i="2"/>
  <c r="K1099" i="2"/>
  <c r="I1099" i="2"/>
  <c r="H1099" i="2"/>
  <c r="G1099" i="2"/>
  <c r="F1099" i="2"/>
  <c r="E1099" i="2"/>
  <c r="D1099" i="2"/>
  <c r="J1099" i="2" s="1"/>
  <c r="V1098" i="2"/>
  <c r="U1098" i="2" a="1"/>
  <c r="U1098" i="2"/>
  <c r="T1098" i="2"/>
  <c r="R1098" i="2"/>
  <c r="J1098" i="2"/>
  <c r="I1098" i="2"/>
  <c r="D1098" i="2"/>
  <c r="V1097" i="2"/>
  <c r="U1097" i="2" a="1"/>
  <c r="U1097" i="2" s="1"/>
  <c r="T1097" i="2"/>
  <c r="R1097" i="2"/>
  <c r="J1097" i="2"/>
  <c r="D1097" i="2"/>
  <c r="V1096" i="2"/>
  <c r="U1096" i="2" a="1"/>
  <c r="U1096" i="2" s="1"/>
  <c r="T1096" i="2"/>
  <c r="R1096" i="2"/>
  <c r="K1096" i="2"/>
  <c r="I1096" i="2"/>
  <c r="D1096" i="2"/>
  <c r="V1095" i="2"/>
  <c r="U1095" i="2" a="1"/>
  <c r="U1095" i="2" s="1"/>
  <c r="T1095" i="2"/>
  <c r="R1095" i="2"/>
  <c r="K1095" i="2"/>
  <c r="J1095" i="2"/>
  <c r="I1095" i="2"/>
  <c r="G1095" i="2"/>
  <c r="F1095" i="2"/>
  <c r="E1095" i="2"/>
  <c r="D1095" i="2"/>
  <c r="H1095" i="2" s="1"/>
  <c r="V1094" i="2"/>
  <c r="U1094" i="2" a="1"/>
  <c r="U1094" i="2"/>
  <c r="T1094" i="2"/>
  <c r="R1094" i="2"/>
  <c r="D1094" i="2"/>
  <c r="V1093" i="2"/>
  <c r="U1093" i="2" a="1"/>
  <c r="U1093" i="2"/>
  <c r="T1093" i="2"/>
  <c r="R1093" i="2"/>
  <c r="K1093" i="2"/>
  <c r="J1093" i="2"/>
  <c r="I1093" i="2"/>
  <c r="H1093" i="2"/>
  <c r="F1093" i="2"/>
  <c r="E1093" i="2"/>
  <c r="D1093" i="2"/>
  <c r="G1093" i="2" s="1"/>
  <c r="V1092" i="2"/>
  <c r="U1092" i="2" a="1"/>
  <c r="U1092" i="2"/>
  <c r="T1092" i="2"/>
  <c r="R1092" i="2"/>
  <c r="G1092" i="2"/>
  <c r="D1092" i="2"/>
  <c r="V1091" i="2"/>
  <c r="U1091" i="2" a="1"/>
  <c r="U1091" i="2"/>
  <c r="T1091" i="2"/>
  <c r="R1091" i="2"/>
  <c r="J1091" i="2"/>
  <c r="I1091" i="2"/>
  <c r="H1091" i="2"/>
  <c r="G1091" i="2"/>
  <c r="F1091" i="2"/>
  <c r="E1091" i="2"/>
  <c r="D1091" i="2"/>
  <c r="K1091" i="2" s="1"/>
  <c r="V1090" i="2"/>
  <c r="U1090" i="2" a="1"/>
  <c r="U1090" i="2" s="1"/>
  <c r="T1090" i="2"/>
  <c r="R1090" i="2"/>
  <c r="K1090" i="2"/>
  <c r="J1090" i="2"/>
  <c r="D1090" i="2"/>
  <c r="V1089" i="2"/>
  <c r="U1089" i="2" a="1"/>
  <c r="U1089" i="2"/>
  <c r="T1089" i="2"/>
  <c r="R1089" i="2"/>
  <c r="G1089" i="2"/>
  <c r="F1089" i="2"/>
  <c r="D1089" i="2"/>
  <c r="V1088" i="2"/>
  <c r="U1088" i="2" a="1"/>
  <c r="U1088" i="2"/>
  <c r="T1088" i="2"/>
  <c r="R1088" i="2"/>
  <c r="K1088" i="2"/>
  <c r="J1088" i="2"/>
  <c r="I1088" i="2"/>
  <c r="G1088" i="2"/>
  <c r="H1088" i="2" s="1"/>
  <c r="E1088" i="2"/>
  <c r="D1088" i="2"/>
  <c r="F1088" i="2" s="1"/>
  <c r="V1087" i="2"/>
  <c r="U1087" i="2" a="1"/>
  <c r="U1087" i="2" s="1"/>
  <c r="T1087" i="2"/>
  <c r="R1087" i="2"/>
  <c r="I1087" i="2"/>
  <c r="F1087" i="2"/>
  <c r="D1087" i="2"/>
  <c r="K1087" i="2" s="1"/>
  <c r="V1086" i="2"/>
  <c r="U1086" i="2" a="1"/>
  <c r="U1086" i="2"/>
  <c r="T1086" i="2"/>
  <c r="R1086" i="2"/>
  <c r="K1086" i="2"/>
  <c r="G1086" i="2"/>
  <c r="H1086" i="2" s="1"/>
  <c r="D1086" i="2"/>
  <c r="V1085" i="2"/>
  <c r="U1085" i="2" a="1"/>
  <c r="U1085" i="2" s="1"/>
  <c r="T1085" i="2"/>
  <c r="R1085" i="2"/>
  <c r="D1085" i="2"/>
  <c r="V1084" i="2"/>
  <c r="U1084" i="2" a="1"/>
  <c r="U1084" i="2" s="1"/>
  <c r="T1084" i="2"/>
  <c r="R1084" i="2"/>
  <c r="D1084" i="2"/>
  <c r="V1083" i="2"/>
  <c r="U1083" i="2" a="1"/>
  <c r="U1083" i="2" s="1"/>
  <c r="T1083" i="2"/>
  <c r="R1083" i="2"/>
  <c r="D1083" i="2"/>
  <c r="V1082" i="2"/>
  <c r="U1082" i="2" a="1"/>
  <c r="U1082" i="2" s="1"/>
  <c r="T1082" i="2"/>
  <c r="R1082" i="2"/>
  <c r="J1082" i="2"/>
  <c r="E1082" i="2"/>
  <c r="G1082" i="2" s="1"/>
  <c r="D1082" i="2"/>
  <c r="K1082" i="2" s="1"/>
  <c r="V1081" i="2"/>
  <c r="U1081" i="2" a="1"/>
  <c r="U1081" i="2"/>
  <c r="T1081" i="2"/>
  <c r="R1081" i="2"/>
  <c r="E1081" i="2"/>
  <c r="F1081" i="2" s="1"/>
  <c r="D1081" i="2"/>
  <c r="V1080" i="2"/>
  <c r="U1080" i="2" a="1"/>
  <c r="U1080" i="2"/>
  <c r="T1080" i="2"/>
  <c r="R1080" i="2"/>
  <c r="D1080" i="2"/>
  <c r="V1079" i="2"/>
  <c r="U1079" i="2" a="1"/>
  <c r="U1079" i="2"/>
  <c r="T1079" i="2"/>
  <c r="R1079" i="2"/>
  <c r="J1079" i="2"/>
  <c r="E1079" i="2"/>
  <c r="D1079" i="2"/>
  <c r="V1078" i="2"/>
  <c r="U1078" i="2" a="1"/>
  <c r="U1078" i="2" s="1"/>
  <c r="T1078" i="2"/>
  <c r="R1078" i="2"/>
  <c r="K1078" i="2"/>
  <c r="J1078" i="2"/>
  <c r="G1078" i="2"/>
  <c r="H1078" i="2" s="1"/>
  <c r="I1078" i="2" s="1"/>
  <c r="F1078" i="2"/>
  <c r="E1078" i="2"/>
  <c r="D1078" i="2"/>
  <c r="V1077" i="2"/>
  <c r="U1077" i="2" a="1"/>
  <c r="U1077" i="2" s="1"/>
  <c r="T1077" i="2"/>
  <c r="R1077" i="2"/>
  <c r="K1077" i="2"/>
  <c r="I1077" i="2"/>
  <c r="H1077" i="2"/>
  <c r="G1077" i="2"/>
  <c r="F1077" i="2"/>
  <c r="E1077" i="2"/>
  <c r="D1077" i="2"/>
  <c r="J1077" i="2" s="1"/>
  <c r="V1076" i="2"/>
  <c r="U1076" i="2" a="1"/>
  <c r="U1076" i="2"/>
  <c r="T1076" i="2"/>
  <c r="R1076" i="2"/>
  <c r="J1076" i="2"/>
  <c r="I1076" i="2"/>
  <c r="D1076" i="2"/>
  <c r="V1075" i="2"/>
  <c r="U1075" i="2" a="1"/>
  <c r="U1075" i="2" s="1"/>
  <c r="T1075" i="2"/>
  <c r="R1075" i="2"/>
  <c r="D1075" i="2"/>
  <c r="V1074" i="2"/>
  <c r="U1074" i="2" a="1"/>
  <c r="U1074" i="2" s="1"/>
  <c r="T1074" i="2"/>
  <c r="R1074" i="2"/>
  <c r="D1074" i="2"/>
  <c r="V1073" i="2"/>
  <c r="U1073" i="2" a="1"/>
  <c r="U1073" i="2" s="1"/>
  <c r="T1073" i="2"/>
  <c r="R1073" i="2"/>
  <c r="K1073" i="2"/>
  <c r="J1073" i="2"/>
  <c r="I1073" i="2"/>
  <c r="G1073" i="2"/>
  <c r="H1073" i="2" s="1"/>
  <c r="F1073" i="2"/>
  <c r="E1073" i="2"/>
  <c r="D1073" i="2"/>
  <c r="V1072" i="2"/>
  <c r="U1072" i="2" a="1"/>
  <c r="U1072" i="2"/>
  <c r="T1072" i="2"/>
  <c r="R1072" i="2"/>
  <c r="J1072" i="2"/>
  <c r="G1072" i="2"/>
  <c r="F1072" i="2"/>
  <c r="E1072" i="2"/>
  <c r="D1072" i="2"/>
  <c r="I1072" i="2" s="1"/>
  <c r="V1071" i="2"/>
  <c r="U1071" i="2" a="1"/>
  <c r="U1071" i="2"/>
  <c r="T1071" i="2"/>
  <c r="R1071" i="2"/>
  <c r="J1071" i="2"/>
  <c r="I1071" i="2"/>
  <c r="D1071" i="2"/>
  <c r="G1071" i="2" s="1"/>
  <c r="V1070" i="2"/>
  <c r="U1070" i="2" a="1"/>
  <c r="U1070" i="2"/>
  <c r="T1070" i="2"/>
  <c r="R1070" i="2"/>
  <c r="I1070" i="2"/>
  <c r="D1070" i="2"/>
  <c r="V1069" i="2"/>
  <c r="U1069" i="2" a="1"/>
  <c r="U1069" i="2"/>
  <c r="T1069" i="2"/>
  <c r="R1069" i="2"/>
  <c r="J1069" i="2"/>
  <c r="G1069" i="2"/>
  <c r="H1069" i="2" s="1"/>
  <c r="I1069" i="2" s="1"/>
  <c r="F1069" i="2"/>
  <c r="E1069" i="2"/>
  <c r="D1069" i="2"/>
  <c r="K1069" i="2" s="1"/>
  <c r="V1068" i="2"/>
  <c r="U1068" i="2" a="1"/>
  <c r="U1068" i="2" s="1"/>
  <c r="T1068" i="2"/>
  <c r="R1068" i="2"/>
  <c r="K1068" i="2"/>
  <c r="D1068" i="2"/>
  <c r="J1068" i="2" s="1"/>
  <c r="V1067" i="2"/>
  <c r="U1067" i="2" a="1"/>
  <c r="U1067" i="2"/>
  <c r="T1067" i="2"/>
  <c r="R1067" i="2"/>
  <c r="K1067" i="2"/>
  <c r="J1067" i="2"/>
  <c r="G1067" i="2"/>
  <c r="E1067" i="2"/>
  <c r="D1067" i="2"/>
  <c r="V1066" i="2"/>
  <c r="U1066" i="2" a="1"/>
  <c r="U1066" i="2" s="1"/>
  <c r="T1066" i="2"/>
  <c r="R1066" i="2"/>
  <c r="J1066" i="2"/>
  <c r="E1066" i="2"/>
  <c r="D1066" i="2"/>
  <c r="V1065" i="2"/>
  <c r="U1065" i="2" a="1"/>
  <c r="U1065" i="2"/>
  <c r="T1065" i="2"/>
  <c r="R1065" i="2"/>
  <c r="E1065" i="2"/>
  <c r="F1065" i="2" s="1"/>
  <c r="D1065" i="2"/>
  <c r="K1065" i="2" s="1"/>
  <c r="V1064" i="2"/>
  <c r="U1064" i="2" a="1"/>
  <c r="U1064" i="2" s="1"/>
  <c r="T1064" i="2"/>
  <c r="R1064" i="2"/>
  <c r="D1064" i="2"/>
  <c r="J1064" i="2" s="1"/>
  <c r="V1063" i="2"/>
  <c r="U1063" i="2" a="1"/>
  <c r="U1063" i="2" s="1"/>
  <c r="T1063" i="2"/>
  <c r="R1063" i="2"/>
  <c r="H1063" i="2"/>
  <c r="I1063" i="2" s="1"/>
  <c r="E1063" i="2"/>
  <c r="G1063" i="2" s="1"/>
  <c r="D1063" i="2"/>
  <c r="K1063" i="2" s="1"/>
  <c r="V1062" i="2"/>
  <c r="U1062" i="2" a="1"/>
  <c r="U1062" i="2" s="1"/>
  <c r="T1062" i="2"/>
  <c r="R1062" i="2"/>
  <c r="K1062" i="2"/>
  <c r="J1062" i="2"/>
  <c r="D1062" i="2"/>
  <c r="V1061" i="2"/>
  <c r="U1061" i="2" a="1"/>
  <c r="U1061" i="2" s="1"/>
  <c r="T1061" i="2"/>
  <c r="R1061" i="2"/>
  <c r="K1061" i="2"/>
  <c r="J1061" i="2"/>
  <c r="D1061" i="2"/>
  <c r="V1060" i="2"/>
  <c r="U1060" i="2" a="1"/>
  <c r="U1060" i="2"/>
  <c r="T1060" i="2"/>
  <c r="R1060" i="2"/>
  <c r="D1060" i="2"/>
  <c r="K1060" i="2" s="1"/>
  <c r="V1059" i="2"/>
  <c r="U1059" i="2" a="1"/>
  <c r="U1059" i="2"/>
  <c r="T1059" i="2"/>
  <c r="R1059" i="2"/>
  <c r="E1059" i="2"/>
  <c r="G1059" i="2" s="1"/>
  <c r="J1059" i="2" s="1"/>
  <c r="K1059" i="2" s="1"/>
  <c r="D1059" i="2"/>
  <c r="V1058" i="2"/>
  <c r="U1058" i="2" a="1"/>
  <c r="U1058" i="2"/>
  <c r="T1058" i="2"/>
  <c r="R1058" i="2"/>
  <c r="J1058" i="2"/>
  <c r="I1058" i="2"/>
  <c r="G1058" i="2"/>
  <c r="D1058" i="2"/>
  <c r="K1058" i="2" s="1"/>
  <c r="V1057" i="2"/>
  <c r="U1057" i="2" a="1"/>
  <c r="U1057" i="2" s="1"/>
  <c r="T1057" i="2"/>
  <c r="R1057" i="2"/>
  <c r="D1057" i="2"/>
  <c r="V1056" i="2"/>
  <c r="U1056" i="2" a="1"/>
  <c r="U1056" i="2"/>
  <c r="T1056" i="2"/>
  <c r="R1056" i="2"/>
  <c r="K1056" i="2"/>
  <c r="J1056" i="2"/>
  <c r="F1056" i="2"/>
  <c r="E1056" i="2"/>
  <c r="G1056" i="2" s="1"/>
  <c r="H1056" i="2" s="1"/>
  <c r="I1056" i="2" s="1"/>
  <c r="D1056" i="2"/>
  <c r="V1055" i="2"/>
  <c r="U1055" i="2" a="1"/>
  <c r="U1055" i="2" s="1"/>
  <c r="T1055" i="2"/>
  <c r="R1055" i="2"/>
  <c r="I1055" i="2"/>
  <c r="G1055" i="2"/>
  <c r="H1055" i="2" s="1"/>
  <c r="D1055" i="2"/>
  <c r="J1055" i="2" s="1"/>
  <c r="V1054" i="2"/>
  <c r="U1054" i="2" a="1"/>
  <c r="U1054" i="2" s="1"/>
  <c r="T1054" i="2"/>
  <c r="R1054" i="2"/>
  <c r="I1054" i="2"/>
  <c r="G1054" i="2"/>
  <c r="D1054" i="2"/>
  <c r="V1053" i="2"/>
  <c r="U1053" i="2" a="1"/>
  <c r="U1053" i="2" s="1"/>
  <c r="T1053" i="2"/>
  <c r="R1053" i="2"/>
  <c r="J1053" i="2"/>
  <c r="D1053" i="2"/>
  <c r="V1052" i="2"/>
  <c r="U1052" i="2" a="1"/>
  <c r="U1052" i="2" s="1"/>
  <c r="T1052" i="2"/>
  <c r="R1052" i="2"/>
  <c r="K1052" i="2"/>
  <c r="D1052" i="2"/>
  <c r="V1051" i="2"/>
  <c r="U1051" i="2" a="1"/>
  <c r="U1051" i="2"/>
  <c r="T1051" i="2"/>
  <c r="R1051" i="2"/>
  <c r="K1051" i="2"/>
  <c r="J1051" i="2"/>
  <c r="I1051" i="2"/>
  <c r="G1051" i="2"/>
  <c r="H1051" i="2" s="1"/>
  <c r="E1051" i="2"/>
  <c r="F1051" i="2" s="1"/>
  <c r="D1051" i="2"/>
  <c r="V1050" i="2"/>
  <c r="U1050" i="2" a="1"/>
  <c r="U1050" i="2"/>
  <c r="T1050" i="2"/>
  <c r="R1050" i="2"/>
  <c r="J1050" i="2"/>
  <c r="G1050" i="2"/>
  <c r="D1050" i="2"/>
  <c r="I1050" i="2" s="1"/>
  <c r="V1049" i="2"/>
  <c r="U1049" i="2" a="1"/>
  <c r="U1049" i="2" s="1"/>
  <c r="T1049" i="2"/>
  <c r="R1049" i="2"/>
  <c r="D1049" i="2"/>
  <c r="V1048" i="2"/>
  <c r="U1048" i="2" a="1"/>
  <c r="U1048" i="2" s="1"/>
  <c r="T1048" i="2"/>
  <c r="R1048" i="2"/>
  <c r="K1048" i="2"/>
  <c r="J1048" i="2"/>
  <c r="G1048" i="2"/>
  <c r="H1048" i="2" s="1"/>
  <c r="I1048" i="2" s="1"/>
  <c r="F1048" i="2"/>
  <c r="E1048" i="2"/>
  <c r="D1048" i="2"/>
  <c r="V1047" i="2"/>
  <c r="U1047" i="2" a="1"/>
  <c r="U1047" i="2"/>
  <c r="T1047" i="2"/>
  <c r="R1047" i="2"/>
  <c r="K1047" i="2"/>
  <c r="J1047" i="2"/>
  <c r="H1047" i="2"/>
  <c r="I1047" i="2" s="1"/>
  <c r="G1047" i="2"/>
  <c r="F1047" i="2"/>
  <c r="E1047" i="2"/>
  <c r="D1047" i="2"/>
  <c r="V1046" i="2"/>
  <c r="U1046" i="2" a="1"/>
  <c r="U1046" i="2" s="1"/>
  <c r="T1046" i="2"/>
  <c r="R1046" i="2"/>
  <c r="K1046" i="2"/>
  <c r="J1046" i="2"/>
  <c r="E1046" i="2"/>
  <c r="D1046" i="2"/>
  <c r="V1045" i="2"/>
  <c r="U1045" i="2" a="1"/>
  <c r="U1045" i="2"/>
  <c r="T1045" i="2"/>
  <c r="R1045" i="2"/>
  <c r="K1045" i="2"/>
  <c r="J1045" i="2"/>
  <c r="E1045" i="2"/>
  <c r="G1045" i="2" s="1"/>
  <c r="D1045" i="2"/>
  <c r="V1044" i="2"/>
  <c r="U1044" i="2" a="1"/>
  <c r="U1044" i="2"/>
  <c r="T1044" i="2"/>
  <c r="R1044" i="2"/>
  <c r="J1044" i="2"/>
  <c r="I1044" i="2"/>
  <c r="D1044" i="2"/>
  <c r="K1044" i="2" s="1"/>
  <c r="V1043" i="2"/>
  <c r="U1043" i="2" a="1"/>
  <c r="U1043" i="2" s="1"/>
  <c r="T1043" i="2"/>
  <c r="R1043" i="2"/>
  <c r="D1043" i="2"/>
  <c r="V1042" i="2"/>
  <c r="U1042" i="2" a="1"/>
  <c r="U1042" i="2"/>
  <c r="T1042" i="2"/>
  <c r="R1042" i="2"/>
  <c r="D1042" i="2"/>
  <c r="V1041" i="2"/>
  <c r="U1041" i="2" a="1"/>
  <c r="U1041" i="2" s="1"/>
  <c r="T1041" i="2"/>
  <c r="R1041" i="2"/>
  <c r="I1041" i="2"/>
  <c r="D1041" i="2"/>
  <c r="G1041" i="2" s="1"/>
  <c r="H1041" i="2" s="1"/>
  <c r="V1040" i="2"/>
  <c r="U1040" i="2" a="1"/>
  <c r="U1040" i="2"/>
  <c r="T1040" i="2"/>
  <c r="R1040" i="2"/>
  <c r="J1040" i="2"/>
  <c r="I1040" i="2"/>
  <c r="H1040" i="2"/>
  <c r="E1040" i="2"/>
  <c r="D1040" i="2"/>
  <c r="G1040" i="2" s="1"/>
  <c r="V1039" i="2"/>
  <c r="U1039" i="2" a="1"/>
  <c r="U1039" i="2" s="1"/>
  <c r="T1039" i="2"/>
  <c r="R1039" i="2"/>
  <c r="K1039" i="2"/>
  <c r="G1039" i="2"/>
  <c r="D1039" i="2"/>
  <c r="J1039" i="2" s="1"/>
  <c r="V1038" i="2"/>
  <c r="U1038" i="2" a="1"/>
  <c r="U1038" i="2"/>
  <c r="T1038" i="2"/>
  <c r="R1038" i="2"/>
  <c r="J1038" i="2"/>
  <c r="H1038" i="2"/>
  <c r="G1038" i="2"/>
  <c r="E1038" i="2"/>
  <c r="F1038" i="2" s="1"/>
  <c r="D1038" i="2"/>
  <c r="K1038" i="2" s="1"/>
  <c r="V1037" i="2"/>
  <c r="U1037" i="2" a="1"/>
  <c r="U1037" i="2" s="1"/>
  <c r="T1037" i="2"/>
  <c r="R1037" i="2"/>
  <c r="K1037" i="2"/>
  <c r="J1037" i="2"/>
  <c r="I1037" i="2"/>
  <c r="G1037" i="2"/>
  <c r="D1037" i="2"/>
  <c r="H1037" i="2" s="1"/>
  <c r="V1036" i="2"/>
  <c r="U1036" i="2" a="1"/>
  <c r="U1036" i="2"/>
  <c r="T1036" i="2"/>
  <c r="R1036" i="2"/>
  <c r="K1036" i="2"/>
  <c r="J1036" i="2"/>
  <c r="I1036" i="2"/>
  <c r="G1036" i="2"/>
  <c r="H1036" i="2" s="1"/>
  <c r="E1036" i="2"/>
  <c r="F1036" i="2" s="1"/>
  <c r="D1036" i="2"/>
  <c r="V1035" i="2"/>
  <c r="U1035" i="2" a="1"/>
  <c r="U1035" i="2"/>
  <c r="T1035" i="2"/>
  <c r="R1035" i="2"/>
  <c r="D1035" i="2"/>
  <c r="V1034" i="2"/>
  <c r="U1034" i="2" a="1"/>
  <c r="U1034" i="2" s="1"/>
  <c r="T1034" i="2"/>
  <c r="R1034" i="2"/>
  <c r="I1034" i="2"/>
  <c r="D1034" i="2"/>
  <c r="G1034" i="2" s="1"/>
  <c r="H1034" i="2" s="1"/>
  <c r="V1033" i="2"/>
  <c r="U1033" i="2" a="1"/>
  <c r="U1033" i="2"/>
  <c r="T1033" i="2"/>
  <c r="R1033" i="2"/>
  <c r="J1033" i="2"/>
  <c r="I1033" i="2"/>
  <c r="D1033" i="2"/>
  <c r="V1032" i="2"/>
  <c r="U1032" i="2" a="1"/>
  <c r="U1032" i="2"/>
  <c r="T1032" i="2"/>
  <c r="R1032" i="2"/>
  <c r="K1032" i="2"/>
  <c r="J1032" i="2"/>
  <c r="I1032" i="2"/>
  <c r="G1032" i="2"/>
  <c r="H1032" i="2" s="1"/>
  <c r="E1032" i="2"/>
  <c r="F1032" i="2" s="1"/>
  <c r="D1032" i="2"/>
  <c r="V1031" i="2"/>
  <c r="U1031" i="2" a="1"/>
  <c r="U1031" i="2"/>
  <c r="T1031" i="2"/>
  <c r="R1031" i="2"/>
  <c r="D1031" i="2"/>
  <c r="V1030" i="2"/>
  <c r="U1030" i="2" a="1"/>
  <c r="U1030" i="2" s="1"/>
  <c r="T1030" i="2"/>
  <c r="R1030" i="2"/>
  <c r="D1030" i="2"/>
  <c r="V1029" i="2"/>
  <c r="U1029" i="2" a="1"/>
  <c r="U1029" i="2"/>
  <c r="T1029" i="2"/>
  <c r="R1029" i="2"/>
  <c r="K1029" i="2"/>
  <c r="D1029" i="2"/>
  <c r="V1028" i="2"/>
  <c r="U1028" i="2" a="1"/>
  <c r="U1028" i="2" s="1"/>
  <c r="T1028" i="2"/>
  <c r="R1028" i="2"/>
  <c r="H1028" i="2"/>
  <c r="I1028" i="2" s="1"/>
  <c r="G1028" i="2"/>
  <c r="E1028" i="2"/>
  <c r="D1028" i="2"/>
  <c r="K1028" i="2" s="1"/>
  <c r="V1027" i="2"/>
  <c r="U1027" i="2" a="1"/>
  <c r="U1027" i="2" s="1"/>
  <c r="T1027" i="2"/>
  <c r="R1027" i="2"/>
  <c r="K1027" i="2"/>
  <c r="D1027" i="2"/>
  <c r="J1027" i="2" s="1"/>
  <c r="V1026" i="2"/>
  <c r="U1026" i="2" a="1"/>
  <c r="U1026" i="2"/>
  <c r="T1026" i="2"/>
  <c r="R1026" i="2"/>
  <c r="K1026" i="2"/>
  <c r="I1026" i="2"/>
  <c r="G1026" i="2"/>
  <c r="D1026" i="2"/>
  <c r="J1026" i="2" s="1"/>
  <c r="V1025" i="2"/>
  <c r="U1025" i="2" a="1"/>
  <c r="U1025" i="2" s="1"/>
  <c r="T1025" i="2"/>
  <c r="R1025" i="2"/>
  <c r="K1025" i="2"/>
  <c r="D1025" i="2"/>
  <c r="V1024" i="2"/>
  <c r="U1024" i="2" a="1"/>
  <c r="U1024" i="2" s="1"/>
  <c r="T1024" i="2"/>
  <c r="R1024" i="2"/>
  <c r="K1024" i="2"/>
  <c r="J1024" i="2"/>
  <c r="I1024" i="2"/>
  <c r="G1024" i="2"/>
  <c r="H1024" i="2" s="1"/>
  <c r="F1024" i="2"/>
  <c r="E1024" i="2"/>
  <c r="D1024" i="2"/>
  <c r="V1023" i="2"/>
  <c r="U1023" i="2" a="1"/>
  <c r="U1023" i="2"/>
  <c r="T1023" i="2"/>
  <c r="R1023" i="2"/>
  <c r="D1023" i="2"/>
  <c r="V1022" i="2"/>
  <c r="U1022" i="2" a="1"/>
  <c r="U1022" i="2" s="1"/>
  <c r="T1022" i="2"/>
  <c r="R1022" i="2"/>
  <c r="K1022" i="2"/>
  <c r="J1022" i="2"/>
  <c r="I1022" i="2"/>
  <c r="G1022" i="2"/>
  <c r="H1022" i="2" s="1"/>
  <c r="F1022" i="2"/>
  <c r="E1022" i="2"/>
  <c r="D1022" i="2"/>
  <c r="V1021" i="2"/>
  <c r="U1021" i="2" a="1"/>
  <c r="U1021" i="2"/>
  <c r="T1021" i="2"/>
  <c r="R1021" i="2"/>
  <c r="K1021" i="2"/>
  <c r="J1021" i="2"/>
  <c r="H1021" i="2"/>
  <c r="G1021" i="2"/>
  <c r="E1021" i="2"/>
  <c r="F1021" i="2" s="1"/>
  <c r="D1021" i="2"/>
  <c r="I1021" i="2" s="1"/>
  <c r="V1020" i="2"/>
  <c r="U1020" i="2" a="1"/>
  <c r="U1020" i="2"/>
  <c r="T1020" i="2"/>
  <c r="R1020" i="2"/>
  <c r="K1020" i="2"/>
  <c r="J1020" i="2"/>
  <c r="I1020" i="2"/>
  <c r="G1020" i="2"/>
  <c r="D1020" i="2"/>
  <c r="H1020" i="2" s="1"/>
  <c r="V1019" i="2"/>
  <c r="U1019" i="2" a="1"/>
  <c r="U1019" i="2" s="1"/>
  <c r="T1019" i="2"/>
  <c r="R1019" i="2"/>
  <c r="K1019" i="2"/>
  <c r="J1019" i="2"/>
  <c r="I1019" i="2"/>
  <c r="G1019" i="2"/>
  <c r="H1019" i="2" s="1"/>
  <c r="E1019" i="2"/>
  <c r="F1019" i="2" s="1"/>
  <c r="D1019" i="2"/>
  <c r="V1018" i="2"/>
  <c r="U1018" i="2" a="1"/>
  <c r="U1018" i="2"/>
  <c r="T1018" i="2"/>
  <c r="R1018" i="2"/>
  <c r="K1018" i="2"/>
  <c r="I1018" i="2"/>
  <c r="G1018" i="2"/>
  <c r="H1018" i="2" s="1"/>
  <c r="F1018" i="2"/>
  <c r="E1018" i="2"/>
  <c r="D1018" i="2"/>
  <c r="J1018" i="2" s="1"/>
  <c r="V1017" i="2"/>
  <c r="U1017" i="2" a="1"/>
  <c r="U1017" i="2"/>
  <c r="T1017" i="2"/>
  <c r="R1017" i="2"/>
  <c r="K1017" i="2"/>
  <c r="E1017" i="2"/>
  <c r="D1017" i="2"/>
  <c r="V1016" i="2"/>
  <c r="U1016" i="2" a="1"/>
  <c r="U1016" i="2" s="1"/>
  <c r="T1016" i="2"/>
  <c r="R1016" i="2"/>
  <c r="K1016" i="2"/>
  <c r="J1016" i="2"/>
  <c r="D1016" i="2"/>
  <c r="V1015" i="2"/>
  <c r="U1015" i="2" a="1"/>
  <c r="U1015" i="2"/>
  <c r="T1015" i="2"/>
  <c r="R1015" i="2"/>
  <c r="J1015" i="2"/>
  <c r="I1015" i="2"/>
  <c r="D1015" i="2"/>
  <c r="K1015" i="2" s="1"/>
  <c r="V1014" i="2"/>
  <c r="U1014" i="2" a="1"/>
  <c r="U1014" i="2" s="1"/>
  <c r="T1014" i="2"/>
  <c r="R1014" i="2"/>
  <c r="K1014" i="2"/>
  <c r="I1014" i="2"/>
  <c r="F1014" i="2"/>
  <c r="E1014" i="2"/>
  <c r="D1014" i="2"/>
  <c r="V1013" i="2"/>
  <c r="U1013" i="2" a="1"/>
  <c r="U1013" i="2"/>
  <c r="T1013" i="2"/>
  <c r="R1013" i="2"/>
  <c r="E1013" i="2"/>
  <c r="D1013" i="2"/>
  <c r="V1012" i="2"/>
  <c r="U1012" i="2" a="1"/>
  <c r="U1012" i="2" s="1"/>
  <c r="T1012" i="2"/>
  <c r="R1012" i="2"/>
  <c r="D1012" i="2"/>
  <c r="V1011" i="2"/>
  <c r="U1011" i="2" a="1"/>
  <c r="U1011" i="2"/>
  <c r="T1011" i="2"/>
  <c r="R1011" i="2"/>
  <c r="J1011" i="2"/>
  <c r="I1011" i="2"/>
  <c r="D1011" i="2"/>
  <c r="V1010" i="2"/>
  <c r="U1010" i="2" a="1"/>
  <c r="U1010" i="2"/>
  <c r="T1010" i="2"/>
  <c r="R1010" i="2"/>
  <c r="K1010" i="2"/>
  <c r="J1010" i="2"/>
  <c r="I1010" i="2"/>
  <c r="G1010" i="2"/>
  <c r="H1010" i="2" s="1"/>
  <c r="E1010" i="2"/>
  <c r="D1010" i="2"/>
  <c r="F1010" i="2" s="1"/>
  <c r="V1009" i="2"/>
  <c r="U1009" i="2" a="1"/>
  <c r="U1009" i="2"/>
  <c r="T1009" i="2"/>
  <c r="R1009" i="2"/>
  <c r="J1009" i="2"/>
  <c r="H1009" i="2"/>
  <c r="G1009" i="2"/>
  <c r="D1009" i="2"/>
  <c r="V1008" i="2"/>
  <c r="U1008" i="2" a="1"/>
  <c r="U1008" i="2"/>
  <c r="T1008" i="2"/>
  <c r="R1008" i="2"/>
  <c r="D1008" i="2"/>
  <c r="V1007" i="2"/>
  <c r="U1007" i="2" a="1"/>
  <c r="U1007" i="2"/>
  <c r="T1007" i="2"/>
  <c r="R1007" i="2"/>
  <c r="K1007" i="2"/>
  <c r="I1007" i="2"/>
  <c r="H1007" i="2"/>
  <c r="G1007" i="2"/>
  <c r="D1007" i="2"/>
  <c r="F1007" i="2" s="1"/>
  <c r="V1006" i="2"/>
  <c r="U1006" i="2" a="1"/>
  <c r="U1006" i="2" s="1"/>
  <c r="T1006" i="2"/>
  <c r="R1006" i="2"/>
  <c r="I1006" i="2"/>
  <c r="G1006" i="2"/>
  <c r="H1006" i="2" s="1"/>
  <c r="E1006" i="2"/>
  <c r="D1006" i="2"/>
  <c r="K1006" i="2" s="1"/>
  <c r="V1005" i="2"/>
  <c r="U1005" i="2" a="1"/>
  <c r="U1005" i="2" s="1"/>
  <c r="T1005" i="2"/>
  <c r="R1005" i="2"/>
  <c r="K1005" i="2"/>
  <c r="G1005" i="2"/>
  <c r="D1005" i="2"/>
  <c r="J1005" i="2" s="1"/>
  <c r="V1004" i="2"/>
  <c r="U1004" i="2" a="1"/>
  <c r="U1004" i="2"/>
  <c r="T1004" i="2"/>
  <c r="R1004" i="2"/>
  <c r="D1004" i="2"/>
  <c r="V1003" i="2"/>
  <c r="U1003" i="2" a="1"/>
  <c r="U1003" i="2" s="1"/>
  <c r="T1003" i="2"/>
  <c r="R1003" i="2"/>
  <c r="K1003" i="2"/>
  <c r="D1003" i="2"/>
  <c r="V1002" i="2"/>
  <c r="U1002" i="2" a="1"/>
  <c r="U1002" i="2" s="1"/>
  <c r="T1002" i="2"/>
  <c r="R1002" i="2"/>
  <c r="K1002" i="2"/>
  <c r="J1002" i="2"/>
  <c r="I1002" i="2"/>
  <c r="H1002" i="2"/>
  <c r="G1002" i="2"/>
  <c r="D1002" i="2"/>
  <c r="E1002" i="2" s="1"/>
  <c r="F1002" i="2" s="1"/>
  <c r="V1001" i="2"/>
  <c r="U1001" i="2" a="1"/>
  <c r="U1001" i="2"/>
  <c r="T1001" i="2"/>
  <c r="R1001" i="2"/>
  <c r="D1001" i="2"/>
  <c r="V1000" i="2"/>
  <c r="U1000" i="2" a="1"/>
  <c r="U1000" i="2"/>
  <c r="T1000" i="2"/>
  <c r="R1000" i="2"/>
  <c r="K1000" i="2"/>
  <c r="J1000" i="2"/>
  <c r="I1000" i="2"/>
  <c r="G1000" i="2"/>
  <c r="H1000" i="2" s="1"/>
  <c r="F1000" i="2"/>
  <c r="E1000" i="2"/>
  <c r="D1000" i="2"/>
  <c r="V999" i="2"/>
  <c r="U999" i="2" a="1"/>
  <c r="U999" i="2"/>
  <c r="T999" i="2"/>
  <c r="R999" i="2"/>
  <c r="K999" i="2"/>
  <c r="J999" i="2"/>
  <c r="H999" i="2"/>
  <c r="G999" i="2"/>
  <c r="F999" i="2"/>
  <c r="E999" i="2"/>
  <c r="D999" i="2"/>
  <c r="I999" i="2" s="1"/>
  <c r="V998" i="2"/>
  <c r="U998" i="2" a="1"/>
  <c r="U998" i="2" s="1"/>
  <c r="T998" i="2"/>
  <c r="R998" i="2"/>
  <c r="K998" i="2"/>
  <c r="J998" i="2"/>
  <c r="I998" i="2"/>
  <c r="G998" i="2"/>
  <c r="D998" i="2"/>
  <c r="H998" i="2" s="1"/>
  <c r="V997" i="2"/>
  <c r="U997" i="2" a="1"/>
  <c r="U997" i="2" s="1"/>
  <c r="T997" i="2"/>
  <c r="R997" i="2"/>
  <c r="K997" i="2"/>
  <c r="J997" i="2"/>
  <c r="I997" i="2"/>
  <c r="G997" i="2"/>
  <c r="H997" i="2" s="1"/>
  <c r="F997" i="2"/>
  <c r="E997" i="2"/>
  <c r="D997" i="2"/>
  <c r="V996" i="2"/>
  <c r="U996" i="2" a="1"/>
  <c r="U996" i="2"/>
  <c r="T996" i="2"/>
  <c r="R996" i="2"/>
  <c r="K996" i="2"/>
  <c r="I996" i="2"/>
  <c r="G996" i="2"/>
  <c r="H996" i="2" s="1"/>
  <c r="F996" i="2"/>
  <c r="E996" i="2"/>
  <c r="D996" i="2"/>
  <c r="J996" i="2" s="1"/>
  <c r="V995" i="2"/>
  <c r="U995" i="2" a="1"/>
  <c r="U995" i="2"/>
  <c r="T995" i="2"/>
  <c r="R995" i="2"/>
  <c r="K995" i="2"/>
  <c r="J995" i="2"/>
  <c r="I995" i="2"/>
  <c r="E995" i="2"/>
  <c r="D995" i="2"/>
  <c r="V994" i="2"/>
  <c r="U994" i="2" a="1"/>
  <c r="U994" i="2" s="1"/>
  <c r="T994" i="2"/>
  <c r="R994" i="2"/>
  <c r="J994" i="2"/>
  <c r="I994" i="2"/>
  <c r="E994" i="2"/>
  <c r="F994" i="2" s="1"/>
  <c r="D994" i="2"/>
  <c r="V993" i="2"/>
  <c r="U993" i="2" a="1"/>
  <c r="U993" i="2" s="1"/>
  <c r="T993" i="2"/>
  <c r="R993" i="2"/>
  <c r="J993" i="2"/>
  <c r="I993" i="2"/>
  <c r="D993" i="2"/>
  <c r="K993" i="2" s="1"/>
  <c r="V992" i="2"/>
  <c r="U992" i="2" a="1"/>
  <c r="U992" i="2"/>
  <c r="T992" i="2"/>
  <c r="R992" i="2"/>
  <c r="I992" i="2"/>
  <c r="H992" i="2"/>
  <c r="D992" i="2"/>
  <c r="G992" i="2" s="1"/>
  <c r="V991" i="2"/>
  <c r="U991" i="2" a="1"/>
  <c r="U991" i="2"/>
  <c r="T991" i="2"/>
  <c r="R991" i="2"/>
  <c r="E991" i="2"/>
  <c r="D991" i="2"/>
  <c r="V990" i="2"/>
  <c r="U990" i="2" a="1"/>
  <c r="U990" i="2"/>
  <c r="T990" i="2"/>
  <c r="R990" i="2"/>
  <c r="I990" i="2"/>
  <c r="D990" i="2"/>
  <c r="V989" i="2"/>
  <c r="U989" i="2" a="1"/>
  <c r="U989" i="2"/>
  <c r="T989" i="2"/>
  <c r="R989" i="2"/>
  <c r="D989" i="2"/>
  <c r="V988" i="2"/>
  <c r="U988" i="2" a="1"/>
  <c r="U988" i="2"/>
  <c r="T988" i="2"/>
  <c r="R988" i="2"/>
  <c r="K988" i="2"/>
  <c r="J988" i="2"/>
  <c r="I988" i="2"/>
  <c r="G988" i="2"/>
  <c r="H988" i="2" s="1"/>
  <c r="E988" i="2"/>
  <c r="F988" i="2" s="1"/>
  <c r="D988" i="2"/>
  <c r="V987" i="2"/>
  <c r="U987" i="2" a="1"/>
  <c r="U987" i="2"/>
  <c r="T987" i="2"/>
  <c r="R987" i="2"/>
  <c r="E987" i="2"/>
  <c r="D987" i="2"/>
  <c r="V986" i="2"/>
  <c r="U986" i="2" a="1"/>
  <c r="U986" i="2" s="1"/>
  <c r="T986" i="2"/>
  <c r="R986" i="2"/>
  <c r="K986" i="2"/>
  <c r="I986" i="2"/>
  <c r="E986" i="2"/>
  <c r="D986" i="2"/>
  <c r="V985" i="2"/>
  <c r="U985" i="2" a="1"/>
  <c r="U985" i="2"/>
  <c r="T985" i="2"/>
  <c r="R985" i="2"/>
  <c r="K985" i="2"/>
  <c r="I985" i="2"/>
  <c r="H985" i="2"/>
  <c r="G985" i="2"/>
  <c r="D985" i="2"/>
  <c r="V984" i="2"/>
  <c r="U984" i="2" a="1"/>
  <c r="U984" i="2" s="1"/>
  <c r="T984" i="2"/>
  <c r="R984" i="2"/>
  <c r="E984" i="2"/>
  <c r="D984" i="2"/>
  <c r="V983" i="2"/>
  <c r="U983" i="2" a="1"/>
  <c r="U983" i="2" s="1"/>
  <c r="T983" i="2"/>
  <c r="R983" i="2"/>
  <c r="D983" i="2"/>
  <c r="V982" i="2"/>
  <c r="U982" i="2" a="1"/>
  <c r="U982" i="2"/>
  <c r="T982" i="2"/>
  <c r="R982" i="2"/>
  <c r="K982" i="2"/>
  <c r="G982" i="2"/>
  <c r="D982" i="2"/>
  <c r="V981" i="2"/>
  <c r="U981" i="2" a="1"/>
  <c r="U981" i="2" s="1"/>
  <c r="T981" i="2"/>
  <c r="R981" i="2"/>
  <c r="K981" i="2"/>
  <c r="J981" i="2"/>
  <c r="D981" i="2"/>
  <c r="V980" i="2"/>
  <c r="U980" i="2" a="1"/>
  <c r="U980" i="2" s="1"/>
  <c r="T980" i="2"/>
  <c r="R980" i="2"/>
  <c r="K980" i="2"/>
  <c r="J980" i="2"/>
  <c r="I980" i="2"/>
  <c r="G980" i="2"/>
  <c r="H980" i="2" s="1"/>
  <c r="F980" i="2"/>
  <c r="E980" i="2"/>
  <c r="D980" i="2"/>
  <c r="V979" i="2"/>
  <c r="U979" i="2" a="1"/>
  <c r="U979" i="2" s="1"/>
  <c r="T979" i="2"/>
  <c r="R979" i="2"/>
  <c r="G979" i="2"/>
  <c r="H979" i="2" s="1"/>
  <c r="D979" i="2"/>
  <c r="V978" i="2"/>
  <c r="U978" i="2" a="1"/>
  <c r="U978" i="2" s="1"/>
  <c r="T978" i="2"/>
  <c r="R978" i="2"/>
  <c r="K978" i="2"/>
  <c r="J978" i="2"/>
  <c r="I978" i="2"/>
  <c r="G978" i="2"/>
  <c r="H978" i="2" s="1"/>
  <c r="F978" i="2"/>
  <c r="E978" i="2"/>
  <c r="D978" i="2"/>
  <c r="V977" i="2"/>
  <c r="U977" i="2" a="1"/>
  <c r="U977" i="2"/>
  <c r="T977" i="2"/>
  <c r="R977" i="2"/>
  <c r="K977" i="2"/>
  <c r="J977" i="2"/>
  <c r="H977" i="2"/>
  <c r="G977" i="2"/>
  <c r="E977" i="2"/>
  <c r="F977" i="2" s="1"/>
  <c r="D977" i="2"/>
  <c r="I977" i="2" s="1"/>
  <c r="V976" i="2"/>
  <c r="U976" i="2" a="1"/>
  <c r="U976" i="2"/>
  <c r="T976" i="2"/>
  <c r="R976" i="2"/>
  <c r="K976" i="2"/>
  <c r="J976" i="2"/>
  <c r="I976" i="2"/>
  <c r="G976" i="2"/>
  <c r="E976" i="2"/>
  <c r="D976" i="2"/>
  <c r="H976" i="2" s="1"/>
  <c r="V975" i="2"/>
  <c r="U975" i="2" a="1"/>
  <c r="U975" i="2" s="1"/>
  <c r="T975" i="2"/>
  <c r="R975" i="2"/>
  <c r="K975" i="2"/>
  <c r="J975" i="2"/>
  <c r="E975" i="2"/>
  <c r="D975" i="2"/>
  <c r="V974" i="2"/>
  <c r="U974" i="2" a="1"/>
  <c r="U974" i="2"/>
  <c r="T974" i="2"/>
  <c r="R974" i="2"/>
  <c r="K974" i="2"/>
  <c r="E974" i="2"/>
  <c r="F974" i="2" s="1"/>
  <c r="D974" i="2"/>
  <c r="J974" i="2" s="1"/>
  <c r="V973" i="2"/>
  <c r="U973" i="2" a="1"/>
  <c r="U973" i="2" s="1"/>
  <c r="T973" i="2"/>
  <c r="R973" i="2"/>
  <c r="D973" i="2"/>
  <c r="V972" i="2"/>
  <c r="U972" i="2" a="1"/>
  <c r="U972" i="2" s="1"/>
  <c r="T972" i="2"/>
  <c r="R972" i="2"/>
  <c r="D972" i="2"/>
  <c r="V971" i="2"/>
  <c r="U971" i="2" a="1"/>
  <c r="U971" i="2"/>
  <c r="T971" i="2"/>
  <c r="R971" i="2"/>
  <c r="J971" i="2"/>
  <c r="D971" i="2"/>
  <c r="K971" i="2" s="1"/>
  <c r="V970" i="2"/>
  <c r="U970" i="2" a="1"/>
  <c r="U970" i="2"/>
  <c r="T970" i="2"/>
  <c r="R970" i="2"/>
  <c r="K970" i="2"/>
  <c r="J970" i="2"/>
  <c r="D970" i="2"/>
  <c r="V969" i="2"/>
  <c r="U969" i="2" a="1"/>
  <c r="U969" i="2"/>
  <c r="T969" i="2"/>
  <c r="R969" i="2"/>
  <c r="D969" i="2"/>
  <c r="V968" i="2"/>
  <c r="U968" i="2" a="1"/>
  <c r="U968" i="2"/>
  <c r="T968" i="2"/>
  <c r="R968" i="2"/>
  <c r="J968" i="2"/>
  <c r="D968" i="2"/>
  <c r="V967" i="2"/>
  <c r="U967" i="2" a="1"/>
  <c r="U967" i="2"/>
  <c r="T967" i="2"/>
  <c r="R967" i="2"/>
  <c r="J967" i="2"/>
  <c r="D967" i="2"/>
  <c r="V966" i="2"/>
  <c r="U966" i="2" a="1"/>
  <c r="U966" i="2"/>
  <c r="T966" i="2"/>
  <c r="R966" i="2"/>
  <c r="K966" i="2"/>
  <c r="J966" i="2"/>
  <c r="E966" i="2"/>
  <c r="D966" i="2"/>
  <c r="V965" i="2"/>
  <c r="U965" i="2" a="1"/>
  <c r="U965" i="2"/>
  <c r="T965" i="2"/>
  <c r="R965" i="2"/>
  <c r="E965" i="2"/>
  <c r="G965" i="2" s="1"/>
  <c r="D965" i="2"/>
  <c r="V964" i="2"/>
  <c r="U964" i="2" a="1"/>
  <c r="U964" i="2" s="1"/>
  <c r="T964" i="2"/>
  <c r="R964" i="2"/>
  <c r="K964" i="2"/>
  <c r="D964" i="2"/>
  <c r="V963" i="2"/>
  <c r="U963" i="2" a="1"/>
  <c r="U963" i="2"/>
  <c r="T963" i="2"/>
  <c r="R963" i="2"/>
  <c r="D963" i="2"/>
  <c r="V962" i="2"/>
  <c r="U962" i="2" a="1"/>
  <c r="U962" i="2" s="1"/>
  <c r="T962" i="2"/>
  <c r="R962" i="2"/>
  <c r="D962" i="2"/>
  <c r="V961" i="2"/>
  <c r="U961" i="2" a="1"/>
  <c r="U961" i="2" s="1"/>
  <c r="T961" i="2"/>
  <c r="R961" i="2"/>
  <c r="K961" i="2"/>
  <c r="D961" i="2"/>
  <c r="V960" i="2"/>
  <c r="U960" i="2" a="1"/>
  <c r="U960" i="2" s="1"/>
  <c r="T960" i="2"/>
  <c r="R960" i="2"/>
  <c r="D960" i="2"/>
  <c r="V959" i="2"/>
  <c r="U959" i="2" a="1"/>
  <c r="U959" i="2" s="1"/>
  <c r="T959" i="2"/>
  <c r="R959" i="2"/>
  <c r="J959" i="2"/>
  <c r="D959" i="2"/>
  <c r="V958" i="2"/>
  <c r="U958" i="2" a="1"/>
  <c r="U958" i="2" s="1"/>
  <c r="T958" i="2"/>
  <c r="R958" i="2"/>
  <c r="K958" i="2"/>
  <c r="J958" i="2"/>
  <c r="H958" i="2"/>
  <c r="I958" i="2" s="1"/>
  <c r="G958" i="2"/>
  <c r="F958" i="2"/>
  <c r="E958" i="2"/>
  <c r="D958" i="2"/>
  <c r="V957" i="2"/>
  <c r="U957" i="2" a="1"/>
  <c r="U957" i="2"/>
  <c r="T957" i="2"/>
  <c r="R957" i="2"/>
  <c r="D957" i="2"/>
  <c r="V956" i="2"/>
  <c r="U956" i="2" a="1"/>
  <c r="U956" i="2" s="1"/>
  <c r="T956" i="2"/>
  <c r="R956" i="2"/>
  <c r="K956" i="2"/>
  <c r="J956" i="2"/>
  <c r="G956" i="2"/>
  <c r="H956" i="2" s="1"/>
  <c r="I956" i="2" s="1"/>
  <c r="F956" i="2"/>
  <c r="E956" i="2"/>
  <c r="D956" i="2"/>
  <c r="V955" i="2"/>
  <c r="U955" i="2" a="1"/>
  <c r="U955" i="2"/>
  <c r="T955" i="2"/>
  <c r="R955" i="2"/>
  <c r="K955" i="2"/>
  <c r="J955" i="2"/>
  <c r="H955" i="2"/>
  <c r="G955" i="2"/>
  <c r="F955" i="2"/>
  <c r="E955" i="2"/>
  <c r="D955" i="2"/>
  <c r="I955" i="2" s="1"/>
  <c r="V954" i="2"/>
  <c r="U954" i="2" a="1"/>
  <c r="U954" i="2"/>
  <c r="T954" i="2"/>
  <c r="R954" i="2"/>
  <c r="K954" i="2"/>
  <c r="J954" i="2"/>
  <c r="I954" i="2"/>
  <c r="G954" i="2"/>
  <c r="E954" i="2"/>
  <c r="D954" i="2"/>
  <c r="H954" i="2" s="1"/>
  <c r="V953" i="2"/>
  <c r="U953" i="2" a="1"/>
  <c r="U953" i="2" s="1"/>
  <c r="T953" i="2"/>
  <c r="R953" i="2"/>
  <c r="K953" i="2"/>
  <c r="J953" i="2"/>
  <c r="E953" i="2"/>
  <c r="D953" i="2"/>
  <c r="V952" i="2"/>
  <c r="U952" i="2" a="1"/>
  <c r="U952" i="2"/>
  <c r="T952" i="2"/>
  <c r="R952" i="2"/>
  <c r="K952" i="2"/>
  <c r="G952" i="2"/>
  <c r="H952" i="2" s="1"/>
  <c r="I952" i="2" s="1"/>
  <c r="F952" i="2"/>
  <c r="E952" i="2"/>
  <c r="D952" i="2"/>
  <c r="J952" i="2" s="1"/>
  <c r="V951" i="2"/>
  <c r="U951" i="2" a="1"/>
  <c r="U951" i="2" s="1"/>
  <c r="T951" i="2"/>
  <c r="R951" i="2"/>
  <c r="D951" i="2"/>
  <c r="V950" i="2"/>
  <c r="U950" i="2" a="1"/>
  <c r="U950" i="2" s="1"/>
  <c r="T950" i="2"/>
  <c r="R950" i="2"/>
  <c r="G950" i="2"/>
  <c r="D950" i="2"/>
  <c r="V949" i="2"/>
  <c r="U949" i="2" a="1"/>
  <c r="U949" i="2"/>
  <c r="T949" i="2"/>
  <c r="R949" i="2"/>
  <c r="J949" i="2"/>
  <c r="I949" i="2"/>
  <c r="D949" i="2"/>
  <c r="K949" i="2" s="1"/>
  <c r="V948" i="2"/>
  <c r="U948" i="2" a="1"/>
  <c r="U948" i="2" s="1"/>
  <c r="T948" i="2"/>
  <c r="R948" i="2"/>
  <c r="J948" i="2"/>
  <c r="I948" i="2"/>
  <c r="D948" i="2"/>
  <c r="V947" i="2"/>
  <c r="U947" i="2" a="1"/>
  <c r="U947" i="2"/>
  <c r="T947" i="2"/>
  <c r="R947" i="2"/>
  <c r="J947" i="2"/>
  <c r="D947" i="2"/>
  <c r="V946" i="2"/>
  <c r="U946" i="2" a="1"/>
  <c r="U946" i="2" s="1"/>
  <c r="T946" i="2"/>
  <c r="R946" i="2"/>
  <c r="E946" i="2"/>
  <c r="D946" i="2"/>
  <c r="V945" i="2"/>
  <c r="U945" i="2" a="1"/>
  <c r="U945" i="2"/>
  <c r="T945" i="2"/>
  <c r="R945" i="2"/>
  <c r="J945" i="2"/>
  <c r="E945" i="2"/>
  <c r="F945" i="2" s="1"/>
  <c r="D945" i="2"/>
  <c r="V944" i="2"/>
  <c r="U944" i="2" a="1"/>
  <c r="U944" i="2"/>
  <c r="T944" i="2"/>
  <c r="R944" i="2"/>
  <c r="K944" i="2"/>
  <c r="J944" i="2"/>
  <c r="E944" i="2"/>
  <c r="D944" i="2"/>
  <c r="V943" i="2"/>
  <c r="U943" i="2" a="1"/>
  <c r="U943" i="2"/>
  <c r="T943" i="2"/>
  <c r="R943" i="2"/>
  <c r="J943" i="2"/>
  <c r="E943" i="2"/>
  <c r="G943" i="2" s="1"/>
  <c r="H943" i="2" s="1"/>
  <c r="I943" i="2" s="1"/>
  <c r="D943" i="2"/>
  <c r="V942" i="2"/>
  <c r="U942" i="2" a="1"/>
  <c r="U942" i="2" s="1"/>
  <c r="T942" i="2"/>
  <c r="R942" i="2"/>
  <c r="D942" i="2"/>
  <c r="V941" i="2"/>
  <c r="U941" i="2" a="1"/>
  <c r="U941" i="2"/>
  <c r="O23" i="5" s="1"/>
  <c r="T941" i="2"/>
  <c r="R941" i="2"/>
  <c r="D941" i="2"/>
  <c r="V940" i="2"/>
  <c r="U940" i="2" a="1"/>
  <c r="U940" i="2" s="1"/>
  <c r="T940" i="2"/>
  <c r="R940" i="2"/>
  <c r="I940" i="2"/>
  <c r="H940" i="2"/>
  <c r="G940" i="2"/>
  <c r="D940" i="2"/>
  <c r="V939" i="2"/>
  <c r="U939" i="2" a="1"/>
  <c r="U939" i="2" s="1"/>
  <c r="T939" i="2"/>
  <c r="R939" i="2"/>
  <c r="D939" i="2"/>
  <c r="V938" i="2"/>
  <c r="U938" i="2" a="1"/>
  <c r="U938" i="2" s="1"/>
  <c r="T938" i="2"/>
  <c r="R938" i="2"/>
  <c r="D938" i="2"/>
  <c r="V937" i="2"/>
  <c r="U937" i="2" a="1"/>
  <c r="U937" i="2" s="1"/>
  <c r="T937" i="2"/>
  <c r="R937" i="2"/>
  <c r="J937" i="2"/>
  <c r="D937" i="2"/>
  <c r="V936" i="2"/>
  <c r="U936" i="2" a="1"/>
  <c r="U936" i="2" s="1"/>
  <c r="T936" i="2"/>
  <c r="R936" i="2"/>
  <c r="K936" i="2"/>
  <c r="J936" i="2"/>
  <c r="G936" i="2"/>
  <c r="H936" i="2" s="1"/>
  <c r="I936" i="2" s="1"/>
  <c r="F936" i="2"/>
  <c r="E936" i="2"/>
  <c r="D936" i="2"/>
  <c r="V935" i="2"/>
  <c r="U935" i="2" a="1"/>
  <c r="U935" i="2" s="1"/>
  <c r="T935" i="2"/>
  <c r="R935" i="2"/>
  <c r="D935" i="2"/>
  <c r="V934" i="2"/>
  <c r="U934" i="2" a="1"/>
  <c r="U934" i="2"/>
  <c r="T934" i="2"/>
  <c r="R934" i="2"/>
  <c r="K934" i="2"/>
  <c r="J934" i="2"/>
  <c r="G934" i="2"/>
  <c r="H934" i="2" s="1"/>
  <c r="I934" i="2" s="1"/>
  <c r="F934" i="2"/>
  <c r="E934" i="2"/>
  <c r="D934" i="2"/>
  <c r="V933" i="2"/>
  <c r="U933" i="2" a="1"/>
  <c r="U933" i="2"/>
  <c r="T933" i="2"/>
  <c r="R933" i="2"/>
  <c r="K933" i="2"/>
  <c r="J933" i="2"/>
  <c r="G933" i="2"/>
  <c r="H933" i="2" s="1"/>
  <c r="E933" i="2"/>
  <c r="F933" i="2" s="1"/>
  <c r="D933" i="2"/>
  <c r="V932" i="2"/>
  <c r="U932" i="2" a="1"/>
  <c r="U932" i="2" s="1"/>
  <c r="T932" i="2"/>
  <c r="R932" i="2"/>
  <c r="K932" i="2"/>
  <c r="J932" i="2"/>
  <c r="D932" i="2"/>
  <c r="V931" i="2"/>
  <c r="U931" i="2" a="1"/>
  <c r="U931" i="2"/>
  <c r="T931" i="2"/>
  <c r="R931" i="2"/>
  <c r="K931" i="2"/>
  <c r="J931" i="2"/>
  <c r="G931" i="2"/>
  <c r="H931" i="2" s="1"/>
  <c r="I931" i="2" s="1"/>
  <c r="E931" i="2"/>
  <c r="F931" i="2" s="1"/>
  <c r="D931" i="2"/>
  <c r="V930" i="2"/>
  <c r="U930" i="2" a="1"/>
  <c r="U930" i="2" s="1"/>
  <c r="T930" i="2"/>
  <c r="R930" i="2"/>
  <c r="K930" i="2"/>
  <c r="G930" i="2"/>
  <c r="H930" i="2" s="1"/>
  <c r="I930" i="2" s="1"/>
  <c r="F930" i="2"/>
  <c r="E930" i="2"/>
  <c r="D930" i="2"/>
  <c r="J930" i="2" s="1"/>
  <c r="V929" i="2"/>
  <c r="U929" i="2" a="1"/>
  <c r="U929" i="2"/>
  <c r="T929" i="2"/>
  <c r="R929" i="2"/>
  <c r="K929" i="2"/>
  <c r="D929" i="2"/>
  <c r="V928" i="2"/>
  <c r="U928" i="2" a="1"/>
  <c r="U928" i="2" s="1"/>
  <c r="T928" i="2"/>
  <c r="R928" i="2"/>
  <c r="J928" i="2"/>
  <c r="D928" i="2"/>
  <c r="K928" i="2" s="1"/>
  <c r="V927" i="2"/>
  <c r="U927" i="2" a="1"/>
  <c r="U927" i="2"/>
  <c r="T927" i="2"/>
  <c r="R927" i="2"/>
  <c r="J927" i="2"/>
  <c r="F927" i="2"/>
  <c r="D927" i="2"/>
  <c r="V926" i="2"/>
  <c r="U926" i="2" a="1"/>
  <c r="U926" i="2" s="1"/>
  <c r="T926" i="2"/>
  <c r="R926" i="2"/>
  <c r="K926" i="2"/>
  <c r="D926" i="2"/>
  <c r="V925" i="2"/>
  <c r="U925" i="2" a="1"/>
  <c r="U925" i="2"/>
  <c r="T925" i="2"/>
  <c r="R925" i="2"/>
  <c r="D925" i="2"/>
  <c r="V924" i="2"/>
  <c r="U924" i="2" a="1"/>
  <c r="U924" i="2" s="1"/>
  <c r="T924" i="2"/>
  <c r="R924" i="2"/>
  <c r="J924" i="2"/>
  <c r="D924" i="2"/>
  <c r="V923" i="2"/>
  <c r="U923" i="2" a="1"/>
  <c r="U923" i="2" s="1"/>
  <c r="T923" i="2"/>
  <c r="R923" i="2"/>
  <c r="D923" i="2"/>
  <c r="V922" i="2"/>
  <c r="U922" i="2" a="1"/>
  <c r="U922" i="2"/>
  <c r="T922" i="2"/>
  <c r="R922" i="2"/>
  <c r="K922" i="2"/>
  <c r="J922" i="2"/>
  <c r="G922" i="2"/>
  <c r="H922" i="2" s="1"/>
  <c r="I922" i="2" s="1"/>
  <c r="F922" i="2"/>
  <c r="E922" i="2"/>
  <c r="D922" i="2"/>
  <c r="V921" i="2"/>
  <c r="U921" i="2" a="1"/>
  <c r="U921" i="2" s="1"/>
  <c r="T921" i="2"/>
  <c r="R921" i="2"/>
  <c r="D921" i="2"/>
  <c r="V920" i="2"/>
  <c r="U920" i="2" a="1"/>
  <c r="U920" i="2" s="1"/>
  <c r="T920" i="2"/>
  <c r="R920" i="2"/>
  <c r="K920" i="2"/>
  <c r="J920" i="2"/>
  <c r="F920" i="2"/>
  <c r="E920" i="2"/>
  <c r="D920" i="2"/>
  <c r="V919" i="2"/>
  <c r="U919" i="2" a="1"/>
  <c r="U919" i="2"/>
  <c r="T919" i="2"/>
  <c r="R919" i="2"/>
  <c r="K919" i="2"/>
  <c r="J919" i="2"/>
  <c r="D919" i="2"/>
  <c r="V918" i="2"/>
  <c r="U918" i="2" a="1"/>
  <c r="U918" i="2"/>
  <c r="T918" i="2"/>
  <c r="R918" i="2"/>
  <c r="K918" i="2"/>
  <c r="J918" i="2"/>
  <c r="G918" i="2"/>
  <c r="H918" i="2" s="1"/>
  <c r="I918" i="2" s="1"/>
  <c r="F918" i="2"/>
  <c r="E918" i="2"/>
  <c r="D918" i="2"/>
  <c r="V917" i="2"/>
  <c r="U917" i="2" a="1"/>
  <c r="U917" i="2" s="1"/>
  <c r="T917" i="2"/>
  <c r="R917" i="2"/>
  <c r="K917" i="2"/>
  <c r="D917" i="2"/>
  <c r="V916" i="2"/>
  <c r="U916" i="2" a="1"/>
  <c r="U916" i="2"/>
  <c r="T916" i="2"/>
  <c r="R916" i="2"/>
  <c r="K916" i="2"/>
  <c r="J916" i="2"/>
  <c r="D916" i="2"/>
  <c r="V915" i="2"/>
  <c r="U915" i="2" a="1"/>
  <c r="U915" i="2" s="1"/>
  <c r="T915" i="2"/>
  <c r="R915" i="2"/>
  <c r="D915" i="2"/>
  <c r="V914" i="2"/>
  <c r="U914" i="2" a="1"/>
  <c r="U914" i="2"/>
  <c r="T914" i="2"/>
  <c r="R914" i="2"/>
  <c r="K914" i="2"/>
  <c r="J914" i="2"/>
  <c r="I914" i="2"/>
  <c r="G914" i="2"/>
  <c r="H914" i="2" s="1"/>
  <c r="F914" i="2"/>
  <c r="E914" i="2"/>
  <c r="D914" i="2"/>
  <c r="V913" i="2"/>
  <c r="U913" i="2" a="1"/>
  <c r="U913" i="2"/>
  <c r="T913" i="2"/>
  <c r="R913" i="2"/>
  <c r="J913" i="2"/>
  <c r="E913" i="2"/>
  <c r="G913" i="2" s="1"/>
  <c r="H913" i="2" s="1"/>
  <c r="I913" i="2" s="1"/>
  <c r="D913" i="2"/>
  <c r="K913" i="2" s="1"/>
  <c r="V912" i="2"/>
  <c r="U912" i="2" a="1"/>
  <c r="U912" i="2" s="1"/>
  <c r="T912" i="2"/>
  <c r="R912" i="2"/>
  <c r="D912" i="2"/>
  <c r="V911" i="2"/>
  <c r="U911" i="2" a="1"/>
  <c r="U911" i="2"/>
  <c r="T911" i="2"/>
  <c r="R911" i="2"/>
  <c r="J911" i="2"/>
  <c r="E911" i="2"/>
  <c r="G911" i="2" s="1"/>
  <c r="H911" i="2" s="1"/>
  <c r="I911" i="2" s="1"/>
  <c r="D911" i="2"/>
  <c r="K911" i="2" s="1"/>
  <c r="V910" i="2"/>
  <c r="U910" i="2" a="1"/>
  <c r="U910" i="2" s="1"/>
  <c r="T910" i="2"/>
  <c r="R910" i="2"/>
  <c r="K910" i="2"/>
  <c r="J910" i="2"/>
  <c r="I910" i="2"/>
  <c r="H910" i="2"/>
  <c r="G910" i="2"/>
  <c r="E910" i="2"/>
  <c r="D910" i="2"/>
  <c r="V909" i="2"/>
  <c r="U909" i="2" a="1"/>
  <c r="U909" i="2" s="1"/>
  <c r="T909" i="2"/>
  <c r="R909" i="2"/>
  <c r="K909" i="2"/>
  <c r="J909" i="2"/>
  <c r="E909" i="2"/>
  <c r="G909" i="2" s="1"/>
  <c r="H909" i="2" s="1"/>
  <c r="I909" i="2" s="1"/>
  <c r="D909" i="2"/>
  <c r="V908" i="2"/>
  <c r="U908" i="2" a="1"/>
  <c r="U908" i="2"/>
  <c r="T908" i="2"/>
  <c r="R908" i="2"/>
  <c r="K908" i="2"/>
  <c r="E908" i="2"/>
  <c r="F908" i="2" s="1"/>
  <c r="D908" i="2"/>
  <c r="V907" i="2"/>
  <c r="U907" i="2" a="1"/>
  <c r="U907" i="2"/>
  <c r="T907" i="2"/>
  <c r="R907" i="2"/>
  <c r="K907" i="2"/>
  <c r="J907" i="2"/>
  <c r="D907" i="2"/>
  <c r="V906" i="2"/>
  <c r="U906" i="2" a="1"/>
  <c r="U906" i="2" s="1"/>
  <c r="T906" i="2"/>
  <c r="R906" i="2"/>
  <c r="K906" i="2"/>
  <c r="J906" i="2"/>
  <c r="H906" i="2"/>
  <c r="G906" i="2"/>
  <c r="F906" i="2"/>
  <c r="E906" i="2"/>
  <c r="D906" i="2"/>
  <c r="I906" i="2" s="1"/>
  <c r="V905" i="2"/>
  <c r="U905" i="2" a="1"/>
  <c r="U905" i="2"/>
  <c r="T905" i="2"/>
  <c r="R905" i="2"/>
  <c r="D905" i="2"/>
  <c r="V904" i="2"/>
  <c r="U904" i="2" a="1"/>
  <c r="U904" i="2"/>
  <c r="T904" i="2"/>
  <c r="R904" i="2"/>
  <c r="K904" i="2"/>
  <c r="J904" i="2"/>
  <c r="I904" i="2"/>
  <c r="G904" i="2"/>
  <c r="H904" i="2" s="1"/>
  <c r="F904" i="2"/>
  <c r="E904" i="2"/>
  <c r="D904" i="2"/>
  <c r="V903" i="2"/>
  <c r="U903" i="2" a="1"/>
  <c r="U903" i="2" s="1"/>
  <c r="T903" i="2"/>
  <c r="R903" i="2"/>
  <c r="F903" i="2"/>
  <c r="E903" i="2"/>
  <c r="D903" i="2"/>
  <c r="V902" i="2"/>
  <c r="U902" i="2" a="1"/>
  <c r="U902" i="2"/>
  <c r="T902" i="2"/>
  <c r="R902" i="2"/>
  <c r="K902" i="2"/>
  <c r="H902" i="2"/>
  <c r="G902" i="2"/>
  <c r="D902" i="2"/>
  <c r="V901" i="2"/>
  <c r="U901" i="2" a="1"/>
  <c r="U901" i="2" s="1"/>
  <c r="T901" i="2"/>
  <c r="R901" i="2"/>
  <c r="D901" i="2"/>
  <c r="V900" i="2"/>
  <c r="U900" i="2" a="1"/>
  <c r="U900" i="2"/>
  <c r="T900" i="2"/>
  <c r="R900" i="2"/>
  <c r="K900" i="2"/>
  <c r="J900" i="2"/>
  <c r="I900" i="2"/>
  <c r="H900" i="2"/>
  <c r="G900" i="2"/>
  <c r="F900" i="2"/>
  <c r="E900" i="2"/>
  <c r="D900" i="2"/>
  <c r="V899" i="2"/>
  <c r="U899" i="2" a="1"/>
  <c r="U899" i="2" s="1"/>
  <c r="T899" i="2"/>
  <c r="R899" i="2"/>
  <c r="D899" i="2"/>
  <c r="V898" i="2"/>
  <c r="U898" i="2" a="1"/>
  <c r="U898" i="2" s="1"/>
  <c r="T898" i="2"/>
  <c r="R898" i="2"/>
  <c r="E898" i="2"/>
  <c r="F898" i="2" s="1"/>
  <c r="D898" i="2"/>
  <c r="V897" i="2"/>
  <c r="U897" i="2" a="1"/>
  <c r="U897" i="2" s="1"/>
  <c r="T897" i="2"/>
  <c r="R897" i="2"/>
  <c r="K897" i="2"/>
  <c r="E897" i="2"/>
  <c r="D897" i="2"/>
  <c r="V896" i="2"/>
  <c r="U896" i="2" a="1"/>
  <c r="U896" i="2"/>
  <c r="T896" i="2"/>
  <c r="R896" i="2"/>
  <c r="K896" i="2"/>
  <c r="J896" i="2"/>
  <c r="F896" i="2"/>
  <c r="E896" i="2"/>
  <c r="G896" i="2" s="1"/>
  <c r="H896" i="2" s="1"/>
  <c r="I896" i="2" s="1"/>
  <c r="D896" i="2"/>
  <c r="V895" i="2"/>
  <c r="U895" i="2" a="1"/>
  <c r="U895" i="2" s="1"/>
  <c r="T895" i="2"/>
  <c r="R895" i="2"/>
  <c r="D895" i="2"/>
  <c r="V894" i="2"/>
  <c r="U894" i="2" a="1"/>
  <c r="U894" i="2"/>
  <c r="T894" i="2"/>
  <c r="R894" i="2"/>
  <c r="E894" i="2"/>
  <c r="F894" i="2" s="1"/>
  <c r="D894" i="2"/>
  <c r="V893" i="2"/>
  <c r="U893" i="2" a="1"/>
  <c r="U893" i="2" s="1"/>
  <c r="T893" i="2"/>
  <c r="R893" i="2"/>
  <c r="K893" i="2"/>
  <c r="D893" i="2"/>
  <c r="V892" i="2"/>
  <c r="U892" i="2" a="1"/>
  <c r="U892" i="2"/>
  <c r="T892" i="2"/>
  <c r="R892" i="2"/>
  <c r="E892" i="2"/>
  <c r="F892" i="2" s="1"/>
  <c r="D892" i="2"/>
  <c r="K892" i="2" s="1"/>
  <c r="V891" i="2"/>
  <c r="U891" i="2" a="1"/>
  <c r="U891" i="2" s="1"/>
  <c r="T891" i="2"/>
  <c r="R891" i="2"/>
  <c r="D891" i="2"/>
  <c r="V890" i="2"/>
  <c r="U890" i="2" a="1"/>
  <c r="U890" i="2" s="1"/>
  <c r="T890" i="2"/>
  <c r="R890" i="2"/>
  <c r="K890" i="2"/>
  <c r="F890" i="2"/>
  <c r="E890" i="2"/>
  <c r="D890" i="2"/>
  <c r="J890" i="2" s="1"/>
  <c r="V889" i="2"/>
  <c r="U889" i="2" a="1"/>
  <c r="U889" i="2"/>
  <c r="T889" i="2"/>
  <c r="R889" i="2"/>
  <c r="K889" i="2"/>
  <c r="J889" i="2"/>
  <c r="G889" i="2"/>
  <c r="H889" i="2" s="1"/>
  <c r="I889" i="2" s="1"/>
  <c r="F889" i="2"/>
  <c r="D889" i="2"/>
  <c r="E889" i="2" s="1"/>
  <c r="V888" i="2"/>
  <c r="U888" i="2" a="1"/>
  <c r="U888" i="2" s="1"/>
  <c r="T888" i="2"/>
  <c r="R888" i="2"/>
  <c r="D888" i="2"/>
  <c r="V887" i="2"/>
  <c r="U887" i="2" a="1"/>
  <c r="U887" i="2"/>
  <c r="T887" i="2"/>
  <c r="R887" i="2"/>
  <c r="J887" i="2"/>
  <c r="D887" i="2"/>
  <c r="K887" i="2" s="1"/>
  <c r="V886" i="2"/>
  <c r="U886" i="2" a="1"/>
  <c r="U886" i="2"/>
  <c r="T886" i="2"/>
  <c r="R886" i="2"/>
  <c r="K886" i="2"/>
  <c r="I886" i="2"/>
  <c r="G886" i="2"/>
  <c r="E886" i="2"/>
  <c r="D886" i="2"/>
  <c r="V885" i="2"/>
  <c r="U885" i="2" a="1"/>
  <c r="U885" i="2" s="1"/>
  <c r="T885" i="2"/>
  <c r="R885" i="2"/>
  <c r="J885" i="2"/>
  <c r="I885" i="2"/>
  <c r="E885" i="2"/>
  <c r="D885" i="2"/>
  <c r="K885" i="2" s="1"/>
  <c r="V884" i="2"/>
  <c r="U884" i="2" a="1"/>
  <c r="U884" i="2" s="1"/>
  <c r="T884" i="2"/>
  <c r="R884" i="2"/>
  <c r="K884" i="2"/>
  <c r="J884" i="2"/>
  <c r="G884" i="2"/>
  <c r="H884" i="2" s="1"/>
  <c r="F884" i="2"/>
  <c r="E884" i="2"/>
  <c r="D884" i="2"/>
  <c r="I884" i="2" s="1"/>
  <c r="V883" i="2"/>
  <c r="U883" i="2" a="1"/>
  <c r="U883" i="2" s="1"/>
  <c r="T883" i="2"/>
  <c r="R883" i="2"/>
  <c r="K883" i="2"/>
  <c r="J883" i="2"/>
  <c r="F883" i="2"/>
  <c r="D883" i="2"/>
  <c r="E883" i="2" s="1"/>
  <c r="V882" i="2"/>
  <c r="U882" i="2" a="1"/>
  <c r="U882" i="2" s="1"/>
  <c r="T882" i="2"/>
  <c r="R882" i="2"/>
  <c r="K882" i="2"/>
  <c r="J882" i="2"/>
  <c r="I882" i="2"/>
  <c r="H882" i="2"/>
  <c r="G882" i="2"/>
  <c r="E882" i="2"/>
  <c r="F882" i="2" s="1"/>
  <c r="D882" i="2"/>
  <c r="V881" i="2"/>
  <c r="U881" i="2" a="1"/>
  <c r="U881" i="2"/>
  <c r="T881" i="2"/>
  <c r="R881" i="2"/>
  <c r="J881" i="2"/>
  <c r="H881" i="2"/>
  <c r="G881" i="2"/>
  <c r="E881" i="2"/>
  <c r="D881" i="2"/>
  <c r="I881" i="2" s="1"/>
  <c r="V880" i="2"/>
  <c r="U880" i="2" a="1"/>
  <c r="U880" i="2"/>
  <c r="T880" i="2"/>
  <c r="R880" i="2"/>
  <c r="K880" i="2"/>
  <c r="J880" i="2"/>
  <c r="H880" i="2"/>
  <c r="F880" i="2"/>
  <c r="E880" i="2"/>
  <c r="D880" i="2"/>
  <c r="G880" i="2" s="1"/>
  <c r="V879" i="2"/>
  <c r="U879" i="2" a="1"/>
  <c r="U879" i="2" s="1"/>
  <c r="T879" i="2"/>
  <c r="R879" i="2"/>
  <c r="D879" i="2"/>
  <c r="V878" i="2"/>
  <c r="U878" i="2" a="1"/>
  <c r="U878" i="2"/>
  <c r="T878" i="2"/>
  <c r="R878" i="2"/>
  <c r="K878" i="2"/>
  <c r="J878" i="2"/>
  <c r="I878" i="2"/>
  <c r="H878" i="2"/>
  <c r="G878" i="2"/>
  <c r="F878" i="2"/>
  <c r="E878" i="2"/>
  <c r="D878" i="2"/>
  <c r="V877" i="2"/>
  <c r="U877" i="2" a="1"/>
  <c r="U877" i="2"/>
  <c r="T877" i="2"/>
  <c r="R877" i="2"/>
  <c r="D877" i="2"/>
  <c r="V876" i="2"/>
  <c r="U876" i="2" a="1"/>
  <c r="U876" i="2"/>
  <c r="T876" i="2"/>
  <c r="R876" i="2"/>
  <c r="I876" i="2"/>
  <c r="G876" i="2"/>
  <c r="D876" i="2"/>
  <c r="K876" i="2" s="1"/>
  <c r="V875" i="2"/>
  <c r="U875" i="2" a="1"/>
  <c r="U875" i="2" s="1"/>
  <c r="T875" i="2"/>
  <c r="R875" i="2"/>
  <c r="J875" i="2"/>
  <c r="I875" i="2"/>
  <c r="G875" i="2"/>
  <c r="F875" i="2"/>
  <c r="D875" i="2"/>
  <c r="E875" i="2" s="1"/>
  <c r="V874" i="2"/>
  <c r="U874" i="2" a="1"/>
  <c r="U874" i="2"/>
  <c r="T874" i="2"/>
  <c r="R874" i="2"/>
  <c r="K874" i="2"/>
  <c r="J874" i="2"/>
  <c r="I874" i="2"/>
  <c r="G874" i="2"/>
  <c r="H874" i="2" s="1"/>
  <c r="F874" i="2"/>
  <c r="E874" i="2"/>
  <c r="D874" i="2"/>
  <c r="V873" i="2"/>
  <c r="U873" i="2" a="1"/>
  <c r="U873" i="2" s="1"/>
  <c r="T873" i="2"/>
  <c r="R873" i="2"/>
  <c r="J873" i="2"/>
  <c r="D873" i="2"/>
  <c r="V872" i="2"/>
  <c r="U872" i="2" a="1"/>
  <c r="U872" i="2"/>
  <c r="T872" i="2"/>
  <c r="R872" i="2"/>
  <c r="J872" i="2"/>
  <c r="I872" i="2"/>
  <c r="G872" i="2"/>
  <c r="E872" i="2"/>
  <c r="D872" i="2"/>
  <c r="V871" i="2"/>
  <c r="U871" i="2" a="1"/>
  <c r="U871" i="2" s="1"/>
  <c r="T871" i="2"/>
  <c r="R871" i="2"/>
  <c r="K871" i="2"/>
  <c r="D871" i="2"/>
  <c r="V870" i="2"/>
  <c r="U870" i="2" a="1"/>
  <c r="U870" i="2" s="1"/>
  <c r="T870" i="2"/>
  <c r="R870" i="2"/>
  <c r="K870" i="2"/>
  <c r="J870" i="2"/>
  <c r="I870" i="2"/>
  <c r="H870" i="2"/>
  <c r="G870" i="2"/>
  <c r="F870" i="2"/>
  <c r="E870" i="2"/>
  <c r="D870" i="2"/>
  <c r="V869" i="2"/>
  <c r="U869" i="2" a="1"/>
  <c r="U869" i="2" s="1"/>
  <c r="T869" i="2"/>
  <c r="R869" i="2"/>
  <c r="K869" i="2"/>
  <c r="H869" i="2"/>
  <c r="G869" i="2"/>
  <c r="D869" i="2"/>
  <c r="V868" i="2"/>
  <c r="U868" i="2" a="1"/>
  <c r="U868" i="2" s="1"/>
  <c r="T868" i="2"/>
  <c r="R868" i="2"/>
  <c r="J868" i="2"/>
  <c r="I868" i="2"/>
  <c r="F868" i="2"/>
  <c r="E868" i="2"/>
  <c r="D868" i="2"/>
  <c r="V867" i="2"/>
  <c r="U867" i="2" a="1"/>
  <c r="U867" i="2"/>
  <c r="T867" i="2"/>
  <c r="R867" i="2"/>
  <c r="K867" i="2"/>
  <c r="J867" i="2"/>
  <c r="E867" i="2"/>
  <c r="F867" i="2" s="1"/>
  <c r="D867" i="2"/>
  <c r="G867" i="2" s="1"/>
  <c r="V866" i="2"/>
  <c r="U866" i="2" a="1"/>
  <c r="U866" i="2" s="1"/>
  <c r="T866" i="2"/>
  <c r="R866" i="2"/>
  <c r="K866" i="2"/>
  <c r="I866" i="2"/>
  <c r="D866" i="2"/>
  <c r="V865" i="2"/>
  <c r="U865" i="2" a="1"/>
  <c r="U865" i="2"/>
  <c r="T865" i="2"/>
  <c r="R865" i="2"/>
  <c r="I865" i="2"/>
  <c r="H865" i="2"/>
  <c r="G865" i="2"/>
  <c r="E865" i="2"/>
  <c r="D865" i="2"/>
  <c r="K865" i="2" s="1"/>
  <c r="V864" i="2"/>
  <c r="U864" i="2" a="1"/>
  <c r="U864" i="2" s="1"/>
  <c r="T864" i="2"/>
  <c r="R864" i="2"/>
  <c r="D864" i="2"/>
  <c r="V863" i="2"/>
  <c r="U863" i="2" a="1"/>
  <c r="U863" i="2"/>
  <c r="T863" i="2"/>
  <c r="R863" i="2"/>
  <c r="D863" i="2"/>
  <c r="V862" i="2"/>
  <c r="U862" i="2" a="1"/>
  <c r="U862" i="2"/>
  <c r="T862" i="2"/>
  <c r="R862" i="2"/>
  <c r="K862" i="2"/>
  <c r="J862" i="2"/>
  <c r="I862" i="2"/>
  <c r="G862" i="2"/>
  <c r="H862" i="2" s="1"/>
  <c r="E862" i="2"/>
  <c r="D862" i="2"/>
  <c r="V861" i="2"/>
  <c r="U861" i="2" a="1"/>
  <c r="U861" i="2"/>
  <c r="T861" i="2"/>
  <c r="R861" i="2"/>
  <c r="G861" i="2"/>
  <c r="D861" i="2"/>
  <c r="V860" i="2"/>
  <c r="U860" i="2" a="1"/>
  <c r="U860" i="2" s="1"/>
  <c r="T860" i="2"/>
  <c r="R860" i="2"/>
  <c r="G860" i="2"/>
  <c r="H860" i="2" s="1"/>
  <c r="D860" i="2"/>
  <c r="J860" i="2" s="1"/>
  <c r="V859" i="2"/>
  <c r="U859" i="2" a="1"/>
  <c r="U859" i="2"/>
  <c r="T859" i="2"/>
  <c r="R859" i="2"/>
  <c r="J859" i="2"/>
  <c r="I859" i="2"/>
  <c r="G859" i="2"/>
  <c r="H859" i="2" s="1"/>
  <c r="F859" i="2"/>
  <c r="E859" i="2"/>
  <c r="D859" i="2"/>
  <c r="K859" i="2" s="1"/>
  <c r="V858" i="2"/>
  <c r="U858" i="2" a="1"/>
  <c r="U858" i="2" s="1"/>
  <c r="T858" i="2"/>
  <c r="R858" i="2"/>
  <c r="K858" i="2"/>
  <c r="J858" i="2"/>
  <c r="G858" i="2"/>
  <c r="E858" i="2"/>
  <c r="D858" i="2"/>
  <c r="V857" i="2"/>
  <c r="U857" i="2" a="1"/>
  <c r="U857" i="2" s="1"/>
  <c r="T857" i="2"/>
  <c r="R857" i="2"/>
  <c r="K857" i="2"/>
  <c r="I857" i="2"/>
  <c r="D857" i="2"/>
  <c r="V856" i="2"/>
  <c r="U856" i="2" a="1"/>
  <c r="U856" i="2" s="1"/>
  <c r="T856" i="2"/>
  <c r="R856" i="2"/>
  <c r="G856" i="2"/>
  <c r="H856" i="2" s="1"/>
  <c r="F856" i="2"/>
  <c r="D856" i="2"/>
  <c r="J856" i="2" s="1"/>
  <c r="V855" i="2"/>
  <c r="U855" i="2" a="1"/>
  <c r="U855" i="2"/>
  <c r="T855" i="2"/>
  <c r="R855" i="2"/>
  <c r="K855" i="2"/>
  <c r="J855" i="2"/>
  <c r="F855" i="2"/>
  <c r="E855" i="2"/>
  <c r="D855" i="2"/>
  <c r="I855" i="2" s="1"/>
  <c r="V854" i="2"/>
  <c r="U854" i="2" a="1"/>
  <c r="U854" i="2" s="1"/>
  <c r="T854" i="2"/>
  <c r="R854" i="2"/>
  <c r="J854" i="2"/>
  <c r="I854" i="2"/>
  <c r="H854" i="2"/>
  <c r="G854" i="2"/>
  <c r="F854" i="2"/>
  <c r="E854" i="2"/>
  <c r="D854" i="2"/>
  <c r="K854" i="2" s="1"/>
  <c r="V853" i="2"/>
  <c r="U853" i="2" a="1"/>
  <c r="U853" i="2" s="1"/>
  <c r="T853" i="2"/>
  <c r="R853" i="2"/>
  <c r="D853" i="2"/>
  <c r="V852" i="2"/>
  <c r="U852" i="2" a="1"/>
  <c r="U852" i="2" s="1"/>
  <c r="T852" i="2"/>
  <c r="R852" i="2"/>
  <c r="K852" i="2"/>
  <c r="I852" i="2"/>
  <c r="F852" i="2"/>
  <c r="E852" i="2"/>
  <c r="D852" i="2"/>
  <c r="J852" i="2" s="1"/>
  <c r="V851" i="2"/>
  <c r="U851" i="2" a="1"/>
  <c r="U851" i="2" s="1"/>
  <c r="T851" i="2"/>
  <c r="R851" i="2"/>
  <c r="K851" i="2"/>
  <c r="J851" i="2"/>
  <c r="G851" i="2"/>
  <c r="H851" i="2" s="1"/>
  <c r="F851" i="2"/>
  <c r="E851" i="2"/>
  <c r="D851" i="2"/>
  <c r="I851" i="2" s="1"/>
  <c r="V850" i="2"/>
  <c r="U850" i="2" a="1"/>
  <c r="U850" i="2" s="1"/>
  <c r="T850" i="2"/>
  <c r="R850" i="2"/>
  <c r="I850" i="2"/>
  <c r="F850" i="2"/>
  <c r="E850" i="2"/>
  <c r="D850" i="2"/>
  <c r="K850" i="2" s="1"/>
  <c r="V849" i="2"/>
  <c r="U849" i="2" a="1"/>
  <c r="U849" i="2"/>
  <c r="T849" i="2"/>
  <c r="R849" i="2"/>
  <c r="K849" i="2"/>
  <c r="J849" i="2"/>
  <c r="G849" i="2"/>
  <c r="F849" i="2"/>
  <c r="E849" i="2"/>
  <c r="D849" i="2"/>
  <c r="I849" i="2" s="1"/>
  <c r="V848" i="2"/>
  <c r="U848" i="2" a="1"/>
  <c r="U848" i="2" s="1"/>
  <c r="T848" i="2"/>
  <c r="R848" i="2"/>
  <c r="K848" i="2"/>
  <c r="J848" i="2"/>
  <c r="I848" i="2"/>
  <c r="H848" i="2"/>
  <c r="G848" i="2"/>
  <c r="E848" i="2"/>
  <c r="F848" i="2" s="1"/>
  <c r="D848" i="2"/>
  <c r="V847" i="2"/>
  <c r="U847" i="2" a="1"/>
  <c r="U847" i="2" s="1"/>
  <c r="T847" i="2"/>
  <c r="R847" i="2"/>
  <c r="D847" i="2"/>
  <c r="V846" i="2"/>
  <c r="U846" i="2" a="1"/>
  <c r="U846" i="2"/>
  <c r="T846" i="2"/>
  <c r="R846" i="2"/>
  <c r="J846" i="2"/>
  <c r="I846" i="2"/>
  <c r="E846" i="2"/>
  <c r="D846" i="2"/>
  <c r="V845" i="2"/>
  <c r="U845" i="2" a="1"/>
  <c r="U845" i="2"/>
  <c r="T845" i="2"/>
  <c r="R845" i="2"/>
  <c r="G845" i="2"/>
  <c r="D845" i="2"/>
  <c r="V844" i="2"/>
  <c r="U844" i="2" a="1"/>
  <c r="U844" i="2" s="1"/>
  <c r="T844" i="2"/>
  <c r="R844" i="2"/>
  <c r="I844" i="2"/>
  <c r="D844" i="2"/>
  <c r="V843" i="2"/>
  <c r="U843" i="2" a="1"/>
  <c r="U843" i="2"/>
  <c r="T843" i="2"/>
  <c r="R843" i="2"/>
  <c r="K843" i="2"/>
  <c r="D843" i="2"/>
  <c r="V842" i="2"/>
  <c r="U842" i="2" a="1"/>
  <c r="U842" i="2" s="1"/>
  <c r="T842" i="2"/>
  <c r="R842" i="2"/>
  <c r="I842" i="2"/>
  <c r="H842" i="2"/>
  <c r="G842" i="2"/>
  <c r="E842" i="2"/>
  <c r="D842" i="2"/>
  <c r="K842" i="2" s="1"/>
  <c r="V841" i="2"/>
  <c r="U841" i="2" a="1"/>
  <c r="U841" i="2" s="1"/>
  <c r="T841" i="2"/>
  <c r="R841" i="2"/>
  <c r="K841" i="2"/>
  <c r="J841" i="2"/>
  <c r="H841" i="2"/>
  <c r="F841" i="2"/>
  <c r="E841" i="2"/>
  <c r="D841" i="2"/>
  <c r="G841" i="2" s="1"/>
  <c r="V840" i="2"/>
  <c r="U840" i="2" a="1"/>
  <c r="U840" i="2" s="1"/>
  <c r="T840" i="2"/>
  <c r="R840" i="2"/>
  <c r="D840" i="2"/>
  <c r="V839" i="2"/>
  <c r="U839" i="2" a="1"/>
  <c r="U839" i="2" s="1"/>
  <c r="T839" i="2"/>
  <c r="R839" i="2"/>
  <c r="J839" i="2"/>
  <c r="I839" i="2"/>
  <c r="H839" i="2"/>
  <c r="G839" i="2"/>
  <c r="F839" i="2"/>
  <c r="E839" i="2"/>
  <c r="D839" i="2"/>
  <c r="K839" i="2" s="1"/>
  <c r="V838" i="2"/>
  <c r="U838" i="2" a="1"/>
  <c r="U838" i="2"/>
  <c r="T838" i="2"/>
  <c r="R838" i="2"/>
  <c r="H838" i="2"/>
  <c r="G838" i="2"/>
  <c r="E838" i="2"/>
  <c r="D838" i="2"/>
  <c r="V837" i="2"/>
  <c r="U837" i="2" a="1"/>
  <c r="U837" i="2"/>
  <c r="T837" i="2"/>
  <c r="R837" i="2"/>
  <c r="J837" i="2"/>
  <c r="I837" i="2"/>
  <c r="E837" i="2"/>
  <c r="F837" i="2" s="1"/>
  <c r="D837" i="2"/>
  <c r="V836" i="2"/>
  <c r="U836" i="2" a="1"/>
  <c r="U836" i="2" s="1"/>
  <c r="T836" i="2"/>
  <c r="R836" i="2"/>
  <c r="K836" i="2"/>
  <c r="D836" i="2"/>
  <c r="V835" i="2"/>
  <c r="U835" i="2" a="1"/>
  <c r="U835" i="2" s="1"/>
  <c r="T835" i="2"/>
  <c r="R835" i="2"/>
  <c r="I835" i="2"/>
  <c r="H835" i="2"/>
  <c r="G835" i="2"/>
  <c r="E835" i="2"/>
  <c r="D835" i="2"/>
  <c r="K835" i="2" s="1"/>
  <c r="V834" i="2"/>
  <c r="U834" i="2" a="1"/>
  <c r="U834" i="2" s="1"/>
  <c r="T834" i="2"/>
  <c r="R834" i="2"/>
  <c r="K834" i="2"/>
  <c r="I834" i="2"/>
  <c r="G834" i="2"/>
  <c r="F834" i="2"/>
  <c r="E834" i="2"/>
  <c r="D834" i="2"/>
  <c r="J834" i="2" s="1"/>
  <c r="V833" i="2"/>
  <c r="U833" i="2" a="1"/>
  <c r="U833" i="2" s="1"/>
  <c r="T833" i="2"/>
  <c r="R833" i="2"/>
  <c r="K833" i="2"/>
  <c r="E833" i="2"/>
  <c r="D833" i="2"/>
  <c r="V832" i="2"/>
  <c r="U832" i="2" a="1"/>
  <c r="U832" i="2" s="1"/>
  <c r="T832" i="2"/>
  <c r="R832" i="2"/>
  <c r="J832" i="2"/>
  <c r="I832" i="2"/>
  <c r="H832" i="2"/>
  <c r="G832" i="2"/>
  <c r="F832" i="2"/>
  <c r="E832" i="2"/>
  <c r="D832" i="2"/>
  <c r="K832" i="2" s="1"/>
  <c r="V831" i="2"/>
  <c r="U831" i="2" a="1"/>
  <c r="U831" i="2"/>
  <c r="T831" i="2"/>
  <c r="R831" i="2"/>
  <c r="D831" i="2"/>
  <c r="V830" i="2"/>
  <c r="U830" i="2" a="1"/>
  <c r="U830" i="2" s="1"/>
  <c r="T830" i="2"/>
  <c r="R830" i="2"/>
  <c r="I830" i="2"/>
  <c r="E830" i="2"/>
  <c r="D830" i="2"/>
  <c r="V829" i="2"/>
  <c r="U829" i="2" a="1"/>
  <c r="U829" i="2" s="1"/>
  <c r="T829" i="2"/>
  <c r="R829" i="2"/>
  <c r="K829" i="2"/>
  <c r="J829" i="2"/>
  <c r="G829" i="2"/>
  <c r="H829" i="2" s="1"/>
  <c r="F829" i="2"/>
  <c r="E829" i="2"/>
  <c r="D829" i="2"/>
  <c r="V828" i="2"/>
  <c r="U828" i="2" a="1"/>
  <c r="U828" i="2" s="1"/>
  <c r="T828" i="2"/>
  <c r="R828" i="2"/>
  <c r="K828" i="2"/>
  <c r="H828" i="2"/>
  <c r="G828" i="2"/>
  <c r="F828" i="2"/>
  <c r="E828" i="2"/>
  <c r="D828" i="2"/>
  <c r="J828" i="2" s="1"/>
  <c r="V827" i="2"/>
  <c r="U827" i="2" a="1"/>
  <c r="U827" i="2"/>
  <c r="T827" i="2"/>
  <c r="R827" i="2"/>
  <c r="K827" i="2"/>
  <c r="J827" i="2"/>
  <c r="G827" i="2"/>
  <c r="F827" i="2"/>
  <c r="E827" i="2"/>
  <c r="D827" i="2"/>
  <c r="H827" i="2" s="1"/>
  <c r="I827" i="2" s="1"/>
  <c r="V826" i="2"/>
  <c r="U826" i="2" a="1"/>
  <c r="U826" i="2" s="1"/>
  <c r="T826" i="2"/>
  <c r="R826" i="2"/>
  <c r="K826" i="2"/>
  <c r="J826" i="2"/>
  <c r="E826" i="2"/>
  <c r="D826" i="2"/>
  <c r="V825" i="2"/>
  <c r="U825" i="2" a="1"/>
  <c r="U825" i="2"/>
  <c r="T825" i="2"/>
  <c r="R825" i="2"/>
  <c r="K825" i="2"/>
  <c r="J825" i="2"/>
  <c r="G825" i="2"/>
  <c r="H825" i="2" s="1"/>
  <c r="I825" i="2" s="1"/>
  <c r="F825" i="2"/>
  <c r="E825" i="2"/>
  <c r="D825" i="2"/>
  <c r="V824" i="2"/>
  <c r="U824" i="2" a="1"/>
  <c r="U824" i="2" s="1"/>
  <c r="T824" i="2"/>
  <c r="R824" i="2"/>
  <c r="D824" i="2"/>
  <c r="V823" i="2"/>
  <c r="U823" i="2" a="1"/>
  <c r="U823" i="2"/>
  <c r="T823" i="2"/>
  <c r="R823" i="2"/>
  <c r="J823" i="2"/>
  <c r="E823" i="2"/>
  <c r="F823" i="2" s="1"/>
  <c r="D823" i="2"/>
  <c r="V822" i="2"/>
  <c r="U822" i="2" a="1"/>
  <c r="U822" i="2" s="1"/>
  <c r="T822" i="2"/>
  <c r="R822" i="2"/>
  <c r="D822" i="2"/>
  <c r="V821" i="2"/>
  <c r="U821" i="2" a="1"/>
  <c r="U821" i="2"/>
  <c r="T821" i="2"/>
  <c r="R821" i="2"/>
  <c r="J821" i="2"/>
  <c r="I821" i="2"/>
  <c r="H821" i="2"/>
  <c r="G821" i="2"/>
  <c r="F821" i="2"/>
  <c r="E821" i="2"/>
  <c r="D821" i="2"/>
  <c r="K821" i="2" s="1"/>
  <c r="V820" i="2"/>
  <c r="U820" i="2" a="1"/>
  <c r="U820" i="2" s="1"/>
  <c r="T820" i="2"/>
  <c r="R820" i="2"/>
  <c r="D820" i="2"/>
  <c r="V819" i="2"/>
  <c r="U819" i="2" a="1"/>
  <c r="U819" i="2"/>
  <c r="T819" i="2"/>
  <c r="R819" i="2"/>
  <c r="K819" i="2"/>
  <c r="J819" i="2"/>
  <c r="E819" i="2"/>
  <c r="F819" i="2" s="1"/>
  <c r="D819" i="2"/>
  <c r="V818" i="2"/>
  <c r="U818" i="2" a="1"/>
  <c r="U818" i="2" s="1"/>
  <c r="T818" i="2"/>
  <c r="R818" i="2"/>
  <c r="K818" i="2"/>
  <c r="D818" i="2"/>
  <c r="V817" i="2"/>
  <c r="U817" i="2" a="1"/>
  <c r="U817" i="2" s="1"/>
  <c r="T817" i="2"/>
  <c r="R817" i="2"/>
  <c r="E817" i="2"/>
  <c r="F817" i="2" s="1"/>
  <c r="D817" i="2"/>
  <c r="K817" i="2" s="1"/>
  <c r="V816" i="2"/>
  <c r="U816" i="2" a="1"/>
  <c r="U816" i="2" s="1"/>
  <c r="T816" i="2"/>
  <c r="R816" i="2"/>
  <c r="K816" i="2"/>
  <c r="J816" i="2"/>
  <c r="G816" i="2"/>
  <c r="F816" i="2"/>
  <c r="E816" i="2"/>
  <c r="D816" i="2"/>
  <c r="V815" i="2"/>
  <c r="U815" i="2" a="1"/>
  <c r="U815" i="2"/>
  <c r="T815" i="2"/>
  <c r="R815" i="2"/>
  <c r="J815" i="2"/>
  <c r="F815" i="2"/>
  <c r="E815" i="2"/>
  <c r="D815" i="2"/>
  <c r="K815" i="2" s="1"/>
  <c r="V814" i="2"/>
  <c r="U814" i="2" a="1"/>
  <c r="U814" i="2"/>
  <c r="T814" i="2"/>
  <c r="R814" i="2"/>
  <c r="K814" i="2"/>
  <c r="J814" i="2"/>
  <c r="I814" i="2"/>
  <c r="G814" i="2"/>
  <c r="H814" i="2" s="1"/>
  <c r="E814" i="2"/>
  <c r="D814" i="2"/>
  <c r="V813" i="2"/>
  <c r="U813" i="2" a="1"/>
  <c r="U813" i="2" s="1"/>
  <c r="T813" i="2"/>
  <c r="R813" i="2"/>
  <c r="E813" i="2"/>
  <c r="D813" i="2"/>
  <c r="V812" i="2"/>
  <c r="U812" i="2" a="1"/>
  <c r="U812" i="2"/>
  <c r="T812" i="2"/>
  <c r="R812" i="2"/>
  <c r="K812" i="2"/>
  <c r="E812" i="2"/>
  <c r="F812" i="2" s="1"/>
  <c r="D812" i="2"/>
  <c r="J812" i="2" s="1"/>
  <c r="V811" i="2"/>
  <c r="U811" i="2" a="1"/>
  <c r="U811" i="2" s="1"/>
  <c r="T811" i="2"/>
  <c r="R811" i="2"/>
  <c r="K811" i="2"/>
  <c r="D811" i="2"/>
  <c r="V810" i="2"/>
  <c r="U810" i="2" a="1"/>
  <c r="U810" i="2" s="1"/>
  <c r="T810" i="2"/>
  <c r="R810" i="2"/>
  <c r="E810" i="2"/>
  <c r="F810" i="2" s="1"/>
  <c r="D810" i="2"/>
  <c r="K810" i="2" s="1"/>
  <c r="V809" i="2"/>
  <c r="U809" i="2" a="1"/>
  <c r="U809" i="2" s="1"/>
  <c r="T809" i="2"/>
  <c r="R809" i="2"/>
  <c r="K809" i="2"/>
  <c r="J809" i="2"/>
  <c r="D809" i="2"/>
  <c r="V808" i="2"/>
  <c r="U808" i="2" a="1"/>
  <c r="U808" i="2" s="1"/>
  <c r="T808" i="2"/>
  <c r="R808" i="2"/>
  <c r="D808" i="2"/>
  <c r="V807" i="2"/>
  <c r="U807" i="2" a="1"/>
  <c r="U807" i="2"/>
  <c r="T807" i="2"/>
  <c r="R807" i="2"/>
  <c r="J807" i="2"/>
  <c r="G807" i="2"/>
  <c r="H807" i="2" s="1"/>
  <c r="E807" i="2"/>
  <c r="F807" i="2" s="1"/>
  <c r="D807" i="2"/>
  <c r="V806" i="2"/>
  <c r="U806" i="2" a="1"/>
  <c r="U806" i="2" s="1"/>
  <c r="T806" i="2"/>
  <c r="R806" i="2"/>
  <c r="D806" i="2"/>
  <c r="V805" i="2"/>
  <c r="U805" i="2" a="1"/>
  <c r="U805" i="2" s="1"/>
  <c r="T805" i="2"/>
  <c r="R805" i="2"/>
  <c r="K805" i="2"/>
  <c r="J805" i="2"/>
  <c r="E805" i="2"/>
  <c r="F805" i="2" s="1"/>
  <c r="D805" i="2"/>
  <c r="V804" i="2"/>
  <c r="U804" i="2" a="1"/>
  <c r="U804" i="2" s="1"/>
  <c r="T804" i="2"/>
  <c r="R804" i="2"/>
  <c r="K804" i="2"/>
  <c r="J804" i="2"/>
  <c r="I804" i="2"/>
  <c r="G804" i="2"/>
  <c r="H804" i="2" s="1"/>
  <c r="F804" i="2"/>
  <c r="E804" i="2"/>
  <c r="D804" i="2"/>
  <c r="V803" i="2"/>
  <c r="U803" i="2" a="1"/>
  <c r="U803" i="2" s="1"/>
  <c r="T803" i="2"/>
  <c r="R803" i="2"/>
  <c r="J803" i="2"/>
  <c r="I803" i="2"/>
  <c r="G803" i="2"/>
  <c r="H803" i="2" s="1"/>
  <c r="F803" i="2"/>
  <c r="E803" i="2"/>
  <c r="D803" i="2"/>
  <c r="K803" i="2" s="1"/>
  <c r="V802" i="2"/>
  <c r="U802" i="2" a="1"/>
  <c r="U802" i="2" s="1"/>
  <c r="T802" i="2"/>
  <c r="R802" i="2"/>
  <c r="K802" i="2"/>
  <c r="G802" i="2"/>
  <c r="F802" i="2"/>
  <c r="E802" i="2"/>
  <c r="D802" i="2"/>
  <c r="V801" i="2"/>
  <c r="U801" i="2" a="1"/>
  <c r="U801" i="2" s="1"/>
  <c r="T801" i="2"/>
  <c r="R801" i="2"/>
  <c r="J801" i="2"/>
  <c r="I801" i="2"/>
  <c r="F801" i="2"/>
  <c r="E801" i="2"/>
  <c r="D801" i="2"/>
  <c r="K801" i="2" s="1"/>
  <c r="V800" i="2"/>
  <c r="U800" i="2" a="1"/>
  <c r="U800" i="2" s="1"/>
  <c r="T800" i="2"/>
  <c r="R800" i="2"/>
  <c r="K800" i="2"/>
  <c r="J800" i="2"/>
  <c r="I800" i="2"/>
  <c r="D800" i="2"/>
  <c r="V799" i="2"/>
  <c r="U799" i="2" a="1"/>
  <c r="U799" i="2"/>
  <c r="T799" i="2"/>
  <c r="R799" i="2"/>
  <c r="K799" i="2"/>
  <c r="J799" i="2"/>
  <c r="I799" i="2"/>
  <c r="H799" i="2"/>
  <c r="G799" i="2"/>
  <c r="F799" i="2"/>
  <c r="E799" i="2"/>
  <c r="D799" i="2"/>
  <c r="V798" i="2"/>
  <c r="U798" i="2" a="1"/>
  <c r="U798" i="2" s="1"/>
  <c r="T798" i="2"/>
  <c r="R798" i="2"/>
  <c r="H798" i="2"/>
  <c r="G798" i="2"/>
  <c r="E798" i="2"/>
  <c r="D798" i="2"/>
  <c r="V797" i="2"/>
  <c r="U797" i="2" a="1"/>
  <c r="U797" i="2"/>
  <c r="T797" i="2"/>
  <c r="R797" i="2"/>
  <c r="D797" i="2"/>
  <c r="V796" i="2"/>
  <c r="U796" i="2" a="1"/>
  <c r="U796" i="2" s="1"/>
  <c r="T796" i="2"/>
  <c r="R796" i="2"/>
  <c r="K796" i="2"/>
  <c r="J796" i="2"/>
  <c r="D796" i="2"/>
  <c r="V795" i="2"/>
  <c r="U795" i="2" a="1"/>
  <c r="U795" i="2" s="1"/>
  <c r="T795" i="2"/>
  <c r="R795" i="2"/>
  <c r="H795" i="2"/>
  <c r="G795" i="2"/>
  <c r="F795" i="2"/>
  <c r="E795" i="2"/>
  <c r="D795" i="2"/>
  <c r="K795" i="2" s="1"/>
  <c r="V794" i="2"/>
  <c r="U794" i="2" a="1"/>
  <c r="U794" i="2"/>
  <c r="T794" i="2"/>
  <c r="R794" i="2"/>
  <c r="K794" i="2"/>
  <c r="J794" i="2"/>
  <c r="I794" i="2"/>
  <c r="G794" i="2"/>
  <c r="F794" i="2"/>
  <c r="E794" i="2"/>
  <c r="D794" i="2"/>
  <c r="V793" i="2"/>
  <c r="U793" i="2" a="1"/>
  <c r="U793" i="2"/>
  <c r="T793" i="2"/>
  <c r="R793" i="2"/>
  <c r="K793" i="2"/>
  <c r="J793" i="2"/>
  <c r="E793" i="2"/>
  <c r="D793" i="2"/>
  <c r="V792" i="2"/>
  <c r="U792" i="2" a="1"/>
  <c r="U792" i="2"/>
  <c r="T792" i="2"/>
  <c r="R792" i="2"/>
  <c r="K792" i="2"/>
  <c r="J792" i="2"/>
  <c r="I792" i="2"/>
  <c r="G792" i="2"/>
  <c r="H792" i="2" s="1"/>
  <c r="E792" i="2"/>
  <c r="D792" i="2"/>
  <c r="V791" i="2"/>
  <c r="U791" i="2" a="1"/>
  <c r="U791" i="2" s="1"/>
  <c r="T791" i="2"/>
  <c r="R791" i="2"/>
  <c r="G791" i="2"/>
  <c r="H791" i="2" s="1"/>
  <c r="E791" i="2"/>
  <c r="D791" i="2"/>
  <c r="V790" i="2"/>
  <c r="U790" i="2" a="1"/>
  <c r="U790" i="2"/>
  <c r="T790" i="2"/>
  <c r="R790" i="2"/>
  <c r="E790" i="2"/>
  <c r="D790" i="2"/>
  <c r="V789" i="2"/>
  <c r="U789" i="2" a="1"/>
  <c r="U789" i="2" s="1"/>
  <c r="T789" i="2"/>
  <c r="R789" i="2"/>
  <c r="J789" i="2"/>
  <c r="G789" i="2"/>
  <c r="H789" i="2" s="1"/>
  <c r="D789" i="2"/>
  <c r="V788" i="2"/>
  <c r="U788" i="2" a="1"/>
  <c r="U788" i="2" s="1"/>
  <c r="T788" i="2"/>
  <c r="R788" i="2"/>
  <c r="K788" i="2"/>
  <c r="H788" i="2"/>
  <c r="G788" i="2"/>
  <c r="F788" i="2"/>
  <c r="E788" i="2"/>
  <c r="D788" i="2"/>
  <c r="J788" i="2" s="1"/>
  <c r="V787" i="2"/>
  <c r="U787" i="2" a="1"/>
  <c r="U787" i="2"/>
  <c r="T787" i="2"/>
  <c r="R787" i="2"/>
  <c r="K787" i="2"/>
  <c r="D787" i="2"/>
  <c r="V786" i="2"/>
  <c r="U786" i="2" a="1"/>
  <c r="U786" i="2" s="1"/>
  <c r="T786" i="2"/>
  <c r="R786" i="2"/>
  <c r="D786" i="2"/>
  <c r="V785" i="2"/>
  <c r="U785" i="2" a="1"/>
  <c r="U785" i="2"/>
  <c r="T785" i="2"/>
  <c r="R785" i="2"/>
  <c r="D785" i="2"/>
  <c r="V784" i="2"/>
  <c r="U784" i="2" a="1"/>
  <c r="U784" i="2"/>
  <c r="T784" i="2"/>
  <c r="R784" i="2"/>
  <c r="D784" i="2"/>
  <c r="V783" i="2"/>
  <c r="U783" i="2" a="1"/>
  <c r="U783" i="2" s="1"/>
  <c r="T783" i="2"/>
  <c r="R783" i="2"/>
  <c r="K783" i="2"/>
  <c r="D783" i="2"/>
  <c r="V782" i="2"/>
  <c r="U782" i="2" a="1"/>
  <c r="U782" i="2" s="1"/>
  <c r="T782" i="2"/>
  <c r="R782" i="2"/>
  <c r="K782" i="2"/>
  <c r="J782" i="2"/>
  <c r="H782" i="2"/>
  <c r="I782" i="2" s="1"/>
  <c r="G782" i="2"/>
  <c r="F782" i="2"/>
  <c r="E782" i="2"/>
  <c r="D782" i="2"/>
  <c r="V781" i="2"/>
  <c r="U781" i="2" a="1"/>
  <c r="U781" i="2" s="1"/>
  <c r="T781" i="2"/>
  <c r="R781" i="2"/>
  <c r="G781" i="2"/>
  <c r="H781" i="2" s="1"/>
  <c r="I781" i="2" s="1"/>
  <c r="F781" i="2"/>
  <c r="E781" i="2"/>
  <c r="D781" i="2"/>
  <c r="K781" i="2" s="1"/>
  <c r="V780" i="2"/>
  <c r="U780" i="2" a="1"/>
  <c r="U780" i="2"/>
  <c r="T780" i="2"/>
  <c r="R780" i="2"/>
  <c r="K780" i="2"/>
  <c r="J780" i="2"/>
  <c r="G780" i="2"/>
  <c r="F780" i="2"/>
  <c r="E780" i="2"/>
  <c r="D780" i="2"/>
  <c r="V779" i="2"/>
  <c r="U779" i="2" a="1"/>
  <c r="U779" i="2" s="1"/>
  <c r="T779" i="2"/>
  <c r="R779" i="2"/>
  <c r="K779" i="2"/>
  <c r="J779" i="2"/>
  <c r="E779" i="2"/>
  <c r="D779" i="2"/>
  <c r="V778" i="2"/>
  <c r="U778" i="2" a="1"/>
  <c r="U778" i="2"/>
  <c r="T778" i="2"/>
  <c r="R778" i="2"/>
  <c r="K778" i="2"/>
  <c r="J778" i="2"/>
  <c r="I778" i="2"/>
  <c r="G778" i="2"/>
  <c r="H778" i="2" s="1"/>
  <c r="F778" i="2"/>
  <c r="E778" i="2"/>
  <c r="D778" i="2"/>
  <c r="V777" i="2"/>
  <c r="U777" i="2" a="1"/>
  <c r="U777" i="2" s="1"/>
  <c r="T777" i="2"/>
  <c r="R777" i="2"/>
  <c r="E777" i="2"/>
  <c r="F777" i="2" s="1"/>
  <c r="D777" i="2"/>
  <c r="V776" i="2"/>
  <c r="U776" i="2" a="1"/>
  <c r="U776" i="2"/>
  <c r="T776" i="2"/>
  <c r="R776" i="2"/>
  <c r="K776" i="2"/>
  <c r="G776" i="2"/>
  <c r="F776" i="2"/>
  <c r="E776" i="2"/>
  <c r="D776" i="2"/>
  <c r="V775" i="2"/>
  <c r="U775" i="2" a="1"/>
  <c r="U775" i="2" s="1"/>
  <c r="T775" i="2"/>
  <c r="R775" i="2"/>
  <c r="J775" i="2"/>
  <c r="D775" i="2"/>
  <c r="V774" i="2"/>
  <c r="U774" i="2" a="1"/>
  <c r="U774" i="2"/>
  <c r="T774" i="2"/>
  <c r="R774" i="2"/>
  <c r="K774" i="2"/>
  <c r="J774" i="2"/>
  <c r="G774" i="2"/>
  <c r="H774" i="2" s="1"/>
  <c r="I774" i="2" s="1"/>
  <c r="F774" i="2"/>
  <c r="E774" i="2"/>
  <c r="D774" i="2"/>
  <c r="V773" i="2"/>
  <c r="U773" i="2" a="1"/>
  <c r="U773" i="2" s="1"/>
  <c r="T773" i="2"/>
  <c r="R773" i="2"/>
  <c r="J773" i="2"/>
  <c r="D773" i="2"/>
  <c r="V772" i="2"/>
  <c r="U772" i="2" a="1"/>
  <c r="U772" i="2" s="1"/>
  <c r="T772" i="2"/>
  <c r="R772" i="2"/>
  <c r="K772" i="2"/>
  <c r="J772" i="2"/>
  <c r="F772" i="2"/>
  <c r="E772" i="2"/>
  <c r="D772" i="2"/>
  <c r="V771" i="2"/>
  <c r="U771" i="2" a="1"/>
  <c r="U771" i="2"/>
  <c r="T771" i="2"/>
  <c r="R771" i="2"/>
  <c r="K771" i="2"/>
  <c r="J771" i="2"/>
  <c r="D771" i="2"/>
  <c r="V770" i="2"/>
  <c r="U770" i="2" a="1"/>
  <c r="U770" i="2"/>
  <c r="T770" i="2"/>
  <c r="R770" i="2"/>
  <c r="D770" i="2"/>
  <c r="V769" i="2"/>
  <c r="U769" i="2" a="1"/>
  <c r="U769" i="2"/>
  <c r="T769" i="2"/>
  <c r="R769" i="2"/>
  <c r="D769" i="2"/>
  <c r="K769" i="2" s="1"/>
  <c r="V768" i="2"/>
  <c r="U768" i="2" a="1"/>
  <c r="U768" i="2" s="1"/>
  <c r="T768" i="2"/>
  <c r="R768" i="2"/>
  <c r="D768" i="2"/>
  <c r="V767" i="2"/>
  <c r="U767" i="2" a="1"/>
  <c r="U767" i="2"/>
  <c r="T767" i="2"/>
  <c r="R767" i="2"/>
  <c r="K767" i="2"/>
  <c r="J767" i="2"/>
  <c r="G767" i="2"/>
  <c r="H767" i="2" s="1"/>
  <c r="I767" i="2" s="1"/>
  <c r="E767" i="2"/>
  <c r="F767" i="2" s="1"/>
  <c r="D767" i="2"/>
  <c r="V766" i="2"/>
  <c r="U766" i="2" a="1"/>
  <c r="U766" i="2" s="1"/>
  <c r="T766" i="2"/>
  <c r="R766" i="2"/>
  <c r="K766" i="2"/>
  <c r="D766" i="2"/>
  <c r="V765" i="2"/>
  <c r="U765" i="2" a="1"/>
  <c r="U765" i="2"/>
  <c r="T765" i="2"/>
  <c r="R765" i="2"/>
  <c r="K765" i="2"/>
  <c r="D765" i="2"/>
  <c r="V764" i="2"/>
  <c r="U764" i="2" a="1"/>
  <c r="U764" i="2" s="1"/>
  <c r="T764" i="2"/>
  <c r="R764" i="2"/>
  <c r="D764" i="2"/>
  <c r="V763" i="2"/>
  <c r="U763" i="2" a="1"/>
  <c r="U763" i="2" s="1"/>
  <c r="T763" i="2"/>
  <c r="R763" i="2"/>
  <c r="D763" i="2"/>
  <c r="V762" i="2"/>
  <c r="U762" i="2" a="1"/>
  <c r="U762" i="2" s="1"/>
  <c r="T762" i="2"/>
  <c r="R762" i="2"/>
  <c r="I762" i="2"/>
  <c r="G762" i="2"/>
  <c r="H762" i="2" s="1"/>
  <c r="D762" i="2"/>
  <c r="K762" i="2" s="1"/>
  <c r="V761" i="2"/>
  <c r="U761" i="2" a="1"/>
  <c r="U761" i="2"/>
  <c r="T761" i="2"/>
  <c r="R761" i="2"/>
  <c r="K761" i="2"/>
  <c r="J761" i="2"/>
  <c r="G761" i="2"/>
  <c r="H761" i="2" s="1"/>
  <c r="D761" i="2"/>
  <c r="V760" i="2"/>
  <c r="U760" i="2" a="1"/>
  <c r="U760" i="2" s="1"/>
  <c r="T760" i="2"/>
  <c r="R760" i="2"/>
  <c r="K760" i="2"/>
  <c r="J760" i="2"/>
  <c r="I760" i="2"/>
  <c r="E760" i="2"/>
  <c r="F760" i="2" s="1"/>
  <c r="D760" i="2"/>
  <c r="G760" i="2" s="1"/>
  <c r="H760" i="2" s="1"/>
  <c r="V759" i="2"/>
  <c r="U759" i="2" a="1"/>
  <c r="U759" i="2"/>
  <c r="T759" i="2"/>
  <c r="R759" i="2"/>
  <c r="K759" i="2"/>
  <c r="G759" i="2"/>
  <c r="D759" i="2"/>
  <c r="V758" i="2"/>
  <c r="U758" i="2" a="1"/>
  <c r="U758" i="2"/>
  <c r="T758" i="2"/>
  <c r="R758" i="2"/>
  <c r="J758" i="2"/>
  <c r="I758" i="2"/>
  <c r="G758" i="2"/>
  <c r="H758" i="2" s="1"/>
  <c r="F758" i="2"/>
  <c r="E758" i="2"/>
  <c r="D758" i="2"/>
  <c r="K758" i="2" s="1"/>
  <c r="V757" i="2"/>
  <c r="U757" i="2" a="1"/>
  <c r="U757" i="2" s="1"/>
  <c r="T757" i="2"/>
  <c r="R757" i="2"/>
  <c r="K757" i="2"/>
  <c r="H757" i="2"/>
  <c r="G757" i="2"/>
  <c r="E757" i="2"/>
  <c r="F757" i="2" s="1"/>
  <c r="D757" i="2"/>
  <c r="J757" i="2" s="1"/>
  <c r="V756" i="2"/>
  <c r="U756" i="2" a="1"/>
  <c r="U756" i="2"/>
  <c r="T756" i="2"/>
  <c r="R756" i="2"/>
  <c r="K756" i="2"/>
  <c r="J756" i="2"/>
  <c r="I756" i="2"/>
  <c r="G756" i="2"/>
  <c r="E756" i="2"/>
  <c r="F756" i="2" s="1"/>
  <c r="D756" i="2"/>
  <c r="V755" i="2"/>
  <c r="U755" i="2" a="1"/>
  <c r="U755" i="2" s="1"/>
  <c r="T755" i="2"/>
  <c r="R755" i="2"/>
  <c r="D755" i="2"/>
  <c r="V754" i="2"/>
  <c r="U754" i="2" a="1"/>
  <c r="U754" i="2"/>
  <c r="T754" i="2"/>
  <c r="R754" i="2"/>
  <c r="K754" i="2"/>
  <c r="J754" i="2"/>
  <c r="I754" i="2"/>
  <c r="G754" i="2"/>
  <c r="H754" i="2" s="1"/>
  <c r="F754" i="2"/>
  <c r="E754" i="2"/>
  <c r="D754" i="2"/>
  <c r="V753" i="2"/>
  <c r="U753" i="2" a="1"/>
  <c r="U753" i="2"/>
  <c r="T753" i="2"/>
  <c r="R753" i="2"/>
  <c r="K753" i="2"/>
  <c r="F753" i="2"/>
  <c r="E753" i="2"/>
  <c r="D753" i="2"/>
  <c r="V752" i="2"/>
  <c r="U752" i="2" a="1"/>
  <c r="U752" i="2"/>
  <c r="T752" i="2"/>
  <c r="R752" i="2"/>
  <c r="K752" i="2"/>
  <c r="J752" i="2"/>
  <c r="G752" i="2"/>
  <c r="E752" i="2"/>
  <c r="F752" i="2" s="1"/>
  <c r="D752" i="2"/>
  <c r="V751" i="2"/>
  <c r="U751" i="2" a="1"/>
  <c r="U751" i="2" s="1"/>
  <c r="T751" i="2"/>
  <c r="R751" i="2"/>
  <c r="D751" i="2"/>
  <c r="V750" i="2"/>
  <c r="U750" i="2" a="1"/>
  <c r="U750" i="2"/>
  <c r="T750" i="2"/>
  <c r="R750" i="2"/>
  <c r="K750" i="2"/>
  <c r="J750" i="2"/>
  <c r="I750" i="2"/>
  <c r="H750" i="2"/>
  <c r="G750" i="2"/>
  <c r="F750" i="2"/>
  <c r="D750" i="2"/>
  <c r="E750" i="2" s="1"/>
  <c r="V749" i="2"/>
  <c r="U749" i="2" a="1"/>
  <c r="U749" i="2"/>
  <c r="T749" i="2"/>
  <c r="R749" i="2"/>
  <c r="K749" i="2"/>
  <c r="J749" i="2"/>
  <c r="I749" i="2"/>
  <c r="H749" i="2"/>
  <c r="G749" i="2"/>
  <c r="F749" i="2"/>
  <c r="E749" i="2"/>
  <c r="D749" i="2"/>
  <c r="V748" i="2"/>
  <c r="U748" i="2" a="1"/>
  <c r="U748" i="2" s="1"/>
  <c r="T748" i="2"/>
  <c r="R748" i="2"/>
  <c r="K748" i="2"/>
  <c r="E748" i="2"/>
  <c r="D748" i="2"/>
  <c r="V747" i="2"/>
  <c r="U747" i="2" a="1"/>
  <c r="U747" i="2"/>
  <c r="T747" i="2"/>
  <c r="R747" i="2"/>
  <c r="J747" i="2"/>
  <c r="I747" i="2"/>
  <c r="E747" i="2"/>
  <c r="F747" i="2" s="1"/>
  <c r="D747" i="2"/>
  <c r="V746" i="2"/>
  <c r="U746" i="2" a="1"/>
  <c r="U746" i="2" s="1"/>
  <c r="T746" i="2"/>
  <c r="R746" i="2"/>
  <c r="K746" i="2"/>
  <c r="G746" i="2"/>
  <c r="D746" i="2"/>
  <c r="V745" i="2"/>
  <c r="U745" i="2" a="1"/>
  <c r="U745" i="2"/>
  <c r="T745" i="2"/>
  <c r="R745" i="2"/>
  <c r="J745" i="2"/>
  <c r="I745" i="2"/>
  <c r="G745" i="2"/>
  <c r="H745" i="2" s="1"/>
  <c r="F745" i="2"/>
  <c r="E745" i="2"/>
  <c r="D745" i="2"/>
  <c r="K745" i="2" s="1"/>
  <c r="V744" i="2"/>
  <c r="U744" i="2" a="1"/>
  <c r="U744" i="2" s="1"/>
  <c r="T744" i="2"/>
  <c r="R744" i="2"/>
  <c r="K744" i="2"/>
  <c r="I744" i="2"/>
  <c r="G744" i="2"/>
  <c r="E744" i="2"/>
  <c r="D744" i="2"/>
  <c r="J744" i="2" s="1"/>
  <c r="V743" i="2"/>
  <c r="U743" i="2" a="1"/>
  <c r="U743" i="2"/>
  <c r="T743" i="2"/>
  <c r="R743" i="2"/>
  <c r="J743" i="2"/>
  <c r="G743" i="2"/>
  <c r="D743" i="2"/>
  <c r="V742" i="2"/>
  <c r="U742" i="2" a="1"/>
  <c r="U742" i="2" s="1"/>
  <c r="T742" i="2"/>
  <c r="R742" i="2"/>
  <c r="K742" i="2"/>
  <c r="D742" i="2"/>
  <c r="V741" i="2"/>
  <c r="U741" i="2" a="1"/>
  <c r="U741" i="2"/>
  <c r="T741" i="2"/>
  <c r="R741" i="2"/>
  <c r="K741" i="2"/>
  <c r="J741" i="2"/>
  <c r="H741" i="2"/>
  <c r="G741" i="2"/>
  <c r="F741" i="2"/>
  <c r="D741" i="2"/>
  <c r="V740" i="2"/>
  <c r="U740" i="2" a="1"/>
  <c r="U740" i="2" s="1"/>
  <c r="T740" i="2"/>
  <c r="R740" i="2"/>
  <c r="I740" i="2"/>
  <c r="F740" i="2"/>
  <c r="D740" i="2"/>
  <c r="V739" i="2"/>
  <c r="U739" i="2" a="1"/>
  <c r="U739" i="2"/>
  <c r="T739" i="2"/>
  <c r="R739" i="2"/>
  <c r="G739" i="2"/>
  <c r="F739" i="2"/>
  <c r="D739" i="2"/>
  <c r="V738" i="2"/>
  <c r="U738" i="2" a="1"/>
  <c r="U738" i="2" s="1"/>
  <c r="T738" i="2"/>
  <c r="R738" i="2"/>
  <c r="K738" i="2"/>
  <c r="J738" i="2"/>
  <c r="I738" i="2"/>
  <c r="H738" i="2"/>
  <c r="F738" i="2"/>
  <c r="E738" i="2"/>
  <c r="D738" i="2"/>
  <c r="G738" i="2" s="1"/>
  <c r="V737" i="2"/>
  <c r="U737" i="2" a="1"/>
  <c r="U737" i="2" s="1"/>
  <c r="T737" i="2"/>
  <c r="R737" i="2"/>
  <c r="J737" i="2"/>
  <c r="I737" i="2"/>
  <c r="D737" i="2"/>
  <c r="V736" i="2"/>
  <c r="U736" i="2" a="1"/>
  <c r="U736" i="2" s="1"/>
  <c r="T736" i="2"/>
  <c r="R736" i="2"/>
  <c r="J736" i="2"/>
  <c r="I736" i="2"/>
  <c r="G736" i="2"/>
  <c r="H736" i="2" s="1"/>
  <c r="F736" i="2"/>
  <c r="E736" i="2"/>
  <c r="D736" i="2"/>
  <c r="K736" i="2" s="1"/>
  <c r="V735" i="2"/>
  <c r="U735" i="2" a="1"/>
  <c r="U735" i="2" s="1"/>
  <c r="T735" i="2"/>
  <c r="R735" i="2"/>
  <c r="D735" i="2"/>
  <c r="V734" i="2"/>
  <c r="U734" i="2" a="1"/>
  <c r="U734" i="2"/>
  <c r="T734" i="2"/>
  <c r="R734" i="2"/>
  <c r="D734" i="2"/>
  <c r="V733" i="2"/>
  <c r="U733" i="2" a="1"/>
  <c r="U733" i="2" s="1"/>
  <c r="T733" i="2"/>
  <c r="R733" i="2"/>
  <c r="J733" i="2"/>
  <c r="I733" i="2"/>
  <c r="E733" i="2"/>
  <c r="D733" i="2"/>
  <c r="V732" i="2"/>
  <c r="U732" i="2" a="1"/>
  <c r="U732" i="2" s="1"/>
  <c r="T732" i="2"/>
  <c r="R732" i="2"/>
  <c r="K732" i="2"/>
  <c r="J732" i="2"/>
  <c r="I732" i="2"/>
  <c r="H732" i="2"/>
  <c r="G732" i="2"/>
  <c r="F732" i="2"/>
  <c r="E732" i="2"/>
  <c r="D732" i="2"/>
  <c r="V731" i="2"/>
  <c r="U731" i="2" a="1"/>
  <c r="U731" i="2" s="1"/>
  <c r="T731" i="2"/>
  <c r="R731" i="2"/>
  <c r="K731" i="2"/>
  <c r="F731" i="2"/>
  <c r="E731" i="2"/>
  <c r="D731" i="2"/>
  <c r="V730" i="2"/>
  <c r="U730" i="2" a="1"/>
  <c r="U730" i="2" s="1"/>
  <c r="T730" i="2"/>
  <c r="R730" i="2"/>
  <c r="J730" i="2"/>
  <c r="G730" i="2"/>
  <c r="F730" i="2"/>
  <c r="E730" i="2"/>
  <c r="D730" i="2"/>
  <c r="V729" i="2"/>
  <c r="U729" i="2" a="1"/>
  <c r="U729" i="2" s="1"/>
  <c r="T729" i="2"/>
  <c r="R729" i="2"/>
  <c r="J729" i="2"/>
  <c r="E729" i="2"/>
  <c r="D729" i="2"/>
  <c r="V728" i="2"/>
  <c r="U728" i="2" a="1"/>
  <c r="U728" i="2"/>
  <c r="T728" i="2"/>
  <c r="R728" i="2"/>
  <c r="K728" i="2"/>
  <c r="I728" i="2"/>
  <c r="G728" i="2"/>
  <c r="H728" i="2" s="1"/>
  <c r="F728" i="2"/>
  <c r="D728" i="2"/>
  <c r="E728" i="2" s="1"/>
  <c r="V727" i="2"/>
  <c r="U727" i="2" a="1"/>
  <c r="U727" i="2"/>
  <c r="T727" i="2"/>
  <c r="R727" i="2"/>
  <c r="K727" i="2"/>
  <c r="J727" i="2"/>
  <c r="I727" i="2"/>
  <c r="H727" i="2"/>
  <c r="G727" i="2"/>
  <c r="F727" i="2"/>
  <c r="E727" i="2"/>
  <c r="D727" i="2"/>
  <c r="V726" i="2"/>
  <c r="U726" i="2" a="1"/>
  <c r="U726" i="2"/>
  <c r="T726" i="2"/>
  <c r="R726" i="2"/>
  <c r="J726" i="2"/>
  <c r="E726" i="2"/>
  <c r="D726" i="2"/>
  <c r="V725" i="2"/>
  <c r="U725" i="2" a="1"/>
  <c r="U725" i="2"/>
  <c r="T725" i="2"/>
  <c r="R725" i="2"/>
  <c r="J725" i="2"/>
  <c r="I725" i="2"/>
  <c r="D725" i="2"/>
  <c r="V724" i="2"/>
  <c r="U724" i="2" a="1"/>
  <c r="U724" i="2"/>
  <c r="T724" i="2"/>
  <c r="R724" i="2"/>
  <c r="I724" i="2"/>
  <c r="E724" i="2"/>
  <c r="D724" i="2"/>
  <c r="V723" i="2"/>
  <c r="U723" i="2" a="1"/>
  <c r="U723" i="2" s="1"/>
  <c r="T723" i="2"/>
  <c r="R723" i="2"/>
  <c r="K723" i="2"/>
  <c r="J723" i="2"/>
  <c r="I723" i="2"/>
  <c r="H723" i="2"/>
  <c r="G723" i="2"/>
  <c r="F723" i="2"/>
  <c r="E723" i="2"/>
  <c r="D723" i="2"/>
  <c r="V722" i="2"/>
  <c r="U722" i="2" a="1"/>
  <c r="U722" i="2" s="1"/>
  <c r="T722" i="2"/>
  <c r="R722" i="2"/>
  <c r="D722" i="2"/>
  <c r="V721" i="2"/>
  <c r="U721" i="2" a="1"/>
  <c r="U721" i="2"/>
  <c r="T721" i="2"/>
  <c r="R721" i="2"/>
  <c r="K721" i="2"/>
  <c r="J721" i="2"/>
  <c r="I721" i="2"/>
  <c r="G721" i="2"/>
  <c r="D721" i="2"/>
  <c r="V720" i="2"/>
  <c r="U720" i="2" a="1"/>
  <c r="U720" i="2" s="1"/>
  <c r="T720" i="2"/>
  <c r="R720" i="2"/>
  <c r="K720" i="2"/>
  <c r="J720" i="2"/>
  <c r="E720" i="2"/>
  <c r="D720" i="2"/>
  <c r="V719" i="2"/>
  <c r="U719" i="2" a="1"/>
  <c r="U719" i="2"/>
  <c r="T719" i="2"/>
  <c r="R719" i="2"/>
  <c r="K719" i="2"/>
  <c r="J719" i="2"/>
  <c r="H719" i="2"/>
  <c r="G719" i="2"/>
  <c r="D719" i="2"/>
  <c r="V718" i="2"/>
  <c r="U718" i="2" a="1"/>
  <c r="U718" i="2" s="1"/>
  <c r="T718" i="2"/>
  <c r="R718" i="2"/>
  <c r="I718" i="2"/>
  <c r="F718" i="2"/>
  <c r="E718" i="2"/>
  <c r="D718" i="2"/>
  <c r="V717" i="2"/>
  <c r="U717" i="2" a="1"/>
  <c r="U717" i="2" s="1"/>
  <c r="T717" i="2"/>
  <c r="R717" i="2"/>
  <c r="K717" i="2"/>
  <c r="J717" i="2"/>
  <c r="H717" i="2"/>
  <c r="G717" i="2"/>
  <c r="F717" i="2"/>
  <c r="E717" i="2"/>
  <c r="D717" i="2"/>
  <c r="I717" i="2" s="1"/>
  <c r="V716" i="2"/>
  <c r="U716" i="2" a="1"/>
  <c r="U716" i="2" s="1"/>
  <c r="T716" i="2"/>
  <c r="R716" i="2"/>
  <c r="K716" i="2"/>
  <c r="J716" i="2"/>
  <c r="I716" i="2"/>
  <c r="F716" i="2"/>
  <c r="E716" i="2"/>
  <c r="D716" i="2"/>
  <c r="G716" i="2" s="1"/>
  <c r="H716" i="2" s="1"/>
  <c r="V715" i="2"/>
  <c r="U715" i="2" a="1"/>
  <c r="U715" i="2" s="1"/>
  <c r="T715" i="2"/>
  <c r="R715" i="2"/>
  <c r="K715" i="2"/>
  <c r="J715" i="2"/>
  <c r="I715" i="2"/>
  <c r="H715" i="2"/>
  <c r="G715" i="2"/>
  <c r="D715" i="2"/>
  <c r="V714" i="2"/>
  <c r="U714" i="2" a="1"/>
  <c r="U714" i="2"/>
  <c r="T714" i="2"/>
  <c r="R714" i="2"/>
  <c r="J714" i="2"/>
  <c r="I714" i="2"/>
  <c r="G714" i="2"/>
  <c r="H714" i="2" s="1"/>
  <c r="F714" i="2"/>
  <c r="E714" i="2"/>
  <c r="D714" i="2"/>
  <c r="K714" i="2" s="1"/>
  <c r="V713" i="2"/>
  <c r="U713" i="2" a="1"/>
  <c r="U713" i="2" s="1"/>
  <c r="T713" i="2"/>
  <c r="R713" i="2"/>
  <c r="K713" i="2"/>
  <c r="H713" i="2"/>
  <c r="G713" i="2"/>
  <c r="F713" i="2"/>
  <c r="E713" i="2"/>
  <c r="D713" i="2"/>
  <c r="V712" i="2"/>
  <c r="U712" i="2" a="1"/>
  <c r="U712" i="2"/>
  <c r="T712" i="2"/>
  <c r="R712" i="2"/>
  <c r="K712" i="2"/>
  <c r="D712" i="2"/>
  <c r="V711" i="2"/>
  <c r="U711" i="2" a="1"/>
  <c r="U711" i="2" s="1"/>
  <c r="T711" i="2"/>
  <c r="R711" i="2"/>
  <c r="K711" i="2"/>
  <c r="J711" i="2"/>
  <c r="I711" i="2"/>
  <c r="D711" i="2"/>
  <c r="V710" i="2"/>
  <c r="U710" i="2" a="1"/>
  <c r="U710" i="2" s="1"/>
  <c r="T710" i="2"/>
  <c r="R710" i="2"/>
  <c r="K710" i="2"/>
  <c r="J710" i="2"/>
  <c r="I710" i="2"/>
  <c r="G710" i="2"/>
  <c r="H710" i="2" s="1"/>
  <c r="F710" i="2"/>
  <c r="E710" i="2"/>
  <c r="D710" i="2"/>
  <c r="V709" i="2"/>
  <c r="U709" i="2" a="1"/>
  <c r="U709" i="2" s="1"/>
  <c r="T709" i="2"/>
  <c r="R709" i="2"/>
  <c r="K709" i="2"/>
  <c r="G709" i="2"/>
  <c r="E709" i="2"/>
  <c r="D709" i="2"/>
  <c r="J709" i="2" s="1"/>
  <c r="V708" i="2"/>
  <c r="U708" i="2" a="1"/>
  <c r="U708" i="2" s="1"/>
  <c r="T708" i="2"/>
  <c r="R708" i="2"/>
  <c r="J708" i="2"/>
  <c r="G708" i="2"/>
  <c r="D708" i="2"/>
  <c r="V707" i="2"/>
  <c r="U707" i="2" a="1"/>
  <c r="U707" i="2" s="1"/>
  <c r="T707" i="2"/>
  <c r="R707" i="2"/>
  <c r="K707" i="2"/>
  <c r="D707" i="2"/>
  <c r="J707" i="2" s="1"/>
  <c r="V706" i="2"/>
  <c r="U706" i="2" a="1"/>
  <c r="U706" i="2"/>
  <c r="T706" i="2"/>
  <c r="R706" i="2"/>
  <c r="K706" i="2"/>
  <c r="J706" i="2"/>
  <c r="I706" i="2"/>
  <c r="G706" i="2"/>
  <c r="D706" i="2"/>
  <c r="V705" i="2"/>
  <c r="U705" i="2" a="1"/>
  <c r="U705" i="2"/>
  <c r="T705" i="2"/>
  <c r="R705" i="2"/>
  <c r="K705" i="2"/>
  <c r="J705" i="2"/>
  <c r="I705" i="2"/>
  <c r="G705" i="2"/>
  <c r="H705" i="2" s="1"/>
  <c r="F705" i="2"/>
  <c r="E705" i="2"/>
  <c r="D705" i="2"/>
  <c r="V704" i="2"/>
  <c r="U704" i="2" a="1"/>
  <c r="U704" i="2"/>
  <c r="T704" i="2"/>
  <c r="R704" i="2"/>
  <c r="J704" i="2"/>
  <c r="G704" i="2"/>
  <c r="H704" i="2" s="1"/>
  <c r="D704" i="2"/>
  <c r="V703" i="2"/>
  <c r="U703" i="2" a="1"/>
  <c r="U703" i="2"/>
  <c r="T703" i="2"/>
  <c r="R703" i="2"/>
  <c r="K703" i="2"/>
  <c r="J703" i="2"/>
  <c r="I703" i="2"/>
  <c r="E703" i="2"/>
  <c r="D703" i="2"/>
  <c r="V702" i="2"/>
  <c r="U702" i="2" a="1"/>
  <c r="U702" i="2"/>
  <c r="T702" i="2"/>
  <c r="R702" i="2"/>
  <c r="K702" i="2"/>
  <c r="J702" i="2"/>
  <c r="I702" i="2"/>
  <c r="G702" i="2"/>
  <c r="H702" i="2" s="1"/>
  <c r="F702" i="2"/>
  <c r="E702" i="2"/>
  <c r="D702" i="2"/>
  <c r="V701" i="2"/>
  <c r="U701" i="2" a="1"/>
  <c r="U701" i="2"/>
  <c r="T701" i="2"/>
  <c r="R701" i="2"/>
  <c r="K701" i="2"/>
  <c r="J701" i="2"/>
  <c r="I701" i="2"/>
  <c r="H701" i="2"/>
  <c r="G701" i="2"/>
  <c r="E701" i="2"/>
  <c r="F701" i="2" s="1"/>
  <c r="D701" i="2"/>
  <c r="V700" i="2"/>
  <c r="U700" i="2" a="1"/>
  <c r="U700" i="2"/>
  <c r="T700" i="2"/>
  <c r="R700" i="2"/>
  <c r="K700" i="2"/>
  <c r="J700" i="2"/>
  <c r="G700" i="2"/>
  <c r="E700" i="2"/>
  <c r="D700" i="2"/>
  <c r="I700" i="2" s="1"/>
  <c r="V699" i="2"/>
  <c r="U699" i="2" a="1"/>
  <c r="U699" i="2"/>
  <c r="T699" i="2"/>
  <c r="R699" i="2"/>
  <c r="J699" i="2"/>
  <c r="I699" i="2"/>
  <c r="G699" i="2"/>
  <c r="E699" i="2"/>
  <c r="D699" i="2"/>
  <c r="V698" i="2"/>
  <c r="U698" i="2" a="1"/>
  <c r="U698" i="2" s="1"/>
  <c r="T698" i="2"/>
  <c r="R698" i="2"/>
  <c r="D698" i="2"/>
  <c r="V697" i="2"/>
  <c r="U697" i="2" a="1"/>
  <c r="U697" i="2"/>
  <c r="T697" i="2"/>
  <c r="R697" i="2"/>
  <c r="K697" i="2"/>
  <c r="J697" i="2"/>
  <c r="I697" i="2"/>
  <c r="G697" i="2"/>
  <c r="E697" i="2"/>
  <c r="F697" i="2" s="1"/>
  <c r="D697" i="2"/>
  <c r="V696" i="2"/>
  <c r="U696" i="2" a="1"/>
  <c r="U696" i="2" s="1"/>
  <c r="T696" i="2"/>
  <c r="R696" i="2"/>
  <c r="I696" i="2"/>
  <c r="H696" i="2"/>
  <c r="G696" i="2"/>
  <c r="E696" i="2"/>
  <c r="F696" i="2" s="1"/>
  <c r="D696" i="2"/>
  <c r="V695" i="2"/>
  <c r="U695" i="2" a="1"/>
  <c r="U695" i="2" s="1"/>
  <c r="T695" i="2"/>
  <c r="R695" i="2"/>
  <c r="K695" i="2"/>
  <c r="I695" i="2"/>
  <c r="G695" i="2"/>
  <c r="D695" i="2"/>
  <c r="V694" i="2"/>
  <c r="U694" i="2" a="1"/>
  <c r="U694" i="2" s="1"/>
  <c r="T694" i="2"/>
  <c r="R694" i="2"/>
  <c r="K694" i="2"/>
  <c r="I694" i="2"/>
  <c r="H694" i="2"/>
  <c r="E694" i="2"/>
  <c r="D694" i="2"/>
  <c r="G694" i="2" s="1"/>
  <c r="V693" i="2"/>
  <c r="U693" i="2" a="1"/>
  <c r="U693" i="2" s="1"/>
  <c r="T693" i="2"/>
  <c r="R693" i="2"/>
  <c r="K693" i="2"/>
  <c r="J693" i="2"/>
  <c r="I693" i="2"/>
  <c r="D693" i="2"/>
  <c r="V692" i="2"/>
  <c r="U692" i="2" a="1"/>
  <c r="U692" i="2"/>
  <c r="T692" i="2"/>
  <c r="R692" i="2"/>
  <c r="J692" i="2"/>
  <c r="I692" i="2"/>
  <c r="F692" i="2"/>
  <c r="E692" i="2"/>
  <c r="D692" i="2"/>
  <c r="K692" i="2" s="1"/>
  <c r="V691" i="2"/>
  <c r="U691" i="2" a="1"/>
  <c r="U691" i="2"/>
  <c r="T691" i="2"/>
  <c r="R691" i="2"/>
  <c r="K691" i="2"/>
  <c r="H691" i="2"/>
  <c r="G691" i="2"/>
  <c r="E691" i="2"/>
  <c r="F691" i="2" s="1"/>
  <c r="D691" i="2"/>
  <c r="V690" i="2"/>
  <c r="U690" i="2" a="1"/>
  <c r="U690" i="2"/>
  <c r="T690" i="2"/>
  <c r="R690" i="2"/>
  <c r="J690" i="2"/>
  <c r="E690" i="2"/>
  <c r="D690" i="2"/>
  <c r="V689" i="2"/>
  <c r="U689" i="2" a="1"/>
  <c r="U689" i="2" s="1"/>
  <c r="T689" i="2"/>
  <c r="R689" i="2"/>
  <c r="K689" i="2"/>
  <c r="J689" i="2"/>
  <c r="I689" i="2"/>
  <c r="D689" i="2"/>
  <c r="V688" i="2"/>
  <c r="U688" i="2" a="1"/>
  <c r="U688" i="2" s="1"/>
  <c r="T688" i="2"/>
  <c r="R688" i="2"/>
  <c r="K688" i="2"/>
  <c r="J688" i="2"/>
  <c r="I688" i="2"/>
  <c r="G688" i="2"/>
  <c r="H688" i="2" s="1"/>
  <c r="F688" i="2"/>
  <c r="E688" i="2"/>
  <c r="D688" i="2"/>
  <c r="V687" i="2"/>
  <c r="U687" i="2" a="1"/>
  <c r="U687" i="2"/>
  <c r="T687" i="2"/>
  <c r="R687" i="2"/>
  <c r="K687" i="2"/>
  <c r="G687" i="2"/>
  <c r="E687" i="2"/>
  <c r="D687" i="2"/>
  <c r="J687" i="2" s="1"/>
  <c r="V686" i="2"/>
  <c r="U686" i="2" a="1"/>
  <c r="U686" i="2" s="1"/>
  <c r="T686" i="2"/>
  <c r="R686" i="2"/>
  <c r="J686" i="2"/>
  <c r="D686" i="2"/>
  <c r="V685" i="2"/>
  <c r="U685" i="2" a="1"/>
  <c r="U685" i="2" s="1"/>
  <c r="T685" i="2"/>
  <c r="R685" i="2"/>
  <c r="K685" i="2"/>
  <c r="D685" i="2"/>
  <c r="J685" i="2" s="1"/>
  <c r="V684" i="2"/>
  <c r="U684" i="2" a="1"/>
  <c r="U684" i="2"/>
  <c r="T684" i="2"/>
  <c r="R684" i="2"/>
  <c r="I684" i="2"/>
  <c r="D684" i="2"/>
  <c r="V683" i="2"/>
  <c r="U683" i="2" a="1"/>
  <c r="U683" i="2"/>
  <c r="T683" i="2"/>
  <c r="R683" i="2"/>
  <c r="K683" i="2"/>
  <c r="J683" i="2"/>
  <c r="I683" i="2"/>
  <c r="G683" i="2"/>
  <c r="H683" i="2" s="1"/>
  <c r="F683" i="2"/>
  <c r="E683" i="2"/>
  <c r="D683" i="2"/>
  <c r="V682" i="2"/>
  <c r="U682" i="2" a="1"/>
  <c r="U682" i="2"/>
  <c r="T682" i="2"/>
  <c r="R682" i="2"/>
  <c r="J682" i="2"/>
  <c r="H682" i="2"/>
  <c r="G682" i="2"/>
  <c r="D682" i="2"/>
  <c r="V681" i="2"/>
  <c r="U681" i="2" a="1"/>
  <c r="U681" i="2"/>
  <c r="T681" i="2"/>
  <c r="R681" i="2"/>
  <c r="J681" i="2"/>
  <c r="I681" i="2"/>
  <c r="E681" i="2"/>
  <c r="D681" i="2"/>
  <c r="V680" i="2"/>
  <c r="U680" i="2" a="1"/>
  <c r="U680" i="2"/>
  <c r="T680" i="2"/>
  <c r="R680" i="2"/>
  <c r="K680" i="2"/>
  <c r="J680" i="2"/>
  <c r="I680" i="2"/>
  <c r="G680" i="2"/>
  <c r="H680" i="2" s="1"/>
  <c r="F680" i="2"/>
  <c r="E680" i="2"/>
  <c r="D680" i="2"/>
  <c r="V679" i="2"/>
  <c r="U679" i="2" a="1"/>
  <c r="U679" i="2"/>
  <c r="T679" i="2"/>
  <c r="R679" i="2"/>
  <c r="K679" i="2"/>
  <c r="J679" i="2"/>
  <c r="I679" i="2"/>
  <c r="H679" i="2"/>
  <c r="G679" i="2"/>
  <c r="E679" i="2"/>
  <c r="F679" i="2" s="1"/>
  <c r="D679" i="2"/>
  <c r="V678" i="2"/>
  <c r="U678" i="2" a="1"/>
  <c r="U678" i="2" s="1"/>
  <c r="T678" i="2"/>
  <c r="R678" i="2"/>
  <c r="K678" i="2"/>
  <c r="J678" i="2"/>
  <c r="G678" i="2"/>
  <c r="E678" i="2"/>
  <c r="D678" i="2"/>
  <c r="I678" i="2" s="1"/>
  <c r="V677" i="2"/>
  <c r="U677" i="2" a="1"/>
  <c r="U677" i="2"/>
  <c r="T677" i="2"/>
  <c r="R677" i="2"/>
  <c r="J677" i="2"/>
  <c r="D677" i="2"/>
  <c r="V676" i="2"/>
  <c r="U676" i="2" a="1"/>
  <c r="U676" i="2" s="1"/>
  <c r="T676" i="2"/>
  <c r="R676" i="2"/>
  <c r="D676" i="2"/>
  <c r="V675" i="2"/>
  <c r="U675" i="2" a="1"/>
  <c r="U675" i="2"/>
  <c r="T675" i="2"/>
  <c r="R675" i="2"/>
  <c r="K675" i="2"/>
  <c r="J675" i="2"/>
  <c r="I675" i="2"/>
  <c r="G675" i="2"/>
  <c r="F675" i="2"/>
  <c r="E675" i="2"/>
  <c r="D675" i="2"/>
  <c r="V674" i="2"/>
  <c r="U674" i="2" a="1"/>
  <c r="U674" i="2" s="1"/>
  <c r="T674" i="2"/>
  <c r="R674" i="2"/>
  <c r="I674" i="2"/>
  <c r="H674" i="2"/>
  <c r="G674" i="2"/>
  <c r="E674" i="2"/>
  <c r="F674" i="2" s="1"/>
  <c r="D674" i="2"/>
  <c r="V673" i="2"/>
  <c r="U673" i="2" a="1"/>
  <c r="U673" i="2" s="1"/>
  <c r="T673" i="2"/>
  <c r="R673" i="2"/>
  <c r="I673" i="2"/>
  <c r="D673" i="2"/>
  <c r="V672" i="2"/>
  <c r="U672" i="2" a="1"/>
  <c r="U672" i="2" s="1"/>
  <c r="T672" i="2"/>
  <c r="R672" i="2"/>
  <c r="H672" i="2"/>
  <c r="E672" i="2"/>
  <c r="D672" i="2"/>
  <c r="G672" i="2" s="1"/>
  <c r="V671" i="2"/>
  <c r="U671" i="2" a="1"/>
  <c r="U671" i="2"/>
  <c r="T671" i="2"/>
  <c r="R671" i="2"/>
  <c r="D671" i="2"/>
  <c r="V670" i="2"/>
  <c r="U670" i="2" a="1"/>
  <c r="U670" i="2"/>
  <c r="T670" i="2"/>
  <c r="R670" i="2"/>
  <c r="J670" i="2"/>
  <c r="I670" i="2"/>
  <c r="F670" i="2"/>
  <c r="E670" i="2"/>
  <c r="D670" i="2"/>
  <c r="K670" i="2" s="1"/>
  <c r="V669" i="2"/>
  <c r="U669" i="2" a="1"/>
  <c r="U669" i="2" s="1"/>
  <c r="T669" i="2"/>
  <c r="R669" i="2"/>
  <c r="K669" i="2"/>
  <c r="H669" i="2"/>
  <c r="G669" i="2"/>
  <c r="E669" i="2"/>
  <c r="F669" i="2" s="1"/>
  <c r="D669" i="2"/>
  <c r="V668" i="2"/>
  <c r="U668" i="2" a="1"/>
  <c r="U668" i="2"/>
  <c r="T668" i="2"/>
  <c r="R668" i="2"/>
  <c r="E668" i="2"/>
  <c r="D668" i="2"/>
  <c r="V667" i="2"/>
  <c r="U667" i="2" a="1"/>
  <c r="U667" i="2" s="1"/>
  <c r="T667" i="2"/>
  <c r="R667" i="2"/>
  <c r="K667" i="2"/>
  <c r="J667" i="2"/>
  <c r="I667" i="2"/>
  <c r="D667" i="2"/>
  <c r="V666" i="2"/>
  <c r="U666" i="2" a="1"/>
  <c r="U666" i="2" s="1"/>
  <c r="T666" i="2"/>
  <c r="R666" i="2"/>
  <c r="K666" i="2"/>
  <c r="J666" i="2"/>
  <c r="I666" i="2"/>
  <c r="G666" i="2"/>
  <c r="H666" i="2" s="1"/>
  <c r="F666" i="2"/>
  <c r="E666" i="2"/>
  <c r="D666" i="2"/>
  <c r="V665" i="2"/>
  <c r="U665" i="2" a="1"/>
  <c r="U665" i="2" s="1"/>
  <c r="T665" i="2"/>
  <c r="R665" i="2"/>
  <c r="K665" i="2"/>
  <c r="G665" i="2"/>
  <c r="E665" i="2"/>
  <c r="D665" i="2"/>
  <c r="J665" i="2" s="1"/>
  <c r="V664" i="2"/>
  <c r="U664" i="2" a="1"/>
  <c r="U664" i="2" s="1"/>
  <c r="T664" i="2"/>
  <c r="R664" i="2"/>
  <c r="G664" i="2"/>
  <c r="D664" i="2"/>
  <c r="V663" i="2"/>
  <c r="U663" i="2" a="1"/>
  <c r="U663" i="2" s="1"/>
  <c r="T663" i="2"/>
  <c r="R663" i="2"/>
  <c r="K663" i="2"/>
  <c r="D663" i="2"/>
  <c r="J663" i="2" s="1"/>
  <c r="V662" i="2"/>
  <c r="U662" i="2" a="1"/>
  <c r="U662" i="2"/>
  <c r="T662" i="2"/>
  <c r="R662" i="2"/>
  <c r="K662" i="2"/>
  <c r="I662" i="2"/>
  <c r="G662" i="2"/>
  <c r="D662" i="2"/>
  <c r="V661" i="2"/>
  <c r="U661" i="2" a="1"/>
  <c r="U661" i="2"/>
  <c r="T661" i="2"/>
  <c r="R661" i="2"/>
  <c r="K661" i="2"/>
  <c r="J661" i="2"/>
  <c r="I661" i="2"/>
  <c r="G661" i="2"/>
  <c r="H661" i="2" s="1"/>
  <c r="F661" i="2"/>
  <c r="E661" i="2"/>
  <c r="D661" i="2"/>
  <c r="V660" i="2"/>
  <c r="U660" i="2" a="1"/>
  <c r="U660" i="2"/>
  <c r="T660" i="2"/>
  <c r="R660" i="2"/>
  <c r="G660" i="2"/>
  <c r="D660" i="2"/>
  <c r="V659" i="2"/>
  <c r="U659" i="2" a="1"/>
  <c r="U659" i="2"/>
  <c r="T659" i="2"/>
  <c r="R659" i="2"/>
  <c r="K659" i="2"/>
  <c r="J659" i="2"/>
  <c r="I659" i="2"/>
  <c r="F659" i="2"/>
  <c r="E659" i="2"/>
  <c r="D659" i="2"/>
  <c r="V658" i="2"/>
  <c r="U658" i="2" a="1"/>
  <c r="U658" i="2" s="1"/>
  <c r="T658" i="2"/>
  <c r="R658" i="2"/>
  <c r="K658" i="2"/>
  <c r="J658" i="2"/>
  <c r="I658" i="2"/>
  <c r="G658" i="2"/>
  <c r="H658" i="2" s="1"/>
  <c r="D658" i="2"/>
  <c r="V657" i="2"/>
  <c r="U657" i="2" a="1"/>
  <c r="U657" i="2" s="1"/>
  <c r="T657" i="2"/>
  <c r="R657" i="2"/>
  <c r="K657" i="2"/>
  <c r="J657" i="2"/>
  <c r="I657" i="2"/>
  <c r="G657" i="2"/>
  <c r="H657" i="2" s="1"/>
  <c r="F657" i="2"/>
  <c r="E657" i="2"/>
  <c r="D657" i="2"/>
  <c r="V656" i="2"/>
  <c r="U656" i="2" a="1"/>
  <c r="U656" i="2"/>
  <c r="T656" i="2"/>
  <c r="R656" i="2"/>
  <c r="K656" i="2"/>
  <c r="D656" i="2"/>
  <c r="J656" i="2" s="1"/>
  <c r="V655" i="2"/>
  <c r="U655" i="2" a="1"/>
  <c r="U655" i="2"/>
  <c r="T655" i="2"/>
  <c r="R655" i="2"/>
  <c r="J655" i="2"/>
  <c r="E655" i="2"/>
  <c r="F655" i="2" s="1"/>
  <c r="D655" i="2"/>
  <c r="V654" i="2"/>
  <c r="U654" i="2" a="1"/>
  <c r="U654" i="2"/>
  <c r="T654" i="2"/>
  <c r="R654" i="2"/>
  <c r="K654" i="2"/>
  <c r="J654" i="2"/>
  <c r="I654" i="2"/>
  <c r="H654" i="2"/>
  <c r="E654" i="2"/>
  <c r="F654" i="2" s="1"/>
  <c r="D654" i="2"/>
  <c r="G654" i="2" s="1"/>
  <c r="V653" i="2"/>
  <c r="U653" i="2" a="1"/>
  <c r="U653" i="2" s="1"/>
  <c r="T653" i="2"/>
  <c r="R653" i="2"/>
  <c r="D653" i="2"/>
  <c r="V652" i="2"/>
  <c r="U652" i="2" a="1"/>
  <c r="U652" i="2"/>
  <c r="T652" i="2"/>
  <c r="R652" i="2"/>
  <c r="J652" i="2"/>
  <c r="I652" i="2"/>
  <c r="F652" i="2"/>
  <c r="E652" i="2"/>
  <c r="D652" i="2"/>
  <c r="K652" i="2" s="1"/>
  <c r="V651" i="2"/>
  <c r="U651" i="2" a="1"/>
  <c r="U651" i="2"/>
  <c r="T651" i="2"/>
  <c r="R651" i="2"/>
  <c r="K651" i="2"/>
  <c r="J651" i="2"/>
  <c r="I651" i="2"/>
  <c r="G651" i="2"/>
  <c r="H651" i="2" s="1"/>
  <c r="D651" i="2"/>
  <c r="V650" i="2"/>
  <c r="U650" i="2" a="1"/>
  <c r="U650" i="2"/>
  <c r="T650" i="2"/>
  <c r="R650" i="2"/>
  <c r="E650" i="2"/>
  <c r="D650" i="2"/>
  <c r="V649" i="2"/>
  <c r="U649" i="2" a="1"/>
  <c r="U649" i="2" s="1"/>
  <c r="T649" i="2"/>
  <c r="R649" i="2"/>
  <c r="K649" i="2"/>
  <c r="J649" i="2"/>
  <c r="G649" i="2"/>
  <c r="E649" i="2"/>
  <c r="D649" i="2"/>
  <c r="I649" i="2" s="1"/>
  <c r="V648" i="2"/>
  <c r="U648" i="2" a="1"/>
  <c r="U648" i="2" s="1"/>
  <c r="T648" i="2"/>
  <c r="R648" i="2"/>
  <c r="I648" i="2"/>
  <c r="G648" i="2"/>
  <c r="E648" i="2"/>
  <c r="D648" i="2"/>
  <c r="V647" i="2"/>
  <c r="U647" i="2" a="1"/>
  <c r="U647" i="2" s="1"/>
  <c r="T647" i="2"/>
  <c r="R647" i="2"/>
  <c r="K647" i="2"/>
  <c r="J647" i="2"/>
  <c r="I647" i="2"/>
  <c r="H647" i="2"/>
  <c r="G647" i="2"/>
  <c r="E647" i="2"/>
  <c r="F647" i="2" s="1"/>
  <c r="D647" i="2"/>
  <c r="V646" i="2"/>
  <c r="U646" i="2" a="1"/>
  <c r="U646" i="2"/>
  <c r="T646" i="2"/>
  <c r="R646" i="2"/>
  <c r="K646" i="2"/>
  <c r="I646" i="2"/>
  <c r="G646" i="2"/>
  <c r="D646" i="2"/>
  <c r="V645" i="2"/>
  <c r="U645" i="2" a="1"/>
  <c r="U645" i="2"/>
  <c r="T645" i="2"/>
  <c r="R645" i="2"/>
  <c r="K645" i="2"/>
  <c r="J645" i="2"/>
  <c r="I645" i="2"/>
  <c r="G645" i="2"/>
  <c r="E645" i="2"/>
  <c r="D645" i="2"/>
  <c r="V644" i="2"/>
  <c r="U644" i="2" a="1"/>
  <c r="U644" i="2" s="1"/>
  <c r="T644" i="2"/>
  <c r="R644" i="2"/>
  <c r="K644" i="2"/>
  <c r="J644" i="2"/>
  <c r="I644" i="2"/>
  <c r="G644" i="2"/>
  <c r="H644" i="2" s="1"/>
  <c r="D644" i="2"/>
  <c r="V643" i="2"/>
  <c r="U643" i="2" a="1"/>
  <c r="U643" i="2" s="1"/>
  <c r="T643" i="2"/>
  <c r="R643" i="2"/>
  <c r="D643" i="2"/>
  <c r="V642" i="2"/>
  <c r="U642" i="2" a="1"/>
  <c r="U642" i="2" s="1"/>
  <c r="T642" i="2"/>
  <c r="R642" i="2"/>
  <c r="K642" i="2"/>
  <c r="J642" i="2"/>
  <c r="G642" i="2"/>
  <c r="E642" i="2"/>
  <c r="D642" i="2"/>
  <c r="I642" i="2" s="1"/>
  <c r="V641" i="2"/>
  <c r="U641" i="2" a="1"/>
  <c r="U641" i="2" s="1"/>
  <c r="T641" i="2"/>
  <c r="R641" i="2"/>
  <c r="G641" i="2"/>
  <c r="E641" i="2"/>
  <c r="D641" i="2"/>
  <c r="V640" i="2"/>
  <c r="U640" i="2" a="1"/>
  <c r="U640" i="2" s="1"/>
  <c r="T640" i="2"/>
  <c r="R640" i="2"/>
  <c r="D640" i="2"/>
  <c r="V639" i="2"/>
  <c r="U639" i="2" a="1"/>
  <c r="U639" i="2" s="1"/>
  <c r="T639" i="2"/>
  <c r="R639" i="2"/>
  <c r="K639" i="2"/>
  <c r="J639" i="2"/>
  <c r="G639" i="2"/>
  <c r="H639" i="2" s="1"/>
  <c r="E639" i="2"/>
  <c r="F639" i="2" s="1"/>
  <c r="D639" i="2"/>
  <c r="I639" i="2" s="1"/>
  <c r="V638" i="2"/>
  <c r="U638" i="2" a="1"/>
  <c r="U638" i="2"/>
  <c r="T638" i="2"/>
  <c r="R638" i="2"/>
  <c r="K638" i="2"/>
  <c r="G638" i="2"/>
  <c r="E638" i="2"/>
  <c r="D638" i="2"/>
  <c r="I638" i="2" s="1"/>
  <c r="V637" i="2"/>
  <c r="U637" i="2" a="1"/>
  <c r="U637" i="2"/>
  <c r="T637" i="2"/>
  <c r="R637" i="2"/>
  <c r="K637" i="2"/>
  <c r="J637" i="2"/>
  <c r="I637" i="2"/>
  <c r="H637" i="2"/>
  <c r="G637" i="2"/>
  <c r="D637" i="2"/>
  <c r="E637" i="2" s="1"/>
  <c r="F637" i="2" s="1"/>
  <c r="V636" i="2"/>
  <c r="U636" i="2" a="1"/>
  <c r="U636" i="2"/>
  <c r="T636" i="2"/>
  <c r="R636" i="2"/>
  <c r="K636" i="2"/>
  <c r="I636" i="2"/>
  <c r="E636" i="2"/>
  <c r="F636" i="2" s="1"/>
  <c r="D636" i="2"/>
  <c r="V635" i="2"/>
  <c r="U635" i="2" a="1"/>
  <c r="U635" i="2"/>
  <c r="T635" i="2"/>
  <c r="R635" i="2"/>
  <c r="K635" i="2"/>
  <c r="J635" i="2"/>
  <c r="I635" i="2"/>
  <c r="G635" i="2"/>
  <c r="H635" i="2" s="1"/>
  <c r="E635" i="2"/>
  <c r="F635" i="2" s="1"/>
  <c r="D635" i="2"/>
  <c r="V634" i="2"/>
  <c r="U634" i="2" a="1"/>
  <c r="U634" i="2" s="1"/>
  <c r="T634" i="2"/>
  <c r="R634" i="2"/>
  <c r="D634" i="2"/>
  <c r="V633" i="2"/>
  <c r="U633" i="2" a="1"/>
  <c r="U633" i="2"/>
  <c r="T633" i="2"/>
  <c r="R633" i="2"/>
  <c r="K633" i="2"/>
  <c r="J633" i="2"/>
  <c r="I633" i="2"/>
  <c r="G633" i="2"/>
  <c r="E633" i="2"/>
  <c r="F633" i="2" s="1"/>
  <c r="D633" i="2"/>
  <c r="V632" i="2"/>
  <c r="U632" i="2" a="1"/>
  <c r="U632" i="2" s="1"/>
  <c r="T632" i="2"/>
  <c r="R632" i="2"/>
  <c r="I632" i="2"/>
  <c r="H632" i="2"/>
  <c r="G632" i="2"/>
  <c r="D632" i="2"/>
  <c r="V631" i="2"/>
  <c r="U631" i="2" a="1"/>
  <c r="U631" i="2"/>
  <c r="T631" i="2"/>
  <c r="R631" i="2"/>
  <c r="I631" i="2"/>
  <c r="G631" i="2"/>
  <c r="D631" i="2"/>
  <c r="V630" i="2"/>
  <c r="U630" i="2" a="1"/>
  <c r="U630" i="2" s="1"/>
  <c r="T630" i="2"/>
  <c r="R630" i="2"/>
  <c r="K630" i="2"/>
  <c r="J630" i="2"/>
  <c r="I630" i="2"/>
  <c r="H630" i="2"/>
  <c r="G630" i="2"/>
  <c r="E630" i="2"/>
  <c r="F630" i="2" s="1"/>
  <c r="D630" i="2"/>
  <c r="V629" i="2"/>
  <c r="U629" i="2" a="1"/>
  <c r="U629" i="2"/>
  <c r="T629" i="2"/>
  <c r="R629" i="2"/>
  <c r="G629" i="2"/>
  <c r="D629" i="2"/>
  <c r="V628" i="2"/>
  <c r="U628" i="2" a="1"/>
  <c r="U628" i="2"/>
  <c r="T628" i="2"/>
  <c r="R628" i="2"/>
  <c r="D628" i="2"/>
  <c r="G628" i="2" s="1"/>
  <c r="V627" i="2"/>
  <c r="U627" i="2" a="1"/>
  <c r="U627" i="2"/>
  <c r="T627" i="2"/>
  <c r="R627" i="2"/>
  <c r="K627" i="2"/>
  <c r="J627" i="2"/>
  <c r="I627" i="2"/>
  <c r="G627" i="2"/>
  <c r="E627" i="2"/>
  <c r="D627" i="2"/>
  <c r="V626" i="2"/>
  <c r="U626" i="2" a="1"/>
  <c r="U626" i="2" s="1"/>
  <c r="T626" i="2"/>
  <c r="R626" i="2"/>
  <c r="D626" i="2"/>
  <c r="V625" i="2"/>
  <c r="U625" i="2" a="1"/>
  <c r="U625" i="2"/>
  <c r="T625" i="2"/>
  <c r="R625" i="2"/>
  <c r="K625" i="2"/>
  <c r="J625" i="2"/>
  <c r="I625" i="2"/>
  <c r="G625" i="2"/>
  <c r="H625" i="2" s="1"/>
  <c r="E625" i="2"/>
  <c r="F625" i="2" s="1"/>
  <c r="D625" i="2"/>
  <c r="V624" i="2"/>
  <c r="U624" i="2" a="1"/>
  <c r="U624" i="2"/>
  <c r="T624" i="2"/>
  <c r="R624" i="2"/>
  <c r="D624" i="2"/>
  <c r="V623" i="2"/>
  <c r="U623" i="2" a="1"/>
  <c r="U623" i="2"/>
  <c r="T623" i="2"/>
  <c r="R623" i="2"/>
  <c r="K623" i="2"/>
  <c r="J623" i="2"/>
  <c r="I623" i="2"/>
  <c r="G623" i="2"/>
  <c r="H623" i="2" s="1"/>
  <c r="E623" i="2"/>
  <c r="D623" i="2"/>
  <c r="V622" i="2"/>
  <c r="U622" i="2" a="1"/>
  <c r="U622" i="2"/>
  <c r="T622" i="2"/>
  <c r="R622" i="2"/>
  <c r="D622" i="2"/>
  <c r="V621" i="2"/>
  <c r="U621" i="2" a="1"/>
  <c r="U621" i="2" s="1"/>
  <c r="T621" i="2"/>
  <c r="R621" i="2"/>
  <c r="D621" i="2"/>
  <c r="J621" i="2" s="1"/>
  <c r="V620" i="2"/>
  <c r="U620" i="2" a="1"/>
  <c r="U620" i="2"/>
  <c r="T620" i="2"/>
  <c r="R620" i="2"/>
  <c r="K620" i="2"/>
  <c r="J620" i="2"/>
  <c r="D620" i="2"/>
  <c r="V619" i="2"/>
  <c r="U619" i="2" a="1"/>
  <c r="U619" i="2" s="1"/>
  <c r="T619" i="2"/>
  <c r="R619" i="2"/>
  <c r="I619" i="2"/>
  <c r="D619" i="2"/>
  <c r="V618" i="2"/>
  <c r="U618" i="2" a="1"/>
  <c r="U618" i="2"/>
  <c r="T618" i="2"/>
  <c r="R618" i="2"/>
  <c r="J618" i="2"/>
  <c r="I618" i="2"/>
  <c r="D618" i="2"/>
  <c r="V617" i="2"/>
  <c r="U617" i="2" a="1"/>
  <c r="U617" i="2"/>
  <c r="T617" i="2"/>
  <c r="R617" i="2"/>
  <c r="D617" i="2"/>
  <c r="V616" i="2"/>
  <c r="U616" i="2" a="1"/>
  <c r="U616" i="2" s="1"/>
  <c r="T616" i="2"/>
  <c r="R616" i="2"/>
  <c r="K616" i="2"/>
  <c r="J616" i="2"/>
  <c r="G616" i="2"/>
  <c r="H616" i="2" s="1"/>
  <c r="D616" i="2"/>
  <c r="I616" i="2" s="1"/>
  <c r="V615" i="2"/>
  <c r="U615" i="2" a="1"/>
  <c r="U615" i="2" s="1"/>
  <c r="T615" i="2"/>
  <c r="R615" i="2"/>
  <c r="J615" i="2"/>
  <c r="I615" i="2"/>
  <c r="G615" i="2"/>
  <c r="F615" i="2"/>
  <c r="E615" i="2"/>
  <c r="D615" i="2"/>
  <c r="K615" i="2" s="1"/>
  <c r="V614" i="2"/>
  <c r="U614" i="2" a="1"/>
  <c r="U614" i="2" s="1"/>
  <c r="T614" i="2"/>
  <c r="R614" i="2"/>
  <c r="K614" i="2"/>
  <c r="D614" i="2"/>
  <c r="J614" i="2" s="1"/>
  <c r="V613" i="2"/>
  <c r="U613" i="2" a="1"/>
  <c r="U613" i="2"/>
  <c r="T613" i="2"/>
  <c r="R613" i="2"/>
  <c r="K613" i="2"/>
  <c r="J613" i="2"/>
  <c r="I613" i="2"/>
  <c r="G613" i="2"/>
  <c r="H613" i="2" s="1"/>
  <c r="F613" i="2"/>
  <c r="E613" i="2"/>
  <c r="D613" i="2"/>
  <c r="V612" i="2"/>
  <c r="U612" i="2" a="1"/>
  <c r="U612" i="2" s="1"/>
  <c r="T612" i="2"/>
  <c r="R612" i="2"/>
  <c r="J612" i="2"/>
  <c r="G612" i="2"/>
  <c r="E612" i="2"/>
  <c r="D612" i="2"/>
  <c r="K612" i="2" s="1"/>
  <c r="V611" i="2"/>
  <c r="U611" i="2" a="1"/>
  <c r="U611" i="2"/>
  <c r="T611" i="2"/>
  <c r="R611" i="2"/>
  <c r="K611" i="2"/>
  <c r="J611" i="2"/>
  <c r="I611" i="2"/>
  <c r="G611" i="2"/>
  <c r="E611" i="2"/>
  <c r="F611" i="2" s="1"/>
  <c r="D611" i="2"/>
  <c r="V610" i="2"/>
  <c r="U610" i="2" a="1"/>
  <c r="U610" i="2" s="1"/>
  <c r="T610" i="2"/>
  <c r="R610" i="2"/>
  <c r="J610" i="2"/>
  <c r="E610" i="2"/>
  <c r="D610" i="2"/>
  <c r="V609" i="2"/>
  <c r="U609" i="2" a="1"/>
  <c r="U609" i="2"/>
  <c r="T609" i="2"/>
  <c r="R609" i="2"/>
  <c r="K609" i="2"/>
  <c r="I609" i="2"/>
  <c r="D609" i="2"/>
  <c r="V608" i="2"/>
  <c r="U608" i="2" a="1"/>
  <c r="U608" i="2"/>
  <c r="T608" i="2"/>
  <c r="R608" i="2"/>
  <c r="I608" i="2"/>
  <c r="E608" i="2"/>
  <c r="D608" i="2"/>
  <c r="V607" i="2"/>
  <c r="U607" i="2" a="1"/>
  <c r="U607" i="2" s="1"/>
  <c r="T607" i="2"/>
  <c r="R607" i="2"/>
  <c r="K607" i="2"/>
  <c r="J607" i="2"/>
  <c r="I607" i="2"/>
  <c r="H607" i="2"/>
  <c r="G607" i="2"/>
  <c r="E607" i="2"/>
  <c r="F607" i="2" s="1"/>
  <c r="D607" i="2"/>
  <c r="V606" i="2"/>
  <c r="U606" i="2" a="1"/>
  <c r="U606" i="2" s="1"/>
  <c r="T606" i="2"/>
  <c r="R606" i="2"/>
  <c r="K606" i="2"/>
  <c r="I606" i="2"/>
  <c r="H606" i="2"/>
  <c r="F606" i="2"/>
  <c r="E606" i="2"/>
  <c r="D606" i="2"/>
  <c r="G606" i="2" s="1"/>
  <c r="V605" i="2"/>
  <c r="U605" i="2" a="1"/>
  <c r="U605" i="2"/>
  <c r="T605" i="2"/>
  <c r="R605" i="2"/>
  <c r="K605" i="2"/>
  <c r="J605" i="2"/>
  <c r="I605" i="2"/>
  <c r="H605" i="2"/>
  <c r="F605" i="2"/>
  <c r="E605" i="2"/>
  <c r="D605" i="2"/>
  <c r="G605" i="2" s="1"/>
  <c r="V604" i="2"/>
  <c r="U604" i="2" a="1"/>
  <c r="U604" i="2"/>
  <c r="T604" i="2"/>
  <c r="R604" i="2"/>
  <c r="J604" i="2"/>
  <c r="I604" i="2"/>
  <c r="H604" i="2"/>
  <c r="G604" i="2"/>
  <c r="D604" i="2"/>
  <c r="K604" i="2" s="1"/>
  <c r="V603" i="2"/>
  <c r="U603" i="2" a="1"/>
  <c r="U603" i="2"/>
  <c r="T603" i="2"/>
  <c r="R603" i="2"/>
  <c r="I603" i="2"/>
  <c r="D603" i="2"/>
  <c r="V602" i="2"/>
  <c r="U602" i="2" a="1"/>
  <c r="U602" i="2"/>
  <c r="T602" i="2"/>
  <c r="R602" i="2"/>
  <c r="K602" i="2"/>
  <c r="J602" i="2"/>
  <c r="G602" i="2"/>
  <c r="H602" i="2" s="1"/>
  <c r="E602" i="2"/>
  <c r="D602" i="2"/>
  <c r="I602" i="2" s="1"/>
  <c r="V601" i="2"/>
  <c r="U601" i="2" a="1"/>
  <c r="U601" i="2" s="1"/>
  <c r="T601" i="2"/>
  <c r="R601" i="2"/>
  <c r="D601" i="2"/>
  <c r="V600" i="2"/>
  <c r="U600" i="2" a="1"/>
  <c r="U600" i="2" s="1"/>
  <c r="T600" i="2"/>
  <c r="R600" i="2"/>
  <c r="K600" i="2"/>
  <c r="J600" i="2"/>
  <c r="I600" i="2"/>
  <c r="H600" i="2"/>
  <c r="G600" i="2"/>
  <c r="E600" i="2"/>
  <c r="F600" i="2" s="1"/>
  <c r="D600" i="2"/>
  <c r="V599" i="2"/>
  <c r="U599" i="2" a="1"/>
  <c r="U599" i="2" s="1"/>
  <c r="T599" i="2"/>
  <c r="R599" i="2"/>
  <c r="K599" i="2"/>
  <c r="E599" i="2"/>
  <c r="G599" i="2" s="1"/>
  <c r="H599" i="2" s="1"/>
  <c r="D599" i="2"/>
  <c r="J599" i="2" s="1"/>
  <c r="V598" i="2"/>
  <c r="U598" i="2" a="1"/>
  <c r="U598" i="2"/>
  <c r="T598" i="2"/>
  <c r="R598" i="2"/>
  <c r="K598" i="2"/>
  <c r="J598" i="2"/>
  <c r="E598" i="2"/>
  <c r="F598" i="2" s="1"/>
  <c r="D598" i="2"/>
  <c r="V597" i="2"/>
  <c r="U597" i="2" a="1"/>
  <c r="U597" i="2" s="1"/>
  <c r="T597" i="2"/>
  <c r="R597" i="2"/>
  <c r="K597" i="2"/>
  <c r="J597" i="2"/>
  <c r="I597" i="2"/>
  <c r="H597" i="2"/>
  <c r="G597" i="2"/>
  <c r="D597" i="2"/>
  <c r="E597" i="2" s="1"/>
  <c r="F597" i="2" s="1"/>
  <c r="V596" i="2"/>
  <c r="U596" i="2" a="1"/>
  <c r="U596" i="2"/>
  <c r="T596" i="2"/>
  <c r="R596" i="2"/>
  <c r="D596" i="2"/>
  <c r="V595" i="2"/>
  <c r="U595" i="2" a="1"/>
  <c r="U595" i="2"/>
  <c r="T595" i="2"/>
  <c r="R595" i="2"/>
  <c r="D595" i="2"/>
  <c r="V594" i="2"/>
  <c r="U594" i="2" a="1"/>
  <c r="U594" i="2"/>
  <c r="T594" i="2"/>
  <c r="R594" i="2"/>
  <c r="K594" i="2"/>
  <c r="G594" i="2"/>
  <c r="D594" i="2"/>
  <c r="V593" i="2"/>
  <c r="U593" i="2" a="1"/>
  <c r="U593" i="2"/>
  <c r="T593" i="2"/>
  <c r="R593" i="2"/>
  <c r="D593" i="2"/>
  <c r="V592" i="2"/>
  <c r="U592" i="2" a="1"/>
  <c r="U592" i="2" s="1"/>
  <c r="T592" i="2"/>
  <c r="R592" i="2"/>
  <c r="K592" i="2"/>
  <c r="J592" i="2"/>
  <c r="G592" i="2"/>
  <c r="H592" i="2" s="1"/>
  <c r="F592" i="2"/>
  <c r="E592" i="2"/>
  <c r="D592" i="2"/>
  <c r="I592" i="2" s="1"/>
  <c r="V591" i="2"/>
  <c r="U591" i="2" a="1"/>
  <c r="U591" i="2"/>
  <c r="T591" i="2"/>
  <c r="R591" i="2"/>
  <c r="K591" i="2"/>
  <c r="J591" i="2"/>
  <c r="I591" i="2"/>
  <c r="H591" i="2"/>
  <c r="G591" i="2"/>
  <c r="E591" i="2"/>
  <c r="F591" i="2" s="1"/>
  <c r="D591" i="2"/>
  <c r="V590" i="2"/>
  <c r="U590" i="2" a="1"/>
  <c r="U590" i="2" s="1"/>
  <c r="T590" i="2"/>
  <c r="R590" i="2"/>
  <c r="K590" i="2"/>
  <c r="J590" i="2"/>
  <c r="I590" i="2"/>
  <c r="G590" i="2"/>
  <c r="D590" i="2"/>
  <c r="V589" i="2"/>
  <c r="U589" i="2" a="1"/>
  <c r="U589" i="2" s="1"/>
  <c r="T589" i="2"/>
  <c r="R589" i="2"/>
  <c r="D589" i="2"/>
  <c r="V588" i="2"/>
  <c r="U588" i="2" a="1"/>
  <c r="U588" i="2" s="1"/>
  <c r="T588" i="2"/>
  <c r="R588" i="2"/>
  <c r="K588" i="2"/>
  <c r="J588" i="2"/>
  <c r="G588" i="2"/>
  <c r="E588" i="2"/>
  <c r="D588" i="2"/>
  <c r="I588" i="2" s="1"/>
  <c r="V587" i="2"/>
  <c r="U587" i="2" a="1"/>
  <c r="U587" i="2" s="1"/>
  <c r="T587" i="2"/>
  <c r="R587" i="2"/>
  <c r="D587" i="2"/>
  <c r="V586" i="2"/>
  <c r="U586" i="2" a="1"/>
  <c r="U586" i="2"/>
  <c r="T586" i="2"/>
  <c r="R586" i="2"/>
  <c r="K586" i="2"/>
  <c r="I586" i="2"/>
  <c r="F586" i="2"/>
  <c r="D586" i="2"/>
  <c r="V585" i="2"/>
  <c r="U585" i="2" a="1"/>
  <c r="U585" i="2"/>
  <c r="T585" i="2"/>
  <c r="R585" i="2"/>
  <c r="K585" i="2"/>
  <c r="J585" i="2"/>
  <c r="I585" i="2"/>
  <c r="G585" i="2"/>
  <c r="H585" i="2" s="1"/>
  <c r="F585" i="2"/>
  <c r="E585" i="2"/>
  <c r="D585" i="2"/>
  <c r="V584" i="2"/>
  <c r="U584" i="2" a="1"/>
  <c r="U584" i="2" s="1"/>
  <c r="T584" i="2"/>
  <c r="R584" i="2"/>
  <c r="F584" i="2"/>
  <c r="D584" i="2"/>
  <c r="V583" i="2"/>
  <c r="U583" i="2" a="1"/>
  <c r="U583" i="2" s="1"/>
  <c r="T583" i="2"/>
  <c r="R583" i="2"/>
  <c r="K583" i="2"/>
  <c r="J583" i="2"/>
  <c r="I583" i="2"/>
  <c r="H583" i="2"/>
  <c r="G583" i="2"/>
  <c r="F583" i="2"/>
  <c r="E583" i="2"/>
  <c r="D583" i="2"/>
  <c r="V582" i="2"/>
  <c r="U582" i="2" a="1"/>
  <c r="U582" i="2"/>
  <c r="T582" i="2"/>
  <c r="R582" i="2"/>
  <c r="J582" i="2"/>
  <c r="I582" i="2"/>
  <c r="G582" i="2"/>
  <c r="F582" i="2"/>
  <c r="E582" i="2"/>
  <c r="D582" i="2"/>
  <c r="K582" i="2" s="1"/>
  <c r="V581" i="2"/>
  <c r="U581" i="2" a="1"/>
  <c r="U581" i="2"/>
  <c r="T581" i="2"/>
  <c r="R581" i="2"/>
  <c r="K581" i="2"/>
  <c r="F581" i="2"/>
  <c r="D581" i="2"/>
  <c r="J581" i="2" s="1"/>
  <c r="V580" i="2"/>
  <c r="U580" i="2" a="1"/>
  <c r="U580" i="2"/>
  <c r="T580" i="2"/>
  <c r="R580" i="2"/>
  <c r="K580" i="2"/>
  <c r="F580" i="2"/>
  <c r="E580" i="2"/>
  <c r="D580" i="2"/>
  <c r="V579" i="2"/>
  <c r="U579" i="2" a="1"/>
  <c r="U579" i="2" s="1"/>
  <c r="T579" i="2"/>
  <c r="R579" i="2"/>
  <c r="D579" i="2"/>
  <c r="V578" i="2"/>
  <c r="U578" i="2" a="1"/>
  <c r="U578" i="2"/>
  <c r="T578" i="2"/>
  <c r="R578" i="2"/>
  <c r="K578" i="2"/>
  <c r="J578" i="2"/>
  <c r="I578" i="2"/>
  <c r="H578" i="2"/>
  <c r="G578" i="2"/>
  <c r="F578" i="2"/>
  <c r="E578" i="2"/>
  <c r="D578" i="2"/>
  <c r="V577" i="2"/>
  <c r="U577" i="2" a="1"/>
  <c r="U577" i="2" s="1"/>
  <c r="T577" i="2"/>
  <c r="R577" i="2"/>
  <c r="I577" i="2"/>
  <c r="G577" i="2"/>
  <c r="F577" i="2"/>
  <c r="D577" i="2"/>
  <c r="V576" i="2"/>
  <c r="U576" i="2" a="1"/>
  <c r="U576" i="2" s="1"/>
  <c r="T576" i="2"/>
  <c r="R576" i="2"/>
  <c r="K576" i="2"/>
  <c r="J576" i="2"/>
  <c r="I576" i="2"/>
  <c r="H576" i="2"/>
  <c r="G576" i="2"/>
  <c r="F576" i="2"/>
  <c r="E576" i="2"/>
  <c r="D576" i="2"/>
  <c r="V575" i="2"/>
  <c r="U575" i="2" a="1"/>
  <c r="U575" i="2" s="1"/>
  <c r="T575" i="2"/>
  <c r="R575" i="2"/>
  <c r="J575" i="2"/>
  <c r="I575" i="2"/>
  <c r="G575" i="2"/>
  <c r="F575" i="2"/>
  <c r="E575" i="2"/>
  <c r="D575" i="2"/>
  <c r="K575" i="2" s="1"/>
  <c r="V574" i="2"/>
  <c r="U574" i="2" a="1"/>
  <c r="U574" i="2" s="1"/>
  <c r="T574" i="2"/>
  <c r="R574" i="2"/>
  <c r="K574" i="2"/>
  <c r="F574" i="2"/>
  <c r="D574" i="2"/>
  <c r="E574" i="2" s="1"/>
  <c r="V573" i="2"/>
  <c r="U573" i="2" a="1"/>
  <c r="U573" i="2" s="1"/>
  <c r="T573" i="2"/>
  <c r="R573" i="2"/>
  <c r="D573" i="2"/>
  <c r="V572" i="2"/>
  <c r="U572" i="2" a="1"/>
  <c r="U572" i="2" s="1"/>
  <c r="T572" i="2"/>
  <c r="R572" i="2"/>
  <c r="K572" i="2"/>
  <c r="J572" i="2"/>
  <c r="H572" i="2"/>
  <c r="G572" i="2"/>
  <c r="F572" i="2"/>
  <c r="E572" i="2"/>
  <c r="D572" i="2"/>
  <c r="I572" i="2" s="1"/>
  <c r="V571" i="2"/>
  <c r="U571" i="2" a="1"/>
  <c r="U571" i="2" s="1"/>
  <c r="T571" i="2"/>
  <c r="R571" i="2"/>
  <c r="D571" i="2"/>
  <c r="V570" i="2"/>
  <c r="U570" i="2" a="1"/>
  <c r="U570" i="2"/>
  <c r="T570" i="2"/>
  <c r="R570" i="2"/>
  <c r="G570" i="2"/>
  <c r="D570" i="2"/>
  <c r="V569" i="2"/>
  <c r="U569" i="2" a="1"/>
  <c r="U569" i="2" s="1"/>
  <c r="T569" i="2"/>
  <c r="R569" i="2"/>
  <c r="K569" i="2"/>
  <c r="J569" i="2"/>
  <c r="I569" i="2"/>
  <c r="H569" i="2"/>
  <c r="G569" i="2"/>
  <c r="E569" i="2"/>
  <c r="F569" i="2" s="1"/>
  <c r="D569" i="2"/>
  <c r="V568" i="2"/>
  <c r="U568" i="2" a="1"/>
  <c r="U568" i="2"/>
  <c r="T568" i="2"/>
  <c r="R568" i="2"/>
  <c r="D568" i="2"/>
  <c r="V567" i="2"/>
  <c r="U567" i="2" a="1"/>
  <c r="U567" i="2"/>
  <c r="T567" i="2"/>
  <c r="R567" i="2"/>
  <c r="I567" i="2"/>
  <c r="D567" i="2"/>
  <c r="V566" i="2"/>
  <c r="U566" i="2" a="1"/>
  <c r="U566" i="2"/>
  <c r="T566" i="2"/>
  <c r="R566" i="2"/>
  <c r="D566" i="2"/>
  <c r="V565" i="2"/>
  <c r="U565" i="2" a="1"/>
  <c r="U565" i="2" s="1"/>
  <c r="T565" i="2"/>
  <c r="R565" i="2"/>
  <c r="J565" i="2"/>
  <c r="G565" i="2"/>
  <c r="E565" i="2"/>
  <c r="D565" i="2"/>
  <c r="V564" i="2"/>
  <c r="U564" i="2" a="1"/>
  <c r="U564" i="2" s="1"/>
  <c r="T564" i="2"/>
  <c r="R564" i="2"/>
  <c r="K564" i="2"/>
  <c r="J564" i="2"/>
  <c r="I564" i="2"/>
  <c r="G564" i="2"/>
  <c r="H564" i="2" s="1"/>
  <c r="F564" i="2"/>
  <c r="D564" i="2"/>
  <c r="E564" i="2" s="1"/>
  <c r="V563" i="2"/>
  <c r="U563" i="2" a="1"/>
  <c r="U563" i="2"/>
  <c r="T563" i="2"/>
  <c r="R563" i="2"/>
  <c r="K563" i="2"/>
  <c r="I563" i="2"/>
  <c r="D563" i="2"/>
  <c r="V562" i="2"/>
  <c r="U562" i="2" a="1"/>
  <c r="U562" i="2" s="1"/>
  <c r="T562" i="2"/>
  <c r="R562" i="2"/>
  <c r="K562" i="2"/>
  <c r="D562" i="2"/>
  <c r="V561" i="2"/>
  <c r="U561" i="2" a="1"/>
  <c r="U561" i="2" s="1"/>
  <c r="T561" i="2"/>
  <c r="R561" i="2"/>
  <c r="K561" i="2"/>
  <c r="I561" i="2"/>
  <c r="G561" i="2"/>
  <c r="H561" i="2" s="1"/>
  <c r="D561" i="2"/>
  <c r="V560" i="2"/>
  <c r="U560" i="2" a="1"/>
  <c r="U560" i="2"/>
  <c r="T560" i="2"/>
  <c r="R560" i="2"/>
  <c r="E560" i="2"/>
  <c r="D560" i="2"/>
  <c r="V559" i="2"/>
  <c r="U559" i="2" a="1"/>
  <c r="U559" i="2" s="1"/>
  <c r="T559" i="2"/>
  <c r="R559" i="2"/>
  <c r="K559" i="2"/>
  <c r="J559" i="2"/>
  <c r="G559" i="2"/>
  <c r="H559" i="2" s="1"/>
  <c r="E559" i="2"/>
  <c r="F559" i="2" s="1"/>
  <c r="D559" i="2"/>
  <c r="I559" i="2" s="1"/>
  <c r="V558" i="2"/>
  <c r="U558" i="2" a="1"/>
  <c r="U558" i="2"/>
  <c r="T558" i="2"/>
  <c r="R558" i="2"/>
  <c r="K558" i="2"/>
  <c r="J558" i="2"/>
  <c r="I558" i="2"/>
  <c r="H558" i="2"/>
  <c r="F558" i="2"/>
  <c r="E558" i="2"/>
  <c r="D558" i="2"/>
  <c r="G558" i="2" s="1"/>
  <c r="V557" i="2"/>
  <c r="U557" i="2" a="1"/>
  <c r="U557" i="2" s="1"/>
  <c r="T557" i="2"/>
  <c r="R557" i="2"/>
  <c r="K557" i="2"/>
  <c r="J557" i="2"/>
  <c r="I557" i="2"/>
  <c r="H557" i="2"/>
  <c r="G557" i="2"/>
  <c r="D557" i="2"/>
  <c r="V556" i="2"/>
  <c r="U556" i="2" a="1"/>
  <c r="U556" i="2"/>
  <c r="T556" i="2"/>
  <c r="R556" i="2"/>
  <c r="D556" i="2"/>
  <c r="V555" i="2"/>
  <c r="U555" i="2" a="1"/>
  <c r="U555" i="2" s="1"/>
  <c r="T555" i="2"/>
  <c r="R555" i="2"/>
  <c r="I555" i="2"/>
  <c r="D555" i="2"/>
  <c r="V554" i="2"/>
  <c r="U554" i="2" a="1"/>
  <c r="U554" i="2" s="1"/>
  <c r="T554" i="2"/>
  <c r="R554" i="2"/>
  <c r="D554" i="2"/>
  <c r="V553" i="2"/>
  <c r="U553" i="2" a="1"/>
  <c r="U553" i="2" s="1"/>
  <c r="T553" i="2"/>
  <c r="R553" i="2"/>
  <c r="E553" i="2"/>
  <c r="D553" i="2"/>
  <c r="V552" i="2"/>
  <c r="U552" i="2" a="1"/>
  <c r="U552" i="2"/>
  <c r="T552" i="2"/>
  <c r="R552" i="2"/>
  <c r="D552" i="2"/>
  <c r="V551" i="2"/>
  <c r="U551" i="2" a="1"/>
  <c r="U551" i="2" s="1"/>
  <c r="T551" i="2"/>
  <c r="R551" i="2"/>
  <c r="J551" i="2"/>
  <c r="D551" i="2"/>
  <c r="V550" i="2"/>
  <c r="U550" i="2" a="1"/>
  <c r="U550" i="2"/>
  <c r="T550" i="2"/>
  <c r="R550" i="2"/>
  <c r="K550" i="2"/>
  <c r="J550" i="2"/>
  <c r="G550" i="2"/>
  <c r="H550" i="2" s="1"/>
  <c r="F550" i="2"/>
  <c r="E550" i="2"/>
  <c r="D550" i="2"/>
  <c r="I550" i="2" s="1"/>
  <c r="V549" i="2"/>
  <c r="U549" i="2" a="1"/>
  <c r="U549" i="2" s="1"/>
  <c r="T549" i="2"/>
  <c r="R549" i="2"/>
  <c r="D549" i="2"/>
  <c r="V548" i="2"/>
  <c r="U548" i="2" a="1"/>
  <c r="U548" i="2"/>
  <c r="T548" i="2"/>
  <c r="R548" i="2"/>
  <c r="D548" i="2"/>
  <c r="V547" i="2"/>
  <c r="U547" i="2" a="1"/>
  <c r="U547" i="2"/>
  <c r="T547" i="2"/>
  <c r="R547" i="2"/>
  <c r="K547" i="2"/>
  <c r="J547" i="2"/>
  <c r="I547" i="2"/>
  <c r="H547" i="2"/>
  <c r="G547" i="2"/>
  <c r="E547" i="2"/>
  <c r="F547" i="2" s="1"/>
  <c r="D547" i="2"/>
  <c r="V546" i="2"/>
  <c r="U546" i="2" a="1"/>
  <c r="U546" i="2" s="1"/>
  <c r="T546" i="2"/>
  <c r="R546" i="2"/>
  <c r="K546" i="2"/>
  <c r="J546" i="2"/>
  <c r="H546" i="2"/>
  <c r="G546" i="2"/>
  <c r="F546" i="2"/>
  <c r="E546" i="2"/>
  <c r="D546" i="2"/>
  <c r="I546" i="2" s="1"/>
  <c r="V545" i="2"/>
  <c r="U545" i="2" a="1"/>
  <c r="U545" i="2" s="1"/>
  <c r="T545" i="2"/>
  <c r="R545" i="2"/>
  <c r="D545" i="2"/>
  <c r="V544" i="2"/>
  <c r="U544" i="2" a="1"/>
  <c r="U544" i="2" s="1"/>
  <c r="T544" i="2"/>
  <c r="R544" i="2"/>
  <c r="K544" i="2"/>
  <c r="J544" i="2"/>
  <c r="F544" i="2"/>
  <c r="E544" i="2"/>
  <c r="D544" i="2"/>
  <c r="V543" i="2"/>
  <c r="U543" i="2" a="1"/>
  <c r="U543" i="2"/>
  <c r="T543" i="2"/>
  <c r="R543" i="2"/>
  <c r="D543" i="2"/>
  <c r="V542" i="2"/>
  <c r="U542" i="2" a="1"/>
  <c r="U542" i="2" s="1"/>
  <c r="T542" i="2"/>
  <c r="R542" i="2"/>
  <c r="E542" i="2"/>
  <c r="F542" i="2" s="1"/>
  <c r="D542" i="2"/>
  <c r="V541" i="2"/>
  <c r="U541" i="2" a="1"/>
  <c r="U541" i="2"/>
  <c r="T541" i="2"/>
  <c r="R541" i="2"/>
  <c r="D541" i="2"/>
  <c r="V540" i="2"/>
  <c r="U540" i="2" a="1"/>
  <c r="U540" i="2"/>
  <c r="T540" i="2"/>
  <c r="R540" i="2"/>
  <c r="K540" i="2"/>
  <c r="J540" i="2"/>
  <c r="D540" i="2"/>
  <c r="V539" i="2"/>
  <c r="U539" i="2" a="1"/>
  <c r="U539" i="2"/>
  <c r="T539" i="2"/>
  <c r="R539" i="2"/>
  <c r="K539" i="2"/>
  <c r="D539" i="2"/>
  <c r="V538" i="2"/>
  <c r="U538" i="2" a="1"/>
  <c r="U538" i="2"/>
  <c r="T538" i="2"/>
  <c r="R538" i="2"/>
  <c r="D538" i="2"/>
  <c r="V537" i="2"/>
  <c r="U537" i="2" a="1"/>
  <c r="U537" i="2"/>
  <c r="T537" i="2"/>
  <c r="R537" i="2"/>
  <c r="D537" i="2"/>
  <c r="V536" i="2"/>
  <c r="U536" i="2" a="1"/>
  <c r="U536" i="2"/>
  <c r="T536" i="2"/>
  <c r="R536" i="2"/>
  <c r="E536" i="2"/>
  <c r="D536" i="2"/>
  <c r="V535" i="2"/>
  <c r="U535" i="2" a="1"/>
  <c r="U535" i="2"/>
  <c r="T535" i="2"/>
  <c r="R535" i="2"/>
  <c r="K535" i="2"/>
  <c r="J535" i="2"/>
  <c r="E535" i="2"/>
  <c r="G535" i="2" s="1"/>
  <c r="D535" i="2"/>
  <c r="V534" i="2"/>
  <c r="U534" i="2" a="1"/>
  <c r="U534" i="2"/>
  <c r="T534" i="2"/>
  <c r="R534" i="2"/>
  <c r="K534" i="2"/>
  <c r="D534" i="2"/>
  <c r="V533" i="2"/>
  <c r="U533" i="2" a="1"/>
  <c r="U533" i="2"/>
  <c r="T533" i="2"/>
  <c r="R533" i="2"/>
  <c r="K533" i="2"/>
  <c r="E533" i="2"/>
  <c r="F533" i="2" s="1"/>
  <c r="D533" i="2"/>
  <c r="J533" i="2" s="1"/>
  <c r="V532" i="2"/>
  <c r="U532" i="2" a="1"/>
  <c r="U532" i="2" s="1"/>
  <c r="T532" i="2"/>
  <c r="R532" i="2"/>
  <c r="K532" i="2"/>
  <c r="D532" i="2"/>
  <c r="V531" i="2"/>
  <c r="U531" i="2" a="1"/>
  <c r="U531" i="2" s="1"/>
  <c r="T531" i="2"/>
  <c r="R531" i="2"/>
  <c r="J531" i="2"/>
  <c r="E531" i="2"/>
  <c r="F531" i="2" s="1"/>
  <c r="D531" i="2"/>
  <c r="K531" i="2" s="1"/>
  <c r="V530" i="2"/>
  <c r="U530" i="2" a="1"/>
  <c r="U530" i="2"/>
  <c r="T530" i="2"/>
  <c r="R530" i="2"/>
  <c r="J530" i="2"/>
  <c r="G530" i="2"/>
  <c r="F530" i="2"/>
  <c r="D530" i="2"/>
  <c r="E530" i="2" s="1"/>
  <c r="V529" i="2"/>
  <c r="U529" i="2" a="1"/>
  <c r="U529" i="2" s="1"/>
  <c r="T529" i="2"/>
  <c r="R529" i="2"/>
  <c r="K529" i="2"/>
  <c r="J529" i="2"/>
  <c r="E529" i="2"/>
  <c r="G529" i="2" s="1"/>
  <c r="D529" i="2"/>
  <c r="V528" i="2"/>
  <c r="U528" i="2" a="1"/>
  <c r="U528" i="2" s="1"/>
  <c r="T528" i="2"/>
  <c r="R528" i="2"/>
  <c r="J528" i="2"/>
  <c r="D528" i="2"/>
  <c r="V527" i="2"/>
  <c r="U527" i="2" a="1"/>
  <c r="U527" i="2"/>
  <c r="T527" i="2"/>
  <c r="R527" i="2"/>
  <c r="K527" i="2"/>
  <c r="J527" i="2"/>
  <c r="H527" i="2"/>
  <c r="G527" i="2"/>
  <c r="E527" i="2"/>
  <c r="D527" i="2"/>
  <c r="V526" i="2"/>
  <c r="U526" i="2" a="1"/>
  <c r="U526" i="2" s="1"/>
  <c r="T526" i="2"/>
  <c r="R526" i="2"/>
  <c r="J526" i="2"/>
  <c r="D526" i="2"/>
  <c r="K526" i="2" s="1"/>
  <c r="V525" i="2"/>
  <c r="U525" i="2" a="1"/>
  <c r="U525" i="2"/>
  <c r="T525" i="2"/>
  <c r="R525" i="2"/>
  <c r="K525" i="2"/>
  <c r="J525" i="2"/>
  <c r="G525" i="2"/>
  <c r="H525" i="2" s="1"/>
  <c r="I525" i="2" s="1"/>
  <c r="F525" i="2"/>
  <c r="E525" i="2"/>
  <c r="D525" i="2"/>
  <c r="V524" i="2"/>
  <c r="U524" i="2" a="1"/>
  <c r="U524" i="2"/>
  <c r="T524" i="2"/>
  <c r="R524" i="2"/>
  <c r="K524" i="2"/>
  <c r="J524" i="2"/>
  <c r="I524" i="2"/>
  <c r="E524" i="2"/>
  <c r="G524" i="2" s="1"/>
  <c r="H524" i="2" s="1"/>
  <c r="D524" i="2"/>
  <c r="V523" i="2"/>
  <c r="U523" i="2" a="1"/>
  <c r="U523" i="2" s="1"/>
  <c r="T523" i="2"/>
  <c r="R523" i="2"/>
  <c r="K523" i="2"/>
  <c r="J523" i="2"/>
  <c r="D523" i="2"/>
  <c r="V522" i="2"/>
  <c r="U522" i="2" a="1"/>
  <c r="U522" i="2"/>
  <c r="T522" i="2"/>
  <c r="R522" i="2"/>
  <c r="K522" i="2"/>
  <c r="J522" i="2"/>
  <c r="I522" i="2"/>
  <c r="H522" i="2"/>
  <c r="F522" i="2"/>
  <c r="E522" i="2"/>
  <c r="G522" i="2" s="1"/>
  <c r="D522" i="2"/>
  <c r="V521" i="2"/>
  <c r="U521" i="2" a="1"/>
  <c r="U521" i="2"/>
  <c r="T521" i="2"/>
  <c r="R521" i="2"/>
  <c r="K521" i="2"/>
  <c r="J521" i="2"/>
  <c r="G521" i="2"/>
  <c r="H521" i="2" s="1"/>
  <c r="F521" i="2"/>
  <c r="E521" i="2"/>
  <c r="D521" i="2"/>
  <c r="V520" i="2"/>
  <c r="U520" i="2" a="1"/>
  <c r="U520" i="2"/>
  <c r="T520" i="2"/>
  <c r="R520" i="2"/>
  <c r="J520" i="2"/>
  <c r="D520" i="2"/>
  <c r="V519" i="2"/>
  <c r="U519" i="2" a="1"/>
  <c r="U519" i="2"/>
  <c r="T519" i="2"/>
  <c r="R519" i="2"/>
  <c r="J519" i="2"/>
  <c r="D519" i="2"/>
  <c r="V518" i="2"/>
  <c r="U518" i="2" a="1"/>
  <c r="U518" i="2"/>
  <c r="T518" i="2"/>
  <c r="R518" i="2"/>
  <c r="E518" i="2"/>
  <c r="F518" i="2" s="1"/>
  <c r="D518" i="2"/>
  <c r="V517" i="2"/>
  <c r="U517" i="2" a="1"/>
  <c r="U517" i="2"/>
  <c r="T517" i="2"/>
  <c r="R517" i="2"/>
  <c r="D517" i="2"/>
  <c r="V516" i="2"/>
  <c r="U516" i="2" a="1"/>
  <c r="U516" i="2" s="1"/>
  <c r="T516" i="2"/>
  <c r="R516" i="2"/>
  <c r="D516" i="2"/>
  <c r="K516" i="2" s="1"/>
  <c r="V515" i="2"/>
  <c r="U515" i="2" a="1"/>
  <c r="U515" i="2"/>
  <c r="T515" i="2"/>
  <c r="R515" i="2"/>
  <c r="I515" i="2"/>
  <c r="D515" i="2"/>
  <c r="V514" i="2"/>
  <c r="U514" i="2" a="1"/>
  <c r="U514" i="2"/>
  <c r="T514" i="2"/>
  <c r="R514" i="2"/>
  <c r="D514" i="2"/>
  <c r="K514" i="2" s="1"/>
  <c r="V513" i="2"/>
  <c r="U513" i="2" a="1"/>
  <c r="U513" i="2" s="1"/>
  <c r="T513" i="2"/>
  <c r="R513" i="2"/>
  <c r="D513" i="2"/>
  <c r="V512" i="2"/>
  <c r="U512" i="2" a="1"/>
  <c r="U512" i="2"/>
  <c r="T512" i="2"/>
  <c r="R512" i="2"/>
  <c r="G512" i="2"/>
  <c r="D512" i="2"/>
  <c r="E512" i="2" s="1"/>
  <c r="V511" i="2"/>
  <c r="U511" i="2" a="1"/>
  <c r="U511" i="2"/>
  <c r="T511" i="2"/>
  <c r="R511" i="2"/>
  <c r="D511" i="2"/>
  <c r="V510" i="2"/>
  <c r="U510" i="2" a="1"/>
  <c r="U510" i="2"/>
  <c r="T510" i="2"/>
  <c r="R510" i="2"/>
  <c r="K510" i="2"/>
  <c r="J510" i="2"/>
  <c r="E510" i="2"/>
  <c r="G510" i="2" s="1"/>
  <c r="H510" i="2" s="1"/>
  <c r="D510" i="2"/>
  <c r="V509" i="2"/>
  <c r="U509" i="2" a="1"/>
  <c r="U509" i="2" s="1"/>
  <c r="T509" i="2"/>
  <c r="R509" i="2"/>
  <c r="D509" i="2"/>
  <c r="V508" i="2"/>
  <c r="U508" i="2" a="1"/>
  <c r="U508" i="2" s="1"/>
  <c r="T508" i="2"/>
  <c r="R508" i="2"/>
  <c r="D508" i="2"/>
  <c r="V507" i="2"/>
  <c r="U507" i="2" a="1"/>
  <c r="U507" i="2" s="1"/>
  <c r="T507" i="2"/>
  <c r="R507" i="2"/>
  <c r="G507" i="2"/>
  <c r="F507" i="2"/>
  <c r="E507" i="2"/>
  <c r="D507" i="2"/>
  <c r="V506" i="2"/>
  <c r="U506" i="2" a="1"/>
  <c r="U506" i="2" s="1"/>
  <c r="T506" i="2"/>
  <c r="R506" i="2"/>
  <c r="E506" i="2"/>
  <c r="D506" i="2"/>
  <c r="V505" i="2"/>
  <c r="U505" i="2" a="1"/>
  <c r="U505" i="2"/>
  <c r="T505" i="2"/>
  <c r="R505" i="2"/>
  <c r="D505" i="2"/>
  <c r="V504" i="2"/>
  <c r="U504" i="2" a="1"/>
  <c r="U504" i="2" s="1"/>
  <c r="T504" i="2"/>
  <c r="R504" i="2"/>
  <c r="D504" i="2"/>
  <c r="V503" i="2"/>
  <c r="U503" i="2" a="1"/>
  <c r="U503" i="2" s="1"/>
  <c r="T503" i="2"/>
  <c r="R503" i="2"/>
  <c r="K503" i="2"/>
  <c r="J503" i="2"/>
  <c r="G503" i="2"/>
  <c r="H503" i="2" s="1"/>
  <c r="E503" i="2"/>
  <c r="F503" i="2" s="1"/>
  <c r="D503" i="2"/>
  <c r="V502" i="2"/>
  <c r="U502" i="2" a="1"/>
  <c r="U502" i="2" s="1"/>
  <c r="T502" i="2"/>
  <c r="R502" i="2"/>
  <c r="K502" i="2"/>
  <c r="J502" i="2"/>
  <c r="I502" i="2"/>
  <c r="G502" i="2"/>
  <c r="H502" i="2" s="1"/>
  <c r="F502" i="2"/>
  <c r="E502" i="2"/>
  <c r="D502" i="2"/>
  <c r="V501" i="2"/>
  <c r="U501" i="2" a="1"/>
  <c r="U501" i="2" s="1"/>
  <c r="T501" i="2"/>
  <c r="R501" i="2"/>
  <c r="K501" i="2"/>
  <c r="E501" i="2"/>
  <c r="F501" i="2" s="1"/>
  <c r="D501" i="2"/>
  <c r="V500" i="2"/>
  <c r="U500" i="2" a="1"/>
  <c r="U500" i="2"/>
  <c r="T500" i="2"/>
  <c r="R500" i="2"/>
  <c r="K500" i="2"/>
  <c r="J500" i="2"/>
  <c r="E500" i="2"/>
  <c r="D500" i="2"/>
  <c r="V499" i="2"/>
  <c r="U499" i="2" a="1"/>
  <c r="U499" i="2" s="1"/>
  <c r="T499" i="2"/>
  <c r="R499" i="2"/>
  <c r="D499" i="2"/>
  <c r="V498" i="2"/>
  <c r="U498" i="2" a="1"/>
  <c r="U498" i="2"/>
  <c r="T498" i="2"/>
  <c r="R498" i="2"/>
  <c r="J498" i="2"/>
  <c r="E498" i="2"/>
  <c r="D498" i="2"/>
  <c r="V497" i="2"/>
  <c r="U497" i="2" a="1"/>
  <c r="U497" i="2" s="1"/>
  <c r="T497" i="2"/>
  <c r="R497" i="2"/>
  <c r="D497" i="2"/>
  <c r="V496" i="2"/>
  <c r="U496" i="2" a="1"/>
  <c r="U496" i="2" s="1"/>
  <c r="T496" i="2"/>
  <c r="R496" i="2"/>
  <c r="K496" i="2"/>
  <c r="J496" i="2"/>
  <c r="E496" i="2"/>
  <c r="F496" i="2" s="1"/>
  <c r="D496" i="2"/>
  <c r="V495" i="2"/>
  <c r="U495" i="2" a="1"/>
  <c r="U495" i="2" s="1"/>
  <c r="T495" i="2"/>
  <c r="R495" i="2"/>
  <c r="K495" i="2"/>
  <c r="J495" i="2"/>
  <c r="G495" i="2"/>
  <c r="H495" i="2" s="1"/>
  <c r="I495" i="2" s="1"/>
  <c r="F495" i="2"/>
  <c r="E495" i="2"/>
  <c r="D495" i="2"/>
  <c r="V494" i="2"/>
  <c r="U494" i="2" a="1"/>
  <c r="U494" i="2" s="1"/>
  <c r="T494" i="2"/>
  <c r="R494" i="2"/>
  <c r="J494" i="2"/>
  <c r="E494" i="2"/>
  <c r="F494" i="2" s="1"/>
  <c r="D494" i="2"/>
  <c r="K494" i="2" s="1"/>
  <c r="V493" i="2"/>
  <c r="U493" i="2" a="1"/>
  <c r="U493" i="2"/>
  <c r="T493" i="2"/>
  <c r="R493" i="2"/>
  <c r="D493" i="2"/>
  <c r="V492" i="2"/>
  <c r="U492" i="2" a="1"/>
  <c r="U492" i="2"/>
  <c r="T492" i="2"/>
  <c r="R492" i="2"/>
  <c r="D492" i="2"/>
  <c r="K492" i="2" s="1"/>
  <c r="V491" i="2"/>
  <c r="U491" i="2" a="1"/>
  <c r="U491" i="2" s="1"/>
  <c r="T491" i="2"/>
  <c r="R491" i="2"/>
  <c r="D491" i="2"/>
  <c r="V490" i="2"/>
  <c r="U490" i="2" a="1"/>
  <c r="U490" i="2" s="1"/>
  <c r="T490" i="2"/>
  <c r="R490" i="2"/>
  <c r="D490" i="2"/>
  <c r="V489" i="2"/>
  <c r="U489" i="2" a="1"/>
  <c r="U489" i="2"/>
  <c r="T489" i="2"/>
  <c r="R489" i="2"/>
  <c r="K489" i="2"/>
  <c r="I489" i="2"/>
  <c r="G489" i="2"/>
  <c r="H489" i="2" s="1"/>
  <c r="F489" i="2"/>
  <c r="E489" i="2"/>
  <c r="D489" i="2"/>
  <c r="J489" i="2" s="1"/>
  <c r="V488" i="2"/>
  <c r="U488" i="2" a="1"/>
  <c r="U488" i="2"/>
  <c r="T488" i="2"/>
  <c r="R488" i="2"/>
  <c r="G488" i="2"/>
  <c r="H488" i="2" s="1"/>
  <c r="D488" i="2"/>
  <c r="V487" i="2"/>
  <c r="U487" i="2" a="1"/>
  <c r="U487" i="2" s="1"/>
  <c r="T487" i="2"/>
  <c r="R487" i="2"/>
  <c r="K487" i="2"/>
  <c r="J487" i="2"/>
  <c r="I487" i="2"/>
  <c r="H487" i="2"/>
  <c r="G487" i="2"/>
  <c r="E487" i="2"/>
  <c r="D487" i="2"/>
  <c r="F487" i="2" s="1"/>
  <c r="V486" i="2"/>
  <c r="U486" i="2" a="1"/>
  <c r="U486" i="2" s="1"/>
  <c r="T486" i="2"/>
  <c r="R486" i="2"/>
  <c r="D486" i="2"/>
  <c r="V485" i="2"/>
  <c r="U485" i="2" a="1"/>
  <c r="U485" i="2"/>
  <c r="T485" i="2"/>
  <c r="R485" i="2"/>
  <c r="K485" i="2"/>
  <c r="J485" i="2"/>
  <c r="I485" i="2"/>
  <c r="D485" i="2"/>
  <c r="V484" i="2"/>
  <c r="U484" i="2" a="1"/>
  <c r="U484" i="2" s="1"/>
  <c r="T484" i="2"/>
  <c r="R484" i="2"/>
  <c r="K484" i="2"/>
  <c r="J484" i="2"/>
  <c r="G484" i="2"/>
  <c r="H484" i="2" s="1"/>
  <c r="F484" i="2"/>
  <c r="E484" i="2"/>
  <c r="D484" i="2"/>
  <c r="I484" i="2" s="1"/>
  <c r="V483" i="2"/>
  <c r="U483" i="2" a="1"/>
  <c r="U483" i="2"/>
  <c r="T483" i="2"/>
  <c r="R483" i="2"/>
  <c r="K483" i="2"/>
  <c r="I483" i="2"/>
  <c r="G483" i="2"/>
  <c r="F483" i="2"/>
  <c r="D483" i="2"/>
  <c r="E483" i="2" s="1"/>
  <c r="V482" i="2"/>
  <c r="U482" i="2" a="1"/>
  <c r="U482" i="2"/>
  <c r="T482" i="2"/>
  <c r="R482" i="2"/>
  <c r="J482" i="2"/>
  <c r="I482" i="2"/>
  <c r="E482" i="2"/>
  <c r="F482" i="2" s="1"/>
  <c r="D482" i="2"/>
  <c r="V481" i="2"/>
  <c r="U481" i="2" a="1"/>
  <c r="U481" i="2"/>
  <c r="T481" i="2"/>
  <c r="R481" i="2"/>
  <c r="K481" i="2"/>
  <c r="J481" i="2"/>
  <c r="H481" i="2"/>
  <c r="G481" i="2"/>
  <c r="E481" i="2"/>
  <c r="F481" i="2" s="1"/>
  <c r="D481" i="2"/>
  <c r="I481" i="2" s="1"/>
  <c r="V480" i="2"/>
  <c r="U480" i="2" a="1"/>
  <c r="U480" i="2" s="1"/>
  <c r="T480" i="2"/>
  <c r="R480" i="2"/>
  <c r="D480" i="2"/>
  <c r="V479" i="2"/>
  <c r="U479" i="2" a="1"/>
  <c r="U479" i="2" s="1"/>
  <c r="T479" i="2"/>
  <c r="R479" i="2"/>
  <c r="I479" i="2"/>
  <c r="G479" i="2"/>
  <c r="F479" i="2"/>
  <c r="E479" i="2"/>
  <c r="D479" i="2"/>
  <c r="V478" i="2"/>
  <c r="U478" i="2" a="1"/>
  <c r="U478" i="2" s="1"/>
  <c r="T478" i="2"/>
  <c r="R478" i="2"/>
  <c r="K478" i="2"/>
  <c r="J478" i="2"/>
  <c r="I478" i="2"/>
  <c r="H478" i="2"/>
  <c r="G478" i="2"/>
  <c r="E478" i="2"/>
  <c r="F478" i="2" s="1"/>
  <c r="D478" i="2"/>
  <c r="V477" i="2"/>
  <c r="U477" i="2" a="1"/>
  <c r="U477" i="2" s="1"/>
  <c r="T477" i="2"/>
  <c r="R477" i="2"/>
  <c r="K477" i="2"/>
  <c r="J477" i="2"/>
  <c r="I477" i="2"/>
  <c r="G477" i="2"/>
  <c r="H477" i="2" s="1"/>
  <c r="F477" i="2"/>
  <c r="E477" i="2"/>
  <c r="D477" i="2"/>
  <c r="V476" i="2"/>
  <c r="U476" i="2" a="1"/>
  <c r="U476" i="2" s="1"/>
  <c r="T476" i="2"/>
  <c r="R476" i="2"/>
  <c r="K476" i="2"/>
  <c r="I476" i="2"/>
  <c r="F476" i="2"/>
  <c r="E476" i="2"/>
  <c r="D476" i="2"/>
  <c r="V475" i="2"/>
  <c r="U475" i="2" a="1"/>
  <c r="U475" i="2"/>
  <c r="T475" i="2"/>
  <c r="R475" i="2"/>
  <c r="D475" i="2"/>
  <c r="V474" i="2"/>
  <c r="U474" i="2" a="1"/>
  <c r="U474" i="2"/>
  <c r="T474" i="2"/>
  <c r="R474" i="2"/>
  <c r="E474" i="2"/>
  <c r="D474" i="2"/>
  <c r="V473" i="2"/>
  <c r="U473" i="2" a="1"/>
  <c r="U473" i="2" s="1"/>
  <c r="T473" i="2"/>
  <c r="R473" i="2"/>
  <c r="D473" i="2"/>
  <c r="V472" i="2"/>
  <c r="U472" i="2" a="1"/>
  <c r="U472" i="2" s="1"/>
  <c r="T472" i="2"/>
  <c r="R472" i="2"/>
  <c r="G472" i="2"/>
  <c r="H472" i="2" s="1"/>
  <c r="E472" i="2"/>
  <c r="F472" i="2" s="1"/>
  <c r="D472" i="2"/>
  <c r="K472" i="2" s="1"/>
  <c r="V471" i="2"/>
  <c r="U471" i="2" a="1"/>
  <c r="U471" i="2" s="1"/>
  <c r="T471" i="2"/>
  <c r="R471" i="2"/>
  <c r="K471" i="2"/>
  <c r="J471" i="2"/>
  <c r="I471" i="2"/>
  <c r="H471" i="2"/>
  <c r="D471" i="2"/>
  <c r="G471" i="2" s="1"/>
  <c r="V470" i="2"/>
  <c r="U470" i="2" a="1"/>
  <c r="U470" i="2"/>
  <c r="T470" i="2"/>
  <c r="R470" i="2"/>
  <c r="K470" i="2"/>
  <c r="J470" i="2"/>
  <c r="I470" i="2"/>
  <c r="H470" i="2"/>
  <c r="G470" i="2"/>
  <c r="E470" i="2"/>
  <c r="F470" i="2" s="1"/>
  <c r="D470" i="2"/>
  <c r="V469" i="2"/>
  <c r="U469" i="2" a="1"/>
  <c r="U469" i="2"/>
  <c r="T469" i="2"/>
  <c r="R469" i="2"/>
  <c r="J469" i="2"/>
  <c r="I469" i="2"/>
  <c r="G469" i="2"/>
  <c r="D469" i="2"/>
  <c r="V468" i="2"/>
  <c r="U468" i="2" a="1"/>
  <c r="U468" i="2"/>
  <c r="T468" i="2"/>
  <c r="R468" i="2"/>
  <c r="K468" i="2"/>
  <c r="J468" i="2"/>
  <c r="G468" i="2"/>
  <c r="H468" i="2" s="1"/>
  <c r="D468" i="2"/>
  <c r="V467" i="2"/>
  <c r="U467" i="2" a="1"/>
  <c r="U467" i="2"/>
  <c r="T467" i="2"/>
  <c r="R467" i="2"/>
  <c r="I467" i="2"/>
  <c r="D467" i="2"/>
  <c r="J467" i="2" s="1"/>
  <c r="V466" i="2"/>
  <c r="U466" i="2" a="1"/>
  <c r="U466" i="2"/>
  <c r="T466" i="2"/>
  <c r="R466" i="2"/>
  <c r="K466" i="2"/>
  <c r="D466" i="2"/>
  <c r="V465" i="2"/>
  <c r="U465" i="2" a="1"/>
  <c r="U465" i="2" s="1"/>
  <c r="T465" i="2"/>
  <c r="R465" i="2"/>
  <c r="D465" i="2"/>
  <c r="V464" i="2"/>
  <c r="U464" i="2" a="1"/>
  <c r="U464" i="2" s="1"/>
  <c r="T464" i="2"/>
  <c r="R464" i="2"/>
  <c r="D464" i="2"/>
  <c r="V463" i="2"/>
  <c r="U463" i="2" a="1"/>
  <c r="U463" i="2" s="1"/>
  <c r="T463" i="2"/>
  <c r="R463" i="2"/>
  <c r="D463" i="2"/>
  <c r="V462" i="2"/>
  <c r="U462" i="2" a="1"/>
  <c r="U462" i="2" s="1"/>
  <c r="T462" i="2"/>
  <c r="R462" i="2"/>
  <c r="G462" i="2"/>
  <c r="E462" i="2"/>
  <c r="D462" i="2"/>
  <c r="V461" i="2"/>
  <c r="U461" i="2" a="1"/>
  <c r="U461" i="2" s="1"/>
  <c r="T461" i="2"/>
  <c r="R461" i="2"/>
  <c r="G461" i="2"/>
  <c r="H461" i="2" s="1"/>
  <c r="I461" i="2" s="1"/>
  <c r="F461" i="2"/>
  <c r="D461" i="2"/>
  <c r="E461" i="2" s="1"/>
  <c r="V460" i="2"/>
  <c r="U460" i="2" a="1"/>
  <c r="U460" i="2" s="1"/>
  <c r="T460" i="2"/>
  <c r="R460" i="2"/>
  <c r="K460" i="2"/>
  <c r="J460" i="2"/>
  <c r="I460" i="2"/>
  <c r="G460" i="2"/>
  <c r="H460" i="2" s="1"/>
  <c r="E460" i="2"/>
  <c r="D460" i="2"/>
  <c r="F460" i="2" s="1"/>
  <c r="V459" i="2"/>
  <c r="U459" i="2" a="1"/>
  <c r="U459" i="2" s="1"/>
  <c r="T459" i="2"/>
  <c r="R459" i="2"/>
  <c r="K459" i="2"/>
  <c r="J459" i="2"/>
  <c r="F459" i="2"/>
  <c r="E459" i="2"/>
  <c r="G459" i="2" s="1"/>
  <c r="H459" i="2" s="1"/>
  <c r="D459" i="2"/>
  <c r="V458" i="2"/>
  <c r="U458" i="2" a="1"/>
  <c r="U458" i="2" s="1"/>
  <c r="T458" i="2"/>
  <c r="R458" i="2"/>
  <c r="K458" i="2"/>
  <c r="J458" i="2"/>
  <c r="E458" i="2"/>
  <c r="F458" i="2" s="1"/>
  <c r="D458" i="2"/>
  <c r="I458" i="2" s="1"/>
  <c r="V457" i="2"/>
  <c r="U457" i="2" a="1"/>
  <c r="U457" i="2" s="1"/>
  <c r="T457" i="2"/>
  <c r="R457" i="2"/>
  <c r="J457" i="2"/>
  <c r="I457" i="2"/>
  <c r="E457" i="2"/>
  <c r="D457" i="2"/>
  <c r="V456" i="2"/>
  <c r="U456" i="2" a="1"/>
  <c r="U456" i="2" s="1"/>
  <c r="T456" i="2"/>
  <c r="R456" i="2"/>
  <c r="K456" i="2"/>
  <c r="J456" i="2"/>
  <c r="I456" i="2"/>
  <c r="H456" i="2"/>
  <c r="G456" i="2"/>
  <c r="E456" i="2"/>
  <c r="F456" i="2" s="1"/>
  <c r="D456" i="2"/>
  <c r="V455" i="2"/>
  <c r="U455" i="2" a="1"/>
  <c r="U455" i="2" s="1"/>
  <c r="T455" i="2"/>
  <c r="R455" i="2"/>
  <c r="I455" i="2"/>
  <c r="G455" i="2"/>
  <c r="H455" i="2" s="1"/>
  <c r="F455" i="2"/>
  <c r="E455" i="2"/>
  <c r="D455" i="2"/>
  <c r="V454" i="2"/>
  <c r="U454" i="2" a="1"/>
  <c r="U454" i="2" s="1"/>
  <c r="T454" i="2"/>
  <c r="R454" i="2"/>
  <c r="I454" i="2"/>
  <c r="G454" i="2"/>
  <c r="E454" i="2"/>
  <c r="F454" i="2" s="1"/>
  <c r="D454" i="2"/>
  <c r="V453" i="2"/>
  <c r="U453" i="2" a="1"/>
  <c r="U453" i="2" s="1"/>
  <c r="T453" i="2"/>
  <c r="R453" i="2"/>
  <c r="K453" i="2"/>
  <c r="J453" i="2"/>
  <c r="I453" i="2"/>
  <c r="H453" i="2"/>
  <c r="G453" i="2"/>
  <c r="E453" i="2"/>
  <c r="F453" i="2" s="1"/>
  <c r="D453" i="2"/>
  <c r="V452" i="2"/>
  <c r="U452" i="2" a="1"/>
  <c r="U452" i="2" s="1"/>
  <c r="T452" i="2"/>
  <c r="R452" i="2"/>
  <c r="K452" i="2"/>
  <c r="J452" i="2"/>
  <c r="I452" i="2"/>
  <c r="H452" i="2"/>
  <c r="E452" i="2"/>
  <c r="F452" i="2" s="1"/>
  <c r="D452" i="2"/>
  <c r="G452" i="2" s="1"/>
  <c r="V451" i="2"/>
  <c r="U451" i="2" a="1"/>
  <c r="U451" i="2" s="1"/>
  <c r="T451" i="2"/>
  <c r="R451" i="2"/>
  <c r="K451" i="2"/>
  <c r="J451" i="2"/>
  <c r="E451" i="2"/>
  <c r="F451" i="2" s="1"/>
  <c r="D451" i="2"/>
  <c r="I451" i="2" s="1"/>
  <c r="V450" i="2"/>
  <c r="U450" i="2" a="1"/>
  <c r="U450" i="2" s="1"/>
  <c r="T450" i="2"/>
  <c r="R450" i="2"/>
  <c r="J450" i="2"/>
  <c r="I450" i="2"/>
  <c r="D450" i="2"/>
  <c r="V449" i="2"/>
  <c r="U449" i="2" a="1"/>
  <c r="U449" i="2"/>
  <c r="T449" i="2"/>
  <c r="R449" i="2"/>
  <c r="E449" i="2"/>
  <c r="D449" i="2"/>
  <c r="V448" i="2"/>
  <c r="U448" i="2" a="1"/>
  <c r="U448" i="2" s="1"/>
  <c r="T448" i="2"/>
  <c r="R448" i="2"/>
  <c r="D448" i="2"/>
  <c r="V447" i="2"/>
  <c r="U447" i="2" a="1"/>
  <c r="U447" i="2" s="1"/>
  <c r="T447" i="2"/>
  <c r="R447" i="2"/>
  <c r="H447" i="2"/>
  <c r="G447" i="2"/>
  <c r="E447" i="2"/>
  <c r="F447" i="2" s="1"/>
  <c r="D447" i="2"/>
  <c r="K447" i="2" s="1"/>
  <c r="V446" i="2"/>
  <c r="U446" i="2" a="1"/>
  <c r="U446" i="2" s="1"/>
  <c r="T446" i="2"/>
  <c r="R446" i="2"/>
  <c r="K446" i="2"/>
  <c r="J446" i="2"/>
  <c r="I446" i="2"/>
  <c r="G446" i="2"/>
  <c r="H446" i="2" s="1"/>
  <c r="E446" i="2"/>
  <c r="F446" i="2" s="1"/>
  <c r="D446" i="2"/>
  <c r="V445" i="2"/>
  <c r="U445" i="2" a="1"/>
  <c r="U445" i="2"/>
  <c r="T445" i="2"/>
  <c r="R445" i="2"/>
  <c r="K445" i="2"/>
  <c r="J445" i="2"/>
  <c r="I445" i="2"/>
  <c r="G445" i="2"/>
  <c r="H445" i="2" s="1"/>
  <c r="F445" i="2"/>
  <c r="E445" i="2"/>
  <c r="D445" i="2"/>
  <c r="V444" i="2"/>
  <c r="U444" i="2" a="1"/>
  <c r="U444" i="2"/>
  <c r="T444" i="2"/>
  <c r="R444" i="2"/>
  <c r="K444" i="2"/>
  <c r="I444" i="2"/>
  <c r="G444" i="2"/>
  <c r="E444" i="2"/>
  <c r="D444" i="2"/>
  <c r="V443" i="2"/>
  <c r="U443" i="2" a="1"/>
  <c r="U443" i="2" s="1"/>
  <c r="T443" i="2"/>
  <c r="R443" i="2"/>
  <c r="D443" i="2"/>
  <c r="V442" i="2"/>
  <c r="U442" i="2" a="1"/>
  <c r="U442" i="2" s="1"/>
  <c r="T442" i="2"/>
  <c r="R442" i="2"/>
  <c r="D442" i="2"/>
  <c r="V441" i="2"/>
  <c r="U441" i="2" a="1"/>
  <c r="U441" i="2" s="1"/>
  <c r="T441" i="2"/>
  <c r="R441" i="2"/>
  <c r="I441" i="2"/>
  <c r="H441" i="2"/>
  <c r="G441" i="2"/>
  <c r="F441" i="2"/>
  <c r="E441" i="2"/>
  <c r="D441" i="2"/>
  <c r="V440" i="2"/>
  <c r="U440" i="2" a="1"/>
  <c r="U440" i="2" s="1"/>
  <c r="T440" i="2"/>
  <c r="R440" i="2"/>
  <c r="K440" i="2"/>
  <c r="G440" i="2"/>
  <c r="H440" i="2" s="1"/>
  <c r="E440" i="2"/>
  <c r="F440" i="2" s="1"/>
  <c r="D440" i="2"/>
  <c r="J440" i="2" s="1"/>
  <c r="V439" i="2"/>
  <c r="U439" i="2" a="1"/>
  <c r="U439" i="2" s="1"/>
  <c r="T439" i="2"/>
  <c r="R439" i="2"/>
  <c r="K439" i="2"/>
  <c r="J439" i="2"/>
  <c r="I439" i="2"/>
  <c r="G439" i="2"/>
  <c r="H439" i="2" s="1"/>
  <c r="D439" i="2"/>
  <c r="E439" i="2" s="1"/>
  <c r="V438" i="2"/>
  <c r="U438" i="2" a="1"/>
  <c r="U438" i="2"/>
  <c r="T438" i="2"/>
  <c r="R438" i="2"/>
  <c r="K438" i="2"/>
  <c r="J438" i="2"/>
  <c r="I438" i="2"/>
  <c r="H438" i="2"/>
  <c r="G438" i="2"/>
  <c r="E438" i="2"/>
  <c r="F438" i="2" s="1"/>
  <c r="D438" i="2"/>
  <c r="V437" i="2"/>
  <c r="U437" i="2" a="1"/>
  <c r="U437" i="2"/>
  <c r="T437" i="2"/>
  <c r="R437" i="2"/>
  <c r="J437" i="2"/>
  <c r="D437" i="2"/>
  <c r="V436" i="2"/>
  <c r="U436" i="2" a="1"/>
  <c r="U436" i="2"/>
  <c r="T436" i="2"/>
  <c r="R436" i="2"/>
  <c r="D436" i="2"/>
  <c r="V435" i="2"/>
  <c r="U435" i="2" a="1"/>
  <c r="U435" i="2"/>
  <c r="T435" i="2"/>
  <c r="R435" i="2"/>
  <c r="E435" i="2"/>
  <c r="D435" i="2"/>
  <c r="V434" i="2"/>
  <c r="U434" i="2" a="1"/>
  <c r="U434" i="2" s="1"/>
  <c r="T434" i="2"/>
  <c r="R434" i="2"/>
  <c r="I434" i="2"/>
  <c r="D434" i="2"/>
  <c r="V433" i="2"/>
  <c r="U433" i="2" a="1"/>
  <c r="U433" i="2" s="1"/>
  <c r="T433" i="2"/>
  <c r="R433" i="2"/>
  <c r="G433" i="2"/>
  <c r="D433" i="2"/>
  <c r="V432" i="2"/>
  <c r="U432" i="2" a="1"/>
  <c r="U432" i="2" s="1"/>
  <c r="T432" i="2"/>
  <c r="R432" i="2"/>
  <c r="K432" i="2"/>
  <c r="J432" i="2"/>
  <c r="I432" i="2"/>
  <c r="H432" i="2"/>
  <c r="D432" i="2"/>
  <c r="G432" i="2" s="1"/>
  <c r="V431" i="2"/>
  <c r="U431" i="2" a="1"/>
  <c r="U431" i="2"/>
  <c r="T431" i="2"/>
  <c r="R431" i="2"/>
  <c r="K431" i="2"/>
  <c r="J431" i="2"/>
  <c r="D431" i="2"/>
  <c r="V430" i="2"/>
  <c r="U430" i="2" a="1"/>
  <c r="U430" i="2"/>
  <c r="T430" i="2"/>
  <c r="R430" i="2"/>
  <c r="G430" i="2"/>
  <c r="D430" i="2"/>
  <c r="V429" i="2"/>
  <c r="U429" i="2" a="1"/>
  <c r="U429" i="2"/>
  <c r="T429" i="2"/>
  <c r="R429" i="2"/>
  <c r="E429" i="2"/>
  <c r="D429" i="2"/>
  <c r="V428" i="2"/>
  <c r="U428" i="2" a="1"/>
  <c r="U428" i="2"/>
  <c r="T428" i="2"/>
  <c r="R428" i="2"/>
  <c r="K428" i="2"/>
  <c r="H428" i="2"/>
  <c r="G428" i="2"/>
  <c r="F428" i="2"/>
  <c r="E428" i="2"/>
  <c r="D428" i="2"/>
  <c r="J428" i="2" s="1"/>
  <c r="V427" i="2"/>
  <c r="U427" i="2" a="1"/>
  <c r="U427" i="2" s="1"/>
  <c r="T427" i="2"/>
  <c r="R427" i="2"/>
  <c r="K427" i="2"/>
  <c r="J427" i="2"/>
  <c r="I427" i="2"/>
  <c r="G427" i="2"/>
  <c r="H427" i="2" s="1"/>
  <c r="E427" i="2"/>
  <c r="F427" i="2" s="1"/>
  <c r="D427" i="2"/>
  <c r="V426" i="2"/>
  <c r="U426" i="2" a="1"/>
  <c r="U426" i="2" s="1"/>
  <c r="T426" i="2"/>
  <c r="R426" i="2"/>
  <c r="K426" i="2"/>
  <c r="J426" i="2"/>
  <c r="I426" i="2"/>
  <c r="G426" i="2"/>
  <c r="H426" i="2" s="1"/>
  <c r="F426" i="2"/>
  <c r="E426" i="2"/>
  <c r="D426" i="2"/>
  <c r="V425" i="2"/>
  <c r="U425" i="2" a="1"/>
  <c r="U425" i="2"/>
  <c r="T425" i="2"/>
  <c r="R425" i="2"/>
  <c r="K425" i="2"/>
  <c r="I425" i="2"/>
  <c r="G425" i="2"/>
  <c r="D425" i="2"/>
  <c r="J425" i="2" s="1"/>
  <c r="V424" i="2"/>
  <c r="U424" i="2" a="1"/>
  <c r="U424" i="2"/>
  <c r="T424" i="2"/>
  <c r="R424" i="2"/>
  <c r="K424" i="2"/>
  <c r="G424" i="2"/>
  <c r="E424" i="2"/>
  <c r="D424" i="2"/>
  <c r="V423" i="2"/>
  <c r="U423" i="2" a="1"/>
  <c r="U423" i="2" s="1"/>
  <c r="T423" i="2"/>
  <c r="R423" i="2"/>
  <c r="J423" i="2"/>
  <c r="G423" i="2"/>
  <c r="E423" i="2"/>
  <c r="F423" i="2" s="1"/>
  <c r="D423" i="2"/>
  <c r="V422" i="2"/>
  <c r="U422" i="2" a="1"/>
  <c r="U422" i="2" s="1"/>
  <c r="T422" i="2"/>
  <c r="R422" i="2"/>
  <c r="D422" i="2"/>
  <c r="V421" i="2"/>
  <c r="U421" i="2" a="1"/>
  <c r="U421" i="2"/>
  <c r="T421" i="2"/>
  <c r="R421" i="2"/>
  <c r="K421" i="2"/>
  <c r="J421" i="2"/>
  <c r="E421" i="2"/>
  <c r="G421" i="2" s="1"/>
  <c r="H421" i="2" s="1"/>
  <c r="I421" i="2" s="1"/>
  <c r="D421" i="2"/>
  <c r="V420" i="2"/>
  <c r="U420" i="2" a="1"/>
  <c r="U420" i="2" s="1"/>
  <c r="T420" i="2"/>
  <c r="R420" i="2"/>
  <c r="K420" i="2"/>
  <c r="J420" i="2"/>
  <c r="E420" i="2"/>
  <c r="F420" i="2" s="1"/>
  <c r="D420" i="2"/>
  <c r="G420" i="2" s="1"/>
  <c r="H420" i="2" s="1"/>
  <c r="I420" i="2" s="1"/>
  <c r="V419" i="2"/>
  <c r="U419" i="2" a="1"/>
  <c r="U419" i="2" s="1"/>
  <c r="T419" i="2"/>
  <c r="R419" i="2"/>
  <c r="J419" i="2"/>
  <c r="E419" i="2"/>
  <c r="F419" i="2" s="1"/>
  <c r="D419" i="2"/>
  <c r="V418" i="2"/>
  <c r="U418" i="2" a="1"/>
  <c r="U418" i="2" s="1"/>
  <c r="T418" i="2"/>
  <c r="R418" i="2"/>
  <c r="E418" i="2"/>
  <c r="F418" i="2" s="1"/>
  <c r="D418" i="2"/>
  <c r="V417" i="2"/>
  <c r="U417" i="2" a="1"/>
  <c r="U417" i="2"/>
  <c r="T417" i="2"/>
  <c r="R417" i="2"/>
  <c r="K417" i="2"/>
  <c r="J417" i="2"/>
  <c r="G417" i="2"/>
  <c r="H417" i="2" s="1"/>
  <c r="I417" i="2" s="1"/>
  <c r="E417" i="2"/>
  <c r="F417" i="2" s="1"/>
  <c r="D417" i="2"/>
  <c r="V416" i="2"/>
  <c r="U416" i="2" a="1"/>
  <c r="U416" i="2"/>
  <c r="T416" i="2"/>
  <c r="R416" i="2"/>
  <c r="D416" i="2"/>
  <c r="V415" i="2"/>
  <c r="U415" i="2" a="1"/>
  <c r="U415" i="2"/>
  <c r="T415" i="2"/>
  <c r="R415" i="2"/>
  <c r="K415" i="2"/>
  <c r="J415" i="2"/>
  <c r="D415" i="2"/>
  <c r="V414" i="2"/>
  <c r="U414" i="2" a="1"/>
  <c r="U414" i="2"/>
  <c r="T414" i="2"/>
  <c r="R414" i="2"/>
  <c r="J414" i="2"/>
  <c r="E414" i="2"/>
  <c r="D414" i="2"/>
  <c r="V413" i="2"/>
  <c r="U413" i="2" a="1"/>
  <c r="U413" i="2" s="1"/>
  <c r="T413" i="2"/>
  <c r="R413" i="2"/>
  <c r="K413" i="2"/>
  <c r="E413" i="2"/>
  <c r="D413" i="2"/>
  <c r="V412" i="2"/>
  <c r="U412" i="2" a="1"/>
  <c r="U412" i="2"/>
  <c r="T412" i="2"/>
  <c r="R412" i="2"/>
  <c r="E412" i="2"/>
  <c r="F412" i="2" s="1"/>
  <c r="D412" i="2"/>
  <c r="V411" i="2"/>
  <c r="U411" i="2" a="1"/>
  <c r="U411" i="2" s="1"/>
  <c r="T411" i="2"/>
  <c r="R411" i="2"/>
  <c r="G411" i="2"/>
  <c r="F411" i="2"/>
  <c r="E411" i="2"/>
  <c r="D411" i="2"/>
  <c r="V410" i="2"/>
  <c r="U410" i="2" a="1"/>
  <c r="U410" i="2" s="1"/>
  <c r="T410" i="2"/>
  <c r="R410" i="2"/>
  <c r="K410" i="2"/>
  <c r="J410" i="2"/>
  <c r="I410" i="2"/>
  <c r="H410" i="2"/>
  <c r="F410" i="2"/>
  <c r="D410" i="2"/>
  <c r="G410" i="2" s="1"/>
  <c r="V409" i="2"/>
  <c r="U409" i="2" a="1"/>
  <c r="U409" i="2"/>
  <c r="T409" i="2"/>
  <c r="R409" i="2"/>
  <c r="K409" i="2"/>
  <c r="H409" i="2"/>
  <c r="G409" i="2"/>
  <c r="D409" i="2"/>
  <c r="V408" i="2"/>
  <c r="U408" i="2" a="1"/>
  <c r="U408" i="2"/>
  <c r="T408" i="2"/>
  <c r="R408" i="2"/>
  <c r="D408" i="2"/>
  <c r="V407" i="2"/>
  <c r="U407" i="2" a="1"/>
  <c r="U407" i="2"/>
  <c r="T407" i="2"/>
  <c r="R407" i="2"/>
  <c r="K407" i="2"/>
  <c r="G407" i="2"/>
  <c r="H407" i="2" s="1"/>
  <c r="F407" i="2"/>
  <c r="E407" i="2"/>
  <c r="D407" i="2"/>
  <c r="V406" i="2"/>
  <c r="U406" i="2" a="1"/>
  <c r="U406" i="2"/>
  <c r="T406" i="2"/>
  <c r="R406" i="2"/>
  <c r="D406" i="2"/>
  <c r="V405" i="2"/>
  <c r="U405" i="2" a="1"/>
  <c r="U405" i="2" s="1"/>
  <c r="T405" i="2"/>
  <c r="R405" i="2"/>
  <c r="K405" i="2"/>
  <c r="J405" i="2"/>
  <c r="I405" i="2"/>
  <c r="H405" i="2"/>
  <c r="G405" i="2"/>
  <c r="F405" i="2"/>
  <c r="E405" i="2"/>
  <c r="D405" i="2"/>
  <c r="V404" i="2"/>
  <c r="U404" i="2" a="1"/>
  <c r="U404" i="2" s="1"/>
  <c r="T404" i="2"/>
  <c r="R404" i="2"/>
  <c r="K404" i="2"/>
  <c r="J404" i="2"/>
  <c r="I404" i="2"/>
  <c r="H404" i="2"/>
  <c r="G404" i="2"/>
  <c r="F404" i="2"/>
  <c r="D404" i="2"/>
  <c r="E404" i="2" s="1"/>
  <c r="V403" i="2"/>
  <c r="U403" i="2" a="1"/>
  <c r="U403" i="2"/>
  <c r="T403" i="2"/>
  <c r="R403" i="2"/>
  <c r="K403" i="2"/>
  <c r="I403" i="2"/>
  <c r="G403" i="2"/>
  <c r="F403" i="2"/>
  <c r="D403" i="2"/>
  <c r="J403" i="2" s="1"/>
  <c r="V402" i="2"/>
  <c r="U402" i="2" a="1"/>
  <c r="U402" i="2" s="1"/>
  <c r="O10" i="5" s="1"/>
  <c r="T402" i="2"/>
  <c r="R402" i="2"/>
  <c r="D402" i="2"/>
  <c r="V401" i="2"/>
  <c r="U401" i="2" a="1"/>
  <c r="U401" i="2" s="1"/>
  <c r="T401" i="2"/>
  <c r="R401" i="2"/>
  <c r="J401" i="2"/>
  <c r="F401" i="2"/>
  <c r="E401" i="2"/>
  <c r="D401" i="2"/>
  <c r="V400" i="2"/>
  <c r="U400" i="2" a="1"/>
  <c r="U400" i="2"/>
  <c r="T400" i="2"/>
  <c r="R400" i="2"/>
  <c r="D400" i="2"/>
  <c r="V399" i="2"/>
  <c r="U399" i="2" a="1"/>
  <c r="U399" i="2"/>
  <c r="T399" i="2"/>
  <c r="R399" i="2"/>
  <c r="K399" i="2"/>
  <c r="J399" i="2"/>
  <c r="I399" i="2"/>
  <c r="H399" i="2"/>
  <c r="G399" i="2"/>
  <c r="F399" i="2"/>
  <c r="E399" i="2"/>
  <c r="D399" i="2"/>
  <c r="V398" i="2"/>
  <c r="U398" i="2" a="1"/>
  <c r="U398" i="2" s="1"/>
  <c r="T398" i="2"/>
  <c r="R398" i="2"/>
  <c r="K398" i="2"/>
  <c r="J398" i="2"/>
  <c r="I398" i="2"/>
  <c r="H398" i="2"/>
  <c r="F398" i="2"/>
  <c r="E398" i="2"/>
  <c r="D398" i="2"/>
  <c r="G398" i="2" s="1"/>
  <c r="V397" i="2"/>
  <c r="U397" i="2" a="1"/>
  <c r="U397" i="2"/>
  <c r="T397" i="2"/>
  <c r="R397" i="2"/>
  <c r="D397" i="2"/>
  <c r="V396" i="2"/>
  <c r="U396" i="2" a="1"/>
  <c r="U396" i="2" s="1"/>
  <c r="T396" i="2"/>
  <c r="R396" i="2"/>
  <c r="J396" i="2"/>
  <c r="I396" i="2"/>
  <c r="F396" i="2"/>
  <c r="E396" i="2"/>
  <c r="D396" i="2"/>
  <c r="V395" i="2"/>
  <c r="U395" i="2" a="1"/>
  <c r="U395" i="2" s="1"/>
  <c r="T395" i="2"/>
  <c r="R395" i="2"/>
  <c r="K395" i="2"/>
  <c r="J395" i="2"/>
  <c r="I395" i="2"/>
  <c r="G395" i="2"/>
  <c r="H395" i="2" s="1"/>
  <c r="F395" i="2"/>
  <c r="E395" i="2"/>
  <c r="D395" i="2"/>
  <c r="V394" i="2"/>
  <c r="U394" i="2" a="1"/>
  <c r="U394" i="2"/>
  <c r="T394" i="2"/>
  <c r="R394" i="2"/>
  <c r="I394" i="2"/>
  <c r="F394" i="2"/>
  <c r="E394" i="2"/>
  <c r="D394" i="2"/>
  <c r="K394" i="2" s="1"/>
  <c r="V393" i="2"/>
  <c r="U393" i="2" a="1"/>
  <c r="U393" i="2"/>
  <c r="T393" i="2"/>
  <c r="R393" i="2"/>
  <c r="K393" i="2"/>
  <c r="J393" i="2"/>
  <c r="I393" i="2"/>
  <c r="G393" i="2"/>
  <c r="E393" i="2"/>
  <c r="D393" i="2"/>
  <c r="V392" i="2"/>
  <c r="U392" i="2" a="1"/>
  <c r="U392" i="2"/>
  <c r="T392" i="2"/>
  <c r="R392" i="2"/>
  <c r="K392" i="2"/>
  <c r="J392" i="2"/>
  <c r="E392" i="2"/>
  <c r="D392" i="2"/>
  <c r="V391" i="2"/>
  <c r="U391" i="2" a="1"/>
  <c r="U391" i="2"/>
  <c r="T391" i="2"/>
  <c r="R391" i="2"/>
  <c r="D391" i="2"/>
  <c r="V390" i="2"/>
  <c r="U390" i="2" a="1"/>
  <c r="U390" i="2" s="1"/>
  <c r="T390" i="2"/>
  <c r="R390" i="2"/>
  <c r="D390" i="2"/>
  <c r="V389" i="2"/>
  <c r="U389" i="2" a="1"/>
  <c r="U389" i="2" s="1"/>
  <c r="T389" i="2"/>
  <c r="R389" i="2"/>
  <c r="D389" i="2"/>
  <c r="V388" i="2"/>
  <c r="U388" i="2" a="1"/>
  <c r="U388" i="2"/>
  <c r="T388" i="2"/>
  <c r="R388" i="2"/>
  <c r="K388" i="2"/>
  <c r="D388" i="2"/>
  <c r="V387" i="2"/>
  <c r="U387" i="2" a="1"/>
  <c r="U387" i="2"/>
  <c r="T387" i="2"/>
  <c r="R387" i="2"/>
  <c r="K387" i="2"/>
  <c r="D387" i="2"/>
  <c r="V386" i="2"/>
  <c r="U386" i="2" a="1"/>
  <c r="U386" i="2" s="1"/>
  <c r="T386" i="2"/>
  <c r="R386" i="2"/>
  <c r="G386" i="2"/>
  <c r="D386" i="2"/>
  <c r="V385" i="2"/>
  <c r="U385" i="2" a="1"/>
  <c r="U385" i="2"/>
  <c r="T385" i="2"/>
  <c r="R385" i="2"/>
  <c r="G385" i="2"/>
  <c r="H385" i="2" s="1"/>
  <c r="D385" i="2"/>
  <c r="V384" i="2"/>
  <c r="U384" i="2" a="1"/>
  <c r="U384" i="2"/>
  <c r="T384" i="2"/>
  <c r="R384" i="2"/>
  <c r="E384" i="2"/>
  <c r="D384" i="2"/>
  <c r="V383" i="2"/>
  <c r="U383" i="2" a="1"/>
  <c r="U383" i="2" s="1"/>
  <c r="T383" i="2"/>
  <c r="R383" i="2"/>
  <c r="K383" i="2"/>
  <c r="J383" i="2"/>
  <c r="I383" i="2"/>
  <c r="H383" i="2"/>
  <c r="G383" i="2"/>
  <c r="F383" i="2"/>
  <c r="E383" i="2"/>
  <c r="D383" i="2"/>
  <c r="V382" i="2"/>
  <c r="U382" i="2" a="1"/>
  <c r="U382" i="2" s="1"/>
  <c r="T382" i="2"/>
  <c r="R382" i="2"/>
  <c r="K382" i="2"/>
  <c r="J382" i="2"/>
  <c r="I382" i="2"/>
  <c r="G382" i="2"/>
  <c r="H382" i="2" s="1"/>
  <c r="F382" i="2"/>
  <c r="D382" i="2"/>
  <c r="E382" i="2" s="1"/>
  <c r="V381" i="2"/>
  <c r="U381" i="2" a="1"/>
  <c r="U381" i="2" s="1"/>
  <c r="T381" i="2"/>
  <c r="R381" i="2"/>
  <c r="K381" i="2"/>
  <c r="I381" i="2"/>
  <c r="G381" i="2"/>
  <c r="F381" i="2"/>
  <c r="D381" i="2"/>
  <c r="J381" i="2" s="1"/>
  <c r="V380" i="2"/>
  <c r="U380" i="2" a="1"/>
  <c r="U380" i="2"/>
  <c r="T380" i="2"/>
  <c r="R380" i="2"/>
  <c r="D380" i="2"/>
  <c r="V379" i="2"/>
  <c r="U379" i="2" a="1"/>
  <c r="U379" i="2" s="1"/>
  <c r="T379" i="2"/>
  <c r="R379" i="2"/>
  <c r="K379" i="2"/>
  <c r="J379" i="2"/>
  <c r="G379" i="2"/>
  <c r="F379" i="2"/>
  <c r="E379" i="2"/>
  <c r="D379" i="2"/>
  <c r="V378" i="2"/>
  <c r="U378" i="2" a="1"/>
  <c r="U378" i="2" s="1"/>
  <c r="T378" i="2"/>
  <c r="R378" i="2"/>
  <c r="D378" i="2"/>
  <c r="V377" i="2"/>
  <c r="U377" i="2" a="1"/>
  <c r="U377" i="2"/>
  <c r="T377" i="2"/>
  <c r="R377" i="2"/>
  <c r="K377" i="2"/>
  <c r="J377" i="2"/>
  <c r="I377" i="2"/>
  <c r="H377" i="2"/>
  <c r="G377" i="2"/>
  <c r="F377" i="2"/>
  <c r="E377" i="2"/>
  <c r="D377" i="2"/>
  <c r="V376" i="2"/>
  <c r="U376" i="2" a="1"/>
  <c r="U376" i="2" s="1"/>
  <c r="T376" i="2"/>
  <c r="R376" i="2"/>
  <c r="K376" i="2"/>
  <c r="J376" i="2"/>
  <c r="H376" i="2"/>
  <c r="I376" i="2" s="1"/>
  <c r="F376" i="2"/>
  <c r="E376" i="2"/>
  <c r="D376" i="2"/>
  <c r="G376" i="2" s="1"/>
  <c r="V375" i="2"/>
  <c r="U375" i="2" a="1"/>
  <c r="U375" i="2"/>
  <c r="T375" i="2"/>
  <c r="R375" i="2"/>
  <c r="K375" i="2"/>
  <c r="D375" i="2"/>
  <c r="V374" i="2"/>
  <c r="U374" i="2" a="1"/>
  <c r="U374" i="2" s="1"/>
  <c r="T374" i="2"/>
  <c r="R374" i="2"/>
  <c r="D374" i="2"/>
  <c r="V373" i="2"/>
  <c r="U373" i="2" a="1"/>
  <c r="U373" i="2" s="1"/>
  <c r="T373" i="2"/>
  <c r="R373" i="2"/>
  <c r="K373" i="2"/>
  <c r="J373" i="2"/>
  <c r="G373" i="2"/>
  <c r="H373" i="2" s="1"/>
  <c r="I373" i="2" s="1"/>
  <c r="F373" i="2"/>
  <c r="E373" i="2"/>
  <c r="D373" i="2"/>
  <c r="V372" i="2"/>
  <c r="U372" i="2" a="1"/>
  <c r="U372" i="2"/>
  <c r="T372" i="2"/>
  <c r="R372" i="2"/>
  <c r="D372" i="2"/>
  <c r="V371" i="2"/>
  <c r="U371" i="2" a="1"/>
  <c r="U371" i="2" s="1"/>
  <c r="T371" i="2"/>
  <c r="R371" i="2"/>
  <c r="K371" i="2"/>
  <c r="J371" i="2"/>
  <c r="D371" i="2"/>
  <c r="V370" i="2"/>
  <c r="U370" i="2" a="1"/>
  <c r="U370" i="2"/>
  <c r="T370" i="2"/>
  <c r="R370" i="2"/>
  <c r="J370" i="2"/>
  <c r="D370" i="2"/>
  <c r="V369" i="2"/>
  <c r="U369" i="2" a="1"/>
  <c r="U369" i="2"/>
  <c r="T369" i="2"/>
  <c r="R369" i="2"/>
  <c r="K369" i="2"/>
  <c r="E369" i="2"/>
  <c r="D369" i="2"/>
  <c r="V368" i="2"/>
  <c r="U368" i="2" a="1"/>
  <c r="U368" i="2"/>
  <c r="T368" i="2"/>
  <c r="R368" i="2"/>
  <c r="J368" i="2"/>
  <c r="F368" i="2"/>
  <c r="E368" i="2"/>
  <c r="D368" i="2"/>
  <c r="K368" i="2" s="1"/>
  <c r="V367" i="2"/>
  <c r="U367" i="2" a="1"/>
  <c r="U367" i="2" s="1"/>
  <c r="T367" i="2"/>
  <c r="R367" i="2"/>
  <c r="J367" i="2"/>
  <c r="F367" i="2"/>
  <c r="E367" i="2"/>
  <c r="D367" i="2"/>
  <c r="K367" i="2" s="1"/>
  <c r="V366" i="2"/>
  <c r="U366" i="2" a="1"/>
  <c r="U366" i="2"/>
  <c r="T366" i="2"/>
  <c r="R366" i="2"/>
  <c r="J366" i="2"/>
  <c r="D366" i="2"/>
  <c r="V365" i="2"/>
  <c r="U365" i="2" a="1"/>
  <c r="U365" i="2"/>
  <c r="T365" i="2"/>
  <c r="R365" i="2"/>
  <c r="D365" i="2"/>
  <c r="V364" i="2"/>
  <c r="U364" i="2" a="1"/>
  <c r="U364" i="2"/>
  <c r="T364" i="2"/>
  <c r="R364" i="2"/>
  <c r="J364" i="2"/>
  <c r="E364" i="2"/>
  <c r="G364" i="2" s="1"/>
  <c r="D364" i="2"/>
  <c r="V363" i="2"/>
  <c r="U363" i="2" a="1"/>
  <c r="U363" i="2"/>
  <c r="T363" i="2"/>
  <c r="R363" i="2"/>
  <c r="E363" i="2"/>
  <c r="D363" i="2"/>
  <c r="V362" i="2"/>
  <c r="U362" i="2" a="1"/>
  <c r="U362" i="2"/>
  <c r="T362" i="2"/>
  <c r="R362" i="2"/>
  <c r="D362" i="2"/>
  <c r="V361" i="2"/>
  <c r="U361" i="2" a="1"/>
  <c r="U361" i="2" s="1"/>
  <c r="T361" i="2"/>
  <c r="R361" i="2"/>
  <c r="K361" i="2"/>
  <c r="J361" i="2"/>
  <c r="H361" i="2"/>
  <c r="I361" i="2" s="1"/>
  <c r="G361" i="2"/>
  <c r="E361" i="2"/>
  <c r="F361" i="2" s="1"/>
  <c r="D361" i="2"/>
  <c r="V360" i="2"/>
  <c r="U360" i="2" a="1"/>
  <c r="U360" i="2" s="1"/>
  <c r="T360" i="2"/>
  <c r="R360" i="2"/>
  <c r="J360" i="2"/>
  <c r="E360" i="2"/>
  <c r="G360" i="2" s="1"/>
  <c r="D360" i="2"/>
  <c r="V359" i="2"/>
  <c r="U359" i="2" a="1"/>
  <c r="U359" i="2" s="1"/>
  <c r="T359" i="2"/>
  <c r="R359" i="2"/>
  <c r="D359" i="2"/>
  <c r="V358" i="2"/>
  <c r="U358" i="2" a="1"/>
  <c r="U358" i="2"/>
  <c r="T358" i="2"/>
  <c r="R358" i="2"/>
  <c r="K358" i="2"/>
  <c r="J358" i="2"/>
  <c r="G358" i="2"/>
  <c r="H358" i="2" s="1"/>
  <c r="E358" i="2"/>
  <c r="F358" i="2" s="1"/>
  <c r="D358" i="2"/>
  <c r="V357" i="2"/>
  <c r="U357" i="2" a="1"/>
  <c r="U357" i="2" s="1"/>
  <c r="T357" i="2"/>
  <c r="R357" i="2"/>
  <c r="J357" i="2"/>
  <c r="E357" i="2"/>
  <c r="D357" i="2"/>
  <c r="I357" i="2" s="1"/>
  <c r="V356" i="2"/>
  <c r="U356" i="2" a="1"/>
  <c r="U356" i="2"/>
  <c r="T356" i="2"/>
  <c r="R356" i="2"/>
  <c r="J356" i="2"/>
  <c r="I356" i="2"/>
  <c r="G356" i="2"/>
  <c r="H356" i="2" s="1"/>
  <c r="D356" i="2"/>
  <c r="E356" i="2" s="1"/>
  <c r="V355" i="2"/>
  <c r="U355" i="2" a="1"/>
  <c r="U355" i="2" s="1"/>
  <c r="T355" i="2"/>
  <c r="R355" i="2"/>
  <c r="K355" i="2"/>
  <c r="D355" i="2"/>
  <c r="V354" i="2"/>
  <c r="U354" i="2" a="1"/>
  <c r="U354" i="2" s="1"/>
  <c r="T354" i="2"/>
  <c r="R354" i="2"/>
  <c r="K354" i="2"/>
  <c r="J354" i="2"/>
  <c r="I354" i="2"/>
  <c r="E354" i="2"/>
  <c r="F354" i="2" s="1"/>
  <c r="D354" i="2"/>
  <c r="G354" i="2" s="1"/>
  <c r="H354" i="2" s="1"/>
  <c r="V353" i="2"/>
  <c r="U353" i="2" a="1"/>
  <c r="U353" i="2"/>
  <c r="T353" i="2"/>
  <c r="R353" i="2"/>
  <c r="K353" i="2"/>
  <c r="J353" i="2"/>
  <c r="I353" i="2"/>
  <c r="G353" i="2"/>
  <c r="H353" i="2" s="1"/>
  <c r="F353" i="2"/>
  <c r="E353" i="2"/>
  <c r="D353" i="2"/>
  <c r="V352" i="2"/>
  <c r="U352" i="2" a="1"/>
  <c r="U352" i="2" s="1"/>
  <c r="T352" i="2"/>
  <c r="R352" i="2"/>
  <c r="D352" i="2"/>
  <c r="V351" i="2"/>
  <c r="U351" i="2" a="1"/>
  <c r="U351" i="2"/>
  <c r="T351" i="2"/>
  <c r="R351" i="2"/>
  <c r="K351" i="2"/>
  <c r="J351" i="2"/>
  <c r="I351" i="2"/>
  <c r="H351" i="2"/>
  <c r="G351" i="2"/>
  <c r="E351" i="2"/>
  <c r="F351" i="2" s="1"/>
  <c r="D351" i="2"/>
  <c r="V350" i="2"/>
  <c r="U350" i="2" a="1"/>
  <c r="U350" i="2"/>
  <c r="T350" i="2"/>
  <c r="R350" i="2"/>
  <c r="D350" i="2"/>
  <c r="V349" i="2"/>
  <c r="U349" i="2" a="1"/>
  <c r="U349" i="2" s="1"/>
  <c r="T349" i="2"/>
  <c r="R349" i="2"/>
  <c r="D349" i="2"/>
  <c r="V348" i="2"/>
  <c r="U348" i="2" a="1"/>
  <c r="U348" i="2" s="1"/>
  <c r="T348" i="2"/>
  <c r="R348" i="2"/>
  <c r="D348" i="2"/>
  <c r="V347" i="2"/>
  <c r="U347" i="2" a="1"/>
  <c r="U347" i="2" s="1"/>
  <c r="T347" i="2"/>
  <c r="R347" i="2"/>
  <c r="K347" i="2"/>
  <c r="D347" i="2"/>
  <c r="V346" i="2"/>
  <c r="U346" i="2" a="1"/>
  <c r="U346" i="2" s="1"/>
  <c r="T346" i="2"/>
  <c r="R346" i="2"/>
  <c r="D346" i="2"/>
  <c r="K346" i="2" s="1"/>
  <c r="V345" i="2"/>
  <c r="U345" i="2" a="1"/>
  <c r="U345" i="2" s="1"/>
  <c r="T345" i="2"/>
  <c r="R345" i="2"/>
  <c r="J345" i="2"/>
  <c r="D345" i="2"/>
  <c r="K345" i="2" s="1"/>
  <c r="V344" i="2"/>
  <c r="U344" i="2" a="1"/>
  <c r="U344" i="2"/>
  <c r="T344" i="2"/>
  <c r="R344" i="2"/>
  <c r="J344" i="2"/>
  <c r="D344" i="2"/>
  <c r="V343" i="2"/>
  <c r="U343" i="2" a="1"/>
  <c r="U343" i="2"/>
  <c r="T343" i="2"/>
  <c r="R343" i="2"/>
  <c r="K343" i="2"/>
  <c r="J343" i="2"/>
  <c r="F343" i="2"/>
  <c r="E343" i="2"/>
  <c r="D343" i="2"/>
  <c r="V342" i="2"/>
  <c r="U342" i="2" a="1"/>
  <c r="U342" i="2" s="1"/>
  <c r="T342" i="2"/>
  <c r="R342" i="2"/>
  <c r="D342" i="2"/>
  <c r="V341" i="2"/>
  <c r="U341" i="2" a="1"/>
  <c r="U341" i="2"/>
  <c r="T341" i="2"/>
  <c r="R341" i="2"/>
  <c r="D341" i="2"/>
  <c r="V340" i="2"/>
  <c r="U340" i="2" a="1"/>
  <c r="U340" i="2"/>
  <c r="T340" i="2"/>
  <c r="R340" i="2"/>
  <c r="D340" i="2"/>
  <c r="V339" i="2"/>
  <c r="U339" i="2" a="1"/>
  <c r="U339" i="2"/>
  <c r="T339" i="2"/>
  <c r="R339" i="2"/>
  <c r="K339" i="2"/>
  <c r="J339" i="2"/>
  <c r="G339" i="2"/>
  <c r="H339" i="2" s="1"/>
  <c r="I339" i="2" s="1"/>
  <c r="E339" i="2"/>
  <c r="F339" i="2" s="1"/>
  <c r="D339" i="2"/>
  <c r="V338" i="2"/>
  <c r="U338" i="2" a="1"/>
  <c r="U338" i="2" s="1"/>
  <c r="T338" i="2"/>
  <c r="R338" i="2"/>
  <c r="J338" i="2"/>
  <c r="D338" i="2"/>
  <c r="V337" i="2"/>
  <c r="U337" i="2" a="1"/>
  <c r="U337" i="2"/>
  <c r="T337" i="2"/>
  <c r="R337" i="2"/>
  <c r="K337" i="2"/>
  <c r="D337" i="2"/>
  <c r="V336" i="2"/>
  <c r="U336" i="2" a="1"/>
  <c r="U336" i="2" s="1"/>
  <c r="T336" i="2"/>
  <c r="R336" i="2"/>
  <c r="E336" i="2"/>
  <c r="D336" i="2"/>
  <c r="V335" i="2"/>
  <c r="U335" i="2" a="1"/>
  <c r="U335" i="2" s="1"/>
  <c r="T335" i="2"/>
  <c r="R335" i="2"/>
  <c r="D335" i="2"/>
  <c r="V334" i="2"/>
  <c r="U334" i="2" a="1"/>
  <c r="U334" i="2" s="1"/>
  <c r="T334" i="2"/>
  <c r="R334" i="2"/>
  <c r="K334" i="2"/>
  <c r="H334" i="2"/>
  <c r="I334" i="2" s="1"/>
  <c r="G334" i="2"/>
  <c r="F334" i="2"/>
  <c r="D334" i="2"/>
  <c r="E334" i="2" s="1"/>
  <c r="V333" i="2"/>
  <c r="U333" i="2" a="1"/>
  <c r="U333" i="2"/>
  <c r="T333" i="2"/>
  <c r="R333" i="2"/>
  <c r="K333" i="2"/>
  <c r="J333" i="2"/>
  <c r="G333" i="2"/>
  <c r="H333" i="2" s="1"/>
  <c r="E333" i="2"/>
  <c r="F333" i="2" s="1"/>
  <c r="D333" i="2"/>
  <c r="V332" i="2"/>
  <c r="U332" i="2" a="1"/>
  <c r="U332" i="2" s="1"/>
  <c r="T332" i="2"/>
  <c r="R332" i="2"/>
  <c r="K332" i="2"/>
  <c r="J332" i="2"/>
  <c r="E332" i="2"/>
  <c r="F332" i="2" s="1"/>
  <c r="D332" i="2"/>
  <c r="V331" i="2"/>
  <c r="U331" i="2" a="1"/>
  <c r="U331" i="2" s="1"/>
  <c r="T331" i="2"/>
  <c r="R331" i="2"/>
  <c r="E331" i="2"/>
  <c r="D331" i="2"/>
  <c r="V330" i="2"/>
  <c r="U330" i="2" a="1"/>
  <c r="U330" i="2"/>
  <c r="T330" i="2"/>
  <c r="R330" i="2"/>
  <c r="J330" i="2"/>
  <c r="E330" i="2"/>
  <c r="D330" i="2"/>
  <c r="V329" i="2"/>
  <c r="U329" i="2" a="1"/>
  <c r="U329" i="2" s="1"/>
  <c r="T329" i="2"/>
  <c r="R329" i="2"/>
  <c r="K329" i="2"/>
  <c r="J329" i="2"/>
  <c r="I329" i="2"/>
  <c r="G329" i="2"/>
  <c r="H329" i="2" s="1"/>
  <c r="F329" i="2"/>
  <c r="E329" i="2"/>
  <c r="D329" i="2"/>
  <c r="V328" i="2"/>
  <c r="U328" i="2" a="1"/>
  <c r="U328" i="2"/>
  <c r="T328" i="2"/>
  <c r="R328" i="2"/>
  <c r="K328" i="2"/>
  <c r="E328" i="2"/>
  <c r="G328" i="2" s="1"/>
  <c r="H328" i="2" s="1"/>
  <c r="I328" i="2" s="1"/>
  <c r="D328" i="2"/>
  <c r="J328" i="2" s="1"/>
  <c r="V327" i="2"/>
  <c r="U327" i="2" a="1"/>
  <c r="U327" i="2" s="1"/>
  <c r="T327" i="2"/>
  <c r="R327" i="2"/>
  <c r="J327" i="2"/>
  <c r="G327" i="2"/>
  <c r="E327" i="2"/>
  <c r="D327" i="2"/>
  <c r="V326" i="2"/>
  <c r="U326" i="2" a="1"/>
  <c r="U326" i="2"/>
  <c r="T326" i="2"/>
  <c r="R326" i="2"/>
  <c r="K326" i="2"/>
  <c r="I326" i="2"/>
  <c r="E326" i="2"/>
  <c r="F326" i="2" s="1"/>
  <c r="D326" i="2"/>
  <c r="J326" i="2" s="1"/>
  <c r="V325" i="2"/>
  <c r="U325" i="2" a="1"/>
  <c r="U325" i="2"/>
  <c r="T325" i="2"/>
  <c r="R325" i="2"/>
  <c r="I325" i="2"/>
  <c r="G325" i="2"/>
  <c r="H325" i="2" s="1"/>
  <c r="D325" i="2"/>
  <c r="J325" i="2" s="1"/>
  <c r="V324" i="2"/>
  <c r="U324" i="2" a="1"/>
  <c r="U324" i="2" s="1"/>
  <c r="T324" i="2"/>
  <c r="R324" i="2"/>
  <c r="D324" i="2"/>
  <c r="V323" i="2"/>
  <c r="U323" i="2" a="1"/>
  <c r="U323" i="2" s="1"/>
  <c r="T323" i="2"/>
  <c r="R323" i="2"/>
  <c r="K323" i="2"/>
  <c r="J323" i="2"/>
  <c r="I323" i="2"/>
  <c r="E323" i="2"/>
  <c r="D323" i="2"/>
  <c r="V322" i="2"/>
  <c r="U322" i="2" a="1"/>
  <c r="U322" i="2" s="1"/>
  <c r="T322" i="2"/>
  <c r="R322" i="2"/>
  <c r="K322" i="2"/>
  <c r="I322" i="2"/>
  <c r="G322" i="2"/>
  <c r="F322" i="2"/>
  <c r="D322" i="2"/>
  <c r="E322" i="2" s="1"/>
  <c r="V321" i="2"/>
  <c r="U321" i="2" a="1"/>
  <c r="U321" i="2" s="1"/>
  <c r="T321" i="2"/>
  <c r="R321" i="2"/>
  <c r="D321" i="2"/>
  <c r="V320" i="2"/>
  <c r="U320" i="2" a="1"/>
  <c r="U320" i="2"/>
  <c r="T320" i="2"/>
  <c r="R320" i="2"/>
  <c r="D320" i="2"/>
  <c r="V319" i="2"/>
  <c r="U319" i="2" a="1"/>
  <c r="U319" i="2" s="1"/>
  <c r="T319" i="2"/>
  <c r="R319" i="2"/>
  <c r="D319" i="2"/>
  <c r="V318" i="2"/>
  <c r="U318" i="2" a="1"/>
  <c r="U318" i="2" s="1"/>
  <c r="T318" i="2"/>
  <c r="R318" i="2"/>
  <c r="K318" i="2"/>
  <c r="I318" i="2"/>
  <c r="G318" i="2"/>
  <c r="H318" i="2" s="1"/>
  <c r="F318" i="2"/>
  <c r="D318" i="2"/>
  <c r="E318" i="2" s="1"/>
  <c r="V317" i="2"/>
  <c r="U317" i="2" a="1"/>
  <c r="U317" i="2" s="1"/>
  <c r="T317" i="2"/>
  <c r="R317" i="2"/>
  <c r="K317" i="2"/>
  <c r="J317" i="2"/>
  <c r="I317" i="2"/>
  <c r="H317" i="2"/>
  <c r="G317" i="2"/>
  <c r="F317" i="2"/>
  <c r="E317" i="2"/>
  <c r="D317" i="2"/>
  <c r="V316" i="2"/>
  <c r="U316" i="2" a="1"/>
  <c r="U316" i="2" s="1"/>
  <c r="T316" i="2"/>
  <c r="R316" i="2"/>
  <c r="K316" i="2"/>
  <c r="J316" i="2"/>
  <c r="F316" i="2"/>
  <c r="E316" i="2"/>
  <c r="D316" i="2"/>
  <c r="I316" i="2" s="1"/>
  <c r="V315" i="2"/>
  <c r="U315" i="2" a="1"/>
  <c r="U315" i="2" s="1"/>
  <c r="T315" i="2"/>
  <c r="R315" i="2"/>
  <c r="K315" i="2"/>
  <c r="J315" i="2"/>
  <c r="I315" i="2"/>
  <c r="G315" i="2"/>
  <c r="F315" i="2"/>
  <c r="E315" i="2"/>
  <c r="D315" i="2"/>
  <c r="V314" i="2"/>
  <c r="U314" i="2" a="1"/>
  <c r="U314" i="2"/>
  <c r="T314" i="2"/>
  <c r="R314" i="2"/>
  <c r="K314" i="2"/>
  <c r="I314" i="2"/>
  <c r="H314" i="2"/>
  <c r="G314" i="2"/>
  <c r="F314" i="2"/>
  <c r="E314" i="2"/>
  <c r="D314" i="2"/>
  <c r="J314" i="2" s="1"/>
  <c r="V313" i="2"/>
  <c r="U313" i="2" a="1"/>
  <c r="U313" i="2" s="1"/>
  <c r="T313" i="2"/>
  <c r="R313" i="2"/>
  <c r="J313" i="2"/>
  <c r="G313" i="2"/>
  <c r="D313" i="2"/>
  <c r="V312" i="2"/>
  <c r="U312" i="2" a="1"/>
  <c r="U312" i="2" s="1"/>
  <c r="T312" i="2"/>
  <c r="R312" i="2"/>
  <c r="J312" i="2"/>
  <c r="D312" i="2"/>
  <c r="V311" i="2"/>
  <c r="U311" i="2" a="1"/>
  <c r="U311" i="2" s="1"/>
  <c r="T311" i="2"/>
  <c r="R311" i="2"/>
  <c r="K311" i="2"/>
  <c r="J311" i="2"/>
  <c r="I311" i="2"/>
  <c r="D311" i="2"/>
  <c r="G311" i="2" s="1"/>
  <c r="H311" i="2" s="1"/>
  <c r="V310" i="2"/>
  <c r="U310" i="2" a="1"/>
  <c r="U310" i="2"/>
  <c r="T310" i="2"/>
  <c r="R310" i="2"/>
  <c r="D310" i="2"/>
  <c r="J310" i="2" s="1"/>
  <c r="V309" i="2"/>
  <c r="U309" i="2" a="1"/>
  <c r="U309" i="2"/>
  <c r="T309" i="2"/>
  <c r="R309" i="2"/>
  <c r="K309" i="2"/>
  <c r="D309" i="2"/>
  <c r="V308" i="2"/>
  <c r="U308" i="2" a="1"/>
  <c r="U308" i="2"/>
  <c r="T308" i="2"/>
  <c r="R308" i="2"/>
  <c r="J308" i="2"/>
  <c r="H308" i="2"/>
  <c r="G308" i="2"/>
  <c r="D308" i="2"/>
  <c r="V307" i="2"/>
  <c r="U307" i="2" a="1"/>
  <c r="U307" i="2" s="1"/>
  <c r="T307" i="2"/>
  <c r="R307" i="2"/>
  <c r="J307" i="2"/>
  <c r="G307" i="2"/>
  <c r="D307" i="2"/>
  <c r="K307" i="2" s="1"/>
  <c r="V306" i="2"/>
  <c r="U306" i="2" a="1"/>
  <c r="U306" i="2"/>
  <c r="T306" i="2"/>
  <c r="R306" i="2"/>
  <c r="K306" i="2"/>
  <c r="J306" i="2"/>
  <c r="I306" i="2"/>
  <c r="G306" i="2"/>
  <c r="H306" i="2" s="1"/>
  <c r="F306" i="2"/>
  <c r="E306" i="2"/>
  <c r="D306" i="2"/>
  <c r="V305" i="2"/>
  <c r="U305" i="2" a="1"/>
  <c r="U305" i="2"/>
  <c r="T305" i="2"/>
  <c r="R305" i="2"/>
  <c r="K305" i="2"/>
  <c r="J305" i="2"/>
  <c r="G305" i="2"/>
  <c r="H305" i="2" s="1"/>
  <c r="E305" i="2"/>
  <c r="F305" i="2" s="1"/>
  <c r="D305" i="2"/>
  <c r="I305" i="2" s="1"/>
  <c r="V304" i="2"/>
  <c r="U304" i="2" a="1"/>
  <c r="U304" i="2" s="1"/>
  <c r="T304" i="2"/>
  <c r="R304" i="2"/>
  <c r="K304" i="2"/>
  <c r="J304" i="2"/>
  <c r="I304" i="2"/>
  <c r="E304" i="2"/>
  <c r="D304" i="2"/>
  <c r="V303" i="2"/>
  <c r="U303" i="2" a="1"/>
  <c r="U303" i="2" s="1"/>
  <c r="T303" i="2"/>
  <c r="R303" i="2"/>
  <c r="K303" i="2"/>
  <c r="J303" i="2"/>
  <c r="I303" i="2"/>
  <c r="G303" i="2"/>
  <c r="H303" i="2" s="1"/>
  <c r="F303" i="2"/>
  <c r="E303" i="2"/>
  <c r="D303" i="2"/>
  <c r="V302" i="2"/>
  <c r="U302" i="2" a="1"/>
  <c r="U302" i="2" s="1"/>
  <c r="T302" i="2"/>
  <c r="R302" i="2"/>
  <c r="K302" i="2"/>
  <c r="I302" i="2"/>
  <c r="H302" i="2"/>
  <c r="G302" i="2"/>
  <c r="F302" i="2"/>
  <c r="E302" i="2"/>
  <c r="D302" i="2"/>
  <c r="J302" i="2" s="1"/>
  <c r="V301" i="2"/>
  <c r="U301" i="2" a="1"/>
  <c r="U301" i="2" s="1"/>
  <c r="T301" i="2"/>
  <c r="R301" i="2"/>
  <c r="K301" i="2"/>
  <c r="J301" i="2"/>
  <c r="G301" i="2"/>
  <c r="D301" i="2"/>
  <c r="V300" i="2"/>
  <c r="U300" i="2" a="1"/>
  <c r="U300" i="2" s="1"/>
  <c r="T300" i="2"/>
  <c r="R300" i="2"/>
  <c r="J300" i="2"/>
  <c r="I300" i="2"/>
  <c r="D300" i="2"/>
  <c r="V299" i="2"/>
  <c r="U299" i="2" a="1"/>
  <c r="U299" i="2" s="1"/>
  <c r="T299" i="2"/>
  <c r="R299" i="2"/>
  <c r="D299" i="2"/>
  <c r="V298" i="2"/>
  <c r="U298" i="2" a="1"/>
  <c r="U298" i="2"/>
  <c r="T298" i="2"/>
  <c r="R298" i="2"/>
  <c r="J298" i="2"/>
  <c r="E298" i="2"/>
  <c r="F298" i="2" s="1"/>
  <c r="D298" i="2"/>
  <c r="K298" i="2" s="1"/>
  <c r="V297" i="2"/>
  <c r="U297" i="2" a="1"/>
  <c r="U297" i="2"/>
  <c r="T297" i="2"/>
  <c r="R297" i="2"/>
  <c r="D297" i="2"/>
  <c r="V296" i="2"/>
  <c r="U296" i="2" a="1"/>
  <c r="U296" i="2"/>
  <c r="T296" i="2"/>
  <c r="R296" i="2"/>
  <c r="D296" i="2"/>
  <c r="V295" i="2"/>
  <c r="U295" i="2" a="1"/>
  <c r="U295" i="2"/>
  <c r="T295" i="2"/>
  <c r="R295" i="2"/>
  <c r="K295" i="2"/>
  <c r="I295" i="2"/>
  <c r="E295" i="2"/>
  <c r="F295" i="2" s="1"/>
  <c r="D295" i="2"/>
  <c r="J295" i="2" s="1"/>
  <c r="V294" i="2"/>
  <c r="U294" i="2" a="1"/>
  <c r="U294" i="2"/>
  <c r="T294" i="2"/>
  <c r="R294" i="2"/>
  <c r="K294" i="2"/>
  <c r="J294" i="2"/>
  <c r="I294" i="2"/>
  <c r="G294" i="2"/>
  <c r="H294" i="2" s="1"/>
  <c r="E294" i="2"/>
  <c r="F294" i="2" s="1"/>
  <c r="D294" i="2"/>
  <c r="V293" i="2"/>
  <c r="U293" i="2" a="1"/>
  <c r="U293" i="2" s="1"/>
  <c r="T293" i="2"/>
  <c r="R293" i="2"/>
  <c r="D293" i="2"/>
  <c r="E293" i="2" s="1"/>
  <c r="V292" i="2"/>
  <c r="U292" i="2" a="1"/>
  <c r="U292" i="2"/>
  <c r="T292" i="2"/>
  <c r="R292" i="2"/>
  <c r="G292" i="2"/>
  <c r="D292" i="2"/>
  <c r="V291" i="2"/>
  <c r="U291" i="2" a="1"/>
  <c r="U291" i="2"/>
  <c r="T291" i="2"/>
  <c r="R291" i="2"/>
  <c r="K291" i="2"/>
  <c r="I291" i="2"/>
  <c r="G291" i="2"/>
  <c r="D291" i="2"/>
  <c r="V290" i="2"/>
  <c r="U290" i="2" a="1"/>
  <c r="U290" i="2" s="1"/>
  <c r="T290" i="2"/>
  <c r="R290" i="2"/>
  <c r="D290" i="2"/>
  <c r="V289" i="2"/>
  <c r="U289" i="2" a="1"/>
  <c r="U289" i="2" s="1"/>
  <c r="T289" i="2"/>
  <c r="R289" i="2"/>
  <c r="K289" i="2"/>
  <c r="I289" i="2"/>
  <c r="G289" i="2"/>
  <c r="H289" i="2" s="1"/>
  <c r="F289" i="2"/>
  <c r="D289" i="2"/>
  <c r="E289" i="2" s="1"/>
  <c r="V288" i="2"/>
  <c r="U288" i="2" a="1"/>
  <c r="U288" i="2" s="1"/>
  <c r="T288" i="2"/>
  <c r="R288" i="2"/>
  <c r="D288" i="2"/>
  <c r="V287" i="2"/>
  <c r="U287" i="2" a="1"/>
  <c r="U287" i="2" s="1"/>
  <c r="T287" i="2"/>
  <c r="R287" i="2"/>
  <c r="K287" i="2"/>
  <c r="J287" i="2"/>
  <c r="F287" i="2"/>
  <c r="E287" i="2"/>
  <c r="D287" i="2"/>
  <c r="I287" i="2" s="1"/>
  <c r="V286" i="2"/>
  <c r="U286" i="2" a="1"/>
  <c r="U286" i="2" s="1"/>
  <c r="T286" i="2"/>
  <c r="R286" i="2"/>
  <c r="G286" i="2"/>
  <c r="D286" i="2"/>
  <c r="V285" i="2"/>
  <c r="U285" i="2" a="1"/>
  <c r="U285" i="2"/>
  <c r="T285" i="2"/>
  <c r="R285" i="2"/>
  <c r="J285" i="2"/>
  <c r="G285" i="2"/>
  <c r="D285" i="2"/>
  <c r="K285" i="2" s="1"/>
  <c r="V284" i="2"/>
  <c r="U284" i="2" a="1"/>
  <c r="U284" i="2"/>
  <c r="T284" i="2"/>
  <c r="R284" i="2"/>
  <c r="K284" i="2"/>
  <c r="J284" i="2"/>
  <c r="I284" i="2"/>
  <c r="H284" i="2"/>
  <c r="G284" i="2"/>
  <c r="F284" i="2"/>
  <c r="E284" i="2"/>
  <c r="D284" i="2"/>
  <c r="V283" i="2"/>
  <c r="U283" i="2" a="1"/>
  <c r="U283" i="2"/>
  <c r="T283" i="2"/>
  <c r="R283" i="2"/>
  <c r="K283" i="2"/>
  <c r="J283" i="2"/>
  <c r="G283" i="2"/>
  <c r="H283" i="2" s="1"/>
  <c r="E283" i="2"/>
  <c r="F283" i="2" s="1"/>
  <c r="D283" i="2"/>
  <c r="I283" i="2" s="1"/>
  <c r="V282" i="2"/>
  <c r="U282" i="2" a="1"/>
  <c r="U282" i="2" s="1"/>
  <c r="T282" i="2"/>
  <c r="R282" i="2"/>
  <c r="K282" i="2"/>
  <c r="J282" i="2"/>
  <c r="I282" i="2"/>
  <c r="E282" i="2"/>
  <c r="D282" i="2"/>
  <c r="V281" i="2"/>
  <c r="U281" i="2" a="1"/>
  <c r="U281" i="2" s="1"/>
  <c r="T281" i="2"/>
  <c r="R281" i="2"/>
  <c r="K281" i="2"/>
  <c r="J281" i="2"/>
  <c r="I281" i="2"/>
  <c r="G281" i="2"/>
  <c r="H281" i="2" s="1"/>
  <c r="F281" i="2"/>
  <c r="E281" i="2"/>
  <c r="D281" i="2"/>
  <c r="V280" i="2"/>
  <c r="U280" i="2" a="1"/>
  <c r="U280" i="2" s="1"/>
  <c r="T280" i="2"/>
  <c r="R280" i="2"/>
  <c r="K280" i="2"/>
  <c r="I280" i="2"/>
  <c r="H280" i="2"/>
  <c r="G280" i="2"/>
  <c r="F280" i="2"/>
  <c r="E280" i="2"/>
  <c r="D280" i="2"/>
  <c r="J280" i="2" s="1"/>
  <c r="V279" i="2"/>
  <c r="U279" i="2" a="1"/>
  <c r="U279" i="2" s="1"/>
  <c r="T279" i="2"/>
  <c r="R279" i="2"/>
  <c r="D279" i="2"/>
  <c r="V278" i="2"/>
  <c r="U278" i="2" a="1"/>
  <c r="U278" i="2" s="1"/>
  <c r="T278" i="2"/>
  <c r="R278" i="2"/>
  <c r="J278" i="2"/>
  <c r="I278" i="2"/>
  <c r="D278" i="2"/>
  <c r="V277" i="2"/>
  <c r="U277" i="2" a="1"/>
  <c r="U277" i="2"/>
  <c r="T277" i="2"/>
  <c r="R277" i="2"/>
  <c r="K277" i="2"/>
  <c r="J277" i="2"/>
  <c r="D277" i="2"/>
  <c r="V276" i="2"/>
  <c r="U276" i="2" a="1"/>
  <c r="U276" i="2"/>
  <c r="T276" i="2"/>
  <c r="R276" i="2"/>
  <c r="D276" i="2"/>
  <c r="V275" i="2"/>
  <c r="U275" i="2" a="1"/>
  <c r="U275" i="2"/>
  <c r="T275" i="2"/>
  <c r="R275" i="2"/>
  <c r="D275" i="2"/>
  <c r="V274" i="2"/>
  <c r="U274" i="2" a="1"/>
  <c r="U274" i="2"/>
  <c r="T274" i="2"/>
  <c r="R274" i="2"/>
  <c r="J274" i="2"/>
  <c r="I274" i="2"/>
  <c r="D274" i="2"/>
  <c r="V273" i="2"/>
  <c r="U273" i="2" a="1"/>
  <c r="U273" i="2"/>
  <c r="T273" i="2"/>
  <c r="R273" i="2"/>
  <c r="K273" i="2"/>
  <c r="I273" i="2"/>
  <c r="E273" i="2"/>
  <c r="F273" i="2" s="1"/>
  <c r="D273" i="2"/>
  <c r="J273" i="2" s="1"/>
  <c r="V272" i="2"/>
  <c r="U272" i="2" a="1"/>
  <c r="U272" i="2"/>
  <c r="T272" i="2"/>
  <c r="R272" i="2"/>
  <c r="K272" i="2"/>
  <c r="J272" i="2"/>
  <c r="I272" i="2"/>
  <c r="G272" i="2"/>
  <c r="H272" i="2" s="1"/>
  <c r="E272" i="2"/>
  <c r="F272" i="2" s="1"/>
  <c r="D272" i="2"/>
  <c r="V271" i="2"/>
  <c r="U271" i="2" a="1"/>
  <c r="U271" i="2" s="1"/>
  <c r="T271" i="2"/>
  <c r="R271" i="2"/>
  <c r="G271" i="2"/>
  <c r="D271" i="2"/>
  <c r="V270" i="2"/>
  <c r="U270" i="2" a="1"/>
  <c r="U270" i="2"/>
  <c r="T270" i="2"/>
  <c r="R270" i="2"/>
  <c r="D270" i="2"/>
  <c r="V269" i="2"/>
  <c r="U269" i="2" a="1"/>
  <c r="U269" i="2"/>
  <c r="T269" i="2"/>
  <c r="R269" i="2"/>
  <c r="K269" i="2"/>
  <c r="I269" i="2"/>
  <c r="G269" i="2"/>
  <c r="H269" i="2" s="1"/>
  <c r="D269" i="2"/>
  <c r="V268" i="2"/>
  <c r="U268" i="2" a="1"/>
  <c r="U268" i="2" s="1"/>
  <c r="T268" i="2"/>
  <c r="R268" i="2"/>
  <c r="K268" i="2"/>
  <c r="H268" i="2"/>
  <c r="G268" i="2"/>
  <c r="D268" i="2"/>
  <c r="V267" i="2"/>
  <c r="U267" i="2" a="1"/>
  <c r="U267" i="2" s="1"/>
  <c r="T267" i="2"/>
  <c r="R267" i="2"/>
  <c r="K267" i="2"/>
  <c r="I267" i="2"/>
  <c r="H267" i="2"/>
  <c r="G267" i="2"/>
  <c r="D267" i="2"/>
  <c r="E267" i="2" s="1"/>
  <c r="F267" i="2" s="1"/>
  <c r="V266" i="2"/>
  <c r="U266" i="2" a="1"/>
  <c r="U266" i="2" s="1"/>
  <c r="T266" i="2"/>
  <c r="R266" i="2"/>
  <c r="K266" i="2"/>
  <c r="D266" i="2"/>
  <c r="V265" i="2"/>
  <c r="U265" i="2" a="1"/>
  <c r="U265" i="2" s="1"/>
  <c r="T265" i="2"/>
  <c r="R265" i="2"/>
  <c r="K265" i="2"/>
  <c r="J265" i="2"/>
  <c r="F265" i="2"/>
  <c r="E265" i="2"/>
  <c r="D265" i="2"/>
  <c r="I265" i="2" s="1"/>
  <c r="V264" i="2"/>
  <c r="U264" i="2" a="1"/>
  <c r="U264" i="2" s="1"/>
  <c r="T264" i="2"/>
  <c r="R264" i="2"/>
  <c r="J264" i="2"/>
  <c r="G264" i="2"/>
  <c r="H264" i="2" s="1"/>
  <c r="D264" i="2"/>
  <c r="V263" i="2"/>
  <c r="U263" i="2" a="1"/>
  <c r="U263" i="2"/>
  <c r="T263" i="2"/>
  <c r="R263" i="2"/>
  <c r="J263" i="2"/>
  <c r="G263" i="2"/>
  <c r="D263" i="2"/>
  <c r="K263" i="2" s="1"/>
  <c r="V262" i="2"/>
  <c r="U262" i="2" a="1"/>
  <c r="U262" i="2"/>
  <c r="T262" i="2"/>
  <c r="R262" i="2"/>
  <c r="K262" i="2"/>
  <c r="J262" i="2"/>
  <c r="I262" i="2"/>
  <c r="G262" i="2"/>
  <c r="H262" i="2" s="1"/>
  <c r="F262" i="2"/>
  <c r="E262" i="2"/>
  <c r="D262" i="2"/>
  <c r="V261" i="2"/>
  <c r="U261" i="2" a="1"/>
  <c r="U261" i="2"/>
  <c r="T261" i="2"/>
  <c r="R261" i="2"/>
  <c r="K261" i="2"/>
  <c r="J261" i="2"/>
  <c r="G261" i="2"/>
  <c r="H261" i="2" s="1"/>
  <c r="E261" i="2"/>
  <c r="F261" i="2" s="1"/>
  <c r="D261" i="2"/>
  <c r="I261" i="2" s="1"/>
  <c r="V260" i="2"/>
  <c r="U260" i="2" a="1"/>
  <c r="U260" i="2"/>
  <c r="T260" i="2"/>
  <c r="R260" i="2"/>
  <c r="K260" i="2"/>
  <c r="J260" i="2"/>
  <c r="I260" i="2"/>
  <c r="E260" i="2"/>
  <c r="D260" i="2"/>
  <c r="V259" i="2"/>
  <c r="U259" i="2" a="1"/>
  <c r="U259" i="2"/>
  <c r="T259" i="2"/>
  <c r="R259" i="2"/>
  <c r="K259" i="2"/>
  <c r="J259" i="2"/>
  <c r="I259" i="2"/>
  <c r="G259" i="2"/>
  <c r="H259" i="2" s="1"/>
  <c r="F259" i="2"/>
  <c r="E259" i="2"/>
  <c r="D259" i="2"/>
  <c r="V258" i="2"/>
  <c r="U258" i="2" a="1"/>
  <c r="U258" i="2"/>
  <c r="T258" i="2"/>
  <c r="R258" i="2"/>
  <c r="K258" i="2"/>
  <c r="I258" i="2"/>
  <c r="H258" i="2"/>
  <c r="G258" i="2"/>
  <c r="F258" i="2"/>
  <c r="E258" i="2"/>
  <c r="D258" i="2"/>
  <c r="J258" i="2" s="1"/>
  <c r="V257" i="2"/>
  <c r="U257" i="2" a="1"/>
  <c r="U257" i="2" s="1"/>
  <c r="T257" i="2"/>
  <c r="R257" i="2"/>
  <c r="J257" i="2"/>
  <c r="I257" i="2"/>
  <c r="D257" i="2"/>
  <c r="V256" i="2"/>
  <c r="U256" i="2" a="1"/>
  <c r="U256" i="2" s="1"/>
  <c r="T256" i="2"/>
  <c r="R256" i="2"/>
  <c r="D256" i="2"/>
  <c r="I256" i="2" s="1"/>
  <c r="V255" i="2"/>
  <c r="U255" i="2" a="1"/>
  <c r="U255" i="2"/>
  <c r="T255" i="2"/>
  <c r="R255" i="2"/>
  <c r="J255" i="2"/>
  <c r="I255" i="2"/>
  <c r="D255" i="2"/>
  <c r="V254" i="2"/>
  <c r="U254" i="2" a="1"/>
  <c r="U254" i="2"/>
  <c r="T254" i="2"/>
  <c r="R254" i="2"/>
  <c r="J254" i="2"/>
  <c r="D254" i="2"/>
  <c r="I254" i="2" s="1"/>
  <c r="V253" i="2"/>
  <c r="U253" i="2" a="1"/>
  <c r="U253" i="2"/>
  <c r="T253" i="2"/>
  <c r="R253" i="2"/>
  <c r="D253" i="2"/>
  <c r="V252" i="2"/>
  <c r="U252" i="2" a="1"/>
  <c r="U252" i="2" s="1"/>
  <c r="T252" i="2"/>
  <c r="R252" i="2"/>
  <c r="K252" i="2"/>
  <c r="J252" i="2"/>
  <c r="I252" i="2"/>
  <c r="H252" i="2"/>
  <c r="D252" i="2"/>
  <c r="G252" i="2" s="1"/>
  <c r="V251" i="2"/>
  <c r="U251" i="2" a="1"/>
  <c r="U251" i="2"/>
  <c r="T251" i="2"/>
  <c r="R251" i="2"/>
  <c r="K251" i="2"/>
  <c r="I251" i="2"/>
  <c r="E251" i="2"/>
  <c r="F251" i="2" s="1"/>
  <c r="D251" i="2"/>
  <c r="J251" i="2" s="1"/>
  <c r="V250" i="2"/>
  <c r="U250" i="2" a="1"/>
  <c r="U250" i="2"/>
  <c r="T250" i="2"/>
  <c r="R250" i="2"/>
  <c r="K250" i="2"/>
  <c r="J250" i="2"/>
  <c r="I250" i="2"/>
  <c r="G250" i="2"/>
  <c r="H250" i="2" s="1"/>
  <c r="E250" i="2"/>
  <c r="F250" i="2" s="1"/>
  <c r="D250" i="2"/>
  <c r="V249" i="2"/>
  <c r="U249" i="2" a="1"/>
  <c r="U249" i="2" s="1"/>
  <c r="T249" i="2"/>
  <c r="R249" i="2"/>
  <c r="E249" i="2"/>
  <c r="D249" i="2"/>
  <c r="V248" i="2"/>
  <c r="U248" i="2" a="1"/>
  <c r="U248" i="2"/>
  <c r="T248" i="2"/>
  <c r="R248" i="2"/>
  <c r="D248" i="2"/>
  <c r="K248" i="2" s="1"/>
  <c r="V247" i="2"/>
  <c r="U247" i="2" a="1"/>
  <c r="U247" i="2"/>
  <c r="T247" i="2"/>
  <c r="R247" i="2"/>
  <c r="J247" i="2"/>
  <c r="I247" i="2"/>
  <c r="G247" i="2"/>
  <c r="H247" i="2" s="1"/>
  <c r="D247" i="2"/>
  <c r="V246" i="2"/>
  <c r="U246" i="2" a="1"/>
  <c r="U246" i="2" s="1"/>
  <c r="T246" i="2"/>
  <c r="R246" i="2"/>
  <c r="D246" i="2"/>
  <c r="V245" i="2"/>
  <c r="U245" i="2" a="1"/>
  <c r="U245" i="2"/>
  <c r="T245" i="2"/>
  <c r="R245" i="2"/>
  <c r="K245" i="2"/>
  <c r="I245" i="2"/>
  <c r="G245" i="2"/>
  <c r="H245" i="2" s="1"/>
  <c r="D245" i="2"/>
  <c r="E245" i="2" s="1"/>
  <c r="F245" i="2" s="1"/>
  <c r="V244" i="2"/>
  <c r="U244" i="2" a="1"/>
  <c r="U244" i="2" s="1"/>
  <c r="T244" i="2"/>
  <c r="R244" i="2"/>
  <c r="D244" i="2"/>
  <c r="V243" i="2"/>
  <c r="U243" i="2" a="1"/>
  <c r="U243" i="2" s="1"/>
  <c r="T243" i="2"/>
  <c r="R243" i="2"/>
  <c r="K243" i="2"/>
  <c r="J243" i="2"/>
  <c r="F243" i="2"/>
  <c r="E243" i="2"/>
  <c r="D243" i="2"/>
  <c r="I243" i="2" s="1"/>
  <c r="V242" i="2"/>
  <c r="U242" i="2" a="1"/>
  <c r="U242" i="2" s="1"/>
  <c r="T242" i="2"/>
  <c r="R242" i="2"/>
  <c r="I242" i="2"/>
  <c r="D242" i="2"/>
  <c r="V241" i="2"/>
  <c r="U241" i="2" a="1"/>
  <c r="U241" i="2"/>
  <c r="T241" i="2"/>
  <c r="R241" i="2"/>
  <c r="D241" i="2"/>
  <c r="V240" i="2"/>
  <c r="U240" i="2" a="1"/>
  <c r="U240" i="2"/>
  <c r="T240" i="2"/>
  <c r="R240" i="2"/>
  <c r="K240" i="2"/>
  <c r="J240" i="2"/>
  <c r="I240" i="2"/>
  <c r="H240" i="2"/>
  <c r="G240" i="2"/>
  <c r="F240" i="2"/>
  <c r="E240" i="2"/>
  <c r="D240" i="2"/>
  <c r="V239" i="2"/>
  <c r="U239" i="2" a="1"/>
  <c r="U239" i="2"/>
  <c r="T239" i="2"/>
  <c r="R239" i="2"/>
  <c r="K239" i="2"/>
  <c r="J239" i="2"/>
  <c r="G239" i="2"/>
  <c r="H239" i="2" s="1"/>
  <c r="E239" i="2"/>
  <c r="D239" i="2"/>
  <c r="V238" i="2"/>
  <c r="U238" i="2" a="1"/>
  <c r="U238" i="2" s="1"/>
  <c r="T238" i="2"/>
  <c r="R238" i="2"/>
  <c r="K238" i="2"/>
  <c r="J238" i="2"/>
  <c r="I238" i="2"/>
  <c r="E238" i="2"/>
  <c r="D238" i="2"/>
  <c r="V237" i="2"/>
  <c r="U237" i="2" a="1"/>
  <c r="U237" i="2" s="1"/>
  <c r="T237" i="2"/>
  <c r="R237" i="2"/>
  <c r="K237" i="2"/>
  <c r="J237" i="2"/>
  <c r="I237" i="2"/>
  <c r="G237" i="2"/>
  <c r="H237" i="2" s="1"/>
  <c r="F237" i="2"/>
  <c r="E237" i="2"/>
  <c r="D237" i="2"/>
  <c r="V236" i="2"/>
  <c r="U236" i="2" a="1"/>
  <c r="U236" i="2" s="1"/>
  <c r="T236" i="2"/>
  <c r="R236" i="2"/>
  <c r="K236" i="2"/>
  <c r="I236" i="2"/>
  <c r="H236" i="2"/>
  <c r="G236" i="2"/>
  <c r="E236" i="2"/>
  <c r="F236" i="2" s="1"/>
  <c r="D236" i="2"/>
  <c r="J236" i="2" s="1"/>
  <c r="V235" i="2"/>
  <c r="U235" i="2" a="1"/>
  <c r="U235" i="2" s="1"/>
  <c r="T235" i="2"/>
  <c r="R235" i="2"/>
  <c r="I235" i="2"/>
  <c r="G235" i="2"/>
  <c r="D235" i="2"/>
  <c r="V234" i="2"/>
  <c r="U234" i="2" a="1"/>
  <c r="U234" i="2" s="1"/>
  <c r="T234" i="2"/>
  <c r="R234" i="2"/>
  <c r="J234" i="2"/>
  <c r="I234" i="2"/>
  <c r="D234" i="2"/>
  <c r="V233" i="2"/>
  <c r="U233" i="2" a="1"/>
  <c r="U233" i="2"/>
  <c r="T233" i="2"/>
  <c r="R233" i="2"/>
  <c r="D233" i="2"/>
  <c r="J233" i="2" s="1"/>
  <c r="V232" i="2"/>
  <c r="U232" i="2" a="1"/>
  <c r="U232" i="2"/>
  <c r="T232" i="2"/>
  <c r="R232" i="2"/>
  <c r="H232" i="2"/>
  <c r="G232" i="2"/>
  <c r="D232" i="2"/>
  <c r="I232" i="2" s="1"/>
  <c r="V231" i="2"/>
  <c r="U231" i="2" a="1"/>
  <c r="U231" i="2"/>
  <c r="T231" i="2"/>
  <c r="R231" i="2"/>
  <c r="D231" i="2"/>
  <c r="V230" i="2"/>
  <c r="U230" i="2" a="1"/>
  <c r="U230" i="2"/>
  <c r="T230" i="2"/>
  <c r="R230" i="2"/>
  <c r="K230" i="2"/>
  <c r="J230" i="2"/>
  <c r="I230" i="2"/>
  <c r="H230" i="2"/>
  <c r="F230" i="2"/>
  <c r="E230" i="2"/>
  <c r="D230" i="2"/>
  <c r="G230" i="2" s="1"/>
  <c r="V229" i="2"/>
  <c r="U229" i="2" a="1"/>
  <c r="U229" i="2"/>
  <c r="T229" i="2"/>
  <c r="R229" i="2"/>
  <c r="K229" i="2"/>
  <c r="I229" i="2"/>
  <c r="E229" i="2"/>
  <c r="F229" i="2" s="1"/>
  <c r="D229" i="2"/>
  <c r="J229" i="2" s="1"/>
  <c r="V228" i="2"/>
  <c r="U228" i="2" a="1"/>
  <c r="U228" i="2"/>
  <c r="T228" i="2"/>
  <c r="R228" i="2"/>
  <c r="K228" i="2"/>
  <c r="J228" i="2"/>
  <c r="I228" i="2"/>
  <c r="H228" i="2"/>
  <c r="G228" i="2"/>
  <c r="E228" i="2"/>
  <c r="F228" i="2" s="1"/>
  <c r="D228" i="2"/>
  <c r="V227" i="2"/>
  <c r="U227" i="2" a="1"/>
  <c r="U227" i="2" s="1"/>
  <c r="T227" i="2"/>
  <c r="R227" i="2"/>
  <c r="J227" i="2"/>
  <c r="D227" i="2"/>
  <c r="V226" i="2"/>
  <c r="U226" i="2" a="1"/>
  <c r="U226" i="2"/>
  <c r="T226" i="2"/>
  <c r="R226" i="2"/>
  <c r="D226" i="2"/>
  <c r="V225" i="2"/>
  <c r="U225" i="2" a="1"/>
  <c r="U225" i="2"/>
  <c r="T225" i="2"/>
  <c r="R225" i="2"/>
  <c r="K225" i="2"/>
  <c r="J225" i="2"/>
  <c r="I225" i="2"/>
  <c r="D225" i="2"/>
  <c r="V224" i="2"/>
  <c r="U224" i="2" a="1"/>
  <c r="U224" i="2" s="1"/>
  <c r="T224" i="2"/>
  <c r="R224" i="2"/>
  <c r="E224" i="2"/>
  <c r="D224" i="2"/>
  <c r="V223" i="2"/>
  <c r="U223" i="2" a="1"/>
  <c r="U223" i="2"/>
  <c r="T223" i="2"/>
  <c r="R223" i="2"/>
  <c r="K223" i="2"/>
  <c r="I223" i="2"/>
  <c r="H223" i="2"/>
  <c r="G223" i="2"/>
  <c r="D223" i="2"/>
  <c r="E223" i="2" s="1"/>
  <c r="F223" i="2" s="1"/>
  <c r="V222" i="2"/>
  <c r="U222" i="2" a="1"/>
  <c r="U222" i="2" s="1"/>
  <c r="T222" i="2"/>
  <c r="R222" i="2"/>
  <c r="E222" i="2"/>
  <c r="D222" i="2"/>
  <c r="V221" i="2"/>
  <c r="U221" i="2" a="1"/>
  <c r="U221" i="2" s="1"/>
  <c r="T221" i="2"/>
  <c r="R221" i="2"/>
  <c r="K221" i="2"/>
  <c r="J221" i="2"/>
  <c r="E221" i="2"/>
  <c r="F221" i="2" s="1"/>
  <c r="D221" i="2"/>
  <c r="I221" i="2" s="1"/>
  <c r="V220" i="2"/>
  <c r="U220" i="2" a="1"/>
  <c r="U220" i="2" s="1"/>
  <c r="T220" i="2"/>
  <c r="R220" i="2"/>
  <c r="J220" i="2"/>
  <c r="I220" i="2"/>
  <c r="H220" i="2"/>
  <c r="G220" i="2"/>
  <c r="D220" i="2"/>
  <c r="E220" i="2" s="1"/>
  <c r="V219" i="2"/>
  <c r="U219" i="2" a="1"/>
  <c r="U219" i="2" s="1"/>
  <c r="T219" i="2"/>
  <c r="R219" i="2"/>
  <c r="D219" i="2"/>
  <c r="J219" i="2" s="1"/>
  <c r="V218" i="2"/>
  <c r="U218" i="2" a="1"/>
  <c r="U218" i="2"/>
  <c r="T218" i="2"/>
  <c r="R218" i="2"/>
  <c r="K218" i="2"/>
  <c r="J218" i="2"/>
  <c r="I218" i="2"/>
  <c r="H218" i="2"/>
  <c r="G218" i="2"/>
  <c r="E218" i="2"/>
  <c r="F218" i="2" s="1"/>
  <c r="D218" i="2"/>
  <c r="V217" i="2"/>
  <c r="U217" i="2" a="1"/>
  <c r="U217" i="2"/>
  <c r="T217" i="2"/>
  <c r="R217" i="2"/>
  <c r="K217" i="2"/>
  <c r="J217" i="2"/>
  <c r="G217" i="2"/>
  <c r="H217" i="2" s="1"/>
  <c r="D217" i="2"/>
  <c r="I217" i="2" s="1"/>
  <c r="V216" i="2"/>
  <c r="U216" i="2" a="1"/>
  <c r="U216" i="2" s="1"/>
  <c r="T216" i="2"/>
  <c r="R216" i="2"/>
  <c r="D216" i="2"/>
  <c r="K216" i="2" s="1"/>
  <c r="V215" i="2"/>
  <c r="U215" i="2" a="1"/>
  <c r="U215" i="2" s="1"/>
  <c r="T215" i="2"/>
  <c r="R215" i="2"/>
  <c r="K215" i="2"/>
  <c r="J215" i="2"/>
  <c r="I215" i="2"/>
  <c r="H215" i="2"/>
  <c r="G215" i="2"/>
  <c r="E215" i="2"/>
  <c r="F215" i="2" s="1"/>
  <c r="D215" i="2"/>
  <c r="V214" i="2"/>
  <c r="U214" i="2" a="1"/>
  <c r="U214" i="2"/>
  <c r="T214" i="2"/>
  <c r="R214" i="2"/>
  <c r="K214" i="2"/>
  <c r="I214" i="2"/>
  <c r="H214" i="2"/>
  <c r="G214" i="2"/>
  <c r="F214" i="2"/>
  <c r="E214" i="2"/>
  <c r="D214" i="2"/>
  <c r="J214" i="2" s="1"/>
  <c r="V213" i="2"/>
  <c r="U213" i="2" a="1"/>
  <c r="U213" i="2" s="1"/>
  <c r="T213" i="2"/>
  <c r="R213" i="2"/>
  <c r="K213" i="2"/>
  <c r="J213" i="2"/>
  <c r="I213" i="2"/>
  <c r="G213" i="2"/>
  <c r="F213" i="2"/>
  <c r="E213" i="2"/>
  <c r="D213" i="2"/>
  <c r="V212" i="2"/>
  <c r="U212" i="2" a="1"/>
  <c r="U212" i="2" s="1"/>
  <c r="T212" i="2"/>
  <c r="R212" i="2"/>
  <c r="I212" i="2"/>
  <c r="G212" i="2"/>
  <c r="F212" i="2"/>
  <c r="E212" i="2"/>
  <c r="D212" i="2"/>
  <c r="V211" i="2"/>
  <c r="U211" i="2" a="1"/>
  <c r="U211" i="2" s="1"/>
  <c r="T211" i="2"/>
  <c r="R211" i="2"/>
  <c r="K211" i="2"/>
  <c r="D211" i="2"/>
  <c r="V210" i="2"/>
  <c r="U210" i="2" a="1"/>
  <c r="U210" i="2"/>
  <c r="T210" i="2"/>
  <c r="R210" i="2"/>
  <c r="G210" i="2"/>
  <c r="H210" i="2" s="1"/>
  <c r="D210" i="2"/>
  <c r="K210" i="2" s="1"/>
  <c r="V209" i="2"/>
  <c r="U209" i="2" a="1"/>
  <c r="U209" i="2"/>
  <c r="T209" i="2"/>
  <c r="R209" i="2"/>
  <c r="D209" i="2"/>
  <c r="V208" i="2"/>
  <c r="U208" i="2" a="1"/>
  <c r="U208" i="2"/>
  <c r="T208" i="2"/>
  <c r="R208" i="2"/>
  <c r="K208" i="2"/>
  <c r="I208" i="2"/>
  <c r="H208" i="2"/>
  <c r="F208" i="2"/>
  <c r="E208" i="2"/>
  <c r="D208" i="2"/>
  <c r="G208" i="2" s="1"/>
  <c r="V207" i="2"/>
  <c r="U207" i="2" a="1"/>
  <c r="U207" i="2" s="1"/>
  <c r="T207" i="2"/>
  <c r="R207" i="2"/>
  <c r="K207" i="2"/>
  <c r="I207" i="2"/>
  <c r="D207" i="2"/>
  <c r="V206" i="2"/>
  <c r="U206" i="2" a="1"/>
  <c r="U206" i="2"/>
  <c r="T206" i="2"/>
  <c r="R206" i="2"/>
  <c r="K206" i="2"/>
  <c r="J206" i="2"/>
  <c r="I206" i="2"/>
  <c r="G206" i="2"/>
  <c r="H206" i="2" s="1"/>
  <c r="F206" i="2"/>
  <c r="E206" i="2"/>
  <c r="D206" i="2"/>
  <c r="V205" i="2"/>
  <c r="U205" i="2" a="1"/>
  <c r="U205" i="2" s="1"/>
  <c r="T205" i="2"/>
  <c r="R205" i="2"/>
  <c r="J205" i="2"/>
  <c r="I205" i="2"/>
  <c r="G205" i="2"/>
  <c r="H205" i="2" s="1"/>
  <c r="E205" i="2"/>
  <c r="F205" i="2" s="1"/>
  <c r="D205" i="2"/>
  <c r="K205" i="2" s="1"/>
  <c r="V204" i="2"/>
  <c r="U204" i="2" a="1"/>
  <c r="U204" i="2"/>
  <c r="T204" i="2"/>
  <c r="R204" i="2"/>
  <c r="G204" i="2"/>
  <c r="D204" i="2"/>
  <c r="V203" i="2"/>
  <c r="U203" i="2" a="1"/>
  <c r="U203" i="2"/>
  <c r="T203" i="2"/>
  <c r="R203" i="2"/>
  <c r="K203" i="2"/>
  <c r="J203" i="2"/>
  <c r="D203" i="2"/>
  <c r="V202" i="2"/>
  <c r="U202" i="2" a="1"/>
  <c r="U202" i="2" s="1"/>
  <c r="T202" i="2"/>
  <c r="R202" i="2"/>
  <c r="K202" i="2"/>
  <c r="J202" i="2"/>
  <c r="G202" i="2"/>
  <c r="H202" i="2" s="1"/>
  <c r="F202" i="2"/>
  <c r="E202" i="2"/>
  <c r="D202" i="2"/>
  <c r="I202" i="2" s="1"/>
  <c r="V201" i="2"/>
  <c r="U201" i="2" a="1"/>
  <c r="U201" i="2"/>
  <c r="T201" i="2"/>
  <c r="R201" i="2"/>
  <c r="K201" i="2"/>
  <c r="I201" i="2"/>
  <c r="G201" i="2"/>
  <c r="H201" i="2" s="1"/>
  <c r="F201" i="2"/>
  <c r="E201" i="2"/>
  <c r="D201" i="2"/>
  <c r="J201" i="2" s="1"/>
  <c r="V200" i="2"/>
  <c r="U200" i="2" a="1"/>
  <c r="U200" i="2" s="1"/>
  <c r="T200" i="2"/>
  <c r="R200" i="2"/>
  <c r="J200" i="2"/>
  <c r="I200" i="2"/>
  <c r="D200" i="2"/>
  <c r="K200" i="2" s="1"/>
  <c r="V199" i="2"/>
  <c r="U199" i="2" a="1"/>
  <c r="U199" i="2" s="1"/>
  <c r="T199" i="2"/>
  <c r="R199" i="2"/>
  <c r="K199" i="2"/>
  <c r="J199" i="2"/>
  <c r="E199" i="2"/>
  <c r="F199" i="2" s="1"/>
  <c r="D199" i="2"/>
  <c r="I199" i="2" s="1"/>
  <c r="V198" i="2"/>
  <c r="U198" i="2" a="1"/>
  <c r="U198" i="2" s="1"/>
  <c r="T198" i="2"/>
  <c r="R198" i="2"/>
  <c r="J198" i="2"/>
  <c r="I198" i="2"/>
  <c r="D198" i="2"/>
  <c r="E198" i="2" s="1"/>
  <c r="V197" i="2"/>
  <c r="U197" i="2" a="1"/>
  <c r="U197" i="2"/>
  <c r="T197" i="2"/>
  <c r="R197" i="2"/>
  <c r="J197" i="2"/>
  <c r="I197" i="2"/>
  <c r="G197" i="2"/>
  <c r="D197" i="2"/>
  <c r="V196" i="2"/>
  <c r="U196" i="2" a="1"/>
  <c r="U196" i="2" s="1"/>
  <c r="T196" i="2"/>
  <c r="R196" i="2"/>
  <c r="K196" i="2"/>
  <c r="J196" i="2"/>
  <c r="D196" i="2"/>
  <c r="I196" i="2" s="1"/>
  <c r="V195" i="2"/>
  <c r="U195" i="2" a="1"/>
  <c r="U195" i="2"/>
  <c r="T195" i="2"/>
  <c r="R195" i="2"/>
  <c r="K195" i="2"/>
  <c r="J195" i="2"/>
  <c r="I195" i="2"/>
  <c r="F195" i="2"/>
  <c r="E195" i="2"/>
  <c r="D195" i="2"/>
  <c r="V194" i="2"/>
  <c r="U194" i="2" a="1"/>
  <c r="U194" i="2"/>
  <c r="T194" i="2"/>
  <c r="R194" i="2"/>
  <c r="D194" i="2"/>
  <c r="I194" i="2" s="1"/>
  <c r="V193" i="2"/>
  <c r="U193" i="2" a="1"/>
  <c r="U193" i="2"/>
  <c r="T193" i="2"/>
  <c r="R193" i="2"/>
  <c r="K193" i="2"/>
  <c r="J193" i="2"/>
  <c r="I193" i="2"/>
  <c r="H193" i="2"/>
  <c r="G193" i="2"/>
  <c r="E193" i="2"/>
  <c r="F193" i="2" s="1"/>
  <c r="D193" i="2"/>
  <c r="V192" i="2"/>
  <c r="U192" i="2" a="1"/>
  <c r="U192" i="2" s="1"/>
  <c r="T192" i="2"/>
  <c r="R192" i="2"/>
  <c r="I192" i="2"/>
  <c r="G192" i="2"/>
  <c r="H192" i="2" s="1"/>
  <c r="E192" i="2"/>
  <c r="F192" i="2" s="1"/>
  <c r="D192" i="2"/>
  <c r="V191" i="2"/>
  <c r="U191" i="2" a="1"/>
  <c r="U191" i="2"/>
  <c r="T191" i="2"/>
  <c r="R191" i="2"/>
  <c r="D191" i="2"/>
  <c r="V190" i="2"/>
  <c r="U190" i="2" a="1"/>
  <c r="U190" i="2" s="1"/>
  <c r="T190" i="2"/>
  <c r="R190" i="2"/>
  <c r="K190" i="2"/>
  <c r="J190" i="2"/>
  <c r="I190" i="2"/>
  <c r="G190" i="2"/>
  <c r="H190" i="2" s="1"/>
  <c r="D190" i="2"/>
  <c r="V189" i="2"/>
  <c r="U189" i="2" a="1"/>
  <c r="U189" i="2" s="1"/>
  <c r="T189" i="2"/>
  <c r="R189" i="2"/>
  <c r="D189" i="2"/>
  <c r="J189" i="2" s="1"/>
  <c r="V188" i="2"/>
  <c r="U188" i="2" a="1"/>
  <c r="U188" i="2"/>
  <c r="T188" i="2"/>
  <c r="R188" i="2"/>
  <c r="J188" i="2"/>
  <c r="I188" i="2"/>
  <c r="D188" i="2"/>
  <c r="V187" i="2"/>
  <c r="U187" i="2" a="1"/>
  <c r="U187" i="2"/>
  <c r="T187" i="2"/>
  <c r="R187" i="2"/>
  <c r="K187" i="2"/>
  <c r="G187" i="2"/>
  <c r="H187" i="2" s="1"/>
  <c r="F187" i="2"/>
  <c r="E187" i="2"/>
  <c r="D187" i="2"/>
  <c r="V186" i="2"/>
  <c r="U186" i="2" a="1"/>
  <c r="U186" i="2"/>
  <c r="T186" i="2"/>
  <c r="R186" i="2"/>
  <c r="K186" i="2"/>
  <c r="J186" i="2"/>
  <c r="I186" i="2"/>
  <c r="H186" i="2"/>
  <c r="E186" i="2"/>
  <c r="F186" i="2" s="1"/>
  <c r="D186" i="2"/>
  <c r="G186" i="2" s="1"/>
  <c r="V185" i="2"/>
  <c r="U185" i="2" a="1"/>
  <c r="U185" i="2" s="1"/>
  <c r="T185" i="2"/>
  <c r="R185" i="2"/>
  <c r="I185" i="2"/>
  <c r="D185" i="2"/>
  <c r="K185" i="2" s="1"/>
  <c r="V184" i="2"/>
  <c r="U184" i="2" a="1"/>
  <c r="U184" i="2"/>
  <c r="T184" i="2"/>
  <c r="R184" i="2"/>
  <c r="K184" i="2"/>
  <c r="J184" i="2"/>
  <c r="I184" i="2"/>
  <c r="H184" i="2"/>
  <c r="G184" i="2"/>
  <c r="F184" i="2"/>
  <c r="E184" i="2"/>
  <c r="D184" i="2"/>
  <c r="V183" i="2"/>
  <c r="U183" i="2" a="1"/>
  <c r="U183" i="2" s="1"/>
  <c r="T183" i="2"/>
  <c r="R183" i="2"/>
  <c r="D183" i="2"/>
  <c r="K183" i="2" s="1"/>
  <c r="V182" i="2"/>
  <c r="U182" i="2" a="1"/>
  <c r="U182" i="2"/>
  <c r="T182" i="2"/>
  <c r="R182" i="2"/>
  <c r="G182" i="2"/>
  <c r="D182" i="2"/>
  <c r="V181" i="2"/>
  <c r="U181" i="2" a="1"/>
  <c r="U181" i="2"/>
  <c r="T181" i="2"/>
  <c r="R181" i="2"/>
  <c r="K181" i="2"/>
  <c r="J181" i="2"/>
  <c r="I181" i="2"/>
  <c r="G181" i="2"/>
  <c r="H181" i="2" s="1"/>
  <c r="E181" i="2"/>
  <c r="D181" i="2"/>
  <c r="V180" i="2"/>
  <c r="U180" i="2" a="1"/>
  <c r="U180" i="2"/>
  <c r="T180" i="2"/>
  <c r="R180" i="2"/>
  <c r="D180" i="2"/>
  <c r="K180" i="2" s="1"/>
  <c r="V179" i="2"/>
  <c r="U179" i="2" a="1"/>
  <c r="U179" i="2"/>
  <c r="T179" i="2"/>
  <c r="R179" i="2"/>
  <c r="K179" i="2"/>
  <c r="I179" i="2"/>
  <c r="D179" i="2"/>
  <c r="J179" i="2" s="1"/>
  <c r="V178" i="2"/>
  <c r="U178" i="2" a="1"/>
  <c r="U178" i="2"/>
  <c r="T178" i="2"/>
  <c r="R178" i="2"/>
  <c r="G178" i="2"/>
  <c r="H178" i="2" s="1"/>
  <c r="D178" i="2"/>
  <c r="K178" i="2" s="1"/>
  <c r="V177" i="2"/>
  <c r="U177" i="2" a="1"/>
  <c r="U177" i="2" s="1"/>
  <c r="T177" i="2"/>
  <c r="R177" i="2"/>
  <c r="K177" i="2"/>
  <c r="J177" i="2"/>
  <c r="I177" i="2"/>
  <c r="H177" i="2"/>
  <c r="E177" i="2"/>
  <c r="F177" i="2" s="1"/>
  <c r="D177" i="2"/>
  <c r="G177" i="2" s="1"/>
  <c r="V176" i="2"/>
  <c r="U176" i="2" a="1"/>
  <c r="U176" i="2" s="1"/>
  <c r="T176" i="2"/>
  <c r="R176" i="2"/>
  <c r="J176" i="2"/>
  <c r="I176" i="2"/>
  <c r="D176" i="2"/>
  <c r="E176" i="2" s="1"/>
  <c r="V175" i="2"/>
  <c r="U175" i="2" a="1"/>
  <c r="U175" i="2"/>
  <c r="T175" i="2"/>
  <c r="R175" i="2"/>
  <c r="G175" i="2"/>
  <c r="D175" i="2"/>
  <c r="K175" i="2" s="1"/>
  <c r="V174" i="2"/>
  <c r="U174" i="2" a="1"/>
  <c r="U174" i="2" s="1"/>
  <c r="T174" i="2"/>
  <c r="R174" i="2"/>
  <c r="D174" i="2"/>
  <c r="I174" i="2" s="1"/>
  <c r="V173" i="2"/>
  <c r="U173" i="2" a="1"/>
  <c r="U173" i="2"/>
  <c r="T173" i="2"/>
  <c r="R173" i="2"/>
  <c r="K173" i="2"/>
  <c r="J173" i="2"/>
  <c r="G173" i="2"/>
  <c r="E173" i="2"/>
  <c r="F173" i="2" s="1"/>
  <c r="D173" i="2"/>
  <c r="I173" i="2" s="1"/>
  <c r="V172" i="2"/>
  <c r="U172" i="2" a="1"/>
  <c r="U172" i="2"/>
  <c r="T172" i="2"/>
  <c r="R172" i="2"/>
  <c r="K172" i="2"/>
  <c r="J172" i="2"/>
  <c r="I172" i="2"/>
  <c r="G172" i="2"/>
  <c r="H172" i="2" s="1"/>
  <c r="E172" i="2"/>
  <c r="D172" i="2"/>
  <c r="V171" i="2"/>
  <c r="U171" i="2" a="1"/>
  <c r="U171" i="2"/>
  <c r="T171" i="2"/>
  <c r="R171" i="2"/>
  <c r="K171" i="2"/>
  <c r="J171" i="2"/>
  <c r="I171" i="2"/>
  <c r="H171" i="2"/>
  <c r="G171" i="2"/>
  <c r="E171" i="2"/>
  <c r="F171" i="2" s="1"/>
  <c r="D171" i="2"/>
  <c r="V170" i="2"/>
  <c r="U170" i="2" a="1"/>
  <c r="U170" i="2"/>
  <c r="T170" i="2"/>
  <c r="R170" i="2"/>
  <c r="K170" i="2"/>
  <c r="I170" i="2"/>
  <c r="D170" i="2"/>
  <c r="J170" i="2" s="1"/>
  <c r="V169" i="2"/>
  <c r="U169" i="2" a="1"/>
  <c r="U169" i="2"/>
  <c r="T169" i="2"/>
  <c r="R169" i="2"/>
  <c r="K169" i="2"/>
  <c r="J169" i="2"/>
  <c r="I169" i="2"/>
  <c r="G169" i="2"/>
  <c r="F169" i="2"/>
  <c r="E169" i="2"/>
  <c r="D169" i="2"/>
  <c r="V168" i="2"/>
  <c r="U168" i="2" a="1"/>
  <c r="U168" i="2" s="1"/>
  <c r="T168" i="2"/>
  <c r="R168" i="2"/>
  <c r="K168" i="2"/>
  <c r="J168" i="2"/>
  <c r="I168" i="2"/>
  <c r="G168" i="2"/>
  <c r="H168" i="2" s="1"/>
  <c r="E168" i="2"/>
  <c r="F168" i="2" s="1"/>
  <c r="D168" i="2"/>
  <c r="V167" i="2"/>
  <c r="U167" i="2" a="1"/>
  <c r="U167" i="2" s="1"/>
  <c r="T167" i="2"/>
  <c r="R167" i="2"/>
  <c r="J167" i="2"/>
  <c r="I167" i="2"/>
  <c r="D167" i="2"/>
  <c r="E167" i="2" s="1"/>
  <c r="V166" i="2"/>
  <c r="U166" i="2" a="1"/>
  <c r="U166" i="2"/>
  <c r="T166" i="2"/>
  <c r="R166" i="2"/>
  <c r="J166" i="2"/>
  <c r="I166" i="2"/>
  <c r="E166" i="2"/>
  <c r="D166" i="2"/>
  <c r="K166" i="2" s="1"/>
  <c r="V165" i="2"/>
  <c r="U165" i="2" a="1"/>
  <c r="U165" i="2" s="1"/>
  <c r="T165" i="2"/>
  <c r="R165" i="2"/>
  <c r="D165" i="2"/>
  <c r="I165" i="2" s="1"/>
  <c r="V164" i="2"/>
  <c r="U164" i="2" a="1"/>
  <c r="U164" i="2"/>
  <c r="T164" i="2"/>
  <c r="R164" i="2"/>
  <c r="K164" i="2"/>
  <c r="H164" i="2"/>
  <c r="E164" i="2"/>
  <c r="D164" i="2"/>
  <c r="G164" i="2" s="1"/>
  <c r="V163" i="2"/>
  <c r="U163" i="2" a="1"/>
  <c r="U163" i="2"/>
  <c r="T163" i="2"/>
  <c r="R163" i="2"/>
  <c r="K163" i="2"/>
  <c r="J163" i="2"/>
  <c r="I163" i="2"/>
  <c r="G163" i="2"/>
  <c r="H163" i="2" s="1"/>
  <c r="D163" i="2"/>
  <c r="E163" i="2" s="1"/>
  <c r="F163" i="2" s="1"/>
  <c r="V162" i="2"/>
  <c r="U162" i="2" a="1"/>
  <c r="U162" i="2"/>
  <c r="T162" i="2"/>
  <c r="R162" i="2"/>
  <c r="K162" i="2"/>
  <c r="J162" i="2"/>
  <c r="I162" i="2"/>
  <c r="H162" i="2"/>
  <c r="G162" i="2"/>
  <c r="E162" i="2"/>
  <c r="F162" i="2" s="1"/>
  <c r="D162" i="2"/>
  <c r="V161" i="2"/>
  <c r="U161" i="2" a="1"/>
  <c r="U161" i="2"/>
  <c r="T161" i="2"/>
  <c r="R161" i="2"/>
  <c r="K161" i="2"/>
  <c r="J161" i="2"/>
  <c r="I161" i="2"/>
  <c r="G161" i="2"/>
  <c r="H161" i="2" s="1"/>
  <c r="E161" i="2"/>
  <c r="F161" i="2" s="1"/>
  <c r="D161" i="2"/>
  <c r="V160" i="2"/>
  <c r="U160" i="2" a="1"/>
  <c r="U160" i="2"/>
  <c r="T160" i="2"/>
  <c r="R160" i="2"/>
  <c r="J160" i="2"/>
  <c r="I160" i="2"/>
  <c r="D160" i="2"/>
  <c r="E160" i="2" s="1"/>
  <c r="V159" i="2"/>
  <c r="U159" i="2" a="1"/>
  <c r="U159" i="2"/>
  <c r="T159" i="2"/>
  <c r="R159" i="2"/>
  <c r="D159" i="2"/>
  <c r="V158" i="2"/>
  <c r="U158" i="2" a="1"/>
  <c r="U158" i="2" s="1"/>
  <c r="T158" i="2"/>
  <c r="R158" i="2"/>
  <c r="D158" i="2"/>
  <c r="K158" i="2" s="1"/>
  <c r="V157" i="2"/>
  <c r="U157" i="2" a="1"/>
  <c r="U157" i="2" s="1"/>
  <c r="T157" i="2"/>
  <c r="R157" i="2"/>
  <c r="K157" i="2"/>
  <c r="G157" i="2"/>
  <c r="E157" i="2"/>
  <c r="D157" i="2"/>
  <c r="J157" i="2" s="1"/>
  <c r="V156" i="2"/>
  <c r="U156" i="2" a="1"/>
  <c r="U156" i="2"/>
  <c r="T156" i="2"/>
  <c r="R156" i="2"/>
  <c r="K156" i="2"/>
  <c r="J156" i="2"/>
  <c r="I156" i="2"/>
  <c r="G156" i="2"/>
  <c r="H156" i="2" s="1"/>
  <c r="F156" i="2"/>
  <c r="E156" i="2"/>
  <c r="D156" i="2"/>
  <c r="V155" i="2"/>
  <c r="U155" i="2" a="1"/>
  <c r="U155" i="2"/>
  <c r="T155" i="2"/>
  <c r="R155" i="2"/>
  <c r="D155" i="2"/>
  <c r="G155" i="2" s="1"/>
  <c r="V154" i="2"/>
  <c r="U154" i="2" a="1"/>
  <c r="U154" i="2"/>
  <c r="T154" i="2"/>
  <c r="R154" i="2"/>
  <c r="K154" i="2"/>
  <c r="J154" i="2"/>
  <c r="I154" i="2"/>
  <c r="D154" i="2"/>
  <c r="V153" i="2"/>
  <c r="U153" i="2" a="1"/>
  <c r="U153" i="2"/>
  <c r="T153" i="2"/>
  <c r="R153" i="2"/>
  <c r="G153" i="2"/>
  <c r="H153" i="2" s="1"/>
  <c r="D153" i="2"/>
  <c r="K153" i="2" s="1"/>
  <c r="V152" i="2"/>
  <c r="U152" i="2" a="1"/>
  <c r="U152" i="2"/>
  <c r="T152" i="2"/>
  <c r="R152" i="2"/>
  <c r="G152" i="2"/>
  <c r="D152" i="2"/>
  <c r="K152" i="2" s="1"/>
  <c r="V151" i="2"/>
  <c r="U151" i="2" a="1"/>
  <c r="U151" i="2"/>
  <c r="T151" i="2"/>
  <c r="R151" i="2"/>
  <c r="D151" i="2"/>
  <c r="K151" i="2" s="1"/>
  <c r="V150" i="2"/>
  <c r="U150" i="2" a="1"/>
  <c r="U150" i="2" s="1"/>
  <c r="T150" i="2"/>
  <c r="R150" i="2"/>
  <c r="K150" i="2"/>
  <c r="H150" i="2"/>
  <c r="G150" i="2"/>
  <c r="E150" i="2"/>
  <c r="D150" i="2"/>
  <c r="V149" i="2"/>
  <c r="U149" i="2" a="1"/>
  <c r="U149" i="2"/>
  <c r="T149" i="2"/>
  <c r="R149" i="2"/>
  <c r="K149" i="2"/>
  <c r="J149" i="2"/>
  <c r="I149" i="2"/>
  <c r="G149" i="2"/>
  <c r="H149" i="2" s="1"/>
  <c r="F149" i="2"/>
  <c r="E149" i="2"/>
  <c r="D149" i="2"/>
  <c r="V148" i="2"/>
  <c r="U148" i="2" a="1"/>
  <c r="U148" i="2"/>
  <c r="T148" i="2"/>
  <c r="R148" i="2"/>
  <c r="D148" i="2"/>
  <c r="J148" i="2" s="1"/>
  <c r="V147" i="2"/>
  <c r="U147" i="2" a="1"/>
  <c r="U147" i="2"/>
  <c r="T147" i="2"/>
  <c r="R147" i="2"/>
  <c r="K147" i="2"/>
  <c r="J147" i="2"/>
  <c r="I147" i="2"/>
  <c r="D147" i="2"/>
  <c r="V146" i="2"/>
  <c r="U146" i="2" a="1"/>
  <c r="U146" i="2" s="1"/>
  <c r="T146" i="2"/>
  <c r="R146" i="2"/>
  <c r="G146" i="2"/>
  <c r="H146" i="2" s="1"/>
  <c r="D146" i="2"/>
  <c r="K146" i="2" s="1"/>
  <c r="V145" i="2"/>
  <c r="U145" i="2" a="1"/>
  <c r="U145" i="2"/>
  <c r="T145" i="2"/>
  <c r="R145" i="2"/>
  <c r="I145" i="2"/>
  <c r="G145" i="2"/>
  <c r="H145" i="2" s="1"/>
  <c r="D145" i="2"/>
  <c r="E145" i="2" s="1"/>
  <c r="V144" i="2"/>
  <c r="U144" i="2" a="1"/>
  <c r="U144" i="2" s="1"/>
  <c r="T144" i="2"/>
  <c r="R144" i="2"/>
  <c r="D144" i="2"/>
  <c r="K144" i="2" s="1"/>
  <c r="V143" i="2"/>
  <c r="U143" i="2" a="1"/>
  <c r="U143" i="2" s="1"/>
  <c r="T143" i="2"/>
  <c r="R143" i="2"/>
  <c r="K143" i="2"/>
  <c r="J143" i="2"/>
  <c r="G143" i="2"/>
  <c r="F143" i="2"/>
  <c r="E143" i="2"/>
  <c r="D143" i="2"/>
  <c r="I143" i="2" s="1"/>
  <c r="V142" i="2"/>
  <c r="U142" i="2" a="1"/>
  <c r="U142" i="2"/>
  <c r="T142" i="2"/>
  <c r="R142" i="2"/>
  <c r="J142" i="2"/>
  <c r="I142" i="2"/>
  <c r="G142" i="2"/>
  <c r="H142" i="2" s="1"/>
  <c r="E142" i="2"/>
  <c r="F142" i="2" s="1"/>
  <c r="D142" i="2"/>
  <c r="K142" i="2" s="1"/>
  <c r="V141" i="2"/>
  <c r="U141" i="2" a="1"/>
  <c r="U141" i="2"/>
  <c r="T141" i="2"/>
  <c r="R141" i="2"/>
  <c r="D141" i="2"/>
  <c r="K141" i="2" s="1"/>
  <c r="V140" i="2"/>
  <c r="U140" i="2" a="1"/>
  <c r="U140" i="2"/>
  <c r="T140" i="2"/>
  <c r="R140" i="2"/>
  <c r="K140" i="2"/>
  <c r="J140" i="2"/>
  <c r="I140" i="2"/>
  <c r="H140" i="2"/>
  <c r="G140" i="2"/>
  <c r="E140" i="2"/>
  <c r="F140" i="2" s="1"/>
  <c r="D140" i="2"/>
  <c r="V139" i="2"/>
  <c r="U139" i="2" a="1"/>
  <c r="U139" i="2"/>
  <c r="T139" i="2"/>
  <c r="R139" i="2"/>
  <c r="I139" i="2"/>
  <c r="D139" i="2"/>
  <c r="K139" i="2" s="1"/>
  <c r="V138" i="2"/>
  <c r="U138" i="2" a="1"/>
  <c r="U138" i="2"/>
  <c r="T138" i="2"/>
  <c r="R138" i="2"/>
  <c r="G138" i="2"/>
  <c r="D138" i="2"/>
  <c r="V137" i="2"/>
  <c r="U137" i="2" a="1"/>
  <c r="U137" i="2" s="1"/>
  <c r="T137" i="2"/>
  <c r="R137" i="2"/>
  <c r="D137" i="2"/>
  <c r="K137" i="2" s="1"/>
  <c r="V136" i="2"/>
  <c r="U136" i="2" a="1"/>
  <c r="U136" i="2" s="1"/>
  <c r="T136" i="2"/>
  <c r="R136" i="2"/>
  <c r="K136" i="2"/>
  <c r="I136" i="2"/>
  <c r="H136" i="2"/>
  <c r="G136" i="2"/>
  <c r="F136" i="2"/>
  <c r="E136" i="2"/>
  <c r="D136" i="2"/>
  <c r="J136" i="2" s="1"/>
  <c r="V135" i="2"/>
  <c r="U135" i="2" a="1"/>
  <c r="U135" i="2" s="1"/>
  <c r="T135" i="2"/>
  <c r="R135" i="2"/>
  <c r="K135" i="2"/>
  <c r="J135" i="2"/>
  <c r="I135" i="2"/>
  <c r="G135" i="2"/>
  <c r="H135" i="2" s="1"/>
  <c r="D135" i="2"/>
  <c r="V134" i="2"/>
  <c r="U134" i="2" a="1"/>
  <c r="U134" i="2" s="1"/>
  <c r="T134" i="2"/>
  <c r="R134" i="2"/>
  <c r="K134" i="2"/>
  <c r="J134" i="2"/>
  <c r="I134" i="2"/>
  <c r="G134" i="2"/>
  <c r="D134" i="2"/>
  <c r="H134" i="2" s="1"/>
  <c r="V133" i="2"/>
  <c r="U133" i="2" a="1"/>
  <c r="U133" i="2"/>
  <c r="T133" i="2"/>
  <c r="R133" i="2"/>
  <c r="K133" i="2"/>
  <c r="J133" i="2"/>
  <c r="I133" i="2"/>
  <c r="H133" i="2"/>
  <c r="E133" i="2"/>
  <c r="F133" i="2" s="1"/>
  <c r="D133" i="2"/>
  <c r="G133" i="2" s="1"/>
  <c r="V132" i="2"/>
  <c r="U132" i="2" a="1"/>
  <c r="U132" i="2" s="1"/>
  <c r="T132" i="2"/>
  <c r="R132" i="2"/>
  <c r="I132" i="2"/>
  <c r="D132" i="2"/>
  <c r="J132" i="2" s="1"/>
  <c r="V131" i="2"/>
  <c r="U131" i="2" a="1"/>
  <c r="U131" i="2"/>
  <c r="T131" i="2"/>
  <c r="R131" i="2"/>
  <c r="J131" i="2"/>
  <c r="I131" i="2"/>
  <c r="E131" i="2"/>
  <c r="D131" i="2"/>
  <c r="K131" i="2" s="1"/>
  <c r="V130" i="2"/>
  <c r="U130" i="2" a="1"/>
  <c r="U130" i="2" s="1"/>
  <c r="T130" i="2"/>
  <c r="R130" i="2"/>
  <c r="D130" i="2"/>
  <c r="E130" i="2" s="1"/>
  <c r="V129" i="2"/>
  <c r="U129" i="2" a="1"/>
  <c r="U129" i="2"/>
  <c r="T129" i="2"/>
  <c r="R129" i="2"/>
  <c r="D129" i="2"/>
  <c r="K129" i="2" s="1"/>
  <c r="V128" i="2"/>
  <c r="U128" i="2" a="1"/>
  <c r="U128" i="2"/>
  <c r="T128" i="2"/>
  <c r="R128" i="2"/>
  <c r="K128" i="2"/>
  <c r="J128" i="2"/>
  <c r="I128" i="2"/>
  <c r="D128" i="2"/>
  <c r="V127" i="2"/>
  <c r="U127" i="2" a="1"/>
  <c r="U127" i="2" s="1"/>
  <c r="T127" i="2"/>
  <c r="R127" i="2"/>
  <c r="K127" i="2"/>
  <c r="J127" i="2"/>
  <c r="I127" i="2"/>
  <c r="G127" i="2"/>
  <c r="D127" i="2"/>
  <c r="H127" i="2" s="1"/>
  <c r="V126" i="2"/>
  <c r="U126" i="2" a="1"/>
  <c r="U126" i="2"/>
  <c r="T126" i="2"/>
  <c r="R126" i="2"/>
  <c r="K126" i="2"/>
  <c r="I126" i="2"/>
  <c r="G126" i="2"/>
  <c r="H126" i="2" s="1"/>
  <c r="E126" i="2"/>
  <c r="F126" i="2" s="1"/>
  <c r="D126" i="2"/>
  <c r="J126" i="2" s="1"/>
  <c r="V125" i="2"/>
  <c r="U125" i="2" a="1"/>
  <c r="U125" i="2" s="1"/>
  <c r="T125" i="2"/>
  <c r="R125" i="2"/>
  <c r="I125" i="2"/>
  <c r="D125" i="2"/>
  <c r="J125" i="2" s="1"/>
  <c r="V124" i="2"/>
  <c r="U124" i="2" a="1"/>
  <c r="U124" i="2" s="1"/>
  <c r="T124" i="2"/>
  <c r="R124" i="2"/>
  <c r="J124" i="2"/>
  <c r="I124" i="2"/>
  <c r="E124" i="2"/>
  <c r="D124" i="2"/>
  <c r="K124" i="2" s="1"/>
  <c r="V123" i="2"/>
  <c r="U123" i="2" a="1"/>
  <c r="U123" i="2" s="1"/>
  <c r="T123" i="2"/>
  <c r="R123" i="2"/>
  <c r="D123" i="2"/>
  <c r="E123" i="2" s="1"/>
  <c r="V122" i="2"/>
  <c r="U122" i="2" a="1"/>
  <c r="U122" i="2" s="1"/>
  <c r="T122" i="2"/>
  <c r="R122" i="2"/>
  <c r="K122" i="2"/>
  <c r="I122" i="2"/>
  <c r="H122" i="2"/>
  <c r="G122" i="2"/>
  <c r="E122" i="2"/>
  <c r="F122" i="2" s="1"/>
  <c r="D122" i="2"/>
  <c r="J122" i="2" s="1"/>
  <c r="V121" i="2"/>
  <c r="U121" i="2" a="1"/>
  <c r="U121" i="2" s="1"/>
  <c r="T121" i="2"/>
  <c r="R121" i="2"/>
  <c r="K121" i="2"/>
  <c r="J121" i="2"/>
  <c r="G121" i="2"/>
  <c r="H121" i="2" s="1"/>
  <c r="F121" i="2"/>
  <c r="E121" i="2"/>
  <c r="D121" i="2"/>
  <c r="I121" i="2" s="1"/>
  <c r="V120" i="2"/>
  <c r="U120" i="2" a="1"/>
  <c r="U120" i="2"/>
  <c r="T120" i="2"/>
  <c r="R120" i="2"/>
  <c r="K120" i="2"/>
  <c r="J120" i="2"/>
  <c r="I120" i="2"/>
  <c r="H120" i="2"/>
  <c r="G120" i="2"/>
  <c r="E120" i="2"/>
  <c r="F120" i="2" s="1"/>
  <c r="D120" i="2"/>
  <c r="V119" i="2"/>
  <c r="U119" i="2" a="1"/>
  <c r="U119" i="2"/>
  <c r="T119" i="2"/>
  <c r="R119" i="2"/>
  <c r="K119" i="2"/>
  <c r="J119" i="2"/>
  <c r="I119" i="2"/>
  <c r="G119" i="2"/>
  <c r="H119" i="2" s="1"/>
  <c r="E119" i="2"/>
  <c r="F119" i="2" s="1"/>
  <c r="D119" i="2"/>
  <c r="V118" i="2"/>
  <c r="U118" i="2" a="1"/>
  <c r="U118" i="2" s="1"/>
  <c r="T118" i="2"/>
  <c r="R118" i="2"/>
  <c r="I118" i="2"/>
  <c r="D118" i="2"/>
  <c r="J118" i="2" s="1"/>
  <c r="V117" i="2"/>
  <c r="U117" i="2" a="1"/>
  <c r="U117" i="2"/>
  <c r="T117" i="2"/>
  <c r="R117" i="2"/>
  <c r="K117" i="2"/>
  <c r="J117" i="2"/>
  <c r="I117" i="2"/>
  <c r="D117" i="2"/>
  <c r="V116" i="2"/>
  <c r="U116" i="2" a="1"/>
  <c r="U116" i="2"/>
  <c r="T116" i="2"/>
  <c r="R116" i="2"/>
  <c r="J116" i="2"/>
  <c r="I116" i="2"/>
  <c r="G116" i="2"/>
  <c r="H116" i="2" s="1"/>
  <c r="E116" i="2"/>
  <c r="F116" i="2" s="1"/>
  <c r="D116" i="2"/>
  <c r="K116" i="2" s="1"/>
  <c r="V115" i="2"/>
  <c r="U115" i="2" a="1"/>
  <c r="U115" i="2"/>
  <c r="T115" i="2"/>
  <c r="R115" i="2"/>
  <c r="D115" i="2"/>
  <c r="J115" i="2" s="1"/>
  <c r="V114" i="2"/>
  <c r="U114" i="2" a="1"/>
  <c r="U114" i="2"/>
  <c r="T114" i="2"/>
  <c r="R114" i="2"/>
  <c r="K114" i="2"/>
  <c r="J114" i="2"/>
  <c r="I114" i="2"/>
  <c r="D114" i="2"/>
  <c r="V113" i="2"/>
  <c r="U113" i="2" a="1"/>
  <c r="U113" i="2"/>
  <c r="T113" i="2"/>
  <c r="R113" i="2"/>
  <c r="I113" i="2"/>
  <c r="D113" i="2"/>
  <c r="K113" i="2" s="1"/>
  <c r="V112" i="2"/>
  <c r="U112" i="2" a="1"/>
  <c r="U112" i="2"/>
  <c r="T112" i="2"/>
  <c r="R112" i="2"/>
  <c r="J112" i="2"/>
  <c r="I112" i="2"/>
  <c r="E112" i="2"/>
  <c r="D112" i="2"/>
  <c r="K112" i="2" s="1"/>
  <c r="V111" i="2"/>
  <c r="U111" i="2" a="1"/>
  <c r="U111" i="2" s="1"/>
  <c r="T111" i="2"/>
  <c r="R111" i="2"/>
  <c r="D111" i="2"/>
  <c r="V110" i="2"/>
  <c r="U110" i="2" a="1"/>
  <c r="U110" i="2"/>
  <c r="T110" i="2"/>
  <c r="R110" i="2"/>
  <c r="D110" i="2"/>
  <c r="K110" i="2" s="1"/>
  <c r="V109" i="2"/>
  <c r="U109" i="2" a="1"/>
  <c r="U109" i="2" s="1"/>
  <c r="T109" i="2"/>
  <c r="R109" i="2"/>
  <c r="K109" i="2"/>
  <c r="J109" i="2"/>
  <c r="I109" i="2"/>
  <c r="D109" i="2"/>
  <c r="G109" i="2" s="1"/>
  <c r="H109" i="2" s="1"/>
  <c r="V108" i="2"/>
  <c r="U108" i="2" a="1"/>
  <c r="U108" i="2"/>
  <c r="T108" i="2"/>
  <c r="R108" i="2"/>
  <c r="G108" i="2"/>
  <c r="H108" i="2" s="1"/>
  <c r="D108" i="2"/>
  <c r="K108" i="2" s="1"/>
  <c r="V107" i="2"/>
  <c r="U107" i="2" a="1"/>
  <c r="U107" i="2"/>
  <c r="T107" i="2"/>
  <c r="R107" i="2"/>
  <c r="G107" i="2"/>
  <c r="H107" i="2" s="1"/>
  <c r="D107" i="2"/>
  <c r="K107" i="2" s="1"/>
  <c r="V106" i="2"/>
  <c r="U106" i="2" a="1"/>
  <c r="U106" i="2" s="1"/>
  <c r="T106" i="2"/>
  <c r="R106" i="2"/>
  <c r="D106" i="2"/>
  <c r="K106" i="2" s="1"/>
  <c r="V105" i="2"/>
  <c r="U105" i="2" a="1"/>
  <c r="U105" i="2"/>
  <c r="T105" i="2"/>
  <c r="R105" i="2"/>
  <c r="K105" i="2"/>
  <c r="I105" i="2"/>
  <c r="H105" i="2"/>
  <c r="G105" i="2"/>
  <c r="F105" i="2"/>
  <c r="E105" i="2"/>
  <c r="D105" i="2"/>
  <c r="J105" i="2" s="1"/>
  <c r="V104" i="2"/>
  <c r="U104" i="2" a="1"/>
  <c r="U104" i="2" s="1"/>
  <c r="T104" i="2"/>
  <c r="R104" i="2"/>
  <c r="K104" i="2"/>
  <c r="J104" i="2"/>
  <c r="I104" i="2"/>
  <c r="G104" i="2"/>
  <c r="H104" i="2" s="1"/>
  <c r="D104" i="2"/>
  <c r="V103" i="2"/>
  <c r="U103" i="2" a="1"/>
  <c r="U103" i="2" s="1"/>
  <c r="T103" i="2"/>
  <c r="R103" i="2"/>
  <c r="K103" i="2"/>
  <c r="J103" i="2"/>
  <c r="I103" i="2"/>
  <c r="G103" i="2"/>
  <c r="F103" i="2"/>
  <c r="E103" i="2"/>
  <c r="D103" i="2"/>
  <c r="H103" i="2" s="1"/>
  <c r="V102" i="2"/>
  <c r="U102" i="2" a="1"/>
  <c r="U102" i="2"/>
  <c r="T102" i="2"/>
  <c r="R102" i="2"/>
  <c r="K102" i="2"/>
  <c r="I102" i="2"/>
  <c r="G102" i="2"/>
  <c r="H102" i="2" s="1"/>
  <c r="D102" i="2"/>
  <c r="J102" i="2" s="1"/>
  <c r="V101" i="2"/>
  <c r="U101" i="2" a="1"/>
  <c r="U101" i="2" s="1"/>
  <c r="T101" i="2"/>
  <c r="R101" i="2"/>
  <c r="D101" i="2"/>
  <c r="J101" i="2" s="1"/>
  <c r="V100" i="2"/>
  <c r="U100" i="2" a="1"/>
  <c r="U100" i="2" s="1"/>
  <c r="T100" i="2"/>
  <c r="R100" i="2"/>
  <c r="K100" i="2"/>
  <c r="J100" i="2"/>
  <c r="G100" i="2"/>
  <c r="D100" i="2"/>
  <c r="I100" i="2" s="1"/>
  <c r="V99" i="2"/>
  <c r="U99" i="2" a="1"/>
  <c r="U99" i="2"/>
  <c r="T99" i="2"/>
  <c r="R99" i="2"/>
  <c r="K99" i="2"/>
  <c r="J99" i="2"/>
  <c r="I99" i="2"/>
  <c r="G99" i="2"/>
  <c r="H99" i="2" s="1"/>
  <c r="D99" i="2"/>
  <c r="E99" i="2" s="1"/>
  <c r="F99" i="2" s="1"/>
  <c r="V98" i="2"/>
  <c r="U98" i="2" a="1"/>
  <c r="U98" i="2"/>
  <c r="T98" i="2"/>
  <c r="R98" i="2"/>
  <c r="K98" i="2"/>
  <c r="J98" i="2"/>
  <c r="I98" i="2"/>
  <c r="F98" i="2"/>
  <c r="E98" i="2"/>
  <c r="D98" i="2"/>
  <c r="G98" i="2" s="1"/>
  <c r="H98" i="2" s="1"/>
  <c r="V97" i="2"/>
  <c r="U97" i="2" a="1"/>
  <c r="U97" i="2"/>
  <c r="T97" i="2"/>
  <c r="R97" i="2"/>
  <c r="K97" i="2"/>
  <c r="J97" i="2"/>
  <c r="I97" i="2"/>
  <c r="G97" i="2"/>
  <c r="H97" i="2" s="1"/>
  <c r="F97" i="2"/>
  <c r="E97" i="2"/>
  <c r="D97" i="2"/>
  <c r="V96" i="2"/>
  <c r="U96" i="2" a="1"/>
  <c r="U96" i="2" s="1"/>
  <c r="T96" i="2"/>
  <c r="R96" i="2"/>
  <c r="D96" i="2"/>
  <c r="J96" i="2" s="1"/>
  <c r="V95" i="2"/>
  <c r="U95" i="2" a="1"/>
  <c r="U95" i="2"/>
  <c r="T95" i="2"/>
  <c r="R95" i="2"/>
  <c r="K95" i="2"/>
  <c r="J95" i="2"/>
  <c r="I95" i="2"/>
  <c r="F95" i="2"/>
  <c r="E95" i="2"/>
  <c r="D95" i="2"/>
  <c r="V94" i="2"/>
  <c r="U94" i="2" a="1"/>
  <c r="U94" i="2"/>
  <c r="T94" i="2"/>
  <c r="R94" i="2"/>
  <c r="J94" i="2"/>
  <c r="I94" i="2"/>
  <c r="G94" i="2"/>
  <c r="H94" i="2" s="1"/>
  <c r="E94" i="2"/>
  <c r="F94" i="2" s="1"/>
  <c r="D94" i="2"/>
  <c r="K94" i="2" s="1"/>
  <c r="V93" i="2"/>
  <c r="U93" i="2" a="1"/>
  <c r="U93" i="2"/>
  <c r="T93" i="2"/>
  <c r="R93" i="2"/>
  <c r="D93" i="2"/>
  <c r="K93" i="2" s="1"/>
  <c r="V92" i="2"/>
  <c r="U92" i="2" a="1"/>
  <c r="U92" i="2"/>
  <c r="T92" i="2"/>
  <c r="R92" i="2"/>
  <c r="J92" i="2"/>
  <c r="I92" i="2"/>
  <c r="D92" i="2"/>
  <c r="V91" i="2"/>
  <c r="U91" i="2" a="1"/>
  <c r="U91" i="2"/>
  <c r="T91" i="2"/>
  <c r="R91" i="2"/>
  <c r="I91" i="2"/>
  <c r="D91" i="2"/>
  <c r="K91" i="2" s="1"/>
  <c r="V90" i="2"/>
  <c r="U90" i="2" a="1"/>
  <c r="U90" i="2"/>
  <c r="T90" i="2"/>
  <c r="R90" i="2"/>
  <c r="J90" i="2"/>
  <c r="I90" i="2"/>
  <c r="E90" i="2"/>
  <c r="D90" i="2"/>
  <c r="K90" i="2" s="1"/>
  <c r="V89" i="2"/>
  <c r="U89" i="2" a="1"/>
  <c r="U89" i="2" s="1"/>
  <c r="T89" i="2"/>
  <c r="R89" i="2"/>
  <c r="D89" i="2"/>
  <c r="V88" i="2"/>
  <c r="U88" i="2" a="1"/>
  <c r="U88" i="2"/>
  <c r="T88" i="2"/>
  <c r="R88" i="2"/>
  <c r="D88" i="2"/>
  <c r="K88" i="2" s="1"/>
  <c r="V87" i="2"/>
  <c r="U87" i="2" a="1"/>
  <c r="U87" i="2"/>
  <c r="T87" i="2"/>
  <c r="R87" i="2"/>
  <c r="K87" i="2"/>
  <c r="J87" i="2"/>
  <c r="D87" i="2"/>
  <c r="V86" i="2"/>
  <c r="U86" i="2" a="1"/>
  <c r="U86" i="2"/>
  <c r="T86" i="2"/>
  <c r="R86" i="2"/>
  <c r="G86" i="2"/>
  <c r="H86" i="2" s="1"/>
  <c r="D86" i="2"/>
  <c r="K86" i="2" s="1"/>
  <c r="V85" i="2"/>
  <c r="U85" i="2" a="1"/>
  <c r="U85" i="2"/>
  <c r="T85" i="2"/>
  <c r="R85" i="2"/>
  <c r="I85" i="2"/>
  <c r="G85" i="2"/>
  <c r="H85" i="2" s="1"/>
  <c r="D85" i="2"/>
  <c r="K85" i="2" s="1"/>
  <c r="V84" i="2"/>
  <c r="U84" i="2" a="1"/>
  <c r="U84" i="2" s="1"/>
  <c r="T84" i="2"/>
  <c r="R84" i="2"/>
  <c r="D84" i="2"/>
  <c r="E84" i="2" s="1"/>
  <c r="V83" i="2"/>
  <c r="U83" i="2" a="1"/>
  <c r="U83" i="2" s="1"/>
  <c r="T83" i="2"/>
  <c r="R83" i="2"/>
  <c r="K83" i="2"/>
  <c r="I83" i="2"/>
  <c r="H83" i="2"/>
  <c r="G83" i="2"/>
  <c r="F83" i="2"/>
  <c r="E83" i="2"/>
  <c r="D83" i="2"/>
  <c r="J83" i="2" s="1"/>
  <c r="V82" i="2"/>
  <c r="U82" i="2" a="1"/>
  <c r="U82" i="2" s="1"/>
  <c r="T82" i="2"/>
  <c r="R82" i="2"/>
  <c r="K82" i="2"/>
  <c r="J82" i="2"/>
  <c r="I82" i="2"/>
  <c r="G82" i="2"/>
  <c r="H82" i="2" s="1"/>
  <c r="D82" i="2"/>
  <c r="V81" i="2"/>
  <c r="U81" i="2" a="1"/>
  <c r="U81" i="2" s="1"/>
  <c r="T81" i="2"/>
  <c r="R81" i="2"/>
  <c r="K81" i="2"/>
  <c r="J81" i="2"/>
  <c r="I81" i="2"/>
  <c r="G81" i="2"/>
  <c r="D81" i="2"/>
  <c r="H81" i="2" s="1"/>
  <c r="V80" i="2"/>
  <c r="U80" i="2" a="1"/>
  <c r="U80" i="2"/>
  <c r="T80" i="2"/>
  <c r="R80" i="2"/>
  <c r="K80" i="2"/>
  <c r="J80" i="2"/>
  <c r="I80" i="2"/>
  <c r="G80" i="2"/>
  <c r="H80" i="2" s="1"/>
  <c r="D80" i="2"/>
  <c r="E80" i="2" s="1"/>
  <c r="F80" i="2" s="1"/>
  <c r="V79" i="2"/>
  <c r="U79" i="2" a="1"/>
  <c r="U79" i="2" s="1"/>
  <c r="T79" i="2"/>
  <c r="R79" i="2"/>
  <c r="D79" i="2"/>
  <c r="J79" i="2" s="1"/>
  <c r="V78" i="2"/>
  <c r="U78" i="2" a="1"/>
  <c r="U78" i="2" s="1"/>
  <c r="T78" i="2"/>
  <c r="R78" i="2"/>
  <c r="K78" i="2"/>
  <c r="J78" i="2"/>
  <c r="G78" i="2"/>
  <c r="F78" i="2"/>
  <c r="E78" i="2"/>
  <c r="D78" i="2"/>
  <c r="I78" i="2" s="1"/>
  <c r="V77" i="2"/>
  <c r="U77" i="2" a="1"/>
  <c r="U77" i="2"/>
  <c r="T77" i="2"/>
  <c r="R77" i="2"/>
  <c r="K77" i="2"/>
  <c r="J77" i="2"/>
  <c r="I77" i="2"/>
  <c r="G77" i="2"/>
  <c r="H77" i="2" s="1"/>
  <c r="F77" i="2"/>
  <c r="E77" i="2"/>
  <c r="D77" i="2"/>
  <c r="V76" i="2"/>
  <c r="U76" i="2" a="1"/>
  <c r="U76" i="2"/>
  <c r="T76" i="2"/>
  <c r="R76" i="2"/>
  <c r="K76" i="2"/>
  <c r="J76" i="2"/>
  <c r="I76" i="2"/>
  <c r="H76" i="2"/>
  <c r="G76" i="2"/>
  <c r="E76" i="2"/>
  <c r="F76" i="2" s="1"/>
  <c r="D76" i="2"/>
  <c r="V75" i="2"/>
  <c r="U75" i="2" a="1"/>
  <c r="U75" i="2"/>
  <c r="T75" i="2"/>
  <c r="R75" i="2"/>
  <c r="K75" i="2"/>
  <c r="J75" i="2"/>
  <c r="I75" i="2"/>
  <c r="G75" i="2"/>
  <c r="H75" i="2" s="1"/>
  <c r="E75" i="2"/>
  <c r="F75" i="2" s="1"/>
  <c r="D75" i="2"/>
  <c r="V74" i="2"/>
  <c r="U74" i="2" a="1"/>
  <c r="U74" i="2" s="1"/>
  <c r="T74" i="2"/>
  <c r="R74" i="2"/>
  <c r="I74" i="2"/>
  <c r="D74" i="2"/>
  <c r="J74" i="2" s="1"/>
  <c r="V73" i="2"/>
  <c r="U73" i="2" a="1"/>
  <c r="U73" i="2"/>
  <c r="T73" i="2"/>
  <c r="R73" i="2"/>
  <c r="K73" i="2"/>
  <c r="J73" i="2"/>
  <c r="I73" i="2"/>
  <c r="F73" i="2"/>
  <c r="E73" i="2"/>
  <c r="D73" i="2"/>
  <c r="V72" i="2"/>
  <c r="U72" i="2" a="1"/>
  <c r="U72" i="2"/>
  <c r="T72" i="2"/>
  <c r="R72" i="2"/>
  <c r="J72" i="2"/>
  <c r="E72" i="2"/>
  <c r="F72" i="2" s="1"/>
  <c r="D72" i="2"/>
  <c r="K72" i="2" s="1"/>
  <c r="V71" i="2"/>
  <c r="U71" i="2" a="1"/>
  <c r="U71" i="2"/>
  <c r="T71" i="2"/>
  <c r="R71" i="2"/>
  <c r="D71" i="2"/>
  <c r="K71" i="2" s="1"/>
  <c r="V70" i="2"/>
  <c r="U70" i="2" a="1"/>
  <c r="U70" i="2"/>
  <c r="T70" i="2"/>
  <c r="R70" i="2"/>
  <c r="J70" i="2"/>
  <c r="I70" i="2"/>
  <c r="D70" i="2"/>
  <c r="V69" i="2"/>
  <c r="U69" i="2" a="1"/>
  <c r="U69" i="2"/>
  <c r="T69" i="2"/>
  <c r="R69" i="2"/>
  <c r="I69" i="2"/>
  <c r="D69" i="2"/>
  <c r="K69" i="2" s="1"/>
  <c r="V68" i="2"/>
  <c r="U68" i="2" a="1"/>
  <c r="U68" i="2"/>
  <c r="T68" i="2"/>
  <c r="R68" i="2"/>
  <c r="J68" i="2"/>
  <c r="I68" i="2"/>
  <c r="E68" i="2"/>
  <c r="D68" i="2"/>
  <c r="K68" i="2" s="1"/>
  <c r="V67" i="2"/>
  <c r="U67" i="2" a="1"/>
  <c r="U67" i="2" s="1"/>
  <c r="T67" i="2"/>
  <c r="R67" i="2"/>
  <c r="D67" i="2"/>
  <c r="K67" i="2" s="1"/>
  <c r="V66" i="2"/>
  <c r="U66" i="2" a="1"/>
  <c r="U66" i="2"/>
  <c r="T66" i="2"/>
  <c r="R66" i="2"/>
  <c r="D66" i="2"/>
  <c r="K66" i="2" s="1"/>
  <c r="V65" i="2"/>
  <c r="U65" i="2" a="1"/>
  <c r="U65" i="2" s="1"/>
  <c r="T65" i="2"/>
  <c r="R65" i="2"/>
  <c r="K65" i="2"/>
  <c r="J65" i="2"/>
  <c r="I65" i="2"/>
  <c r="D65" i="2"/>
  <c r="G65" i="2" s="1"/>
  <c r="H65" i="2" s="1"/>
  <c r="V64" i="2"/>
  <c r="U64" i="2" a="1"/>
  <c r="U64" i="2"/>
  <c r="T64" i="2"/>
  <c r="R64" i="2"/>
  <c r="G64" i="2"/>
  <c r="H64" i="2" s="1"/>
  <c r="D64" i="2"/>
  <c r="K64" i="2" s="1"/>
  <c r="V63" i="2"/>
  <c r="U63" i="2" a="1"/>
  <c r="U63" i="2"/>
  <c r="T63" i="2"/>
  <c r="R63" i="2"/>
  <c r="I63" i="2"/>
  <c r="G63" i="2"/>
  <c r="H63" i="2" s="1"/>
  <c r="D63" i="2"/>
  <c r="K63" i="2" s="1"/>
  <c r="V62" i="2"/>
  <c r="U62" i="2" a="1"/>
  <c r="U62" i="2" s="1"/>
  <c r="T62" i="2"/>
  <c r="R62" i="2"/>
  <c r="D62" i="2"/>
  <c r="E62" i="2" s="1"/>
  <c r="V61" i="2"/>
  <c r="U61" i="2" a="1"/>
  <c r="U61" i="2"/>
  <c r="T61" i="2"/>
  <c r="R61" i="2"/>
  <c r="K61" i="2"/>
  <c r="J61" i="2"/>
  <c r="H61" i="2"/>
  <c r="I61" i="2" s="1"/>
  <c r="G61" i="2"/>
  <c r="F61" i="2"/>
  <c r="E61" i="2"/>
  <c r="D61" i="2"/>
  <c r="V60" i="2"/>
  <c r="U60" i="2" a="1"/>
  <c r="U60" i="2" s="1"/>
  <c r="T60" i="2"/>
  <c r="R60" i="2"/>
  <c r="K60" i="2"/>
  <c r="J60" i="2"/>
  <c r="I60" i="2"/>
  <c r="G60" i="2"/>
  <c r="H60" i="2" s="1"/>
  <c r="D60" i="2"/>
  <c r="V59" i="2"/>
  <c r="U59" i="2" a="1"/>
  <c r="U59" i="2" s="1"/>
  <c r="T59" i="2"/>
  <c r="R59" i="2"/>
  <c r="K59" i="2"/>
  <c r="J59" i="2"/>
  <c r="I59" i="2"/>
  <c r="G59" i="2"/>
  <c r="F59" i="2"/>
  <c r="E59" i="2"/>
  <c r="D59" i="2"/>
  <c r="H59" i="2" s="1"/>
  <c r="V58" i="2"/>
  <c r="U58" i="2" a="1"/>
  <c r="U58" i="2"/>
  <c r="T58" i="2"/>
  <c r="R58" i="2"/>
  <c r="K58" i="2"/>
  <c r="J58" i="2"/>
  <c r="D58" i="2"/>
  <c r="E58" i="2" s="1"/>
  <c r="V57" i="2"/>
  <c r="U57" i="2" a="1"/>
  <c r="U57" i="2"/>
  <c r="T57" i="2"/>
  <c r="R57" i="2"/>
  <c r="D57" i="2"/>
  <c r="J57" i="2" s="1"/>
  <c r="V56" i="2"/>
  <c r="U56" i="2" a="1"/>
  <c r="U56" i="2" s="1"/>
  <c r="T56" i="2"/>
  <c r="R56" i="2"/>
  <c r="K56" i="2"/>
  <c r="J56" i="2"/>
  <c r="G56" i="2"/>
  <c r="E56" i="2"/>
  <c r="F56" i="2" s="1"/>
  <c r="D56" i="2"/>
  <c r="I56" i="2" s="1"/>
  <c r="V55" i="2"/>
  <c r="U55" i="2" a="1"/>
  <c r="U55" i="2"/>
  <c r="T55" i="2"/>
  <c r="R55" i="2"/>
  <c r="K55" i="2"/>
  <c r="J55" i="2"/>
  <c r="I55" i="2"/>
  <c r="G55" i="2"/>
  <c r="H55" i="2" s="1"/>
  <c r="D55" i="2"/>
  <c r="E55" i="2" s="1"/>
  <c r="F55" i="2" s="1"/>
  <c r="V54" i="2"/>
  <c r="U54" i="2" a="1"/>
  <c r="U54" i="2"/>
  <c r="T54" i="2"/>
  <c r="R54" i="2"/>
  <c r="K54" i="2"/>
  <c r="J54" i="2"/>
  <c r="I54" i="2"/>
  <c r="E54" i="2"/>
  <c r="F54" i="2" s="1"/>
  <c r="D54" i="2"/>
  <c r="G54" i="2" s="1"/>
  <c r="H54" i="2" s="1"/>
  <c r="V53" i="2"/>
  <c r="U53" i="2" a="1"/>
  <c r="U53" i="2"/>
  <c r="T53" i="2"/>
  <c r="R53" i="2"/>
  <c r="K53" i="2"/>
  <c r="J53" i="2"/>
  <c r="E53" i="2"/>
  <c r="F53" i="2" s="1"/>
  <c r="D53" i="2"/>
  <c r="V52" i="2"/>
  <c r="U52" i="2" a="1"/>
  <c r="U52" i="2" s="1"/>
  <c r="T52" i="2"/>
  <c r="R52" i="2"/>
  <c r="I52" i="2"/>
  <c r="D52" i="2"/>
  <c r="J52" i="2" s="1"/>
  <c r="V51" i="2"/>
  <c r="U51" i="2" a="1"/>
  <c r="U51" i="2"/>
  <c r="T51" i="2"/>
  <c r="R51" i="2"/>
  <c r="K51" i="2"/>
  <c r="J51" i="2"/>
  <c r="I51" i="2"/>
  <c r="D51" i="2"/>
  <c r="V50" i="2"/>
  <c r="U50" i="2" a="1"/>
  <c r="U50" i="2"/>
  <c r="T50" i="2"/>
  <c r="R50" i="2"/>
  <c r="J50" i="2"/>
  <c r="I50" i="2"/>
  <c r="G50" i="2"/>
  <c r="H50" i="2" s="1"/>
  <c r="E50" i="2"/>
  <c r="F50" i="2" s="1"/>
  <c r="D50" i="2"/>
  <c r="K50" i="2" s="1"/>
  <c r="V49" i="2"/>
  <c r="U49" i="2" a="1"/>
  <c r="U49" i="2"/>
  <c r="T49" i="2"/>
  <c r="R49" i="2"/>
  <c r="D49" i="2"/>
  <c r="J49" i="2" s="1"/>
  <c r="V48" i="2"/>
  <c r="U48" i="2" a="1"/>
  <c r="U48" i="2"/>
  <c r="T48" i="2"/>
  <c r="R48" i="2"/>
  <c r="J48" i="2"/>
  <c r="I48" i="2"/>
  <c r="D48" i="2"/>
  <c r="V47" i="2"/>
  <c r="U47" i="2" a="1"/>
  <c r="U47" i="2"/>
  <c r="T47" i="2"/>
  <c r="R47" i="2"/>
  <c r="I47" i="2"/>
  <c r="D47" i="2"/>
  <c r="K47" i="2" s="1"/>
  <c r="V46" i="2"/>
  <c r="U46" i="2" a="1"/>
  <c r="U46" i="2"/>
  <c r="T46" i="2"/>
  <c r="R46" i="2"/>
  <c r="K46" i="2"/>
  <c r="J46" i="2"/>
  <c r="I46" i="2"/>
  <c r="E46" i="2"/>
  <c r="D46" i="2"/>
  <c r="G46" i="2" s="1"/>
  <c r="H46" i="2" s="1"/>
  <c r="V45" i="2"/>
  <c r="U45" i="2" a="1"/>
  <c r="U45" i="2" s="1"/>
  <c r="T45" i="2"/>
  <c r="R45" i="2"/>
  <c r="D45" i="2"/>
  <c r="V44" i="2"/>
  <c r="U44" i="2" a="1"/>
  <c r="U44" i="2"/>
  <c r="T44" i="2"/>
  <c r="R44" i="2"/>
  <c r="D44" i="2"/>
  <c r="K44" i="2" s="1"/>
  <c r="V43" i="2"/>
  <c r="U43" i="2" a="1"/>
  <c r="U43" i="2" s="1"/>
  <c r="T43" i="2"/>
  <c r="R43" i="2"/>
  <c r="K43" i="2"/>
  <c r="J43" i="2"/>
  <c r="I43" i="2"/>
  <c r="D43" i="2"/>
  <c r="G43" i="2" s="1"/>
  <c r="H43" i="2" s="1"/>
  <c r="V42" i="2"/>
  <c r="U42" i="2" a="1"/>
  <c r="U42" i="2"/>
  <c r="T42" i="2"/>
  <c r="R42" i="2"/>
  <c r="K42" i="2"/>
  <c r="G42" i="2"/>
  <c r="H42" i="2" s="1"/>
  <c r="D42" i="2"/>
  <c r="J42" i="2" s="1"/>
  <c r="V41" i="2"/>
  <c r="U41" i="2" a="1"/>
  <c r="U41" i="2"/>
  <c r="T41" i="2"/>
  <c r="R41" i="2"/>
  <c r="I41" i="2"/>
  <c r="G41" i="2"/>
  <c r="H41" i="2" s="1"/>
  <c r="D41" i="2"/>
  <c r="K41" i="2" s="1"/>
  <c r="V40" i="2"/>
  <c r="U40" i="2" a="1"/>
  <c r="U40" i="2" s="1"/>
  <c r="T40" i="2"/>
  <c r="R40" i="2"/>
  <c r="D40" i="2"/>
  <c r="K40" i="2" s="1"/>
  <c r="V39" i="2"/>
  <c r="U39" i="2" a="1"/>
  <c r="U39" i="2"/>
  <c r="T39" i="2"/>
  <c r="R39" i="2"/>
  <c r="K39" i="2"/>
  <c r="J39" i="2"/>
  <c r="I39" i="2"/>
  <c r="H39" i="2"/>
  <c r="G39" i="2"/>
  <c r="F39" i="2"/>
  <c r="E39" i="2"/>
  <c r="D39" i="2"/>
  <c r="V38" i="2"/>
  <c r="U38" i="2" a="1"/>
  <c r="U38" i="2" s="1"/>
  <c r="T38" i="2"/>
  <c r="R38" i="2"/>
  <c r="K38" i="2"/>
  <c r="J38" i="2"/>
  <c r="I38" i="2"/>
  <c r="G38" i="2"/>
  <c r="H38" i="2" s="1"/>
  <c r="D38" i="2"/>
  <c r="V37" i="2"/>
  <c r="U37" i="2" a="1"/>
  <c r="U37" i="2" s="1"/>
  <c r="T37" i="2"/>
  <c r="R37" i="2"/>
  <c r="K37" i="2"/>
  <c r="J37" i="2"/>
  <c r="I37" i="2"/>
  <c r="G37" i="2"/>
  <c r="F37" i="2"/>
  <c r="E37" i="2"/>
  <c r="D37" i="2"/>
  <c r="H37" i="2" s="1"/>
  <c r="V36" i="2"/>
  <c r="U36" i="2" a="1"/>
  <c r="U36" i="2"/>
  <c r="T36" i="2"/>
  <c r="R36" i="2"/>
  <c r="K36" i="2"/>
  <c r="J36" i="2"/>
  <c r="I36" i="2"/>
  <c r="G36" i="2"/>
  <c r="H36" i="2" s="1"/>
  <c r="F36" i="2"/>
  <c r="D36" i="2"/>
  <c r="E36" i="2" s="1"/>
  <c r="V35" i="2"/>
  <c r="U35" i="2" a="1"/>
  <c r="U35" i="2" s="1"/>
  <c r="T35" i="2"/>
  <c r="R35" i="2"/>
  <c r="D35" i="2"/>
  <c r="K35" i="2" s="1"/>
  <c r="V34" i="2"/>
  <c r="U34" i="2" a="1"/>
  <c r="U34" i="2" s="1"/>
  <c r="T34" i="2"/>
  <c r="R34" i="2"/>
  <c r="K34" i="2"/>
  <c r="J34" i="2"/>
  <c r="G34" i="2"/>
  <c r="F34" i="2"/>
  <c r="E34" i="2"/>
  <c r="D34" i="2"/>
  <c r="I34" i="2" s="1"/>
  <c r="V33" i="2"/>
  <c r="U33" i="2" a="1"/>
  <c r="U33" i="2"/>
  <c r="T33" i="2"/>
  <c r="R33" i="2"/>
  <c r="J33" i="2"/>
  <c r="I33" i="2"/>
  <c r="G33" i="2"/>
  <c r="H33" i="2" s="1"/>
  <c r="D33" i="2"/>
  <c r="E33" i="2" s="1"/>
  <c r="F33" i="2" s="1"/>
  <c r="V32" i="2"/>
  <c r="U32" i="2" a="1"/>
  <c r="U32" i="2"/>
  <c r="T32" i="2"/>
  <c r="R32" i="2"/>
  <c r="K32" i="2"/>
  <c r="J32" i="2"/>
  <c r="I32" i="2"/>
  <c r="E32" i="2"/>
  <c r="F32" i="2" s="1"/>
  <c r="D32" i="2"/>
  <c r="G32" i="2" s="1"/>
  <c r="H32" i="2" s="1"/>
  <c r="V31" i="2"/>
  <c r="U31" i="2" a="1"/>
  <c r="U31" i="2"/>
  <c r="T31" i="2"/>
  <c r="R31" i="2"/>
  <c r="K31" i="2"/>
  <c r="J31" i="2"/>
  <c r="I31" i="2"/>
  <c r="G31" i="2"/>
  <c r="H31" i="2" s="1"/>
  <c r="E31" i="2"/>
  <c r="F31" i="2" s="1"/>
  <c r="D31" i="2"/>
  <c r="V30" i="2"/>
  <c r="U30" i="2" a="1"/>
  <c r="U30" i="2" s="1"/>
  <c r="T30" i="2"/>
  <c r="R30" i="2"/>
  <c r="I30" i="2"/>
  <c r="D30" i="2"/>
  <c r="J30" i="2" s="1"/>
  <c r="V29" i="2"/>
  <c r="U29" i="2" a="1"/>
  <c r="U29" i="2"/>
  <c r="T29" i="2"/>
  <c r="R29" i="2"/>
  <c r="K29" i="2"/>
  <c r="J29" i="2"/>
  <c r="I29" i="2"/>
  <c r="E29" i="2"/>
  <c r="F29" i="2" s="1"/>
  <c r="D29" i="2"/>
  <c r="V28" i="2"/>
  <c r="U28" i="2" a="1"/>
  <c r="U28" i="2"/>
  <c r="T28" i="2"/>
  <c r="R28" i="2"/>
  <c r="J28" i="2"/>
  <c r="E28" i="2"/>
  <c r="F28" i="2" s="1"/>
  <c r="D28" i="2"/>
  <c r="K28" i="2" s="1"/>
  <c r="V27" i="2"/>
  <c r="U27" i="2" a="1"/>
  <c r="U27" i="2"/>
  <c r="T27" i="2"/>
  <c r="R27" i="2"/>
  <c r="D27" i="2"/>
  <c r="K27" i="2" s="1"/>
  <c r="V26" i="2"/>
  <c r="U26" i="2" a="1"/>
  <c r="U26" i="2"/>
  <c r="T26" i="2"/>
  <c r="R26" i="2"/>
  <c r="J26" i="2"/>
  <c r="I26" i="2"/>
  <c r="D26" i="2"/>
  <c r="V25" i="2"/>
  <c r="U25" i="2" a="1"/>
  <c r="U25" i="2"/>
  <c r="T25" i="2"/>
  <c r="R25" i="2"/>
  <c r="D25" i="2"/>
  <c r="K25" i="2" s="1"/>
  <c r="V24" i="2"/>
  <c r="U24" i="2" a="1"/>
  <c r="U24" i="2"/>
  <c r="T24" i="2"/>
  <c r="R24" i="2"/>
  <c r="K24" i="2"/>
  <c r="J24" i="2"/>
  <c r="I24" i="2"/>
  <c r="D24" i="2"/>
  <c r="G24" i="2" s="1"/>
  <c r="H24" i="2" s="1"/>
  <c r="V23" i="2"/>
  <c r="U23" i="2" a="1"/>
  <c r="U23" i="2" s="1"/>
  <c r="T23" i="2"/>
  <c r="R23" i="2"/>
  <c r="D23" i="2"/>
  <c r="V22" i="2"/>
  <c r="U22" i="2" a="1"/>
  <c r="U22" i="2"/>
  <c r="T22" i="2"/>
  <c r="R22" i="2"/>
  <c r="D22" i="2"/>
  <c r="K22" i="2" s="1"/>
  <c r="V21" i="2"/>
  <c r="U21" i="2" a="1"/>
  <c r="U21" i="2" s="1"/>
  <c r="T21" i="2"/>
  <c r="R21" i="2"/>
  <c r="K21" i="2"/>
  <c r="J21" i="2"/>
  <c r="I21" i="2"/>
  <c r="D21" i="2"/>
  <c r="G21" i="2" s="1"/>
  <c r="H21" i="2" s="1"/>
  <c r="V20" i="2"/>
  <c r="U20" i="2" a="1"/>
  <c r="U20" i="2"/>
  <c r="T20" i="2"/>
  <c r="R20" i="2"/>
  <c r="K20" i="2"/>
  <c r="G20" i="2"/>
  <c r="H20" i="2" s="1"/>
  <c r="D20" i="2"/>
  <c r="J20" i="2" s="1"/>
  <c r="V19" i="2"/>
  <c r="U19" i="2" a="1"/>
  <c r="U19" i="2"/>
  <c r="T19" i="2"/>
  <c r="R19" i="2"/>
  <c r="J19" i="2"/>
  <c r="I19" i="2"/>
  <c r="G19" i="2"/>
  <c r="H19" i="2" s="1"/>
  <c r="D19" i="2"/>
  <c r="K19" i="2" s="1"/>
  <c r="V18" i="2"/>
  <c r="U18" i="2" a="1"/>
  <c r="U18" i="2" s="1"/>
  <c r="T18" i="2"/>
  <c r="R18" i="2"/>
  <c r="D18" i="2"/>
  <c r="K18" i="2" s="1"/>
  <c r="V17" i="2"/>
  <c r="U17" i="2" a="1"/>
  <c r="U17" i="2"/>
  <c r="T17" i="2"/>
  <c r="R17" i="2"/>
  <c r="K17" i="2"/>
  <c r="J17" i="2"/>
  <c r="I17" i="2"/>
  <c r="G17" i="2"/>
  <c r="H17" i="2" s="1"/>
  <c r="F17" i="2"/>
  <c r="E17" i="2"/>
  <c r="D17" i="2"/>
  <c r="V16" i="2"/>
  <c r="U16" i="2" a="1"/>
  <c r="U16" i="2" s="1"/>
  <c r="T16" i="2"/>
  <c r="R16" i="2"/>
  <c r="K16" i="2"/>
  <c r="J16" i="2"/>
  <c r="I16" i="2"/>
  <c r="G16" i="2"/>
  <c r="H16" i="2" s="1"/>
  <c r="D16" i="2"/>
  <c r="V15" i="2"/>
  <c r="U15" i="2" a="1"/>
  <c r="U15" i="2" s="1"/>
  <c r="T15" i="2"/>
  <c r="R15" i="2"/>
  <c r="K15" i="2"/>
  <c r="J15" i="2"/>
  <c r="I15" i="2"/>
  <c r="G15" i="2"/>
  <c r="F15" i="2"/>
  <c r="E15" i="2"/>
  <c r="D15" i="2"/>
  <c r="H15" i="2" s="1"/>
  <c r="V14" i="2"/>
  <c r="U14" i="2" a="1"/>
  <c r="U14" i="2"/>
  <c r="T14" i="2"/>
  <c r="R14" i="2"/>
  <c r="K14" i="2"/>
  <c r="J14" i="2"/>
  <c r="I14" i="2"/>
  <c r="G14" i="2"/>
  <c r="H14" i="2" s="1"/>
  <c r="D14" i="2"/>
  <c r="E14" i="2" s="1"/>
  <c r="F14" i="2" s="1"/>
  <c r="V13" i="2"/>
  <c r="U13" i="2" a="1"/>
  <c r="U13" i="2"/>
  <c r="T13" i="2"/>
  <c r="R13" i="2"/>
  <c r="D13" i="2"/>
  <c r="J13" i="2" s="1"/>
  <c r="V12" i="2"/>
  <c r="U12" i="2" a="1"/>
  <c r="U12" i="2" s="1"/>
  <c r="T12" i="2"/>
  <c r="R12" i="2"/>
  <c r="K12" i="2"/>
  <c r="J12" i="2"/>
  <c r="G12" i="2"/>
  <c r="E12" i="2"/>
  <c r="F12" i="2" s="1"/>
  <c r="D12" i="2"/>
  <c r="I12" i="2" s="1"/>
  <c r="V11" i="2"/>
  <c r="U11" i="2" a="1"/>
  <c r="U11" i="2"/>
  <c r="T11" i="2"/>
  <c r="R11" i="2"/>
  <c r="J11" i="2"/>
  <c r="I11" i="2"/>
  <c r="G11" i="2"/>
  <c r="H11" i="2" s="1"/>
  <c r="D11" i="2"/>
  <c r="E11" i="2" s="1"/>
  <c r="F11" i="2" s="1"/>
  <c r="V10" i="2"/>
  <c r="U10" i="2" a="1"/>
  <c r="U10" i="2"/>
  <c r="T10" i="2"/>
  <c r="R10" i="2"/>
  <c r="K10" i="2"/>
  <c r="J10" i="2"/>
  <c r="I10" i="2"/>
  <c r="E10" i="2"/>
  <c r="F10" i="2" s="1"/>
  <c r="D10" i="2"/>
  <c r="G10" i="2" s="1"/>
  <c r="H10" i="2" s="1"/>
  <c r="V9" i="2"/>
  <c r="U9" i="2" a="1"/>
  <c r="U9" i="2"/>
  <c r="T9" i="2"/>
  <c r="R9" i="2"/>
  <c r="K9" i="2"/>
  <c r="J9" i="2"/>
  <c r="I9" i="2"/>
  <c r="G9" i="2"/>
  <c r="H9" i="2" s="1"/>
  <c r="E9" i="2"/>
  <c r="F9" i="2" s="1"/>
  <c r="D9" i="2"/>
  <c r="V8" i="2"/>
  <c r="U8" i="2" a="1"/>
  <c r="U8" i="2"/>
  <c r="T8" i="2"/>
  <c r="R8" i="2"/>
  <c r="I8" i="2"/>
  <c r="D8" i="2"/>
  <c r="K8" i="2" s="1"/>
  <c r="V7" i="2"/>
  <c r="U7" i="2" a="1"/>
  <c r="U7" i="2"/>
  <c r="T7" i="2"/>
  <c r="R7" i="2"/>
  <c r="K7" i="2"/>
  <c r="J7" i="2"/>
  <c r="I7" i="2"/>
  <c r="D7" i="2"/>
  <c r="V6" i="2"/>
  <c r="U6" i="2" a="1"/>
  <c r="U6" i="2"/>
  <c r="T6" i="2"/>
  <c r="R6" i="2"/>
  <c r="I6" i="2"/>
  <c r="G6" i="2"/>
  <c r="H6" i="2" s="1"/>
  <c r="E6" i="2"/>
  <c r="F6" i="2" s="1"/>
  <c r="D6" i="2"/>
  <c r="K6" i="2" s="1"/>
  <c r="V5" i="2"/>
  <c r="U5" i="2" a="1"/>
  <c r="U5" i="2"/>
  <c r="T5" i="2"/>
  <c r="R5" i="2"/>
  <c r="D5" i="2"/>
  <c r="E5" i="2" s="1"/>
  <c r="V4" i="2"/>
  <c r="U4" i="2" a="1"/>
  <c r="U4" i="2"/>
  <c r="T4" i="2"/>
  <c r="R4" i="2"/>
  <c r="J4" i="2"/>
  <c r="I4" i="2"/>
  <c r="D4" i="2"/>
  <c r="V3" i="2"/>
  <c r="U3" i="2" a="1"/>
  <c r="U3" i="2"/>
  <c r="T3" i="2"/>
  <c r="R3" i="2"/>
  <c r="I3" i="2"/>
  <c r="D3" i="2"/>
  <c r="K3" i="2" s="1"/>
  <c r="V2" i="2"/>
  <c r="U2" i="2" a="1"/>
  <c r="U2" i="2"/>
  <c r="T2" i="2"/>
  <c r="R2" i="2"/>
  <c r="K2" i="2"/>
  <c r="J2" i="2"/>
  <c r="I2" i="2"/>
  <c r="D2" i="2"/>
  <c r="G2" i="2" s="1"/>
  <c r="H2" i="2" s="1"/>
  <c r="F82" i="2" l="1"/>
  <c r="G58" i="2"/>
  <c r="H58" i="2" s="1"/>
  <c r="I58" i="2" s="1"/>
  <c r="F58" i="2"/>
  <c r="H117" i="2"/>
  <c r="H92" i="2"/>
  <c r="F89" i="2"/>
  <c r="H26" i="2"/>
  <c r="H114" i="2"/>
  <c r="F135" i="2"/>
  <c r="E111" i="2"/>
  <c r="F111" i="2" s="1"/>
  <c r="E183" i="2"/>
  <c r="F219" i="2"/>
  <c r="J246" i="2"/>
  <c r="I246" i="2"/>
  <c r="F246" i="2"/>
  <c r="G248" i="2"/>
  <c r="K254" i="2"/>
  <c r="H279" i="2"/>
  <c r="J292" i="2"/>
  <c r="I292" i="2"/>
  <c r="H292" i="2"/>
  <c r="E292" i="2"/>
  <c r="F292" i="2" s="1"/>
  <c r="G299" i="2"/>
  <c r="H299" i="2" s="1"/>
  <c r="E299" i="2"/>
  <c r="F299" i="2" s="1"/>
  <c r="E310" i="2"/>
  <c r="J324" i="2"/>
  <c r="I324" i="2"/>
  <c r="G324" i="2"/>
  <c r="H324" i="2" s="1"/>
  <c r="E324" i="2"/>
  <c r="F324" i="2" s="1"/>
  <c r="K331" i="2"/>
  <c r="J331" i="2"/>
  <c r="H331" i="2"/>
  <c r="I331" i="2" s="1"/>
  <c r="F331" i="2"/>
  <c r="H336" i="2"/>
  <c r="I336" i="2" s="1"/>
  <c r="K363" i="2"/>
  <c r="J363" i="2"/>
  <c r="G363" i="2"/>
  <c r="H363" i="2" s="1"/>
  <c r="I363" i="2" s="1"/>
  <c r="F363" i="2"/>
  <c r="G500" i="2"/>
  <c r="H500" i="2" s="1"/>
  <c r="I500" i="2" s="1"/>
  <c r="F500" i="2"/>
  <c r="J515" i="2"/>
  <c r="G515" i="2"/>
  <c r="H515" i="2" s="1"/>
  <c r="E515" i="2"/>
  <c r="F515" i="2"/>
  <c r="E67" i="2"/>
  <c r="F67" i="2" s="1"/>
  <c r="K4" i="2"/>
  <c r="E40" i="2"/>
  <c r="K188" i="2"/>
  <c r="E194" i="2"/>
  <c r="G219" i="2"/>
  <c r="H219" i="2" s="1"/>
  <c r="J244" i="2"/>
  <c r="G244" i="2"/>
  <c r="H244" i="2" s="1"/>
  <c r="E246" i="2"/>
  <c r="E279" i="2"/>
  <c r="H310" i="2"/>
  <c r="J391" i="2"/>
  <c r="G391" i="2"/>
  <c r="H391" i="2" s="1"/>
  <c r="F391" i="2"/>
  <c r="K391" i="2"/>
  <c r="K448" i="2"/>
  <c r="J448" i="2"/>
  <c r="I448" i="2"/>
  <c r="E448" i="2"/>
  <c r="F448" i="2" s="1"/>
  <c r="K497" i="2"/>
  <c r="J497" i="2"/>
  <c r="E497" i="2"/>
  <c r="G497" i="2"/>
  <c r="H497" i="2" s="1"/>
  <c r="I497" i="2" s="1"/>
  <c r="F497" i="2"/>
  <c r="O5" i="5"/>
  <c r="E45" i="2"/>
  <c r="F45" i="2" s="1"/>
  <c r="E165" i="2"/>
  <c r="F165" i="2" s="1"/>
  <c r="E13" i="2"/>
  <c r="E101" i="2"/>
  <c r="G130" i="2"/>
  <c r="H130" i="2" s="1"/>
  <c r="F137" i="2"/>
  <c r="E174" i="2"/>
  <c r="F174" i="2" s="1"/>
  <c r="G183" i="2"/>
  <c r="I219" i="2"/>
  <c r="E244" i="2"/>
  <c r="G246" i="2"/>
  <c r="H246" i="2" s="1"/>
  <c r="F279" i="2"/>
  <c r="K292" i="2"/>
  <c r="I299" i="2"/>
  <c r="K319" i="2"/>
  <c r="J319" i="2"/>
  <c r="I319" i="2"/>
  <c r="E319" i="2"/>
  <c r="F319" i="2" s="1"/>
  <c r="G331" i="2"/>
  <c r="F336" i="2"/>
  <c r="E378" i="2"/>
  <c r="F378" i="2" s="1"/>
  <c r="K378" i="2"/>
  <c r="J378" i="2"/>
  <c r="I378" i="2"/>
  <c r="G378" i="2"/>
  <c r="H378" i="2" s="1"/>
  <c r="E391" i="2"/>
  <c r="H10" i="5"/>
  <c r="G448" i="2"/>
  <c r="K515" i="2"/>
  <c r="I568" i="2"/>
  <c r="E568" i="2"/>
  <c r="F568" i="2" s="1"/>
  <c r="J568" i="2"/>
  <c r="K568" i="2"/>
  <c r="G568" i="2"/>
  <c r="H568" i="2" s="1"/>
  <c r="J248" i="2"/>
  <c r="I248" i="2"/>
  <c r="H248" i="2"/>
  <c r="E248" i="2"/>
  <c r="F248" i="2" s="1"/>
  <c r="E23" i="2"/>
  <c r="F23" i="2" s="1"/>
  <c r="E137" i="2"/>
  <c r="F183" i="2"/>
  <c r="E57" i="2"/>
  <c r="F57" i="2" s="1"/>
  <c r="F62" i="2"/>
  <c r="G67" i="2"/>
  <c r="H67" i="2" s="1"/>
  <c r="E144" i="2"/>
  <c r="G18" i="2"/>
  <c r="E30" i="2"/>
  <c r="F35" i="2"/>
  <c r="G40" i="2"/>
  <c r="H45" i="2"/>
  <c r="E52" i="2"/>
  <c r="F52" i="2" s="1"/>
  <c r="E74" i="2"/>
  <c r="E118" i="2"/>
  <c r="H123" i="2"/>
  <c r="E125" i="2"/>
  <c r="F125" i="2" s="1"/>
  <c r="E132" i="2"/>
  <c r="G137" i="2"/>
  <c r="H183" i="2"/>
  <c r="E196" i="2"/>
  <c r="F196" i="2" s="1"/>
  <c r="E200" i="2"/>
  <c r="F200" i="2" s="1"/>
  <c r="F244" i="2"/>
  <c r="H257" i="2"/>
  <c r="J270" i="2"/>
  <c r="I270" i="2"/>
  <c r="E270" i="2"/>
  <c r="F270" i="2" s="1"/>
  <c r="G279" i="2"/>
  <c r="J290" i="2"/>
  <c r="I290" i="2"/>
  <c r="E290" i="2"/>
  <c r="F290" i="2" s="1"/>
  <c r="J299" i="2"/>
  <c r="G319" i="2"/>
  <c r="H319" i="2" s="1"/>
  <c r="K324" i="2"/>
  <c r="G336" i="2"/>
  <c r="J341" i="2"/>
  <c r="G341" i="2"/>
  <c r="H341" i="2" s="1"/>
  <c r="I341" i="2" s="1"/>
  <c r="F341" i="2"/>
  <c r="E341" i="2"/>
  <c r="K349" i="2"/>
  <c r="J349" i="2"/>
  <c r="J436" i="2"/>
  <c r="G436" i="2"/>
  <c r="H436" i="2" s="1"/>
  <c r="K436" i="2"/>
  <c r="I436" i="2"/>
  <c r="H448" i="2"/>
  <c r="K219" i="2"/>
  <c r="E219" i="2"/>
  <c r="G194" i="2"/>
  <c r="H194" i="2" s="1"/>
  <c r="F194" i="2"/>
  <c r="G23" i="2"/>
  <c r="H23" i="2" s="1"/>
  <c r="G89" i="2"/>
  <c r="H89" i="2" s="1"/>
  <c r="F13" i="2"/>
  <c r="F144" i="2"/>
  <c r="E3" i="2"/>
  <c r="F3" i="2" s="1"/>
  <c r="J6" i="2"/>
  <c r="I23" i="2"/>
  <c r="E25" i="2"/>
  <c r="F25" i="2" s="1"/>
  <c r="F30" i="2"/>
  <c r="K33" i="2"/>
  <c r="H40" i="2"/>
  <c r="G57" i="2"/>
  <c r="I123" i="2"/>
  <c r="I130" i="2"/>
  <c r="F132" i="2"/>
  <c r="H137" i="2"/>
  <c r="E139" i="2"/>
  <c r="F139" i="2" s="1"/>
  <c r="G144" i="2"/>
  <c r="H144" i="2" s="1"/>
  <c r="H151" i="2"/>
  <c r="H165" i="2"/>
  <c r="F167" i="2"/>
  <c r="G174" i="2"/>
  <c r="F176" i="2"/>
  <c r="I183" i="2"/>
  <c r="E185" i="2"/>
  <c r="J194" i="2"/>
  <c r="F198" i="2"/>
  <c r="K234" i="2"/>
  <c r="H234" i="2"/>
  <c r="E234" i="2"/>
  <c r="K242" i="2"/>
  <c r="E242" i="2"/>
  <c r="K246" i="2"/>
  <c r="E257" i="2"/>
  <c r="F257" i="2" s="1"/>
  <c r="G270" i="2"/>
  <c r="H270" i="2" s="1"/>
  <c r="G277" i="2"/>
  <c r="H277" i="2" s="1"/>
  <c r="F277" i="2"/>
  <c r="E277" i="2"/>
  <c r="I279" i="2"/>
  <c r="G290" i="2"/>
  <c r="K297" i="2"/>
  <c r="J297" i="2"/>
  <c r="I297" i="2"/>
  <c r="G297" i="2"/>
  <c r="F297" i="2"/>
  <c r="K299" i="2"/>
  <c r="I313" i="2"/>
  <c r="H313" i="2"/>
  <c r="J336" i="2"/>
  <c r="K341" i="2"/>
  <c r="E349" i="2"/>
  <c r="F349" i="2" s="1"/>
  <c r="I391" i="2"/>
  <c r="E436" i="2"/>
  <c r="F436" i="2" s="1"/>
  <c r="K26" i="2"/>
  <c r="G28" i="2"/>
  <c r="H28" i="2" s="1"/>
  <c r="I28" i="2" s="1"/>
  <c r="G72" i="2"/>
  <c r="H72" i="2" s="1"/>
  <c r="I72" i="2" s="1"/>
  <c r="F130" i="2"/>
  <c r="E151" i="2"/>
  <c r="F151" i="2" s="1"/>
  <c r="E79" i="2"/>
  <c r="F79" i="2" s="1"/>
  <c r="F84" i="2"/>
  <c r="G111" i="2"/>
  <c r="H111" i="2" s="1"/>
  <c r="G123" i="2"/>
  <c r="G62" i="2"/>
  <c r="G84" i="2"/>
  <c r="H84" i="2" s="1"/>
  <c r="G106" i="2"/>
  <c r="H106" i="2" s="1"/>
  <c r="G151" i="2"/>
  <c r="H18" i="2"/>
  <c r="H62" i="2"/>
  <c r="I89" i="2"/>
  <c r="E91" i="2"/>
  <c r="F91" i="2" s="1"/>
  <c r="G101" i="2"/>
  <c r="H101" i="2" s="1"/>
  <c r="I111" i="2"/>
  <c r="E113" i="2"/>
  <c r="F113" i="2" s="1"/>
  <c r="F118" i="2"/>
  <c r="G8" i="2"/>
  <c r="H8" i="2" s="1"/>
  <c r="I18" i="2"/>
  <c r="E20" i="2"/>
  <c r="J23" i="2"/>
  <c r="G30" i="2"/>
  <c r="H35" i="2"/>
  <c r="I40" i="2"/>
  <c r="E42" i="2"/>
  <c r="J45" i="2"/>
  <c r="F47" i="2"/>
  <c r="G52" i="2"/>
  <c r="H52" i="2" s="1"/>
  <c r="H57" i="2"/>
  <c r="I62" i="2"/>
  <c r="E64" i="2"/>
  <c r="F64" i="2" s="1"/>
  <c r="J67" i="2"/>
  <c r="F69" i="2"/>
  <c r="G74" i="2"/>
  <c r="H74" i="2" s="1"/>
  <c r="H79" i="2"/>
  <c r="I84" i="2"/>
  <c r="E86" i="2"/>
  <c r="J89" i="2"/>
  <c r="N6" i="5"/>
  <c r="I106" i="2"/>
  <c r="E108" i="2"/>
  <c r="F108" i="2" s="1"/>
  <c r="J111" i="2"/>
  <c r="G118" i="2"/>
  <c r="J123" i="2"/>
  <c r="G125" i="2"/>
  <c r="H125" i="2" s="1"/>
  <c r="J130" i="2"/>
  <c r="G132" i="2"/>
  <c r="H132" i="2" s="1"/>
  <c r="I137" i="2"/>
  <c r="E146" i="2"/>
  <c r="F146" i="2" s="1"/>
  <c r="I151" i="2"/>
  <c r="E153" i="2"/>
  <c r="F153" i="2" s="1"/>
  <c r="I158" i="2"/>
  <c r="F160" i="2"/>
  <c r="J165" i="2"/>
  <c r="G167" i="2"/>
  <c r="H169" i="2"/>
  <c r="H174" i="2"/>
  <c r="G176" i="2"/>
  <c r="E178" i="2"/>
  <c r="J183" i="2"/>
  <c r="F185" i="2"/>
  <c r="J187" i="2"/>
  <c r="I187" i="2"/>
  <c r="K194" i="2"/>
  <c r="G196" i="2"/>
  <c r="G198" i="2"/>
  <c r="G200" i="2"/>
  <c r="E210" i="2"/>
  <c r="K212" i="2"/>
  <c r="H212" i="2"/>
  <c r="E232" i="2"/>
  <c r="F232" i="2" s="1"/>
  <c r="F234" i="2"/>
  <c r="H238" i="2"/>
  <c r="F242" i="2"/>
  <c r="I244" i="2"/>
  <c r="K270" i="2"/>
  <c r="J279" i="2"/>
  <c r="H290" i="2"/>
  <c r="E297" i="2"/>
  <c r="K308" i="2"/>
  <c r="I308" i="2"/>
  <c r="F308" i="2"/>
  <c r="E308" i="2"/>
  <c r="E313" i="2"/>
  <c r="K336" i="2"/>
  <c r="E344" i="2"/>
  <c r="G344" i="2" s="1"/>
  <c r="H344" i="2" s="1"/>
  <c r="I344" i="2" s="1"/>
  <c r="K344" i="2"/>
  <c r="G349" i="2"/>
  <c r="H349" i="2" s="1"/>
  <c r="I349" i="2" s="1"/>
  <c r="E400" i="2"/>
  <c r="K400" i="2"/>
  <c r="J400" i="2"/>
  <c r="I400" i="2"/>
  <c r="H400" i="2"/>
  <c r="G400" i="2"/>
  <c r="F400" i="2"/>
  <c r="K433" i="2"/>
  <c r="J433" i="2"/>
  <c r="E433" i="2"/>
  <c r="I433" i="2"/>
  <c r="H433" i="2"/>
  <c r="F433" i="2"/>
  <c r="H5" i="5"/>
  <c r="E158" i="2"/>
  <c r="F158" i="2" s="1"/>
  <c r="E35" i="2"/>
  <c r="F40" i="2"/>
  <c r="G45" i="2"/>
  <c r="E8" i="2"/>
  <c r="F8" i="2" s="1"/>
  <c r="E96" i="2"/>
  <c r="G96" i="2" s="1"/>
  <c r="H96" i="2" s="1"/>
  <c r="I96" i="2" s="1"/>
  <c r="F101" i="2"/>
  <c r="G158" i="2"/>
  <c r="H158" i="2" s="1"/>
  <c r="G165" i="2"/>
  <c r="K11" i="2"/>
  <c r="G13" i="2"/>
  <c r="H13" i="2" s="1"/>
  <c r="G35" i="2"/>
  <c r="I45" i="2"/>
  <c r="E47" i="2"/>
  <c r="I67" i="2"/>
  <c r="E69" i="2"/>
  <c r="F74" i="2"/>
  <c r="G79" i="2"/>
  <c r="G3" i="2"/>
  <c r="H3" i="2" s="1"/>
  <c r="I13" i="2"/>
  <c r="J18" i="2"/>
  <c r="F20" i="2"/>
  <c r="K23" i="2"/>
  <c r="H30" i="2"/>
  <c r="I35" i="2"/>
  <c r="J40" i="2"/>
  <c r="F42" i="2"/>
  <c r="K45" i="2"/>
  <c r="G47" i="2"/>
  <c r="H47" i="2" s="1"/>
  <c r="I57" i="2"/>
  <c r="J62" i="2"/>
  <c r="G69" i="2"/>
  <c r="H69" i="2" s="1"/>
  <c r="I79" i="2"/>
  <c r="E81" i="2"/>
  <c r="F81" i="2" s="1"/>
  <c r="J84" i="2"/>
  <c r="F86" i="2"/>
  <c r="K89" i="2"/>
  <c r="G91" i="2"/>
  <c r="H91" i="2" s="1"/>
  <c r="I101" i="2"/>
  <c r="J106" i="2"/>
  <c r="K111" i="2"/>
  <c r="G113" i="2"/>
  <c r="H113" i="2" s="1"/>
  <c r="H118" i="2"/>
  <c r="K123" i="2"/>
  <c r="E127" i="2"/>
  <c r="F127" i="2" s="1"/>
  <c r="K130" i="2"/>
  <c r="E134" i="2"/>
  <c r="F134" i="2" s="1"/>
  <c r="J137" i="2"/>
  <c r="G139" i="2"/>
  <c r="H139" i="2" s="1"/>
  <c r="I144" i="2"/>
  <c r="J151" i="2"/>
  <c r="J158" i="2"/>
  <c r="G160" i="2"/>
  <c r="H160" i="2" s="1"/>
  <c r="K165" i="2"/>
  <c r="H167" i="2"/>
  <c r="J174" i="2"/>
  <c r="H176" i="2"/>
  <c r="F178" i="2"/>
  <c r="G185" i="2"/>
  <c r="H185" i="2" s="1"/>
  <c r="H196" i="2"/>
  <c r="H198" i="2"/>
  <c r="H200" i="2"/>
  <c r="J204" i="2"/>
  <c r="I204" i="2"/>
  <c r="H204" i="2"/>
  <c r="E204" i="2"/>
  <c r="F204" i="2" s="1"/>
  <c r="F210" i="2"/>
  <c r="G234" i="2"/>
  <c r="G242" i="2"/>
  <c r="H242" i="2" s="1"/>
  <c r="K244" i="2"/>
  <c r="G255" i="2"/>
  <c r="H255" i="2" s="1"/>
  <c r="F255" i="2"/>
  <c r="E255" i="2"/>
  <c r="G257" i="2"/>
  <c r="J268" i="2"/>
  <c r="I268" i="2"/>
  <c r="F268" i="2"/>
  <c r="E268" i="2"/>
  <c r="I277" i="2"/>
  <c r="K279" i="2"/>
  <c r="K290" i="2"/>
  <c r="H297" i="2"/>
  <c r="F313" i="2"/>
  <c r="F327" i="2"/>
  <c r="I327" i="2"/>
  <c r="H327" i="2"/>
  <c r="K374" i="2"/>
  <c r="J374" i="2"/>
  <c r="E374" i="2"/>
  <c r="G374" i="2" s="1"/>
  <c r="H374" i="2" s="1"/>
  <c r="I374" i="2" s="1"/>
  <c r="K386" i="2"/>
  <c r="I386" i="2"/>
  <c r="E386" i="2"/>
  <c r="F386" i="2" s="1"/>
  <c r="J386" i="2"/>
  <c r="H386" i="2"/>
  <c r="K48" i="2"/>
  <c r="K70" i="2"/>
  <c r="K62" i="2"/>
  <c r="J144" i="2"/>
  <c r="J222" i="2"/>
  <c r="G222" i="2"/>
  <c r="H222" i="2" s="1"/>
  <c r="I224" i="2"/>
  <c r="F224" i="2"/>
  <c r="J226" i="2"/>
  <c r="I226" i="2"/>
  <c r="E226" i="2"/>
  <c r="F226" i="2" s="1"/>
  <c r="K249" i="2"/>
  <c r="J288" i="2"/>
  <c r="I288" i="2"/>
  <c r="G288" i="2"/>
  <c r="E288" i="2"/>
  <c r="F288" i="2" s="1"/>
  <c r="J372" i="2"/>
  <c r="E372" i="2"/>
  <c r="F372" i="2" s="1"/>
  <c r="J555" i="2"/>
  <c r="G555" i="2"/>
  <c r="H555" i="2" s="1"/>
  <c r="E555" i="2"/>
  <c r="F555" i="2" s="1"/>
  <c r="E106" i="2"/>
  <c r="F106" i="2" s="1"/>
  <c r="K174" i="2"/>
  <c r="J8" i="2"/>
  <c r="K57" i="2"/>
  <c r="E71" i="2"/>
  <c r="K275" i="2"/>
  <c r="J275" i="2"/>
  <c r="I275" i="2"/>
  <c r="G275" i="2"/>
  <c r="H275" i="2" s="1"/>
  <c r="K389" i="2"/>
  <c r="J389" i="2"/>
  <c r="K408" i="2"/>
  <c r="I408" i="2"/>
  <c r="F408" i="2"/>
  <c r="E408" i="2"/>
  <c r="J408" i="2"/>
  <c r="G408" i="2"/>
  <c r="H408" i="2" s="1"/>
  <c r="H755" i="2"/>
  <c r="F755" i="2"/>
  <c r="K755" i="2"/>
  <c r="I755" i="2"/>
  <c r="G755" i="2"/>
  <c r="J755" i="2"/>
  <c r="E755" i="2"/>
  <c r="J3" i="2"/>
  <c r="F5" i="2"/>
  <c r="I20" i="2"/>
  <c r="E22" i="2"/>
  <c r="J25" i="2"/>
  <c r="K30" i="2"/>
  <c r="I42" i="2"/>
  <c r="E44" i="2"/>
  <c r="J47" i="2"/>
  <c r="K52" i="2"/>
  <c r="I64" i="2"/>
  <c r="E66" i="2"/>
  <c r="F66" i="2" s="1"/>
  <c r="J69" i="2"/>
  <c r="F71" i="2"/>
  <c r="K74" i="2"/>
  <c r="I86" i="2"/>
  <c r="E88" i="2"/>
  <c r="F88" i="2" s="1"/>
  <c r="J91" i="2"/>
  <c r="F93" i="2"/>
  <c r="K96" i="2"/>
  <c r="H6" i="5"/>
  <c r="I108" i="2"/>
  <c r="E110" i="2"/>
  <c r="J113" i="2"/>
  <c r="K118" i="2"/>
  <c r="K125" i="2"/>
  <c r="E129" i="2"/>
  <c r="K132" i="2"/>
  <c r="J139" i="2"/>
  <c r="I146" i="2"/>
  <c r="I153" i="2"/>
  <c r="F155" i="2"/>
  <c r="K160" i="2"/>
  <c r="K167" i="2"/>
  <c r="K176" i="2"/>
  <c r="I178" i="2"/>
  <c r="J185" i="2"/>
  <c r="E191" i="2"/>
  <c r="F191" i="2" s="1"/>
  <c r="K198" i="2"/>
  <c r="K204" i="2"/>
  <c r="I210" i="2"/>
  <c r="E216" i="2"/>
  <c r="F222" i="2"/>
  <c r="G224" i="2"/>
  <c r="G226" i="2"/>
  <c r="H226" i="2" s="1"/>
  <c r="J232" i="2"/>
  <c r="J242" i="2"/>
  <c r="F249" i="2"/>
  <c r="E253" i="2"/>
  <c r="F253" i="2" s="1"/>
  <c r="K257" i="2"/>
  <c r="E275" i="2"/>
  <c r="F275" i="2" s="1"/>
  <c r="H288" i="2"/>
  <c r="K313" i="2"/>
  <c r="I320" i="2"/>
  <c r="K320" i="2"/>
  <c r="G320" i="2"/>
  <c r="F320" i="2"/>
  <c r="K352" i="2"/>
  <c r="J352" i="2"/>
  <c r="I352" i="2"/>
  <c r="G352" i="2"/>
  <c r="H352" i="2" s="1"/>
  <c r="E352" i="2"/>
  <c r="F352" i="2" s="1"/>
  <c r="E389" i="2"/>
  <c r="G389" i="2" s="1"/>
  <c r="H389" i="2" s="1"/>
  <c r="I389" i="2" s="1"/>
  <c r="K416" i="2"/>
  <c r="J416" i="2"/>
  <c r="E416" i="2"/>
  <c r="F416" i="2" s="1"/>
  <c r="K555" i="2"/>
  <c r="E684" i="2"/>
  <c r="F684" i="2" s="1"/>
  <c r="H684" i="2"/>
  <c r="K684" i="2"/>
  <c r="J684" i="2"/>
  <c r="G684" i="2"/>
  <c r="G310" i="2"/>
  <c r="K310" i="2"/>
  <c r="I310" i="2"/>
  <c r="F310" i="2"/>
  <c r="J346" i="2"/>
  <c r="E346" i="2"/>
  <c r="G346" i="2" s="1"/>
  <c r="H346" i="2" s="1"/>
  <c r="I346" i="2" s="1"/>
  <c r="E89" i="2"/>
  <c r="K84" i="2"/>
  <c r="K79" i="2"/>
  <c r="K293" i="2"/>
  <c r="J293" i="2"/>
  <c r="F293" i="2"/>
  <c r="G5" i="2"/>
  <c r="H5" i="2" s="1"/>
  <c r="F22" i="2"/>
  <c r="G27" i="2"/>
  <c r="H27" i="2" s="1"/>
  <c r="I27" i="2" s="1"/>
  <c r="F44" i="2"/>
  <c r="G49" i="2"/>
  <c r="J64" i="2"/>
  <c r="G71" i="2"/>
  <c r="H71" i="2" s="1"/>
  <c r="J86" i="2"/>
  <c r="G93" i="2"/>
  <c r="J108" i="2"/>
  <c r="F110" i="2"/>
  <c r="G115" i="2"/>
  <c r="H115" i="2" s="1"/>
  <c r="F129" i="2"/>
  <c r="G141" i="2"/>
  <c r="H141" i="2" s="1"/>
  <c r="J146" i="2"/>
  <c r="G148" i="2"/>
  <c r="F150" i="2"/>
  <c r="J153" i="2"/>
  <c r="H155" i="2"/>
  <c r="J178" i="2"/>
  <c r="G180" i="2"/>
  <c r="H180" i="2" s="1"/>
  <c r="I182" i="2"/>
  <c r="H182" i="2"/>
  <c r="I189" i="2"/>
  <c r="J208" i="2"/>
  <c r="J210" i="2"/>
  <c r="J212" i="2"/>
  <c r="I216" i="2"/>
  <c r="F220" i="2"/>
  <c r="H224" i="2"/>
  <c r="K226" i="2"/>
  <c r="K232" i="2"/>
  <c r="E247" i="2"/>
  <c r="F247" i="2" s="1"/>
  <c r="G249" i="2"/>
  <c r="H249" i="2" s="1"/>
  <c r="K255" i="2"/>
  <c r="J266" i="2"/>
  <c r="I266" i="2"/>
  <c r="G266" i="2"/>
  <c r="H266" i="2" s="1"/>
  <c r="E266" i="2"/>
  <c r="F266" i="2" s="1"/>
  <c r="K288" i="2"/>
  <c r="G293" i="2"/>
  <c r="H293" i="2" s="1"/>
  <c r="K300" i="2"/>
  <c r="H300" i="2"/>
  <c r="G300" i="2"/>
  <c r="E300" i="2"/>
  <c r="F300" i="2" s="1"/>
  <c r="E320" i="2"/>
  <c r="K327" i="2"/>
  <c r="K342" i="2"/>
  <c r="J342" i="2"/>
  <c r="K372" i="2"/>
  <c r="F389" i="2"/>
  <c r="I437" i="2"/>
  <c r="G437" i="2"/>
  <c r="H437" i="2" s="1"/>
  <c r="F437" i="2"/>
  <c r="E437" i="2"/>
  <c r="K437" i="2"/>
  <c r="K475" i="2"/>
  <c r="G475" i="2"/>
  <c r="H475" i="2" s="1"/>
  <c r="I475" i="2" s="1"/>
  <c r="J475" i="2"/>
  <c r="F475" i="2"/>
  <c r="E475" i="2"/>
  <c r="I549" i="2"/>
  <c r="K549" i="2"/>
  <c r="G549" i="2"/>
  <c r="E549" i="2"/>
  <c r="F549" i="2" s="1"/>
  <c r="E27" i="2"/>
  <c r="F27" i="2" s="1"/>
  <c r="E93" i="2"/>
  <c r="K101" i="2"/>
  <c r="E180" i="2"/>
  <c r="F180" i="2" s="1"/>
  <c r="G22" i="2"/>
  <c r="H22" i="2" s="1"/>
  <c r="G44" i="2"/>
  <c r="H49" i="2"/>
  <c r="G66" i="2"/>
  <c r="H66" i="2" s="1"/>
  <c r="G88" i="2"/>
  <c r="H88" i="2" s="1"/>
  <c r="H93" i="2"/>
  <c r="E100" i="2"/>
  <c r="F100" i="2" s="1"/>
  <c r="G110" i="2"/>
  <c r="H110" i="2" s="1"/>
  <c r="G129" i="2"/>
  <c r="H148" i="2"/>
  <c r="I155" i="2"/>
  <c r="E182" i="2"/>
  <c r="F182" i="2" s="1"/>
  <c r="G191" i="2"/>
  <c r="H191" i="2" s="1"/>
  <c r="J216" i="2"/>
  <c r="I222" i="2"/>
  <c r="J224" i="2"/>
  <c r="I249" i="2"/>
  <c r="K271" i="2"/>
  <c r="J271" i="2"/>
  <c r="H271" i="2"/>
  <c r="K286" i="2"/>
  <c r="I286" i="2"/>
  <c r="E286" i="2"/>
  <c r="F286" i="2" s="1"/>
  <c r="J291" i="2"/>
  <c r="F291" i="2"/>
  <c r="I293" i="2"/>
  <c r="H320" i="2"/>
  <c r="E342" i="2"/>
  <c r="F342" i="2" s="1"/>
  <c r="K350" i="2"/>
  <c r="J350" i="2"/>
  <c r="I350" i="2"/>
  <c r="F350" i="2"/>
  <c r="E350" i="2"/>
  <c r="K411" i="2"/>
  <c r="J411" i="2"/>
  <c r="I411" i="2"/>
  <c r="H411" i="2"/>
  <c r="I424" i="2"/>
  <c r="H424" i="2"/>
  <c r="J424" i="2"/>
  <c r="F424" i="2"/>
  <c r="I527" i="2"/>
  <c r="H549" i="2"/>
  <c r="E18" i="2"/>
  <c r="F18" i="2" s="1"/>
  <c r="E189" i="2"/>
  <c r="F189" i="2" s="1"/>
  <c r="K13" i="2"/>
  <c r="E115" i="2"/>
  <c r="F115" i="2" s="1"/>
  <c r="K253" i="2"/>
  <c r="J253" i="2"/>
  <c r="I253" i="2"/>
  <c r="G253" i="2"/>
  <c r="H253" i="2" s="1"/>
  <c r="H44" i="2"/>
  <c r="I49" i="2"/>
  <c r="E51" i="2"/>
  <c r="F51" i="2" s="1"/>
  <c r="I71" i="2"/>
  <c r="I93" i="2"/>
  <c r="I115" i="2"/>
  <c r="E117" i="2"/>
  <c r="F117" i="2" s="1"/>
  <c r="H129" i="2"/>
  <c r="I141" i="2"/>
  <c r="I148" i="2"/>
  <c r="J155" i="2"/>
  <c r="F157" i="2"/>
  <c r="F164" i="2"/>
  <c r="I180" i="2"/>
  <c r="K189" i="2"/>
  <c r="I191" i="2"/>
  <c r="K222" i="2"/>
  <c r="K224" i="2"/>
  <c r="J249" i="2"/>
  <c r="E271" i="2"/>
  <c r="F271" i="2" s="1"/>
  <c r="E291" i="2"/>
  <c r="J320" i="2"/>
  <c r="G350" i="2"/>
  <c r="H350" i="2" s="1"/>
  <c r="F387" i="2"/>
  <c r="E387" i="2"/>
  <c r="G387" i="2" s="1"/>
  <c r="H387" i="2" s="1"/>
  <c r="J387" i="2"/>
  <c r="I387" i="2"/>
  <c r="K480" i="2"/>
  <c r="J480" i="2"/>
  <c r="I480" i="2"/>
  <c r="H480" i="2"/>
  <c r="K493" i="2"/>
  <c r="F493" i="2"/>
  <c r="J493" i="2"/>
  <c r="E493" i="2"/>
  <c r="G493" i="2" s="1"/>
  <c r="H493" i="2" s="1"/>
  <c r="I493" i="2" s="1"/>
  <c r="J549" i="2"/>
  <c r="J35" i="2"/>
  <c r="E141" i="2"/>
  <c r="F141" i="2" s="1"/>
  <c r="E148" i="2"/>
  <c r="F148" i="2" s="1"/>
  <c r="H216" i="2"/>
  <c r="G216" i="2"/>
  <c r="F216" i="2"/>
  <c r="I5" i="2"/>
  <c r="E7" i="2"/>
  <c r="E2" i="2"/>
  <c r="J5" i="2"/>
  <c r="F7" i="2"/>
  <c r="H138" i="2"/>
  <c r="J141" i="2"/>
  <c r="K148" i="2"/>
  <c r="K155" i="2"/>
  <c r="F159" i="2"/>
  <c r="J180" i="2"/>
  <c r="J191" i="2"/>
  <c r="H235" i="2"/>
  <c r="J362" i="2"/>
  <c r="K362" i="2"/>
  <c r="F362" i="2"/>
  <c r="K370" i="2"/>
  <c r="H375" i="2"/>
  <c r="J375" i="2"/>
  <c r="I375" i="2"/>
  <c r="J384" i="2"/>
  <c r="K384" i="2"/>
  <c r="H384" i="2"/>
  <c r="I384" i="2" s="1"/>
  <c r="G384" i="2"/>
  <c r="F384" i="2"/>
  <c r="E480" i="2"/>
  <c r="F480" i="2" s="1"/>
  <c r="K504" i="2"/>
  <c r="J504" i="2"/>
  <c r="E504" i="2"/>
  <c r="K517" i="2"/>
  <c r="G517" i="2"/>
  <c r="H517" i="2" s="1"/>
  <c r="I517" i="2" s="1"/>
  <c r="J517" i="2"/>
  <c r="E517" i="2"/>
  <c r="F517" i="2" s="1"/>
  <c r="K92" i="2"/>
  <c r="E49" i="2"/>
  <c r="F49" i="2" s="1"/>
  <c r="G189" i="2"/>
  <c r="H189" i="2" s="1"/>
  <c r="I44" i="2"/>
  <c r="I66" i="2"/>
  <c r="J71" i="2"/>
  <c r="I88" i="2"/>
  <c r="J93" i="2"/>
  <c r="I129" i="2"/>
  <c r="F2" i="2"/>
  <c r="K5" i="2"/>
  <c r="G7" i="2"/>
  <c r="H7" i="2" s="1"/>
  <c r="H34" i="2"/>
  <c r="E41" i="2"/>
  <c r="F41" i="2" s="1"/>
  <c r="J44" i="2"/>
  <c r="F46" i="2"/>
  <c r="K49" i="2"/>
  <c r="G51" i="2"/>
  <c r="H51" i="2" s="1"/>
  <c r="H56" i="2"/>
  <c r="E63" i="2"/>
  <c r="F63" i="2" s="1"/>
  <c r="J66" i="2"/>
  <c r="F68" i="2"/>
  <c r="G73" i="2"/>
  <c r="H73" i="2" s="1"/>
  <c r="H78" i="2"/>
  <c r="E85" i="2"/>
  <c r="F85" i="2" s="1"/>
  <c r="J88" i="2"/>
  <c r="F90" i="2"/>
  <c r="G95" i="2"/>
  <c r="H95" i="2" s="1"/>
  <c r="H100" i="2"/>
  <c r="E107" i="2"/>
  <c r="J110" i="2"/>
  <c r="F112" i="2"/>
  <c r="K115" i="2"/>
  <c r="G117" i="2"/>
  <c r="F124" i="2"/>
  <c r="J129" i="2"/>
  <c r="F131" i="2"/>
  <c r="E138" i="2"/>
  <c r="F138" i="2" s="1"/>
  <c r="I150" i="2"/>
  <c r="E152" i="2"/>
  <c r="F152" i="2" s="1"/>
  <c r="H157" i="2"/>
  <c r="E159" i="2"/>
  <c r="I164" i="2"/>
  <c r="F166" i="2"/>
  <c r="H173" i="2"/>
  <c r="E175" i="2"/>
  <c r="F175" i="2" s="1"/>
  <c r="J182" i="2"/>
  <c r="K191" i="2"/>
  <c r="G195" i="2"/>
  <c r="H195" i="2" s="1"/>
  <c r="K197" i="2"/>
  <c r="H197" i="2"/>
  <c r="E235" i="2"/>
  <c r="K264" i="2"/>
  <c r="I264" i="2"/>
  <c r="E264" i="2"/>
  <c r="J269" i="2"/>
  <c r="I271" i="2"/>
  <c r="K278" i="2"/>
  <c r="H278" i="2"/>
  <c r="G278" i="2"/>
  <c r="E278" i="2"/>
  <c r="F278" i="2" s="1"/>
  <c r="H286" i="2"/>
  <c r="H291" i="2"/>
  <c r="J309" i="2"/>
  <c r="I309" i="2"/>
  <c r="G309" i="2"/>
  <c r="H309" i="2" s="1"/>
  <c r="E309" i="2"/>
  <c r="F309" i="2" s="1"/>
  <c r="J355" i="2"/>
  <c r="I355" i="2"/>
  <c r="G355" i="2"/>
  <c r="H355" i="2" s="1"/>
  <c r="E355" i="2"/>
  <c r="E362" i="2"/>
  <c r="G362" i="2" s="1"/>
  <c r="H362" i="2" s="1"/>
  <c r="I362" i="2" s="1"/>
  <c r="E370" i="2"/>
  <c r="G370" i="2" s="1"/>
  <c r="H370" i="2" s="1"/>
  <c r="I370" i="2" s="1"/>
  <c r="E375" i="2"/>
  <c r="G375" i="2" s="1"/>
  <c r="J406" i="2"/>
  <c r="I406" i="2"/>
  <c r="K406" i="2"/>
  <c r="G406" i="2"/>
  <c r="H406" i="2" s="1"/>
  <c r="F406" i="2"/>
  <c r="E406" i="2"/>
  <c r="F409" i="2"/>
  <c r="E409" i="2"/>
  <c r="J409" i="2"/>
  <c r="I409" i="2"/>
  <c r="J442" i="2"/>
  <c r="K442" i="2"/>
  <c r="I442" i="2"/>
  <c r="G442" i="2"/>
  <c r="H442" i="2" s="1"/>
  <c r="F442" i="2"/>
  <c r="E442" i="2"/>
  <c r="F123" i="2"/>
  <c r="E155" i="2"/>
  <c r="H304" i="2"/>
  <c r="I22" i="2"/>
  <c r="E24" i="2"/>
  <c r="F24" i="2" s="1"/>
  <c r="J27" i="2"/>
  <c r="I110" i="2"/>
  <c r="H12" i="2"/>
  <c r="E19" i="2"/>
  <c r="F19" i="2" s="1"/>
  <c r="J22" i="2"/>
  <c r="G29" i="2"/>
  <c r="H29" i="2" s="1"/>
  <c r="G68" i="2"/>
  <c r="H68" i="2" s="1"/>
  <c r="G90" i="2"/>
  <c r="H90" i="2" s="1"/>
  <c r="E102" i="2"/>
  <c r="F102" i="2" s="1"/>
  <c r="F107" i="2"/>
  <c r="G112" i="2"/>
  <c r="H112" i="2" s="1"/>
  <c r="G124" i="2"/>
  <c r="H124" i="2" s="1"/>
  <c r="G131" i="2"/>
  <c r="H131" i="2" s="1"/>
  <c r="H143" i="2"/>
  <c r="F145" i="2"/>
  <c r="J150" i="2"/>
  <c r="I157" i="2"/>
  <c r="G159" i="2"/>
  <c r="H159" i="2" s="1"/>
  <c r="J164" i="2"/>
  <c r="G166" i="2"/>
  <c r="H166" i="2" s="1"/>
  <c r="K182" i="2"/>
  <c r="E197" i="2"/>
  <c r="F197" i="2" s="1"/>
  <c r="H213" i="2"/>
  <c r="K220" i="2"/>
  <c r="F235" i="2"/>
  <c r="I239" i="2"/>
  <c r="F239" i="2"/>
  <c r="K247" i="2"/>
  <c r="F264" i="2"/>
  <c r="E269" i="2"/>
  <c r="F269" i="2" s="1"/>
  <c r="J286" i="2"/>
  <c r="I335" i="2"/>
  <c r="K335" i="2"/>
  <c r="J335" i="2"/>
  <c r="F335" i="2"/>
  <c r="E335" i="2"/>
  <c r="G335" i="2" s="1"/>
  <c r="H335" i="2" s="1"/>
  <c r="F355" i="2"/>
  <c r="I360" i="2"/>
  <c r="H360" i="2"/>
  <c r="G480" i="2"/>
  <c r="J507" i="2"/>
  <c r="K507" i="2" s="1"/>
  <c r="H507" i="2"/>
  <c r="I507" i="2" s="1"/>
  <c r="K276" i="2"/>
  <c r="I276" i="2"/>
  <c r="G276" i="2"/>
  <c r="H276" i="2" s="1"/>
  <c r="K296" i="2"/>
  <c r="G296" i="2"/>
  <c r="H296" i="2" s="1"/>
  <c r="J340" i="2"/>
  <c r="F340" i="2"/>
  <c r="E340" i="2"/>
  <c r="K365" i="2"/>
  <c r="J365" i="2"/>
  <c r="E365" i="2"/>
  <c r="F365" i="2" s="1"/>
  <c r="K390" i="2"/>
  <c r="J390" i="2"/>
  <c r="I390" i="2"/>
  <c r="F390" i="2"/>
  <c r="E390" i="2"/>
  <c r="H397" i="2"/>
  <c r="G397" i="2"/>
  <c r="J397" i="2"/>
  <c r="I397" i="2"/>
  <c r="K587" i="2"/>
  <c r="G587" i="2"/>
  <c r="H587" i="2" s="1"/>
  <c r="J587" i="2"/>
  <c r="I587" i="2"/>
  <c r="E70" i="2"/>
  <c r="E114" i="2"/>
  <c r="I138" i="2"/>
  <c r="E147" i="2"/>
  <c r="F147" i="2" s="1"/>
  <c r="H152" i="2"/>
  <c r="E154" i="2"/>
  <c r="F154" i="2" s="1"/>
  <c r="I159" i="2"/>
  <c r="H175" i="2"/>
  <c r="E188" i="2"/>
  <c r="E203" i="2"/>
  <c r="F203" i="2" s="1"/>
  <c r="J207" i="2"/>
  <c r="G207" i="2"/>
  <c r="H207" i="2" s="1"/>
  <c r="K209" i="2"/>
  <c r="J209" i="2"/>
  <c r="I209" i="2"/>
  <c r="F209" i="2"/>
  <c r="G211" i="2"/>
  <c r="H211" i="2" s="1"/>
  <c r="E211" i="2"/>
  <c r="F211" i="2" s="1"/>
  <c r="E227" i="2"/>
  <c r="F227" i="2" s="1"/>
  <c r="K231" i="2"/>
  <c r="J231" i="2"/>
  <c r="I231" i="2"/>
  <c r="F231" i="2"/>
  <c r="H233" i="2"/>
  <c r="K241" i="2"/>
  <c r="I241" i="2"/>
  <c r="E241" i="2"/>
  <c r="F241" i="2" s="1"/>
  <c r="E254" i="2"/>
  <c r="F256" i="2"/>
  <c r="E276" i="2"/>
  <c r="E296" i="2"/>
  <c r="F328" i="2"/>
  <c r="I333" i="2"/>
  <c r="G340" i="2"/>
  <c r="H340" i="2" s="1"/>
  <c r="I340" i="2" s="1"/>
  <c r="K348" i="2"/>
  <c r="G348" i="2"/>
  <c r="H348" i="2" s="1"/>
  <c r="I348" i="2" s="1"/>
  <c r="E348" i="2"/>
  <c r="F348" i="2" s="1"/>
  <c r="F360" i="2"/>
  <c r="O9" i="5"/>
  <c r="G390" i="2"/>
  <c r="E397" i="2"/>
  <c r="E587" i="2"/>
  <c r="F587" i="2" s="1"/>
  <c r="E92" i="2"/>
  <c r="F92" i="2" s="1"/>
  <c r="E43" i="2"/>
  <c r="F43" i="2" s="1"/>
  <c r="G53" i="2"/>
  <c r="H53" i="2" s="1"/>
  <c r="I53" i="2" s="1"/>
  <c r="E65" i="2"/>
  <c r="F70" i="2"/>
  <c r="E87" i="2"/>
  <c r="G87" i="2" s="1"/>
  <c r="H87" i="2" s="1"/>
  <c r="I87" i="2" s="1"/>
  <c r="I107" i="2"/>
  <c r="E109" i="2"/>
  <c r="F109" i="2" s="1"/>
  <c r="F114" i="2"/>
  <c r="F128" i="2"/>
  <c r="J138" i="2"/>
  <c r="I152" i="2"/>
  <c r="J159" i="2"/>
  <c r="E170" i="2"/>
  <c r="F170" i="2" s="1"/>
  <c r="I175" i="2"/>
  <c r="E179" i="2"/>
  <c r="F188" i="2"/>
  <c r="G203" i="2"/>
  <c r="H203" i="2" s="1"/>
  <c r="E207" i="2"/>
  <c r="F207" i="2" s="1"/>
  <c r="E209" i="2"/>
  <c r="E225" i="2"/>
  <c r="F225" i="2" s="1"/>
  <c r="E231" i="2"/>
  <c r="I233" i="2"/>
  <c r="J235" i="2"/>
  <c r="F254" i="2"/>
  <c r="G256" i="2"/>
  <c r="H256" i="2" s="1"/>
  <c r="F276" i="2"/>
  <c r="F296" i="2"/>
  <c r="I301" i="2"/>
  <c r="H301" i="2"/>
  <c r="K312" i="2"/>
  <c r="G312" i="2"/>
  <c r="H312" i="2" s="1"/>
  <c r="E312" i="2"/>
  <c r="F312" i="2" s="1"/>
  <c r="K321" i="2"/>
  <c r="J321" i="2"/>
  <c r="I321" i="2"/>
  <c r="H321" i="2"/>
  <c r="G321" i="2"/>
  <c r="I358" i="2"/>
  <c r="H390" i="2"/>
  <c r="F397" i="2"/>
  <c r="E422" i="2"/>
  <c r="G422" i="2" s="1"/>
  <c r="K422" i="2"/>
  <c r="J422" i="2"/>
  <c r="H422" i="2"/>
  <c r="I422" i="2" s="1"/>
  <c r="F422" i="2"/>
  <c r="K435" i="2"/>
  <c r="J435" i="2"/>
  <c r="I435" i="2"/>
  <c r="G435" i="2"/>
  <c r="H435" i="2" s="1"/>
  <c r="F435" i="2"/>
  <c r="K490" i="2"/>
  <c r="J490" i="2"/>
  <c r="I490" i="2"/>
  <c r="H490" i="2"/>
  <c r="G490" i="2"/>
  <c r="E490" i="2"/>
  <c r="F490" i="2" s="1"/>
  <c r="K227" i="2"/>
  <c r="H227" i="2"/>
  <c r="E26" i="2"/>
  <c r="F26" i="2" s="1"/>
  <c r="E21" i="2"/>
  <c r="E16" i="2"/>
  <c r="F16" i="2" s="1"/>
  <c r="F21" i="2"/>
  <c r="G26" i="2"/>
  <c r="E38" i="2"/>
  <c r="F38" i="2" s="1"/>
  <c r="J41" i="2"/>
  <c r="G48" i="2"/>
  <c r="H48" i="2" s="1"/>
  <c r="E60" i="2"/>
  <c r="F60" i="2" s="1"/>
  <c r="J63" i="2"/>
  <c r="F65" i="2"/>
  <c r="G70" i="2"/>
  <c r="H70" i="2" s="1"/>
  <c r="E82" i="2"/>
  <c r="J85" i="2"/>
  <c r="F87" i="2"/>
  <c r="G92" i="2"/>
  <c r="E104" i="2"/>
  <c r="F104" i="2" s="1"/>
  <c r="J107" i="2"/>
  <c r="G114" i="2"/>
  <c r="E128" i="2"/>
  <c r="E135" i="2"/>
  <c r="K138" i="2"/>
  <c r="J145" i="2"/>
  <c r="G147" i="2"/>
  <c r="H147" i="2" s="1"/>
  <c r="J152" i="2"/>
  <c r="G154" i="2"/>
  <c r="H154" i="2" s="1"/>
  <c r="K159" i="2"/>
  <c r="J175" i="2"/>
  <c r="F179" i="2"/>
  <c r="G188" i="2"/>
  <c r="H188" i="2" s="1"/>
  <c r="E190" i="2"/>
  <c r="F190" i="2" s="1"/>
  <c r="G209" i="2"/>
  <c r="I211" i="2"/>
  <c r="E217" i="2"/>
  <c r="G225" i="2"/>
  <c r="G227" i="2"/>
  <c r="G231" i="2"/>
  <c r="K235" i="2"/>
  <c r="G241" i="2"/>
  <c r="H241" i="2" s="1"/>
  <c r="E252" i="2"/>
  <c r="G254" i="2"/>
  <c r="K274" i="2"/>
  <c r="G274" i="2"/>
  <c r="H274" i="2" s="1"/>
  <c r="I296" i="2"/>
  <c r="E301" i="2"/>
  <c r="E321" i="2"/>
  <c r="F321" i="2" s="1"/>
  <c r="K338" i="2"/>
  <c r="K340" i="2"/>
  <c r="I380" i="2"/>
  <c r="H380" i="2"/>
  <c r="K380" i="2"/>
  <c r="J380" i="2"/>
  <c r="G380" i="2"/>
  <c r="K397" i="2"/>
  <c r="I402" i="2"/>
  <c r="H402" i="2"/>
  <c r="K402" i="2"/>
  <c r="J402" i="2"/>
  <c r="G402" i="2"/>
  <c r="F402" i="2"/>
  <c r="E402" i="2"/>
  <c r="J511" i="2"/>
  <c r="K511" i="2"/>
  <c r="E511" i="2"/>
  <c r="G511" i="2" s="1"/>
  <c r="H511" i="2" s="1"/>
  <c r="I511" i="2" s="1"/>
  <c r="K570" i="2"/>
  <c r="J570" i="2"/>
  <c r="H570" i="2"/>
  <c r="E570" i="2"/>
  <c r="F570" i="2" s="1"/>
  <c r="I570" i="2"/>
  <c r="G233" i="2"/>
  <c r="E233" i="2"/>
  <c r="F233" i="2" s="1"/>
  <c r="K256" i="2"/>
  <c r="E256" i="2"/>
  <c r="E4" i="2"/>
  <c r="F4" i="2" s="1"/>
  <c r="E48" i="2"/>
  <c r="F48" i="2" s="1"/>
  <c r="G4" i="2"/>
  <c r="H4" i="2" s="1"/>
  <c r="G128" i="2"/>
  <c r="H128" i="2" s="1"/>
  <c r="K145" i="2"/>
  <c r="G170" i="2"/>
  <c r="H170" i="2" s="1"/>
  <c r="F172" i="2"/>
  <c r="G179" i="2"/>
  <c r="H179" i="2" s="1"/>
  <c r="F181" i="2"/>
  <c r="K192" i="2"/>
  <c r="J192" i="2"/>
  <c r="I203" i="2"/>
  <c r="H209" i="2"/>
  <c r="J211" i="2"/>
  <c r="F217" i="2"/>
  <c r="H225" i="2"/>
  <c r="I227" i="2"/>
  <c r="H231" i="2"/>
  <c r="K233" i="2"/>
  <c r="J241" i="2"/>
  <c r="F252" i="2"/>
  <c r="H254" i="2"/>
  <c r="J256" i="2"/>
  <c r="E274" i="2"/>
  <c r="F274" i="2" s="1"/>
  <c r="J276" i="2"/>
  <c r="J296" i="2"/>
  <c r="F301" i="2"/>
  <c r="I312" i="2"/>
  <c r="E338" i="2"/>
  <c r="F338" i="2" s="1"/>
  <c r="J348" i="2"/>
  <c r="K360" i="2"/>
  <c r="E380" i="2"/>
  <c r="F380" i="2" s="1"/>
  <c r="J385" i="2"/>
  <c r="I385" i="2"/>
  <c r="K385" i="2"/>
  <c r="F385" i="2"/>
  <c r="E385" i="2"/>
  <c r="J223" i="2"/>
  <c r="J245" i="2"/>
  <c r="J267" i="2"/>
  <c r="J289" i="2"/>
  <c r="H315" i="2"/>
  <c r="J318" i="2"/>
  <c r="K325" i="2"/>
  <c r="J334" i="2"/>
  <c r="K356" i="2"/>
  <c r="I379" i="2"/>
  <c r="H379" i="2"/>
  <c r="J407" i="2"/>
  <c r="I407" i="2"/>
  <c r="K455" i="2"/>
  <c r="J455" i="2"/>
  <c r="K457" i="2"/>
  <c r="G457" i="2"/>
  <c r="H457" i="2" s="1"/>
  <c r="F457" i="2"/>
  <c r="J464" i="2"/>
  <c r="E464" i="2"/>
  <c r="K464" i="2"/>
  <c r="E523" i="2"/>
  <c r="F523" i="2" s="1"/>
  <c r="K364" i="2"/>
  <c r="F364" i="2"/>
  <c r="G366" i="2"/>
  <c r="H366" i="2" s="1"/>
  <c r="I366" i="2" s="1"/>
  <c r="E366" i="2"/>
  <c r="F366" i="2" s="1"/>
  <c r="I401" i="2"/>
  <c r="H401" i="2"/>
  <c r="K430" i="2"/>
  <c r="J430" i="2"/>
  <c r="I430" i="2"/>
  <c r="H430" i="2"/>
  <c r="E430" i="2"/>
  <c r="F430" i="2" s="1"/>
  <c r="K560" i="2"/>
  <c r="J560" i="2"/>
  <c r="F560" i="2"/>
  <c r="I560" i="2"/>
  <c r="G560" i="2"/>
  <c r="H560" i="2" s="1"/>
  <c r="G650" i="2"/>
  <c r="K650" i="2"/>
  <c r="I650" i="2"/>
  <c r="H650" i="2"/>
  <c r="J650" i="2"/>
  <c r="F650" i="2"/>
  <c r="H485" i="2"/>
  <c r="K545" i="2"/>
  <c r="F545" i="2"/>
  <c r="J643" i="2"/>
  <c r="K643" i="2"/>
  <c r="G643" i="2"/>
  <c r="H643" i="2" s="1"/>
  <c r="F643" i="2"/>
  <c r="E643" i="2"/>
  <c r="F770" i="2"/>
  <c r="K770" i="2"/>
  <c r="G770" i="2"/>
  <c r="H770" i="2" s="1"/>
  <c r="I770" i="2" s="1"/>
  <c r="J770" i="2"/>
  <c r="E770" i="2"/>
  <c r="G298" i="2"/>
  <c r="H298" i="2" s="1"/>
  <c r="H322" i="2"/>
  <c r="H364" i="2"/>
  <c r="I364" i="2" s="1"/>
  <c r="G368" i="2"/>
  <c r="H368" i="2" s="1"/>
  <c r="I368" i="2" s="1"/>
  <c r="G401" i="2"/>
  <c r="G414" i="2"/>
  <c r="H414" i="2" s="1"/>
  <c r="I414" i="2" s="1"/>
  <c r="F414" i="2"/>
  <c r="K462" i="2"/>
  <c r="G474" i="2"/>
  <c r="K474" i="2"/>
  <c r="J474" i="2"/>
  <c r="I474" i="2"/>
  <c r="H474" i="2"/>
  <c r="F474" i="2"/>
  <c r="E505" i="2"/>
  <c r="F519" i="2"/>
  <c r="E519" i="2"/>
  <c r="G519" i="2" s="1"/>
  <c r="H519" i="2" s="1"/>
  <c r="I519" i="2" s="1"/>
  <c r="E545" i="2"/>
  <c r="G545" i="2" s="1"/>
  <c r="H545" i="2" s="1"/>
  <c r="I545" i="2" s="1"/>
  <c r="J556" i="2"/>
  <c r="G556" i="2"/>
  <c r="H556" i="2" s="1"/>
  <c r="K556" i="2"/>
  <c r="I556" i="2"/>
  <c r="E556" i="2"/>
  <c r="F556" i="2" s="1"/>
  <c r="G598" i="2"/>
  <c r="H598" i="2" s="1"/>
  <c r="I598" i="2" s="1"/>
  <c r="J603" i="2"/>
  <c r="G603" i="2"/>
  <c r="H603" i="2" s="1"/>
  <c r="K603" i="2"/>
  <c r="E603" i="2"/>
  <c r="F603" i="2" s="1"/>
  <c r="I643" i="2"/>
  <c r="J673" i="2"/>
  <c r="F673" i="2"/>
  <c r="E673" i="2"/>
  <c r="K673" i="2"/>
  <c r="G673" i="2"/>
  <c r="H673" i="2" s="1"/>
  <c r="J712" i="2"/>
  <c r="G712" i="2"/>
  <c r="H712" i="2" s="1"/>
  <c r="I712" i="2"/>
  <c r="E712" i="2"/>
  <c r="F712" i="2" s="1"/>
  <c r="H566" i="2"/>
  <c r="J566" i="2"/>
  <c r="F566" i="2"/>
  <c r="E566" i="2"/>
  <c r="J571" i="2"/>
  <c r="K571" i="2"/>
  <c r="I571" i="2"/>
  <c r="H571" i="2"/>
  <c r="G571" i="2"/>
  <c r="E571" i="2"/>
  <c r="F571" i="2" s="1"/>
  <c r="I298" i="2"/>
  <c r="J322" i="2"/>
  <c r="K366" i="2"/>
  <c r="G392" i="2"/>
  <c r="H392" i="2" s="1"/>
  <c r="F392" i="2"/>
  <c r="K401" i="2"/>
  <c r="K412" i="2"/>
  <c r="J412" i="2"/>
  <c r="K418" i="2"/>
  <c r="J418" i="2"/>
  <c r="G418" i="2"/>
  <c r="H418" i="2" s="1"/>
  <c r="I418" i="2" s="1"/>
  <c r="F462" i="2"/>
  <c r="K498" i="2"/>
  <c r="K513" i="2"/>
  <c r="I513" i="2"/>
  <c r="F513" i="2"/>
  <c r="G513" i="2"/>
  <c r="H513" i="2" s="1"/>
  <c r="E513" i="2"/>
  <c r="J545" i="2"/>
  <c r="K553" i="2"/>
  <c r="J553" i="2"/>
  <c r="H553" i="2"/>
  <c r="F553" i="2"/>
  <c r="I553" i="2"/>
  <c r="G566" i="2"/>
  <c r="K668" i="2"/>
  <c r="I668" i="2"/>
  <c r="G668" i="2"/>
  <c r="F668" i="2"/>
  <c r="J668" i="2"/>
  <c r="E543" i="2"/>
  <c r="G543" i="2" s="1"/>
  <c r="I566" i="2"/>
  <c r="J653" i="2"/>
  <c r="E653" i="2"/>
  <c r="F653" i="2" s="1"/>
  <c r="K653" i="2"/>
  <c r="I653" i="2"/>
  <c r="G653" i="2"/>
  <c r="H653" i="2" s="1"/>
  <c r="K751" i="2"/>
  <c r="G751" i="2"/>
  <c r="H751" i="2" s="1"/>
  <c r="J751" i="2"/>
  <c r="I751" i="2"/>
  <c r="E751" i="2"/>
  <c r="F751" i="2" s="1"/>
  <c r="F357" i="2"/>
  <c r="J359" i="2"/>
  <c r="H359" i="2"/>
  <c r="I359" i="2" s="1"/>
  <c r="E359" i="2"/>
  <c r="G359" i="2" s="1"/>
  <c r="E388" i="2"/>
  <c r="G388" i="2" s="1"/>
  <c r="H388" i="2" s="1"/>
  <c r="I388" i="2" s="1"/>
  <c r="I431" i="2"/>
  <c r="E431" i="2"/>
  <c r="F431" i="2" s="1"/>
  <c r="H462" i="2"/>
  <c r="I462" i="2" s="1"/>
  <c r="K465" i="2"/>
  <c r="J465" i="2"/>
  <c r="F465" i="2"/>
  <c r="F498" i="2"/>
  <c r="J505" i="2"/>
  <c r="J513" i="2"/>
  <c r="K519" i="2"/>
  <c r="G553" i="2"/>
  <c r="K566" i="2"/>
  <c r="E596" i="2"/>
  <c r="F596" i="2" s="1"/>
  <c r="J596" i="2"/>
  <c r="G596" i="2"/>
  <c r="H596" i="2" s="1"/>
  <c r="I596" i="2" s="1"/>
  <c r="K596" i="2"/>
  <c r="H668" i="2"/>
  <c r="F944" i="2"/>
  <c r="G944" i="2"/>
  <c r="H944" i="2" s="1"/>
  <c r="I944" i="2" s="1"/>
  <c r="G229" i="2"/>
  <c r="H229" i="2" s="1"/>
  <c r="G251" i="2"/>
  <c r="H251" i="2" s="1"/>
  <c r="E263" i="2"/>
  <c r="F263" i="2" s="1"/>
  <c r="G273" i="2"/>
  <c r="H273" i="2" s="1"/>
  <c r="E285" i="2"/>
  <c r="F285" i="2" s="1"/>
  <c r="G295" i="2"/>
  <c r="H295" i="2" s="1"/>
  <c r="E307" i="2"/>
  <c r="F307" i="2" s="1"/>
  <c r="G326" i="2"/>
  <c r="H326" i="2" s="1"/>
  <c r="J337" i="2"/>
  <c r="E337" i="2"/>
  <c r="G357" i="2"/>
  <c r="H357" i="2" s="1"/>
  <c r="I392" i="2"/>
  <c r="G394" i="2"/>
  <c r="H394" i="2" s="1"/>
  <c r="K396" i="2"/>
  <c r="H396" i="2"/>
  <c r="G396" i="2"/>
  <c r="G412" i="2"/>
  <c r="H412" i="2" s="1"/>
  <c r="I412" i="2" s="1"/>
  <c r="K414" i="2"/>
  <c r="G431" i="2"/>
  <c r="H431" i="2" s="1"/>
  <c r="G449" i="2"/>
  <c r="K449" i="2"/>
  <c r="J449" i="2"/>
  <c r="I449" i="2"/>
  <c r="H449" i="2"/>
  <c r="F449" i="2"/>
  <c r="J462" i="2"/>
  <c r="E465" i="2"/>
  <c r="G465" i="2" s="1"/>
  <c r="H465" i="2" s="1"/>
  <c r="I465" i="2" s="1"/>
  <c r="I468" i="2"/>
  <c r="F468" i="2"/>
  <c r="E468" i="2"/>
  <c r="K488" i="2"/>
  <c r="J488" i="2"/>
  <c r="I488" i="2"/>
  <c r="E488" i="2"/>
  <c r="F488" i="2" s="1"/>
  <c r="G498" i="2"/>
  <c r="H498" i="2" s="1"/>
  <c r="I498" i="2" s="1"/>
  <c r="K505" i="2"/>
  <c r="K593" i="2"/>
  <c r="J593" i="2"/>
  <c r="I593" i="2"/>
  <c r="E593" i="2"/>
  <c r="F593" i="2" s="1"/>
  <c r="G593" i="2"/>
  <c r="H593" i="2" s="1"/>
  <c r="E618" i="2"/>
  <c r="F618" i="2" s="1"/>
  <c r="K618" i="2"/>
  <c r="G618" i="2"/>
  <c r="H618" i="2" s="1"/>
  <c r="K626" i="2"/>
  <c r="J626" i="2"/>
  <c r="G626" i="2"/>
  <c r="H626" i="2" s="1"/>
  <c r="E626" i="2"/>
  <c r="I626" i="2"/>
  <c r="F626" i="2"/>
  <c r="K641" i="2"/>
  <c r="J641" i="2"/>
  <c r="F641" i="2"/>
  <c r="I641" i="2"/>
  <c r="H641" i="2"/>
  <c r="F644" i="2"/>
  <c r="I686" i="2"/>
  <c r="K686" i="2"/>
  <c r="E686" i="2"/>
  <c r="F686" i="2" s="1"/>
  <c r="G686" i="2"/>
  <c r="H686" i="2" s="1"/>
  <c r="F579" i="2"/>
  <c r="K579" i="2"/>
  <c r="I579" i="2"/>
  <c r="H579" i="2"/>
  <c r="E579" i="2"/>
  <c r="G579" i="2"/>
  <c r="K601" i="2"/>
  <c r="G601" i="2"/>
  <c r="H601" i="2" s="1"/>
  <c r="J601" i="2"/>
  <c r="I601" i="2"/>
  <c r="E601" i="2"/>
  <c r="F601" i="2" s="1"/>
  <c r="K634" i="2"/>
  <c r="G634" i="2"/>
  <c r="E634" i="2"/>
  <c r="H263" i="2"/>
  <c r="H285" i="2"/>
  <c r="H307" i="2"/>
  <c r="K357" i="2"/>
  <c r="K359" i="2"/>
  <c r="J388" i="2"/>
  <c r="J394" i="2"/>
  <c r="N11" i="5"/>
  <c r="J429" i="2"/>
  <c r="I429" i="2"/>
  <c r="J486" i="2"/>
  <c r="E486" i="2"/>
  <c r="K486" i="2"/>
  <c r="G486" i="2"/>
  <c r="H486" i="2" s="1"/>
  <c r="J579" i="2"/>
  <c r="F634" i="2"/>
  <c r="F671" i="2"/>
  <c r="E671" i="2"/>
  <c r="H671" i="2"/>
  <c r="G671" i="2"/>
  <c r="K671" i="2"/>
  <c r="J671" i="2"/>
  <c r="I263" i="2"/>
  <c r="I285" i="2"/>
  <c r="I307" i="2"/>
  <c r="K330" i="2"/>
  <c r="J369" i="2"/>
  <c r="G369" i="2"/>
  <c r="K443" i="2"/>
  <c r="G443" i="2"/>
  <c r="H443" i="2" s="1"/>
  <c r="F486" i="2"/>
  <c r="K491" i="2"/>
  <c r="F491" i="2"/>
  <c r="J491" i="2"/>
  <c r="I491" i="2"/>
  <c r="J554" i="2"/>
  <c r="F554" i="2"/>
  <c r="K554" i="2"/>
  <c r="I554" i="2"/>
  <c r="G554" i="2"/>
  <c r="H554" i="2" s="1"/>
  <c r="H634" i="2"/>
  <c r="I671" i="2"/>
  <c r="J722" i="2"/>
  <c r="K722" i="2"/>
  <c r="H722" i="2"/>
  <c r="E722" i="2"/>
  <c r="F722" i="2" s="1"/>
  <c r="I722" i="2"/>
  <c r="G722" i="2"/>
  <c r="F371" i="2"/>
  <c r="O11" i="5"/>
  <c r="F429" i="2"/>
  <c r="K434" i="2"/>
  <c r="J434" i="2"/>
  <c r="E443" i="2"/>
  <c r="F443" i="2" s="1"/>
  <c r="K463" i="2"/>
  <c r="J463" i="2"/>
  <c r="E491" i="2"/>
  <c r="E554" i="2"/>
  <c r="K589" i="2"/>
  <c r="G589" i="2"/>
  <c r="H589" i="2" s="1"/>
  <c r="E589" i="2"/>
  <c r="I634" i="2"/>
  <c r="G199" i="2"/>
  <c r="H199" i="2" s="1"/>
  <c r="G221" i="2"/>
  <c r="F238" i="2"/>
  <c r="G243" i="2"/>
  <c r="H243" i="2" s="1"/>
  <c r="F260" i="2"/>
  <c r="G265" i="2"/>
  <c r="H265" i="2" s="1"/>
  <c r="F282" i="2"/>
  <c r="G287" i="2"/>
  <c r="H287" i="2" s="1"/>
  <c r="F304" i="2"/>
  <c r="E311" i="2"/>
  <c r="G316" i="2"/>
  <c r="H316" i="2" s="1"/>
  <c r="F323" i="2"/>
  <c r="F330" i="2"/>
  <c r="G332" i="2"/>
  <c r="H332" i="2" s="1"/>
  <c r="I332" i="2" s="1"/>
  <c r="G343" i="2"/>
  <c r="H343" i="2" s="1"/>
  <c r="I343" i="2" s="1"/>
  <c r="E345" i="2"/>
  <c r="F345" i="2" s="1"/>
  <c r="G367" i="2"/>
  <c r="F369" i="2"/>
  <c r="E371" i="2"/>
  <c r="G371" i="2" s="1"/>
  <c r="H371" i="2" s="1"/>
  <c r="I371" i="2" s="1"/>
  <c r="E415" i="2"/>
  <c r="G415" i="2" s="1"/>
  <c r="H415" i="2" s="1"/>
  <c r="I415" i="2" s="1"/>
  <c r="K419" i="2"/>
  <c r="G419" i="2"/>
  <c r="H419" i="2" s="1"/>
  <c r="I419" i="2" s="1"/>
  <c r="F421" i="2"/>
  <c r="K423" i="2"/>
  <c r="I423" i="2"/>
  <c r="H423" i="2"/>
  <c r="G429" i="2"/>
  <c r="E434" i="2"/>
  <c r="F434" i="2" s="1"/>
  <c r="E463" i="2"/>
  <c r="G463" i="2" s="1"/>
  <c r="H463" i="2" s="1"/>
  <c r="I463" i="2" s="1"/>
  <c r="E466" i="2"/>
  <c r="F466" i="2" s="1"/>
  <c r="I486" i="2"/>
  <c r="G491" i="2"/>
  <c r="I506" i="2"/>
  <c r="K506" i="2"/>
  <c r="J506" i="2"/>
  <c r="H506" i="2"/>
  <c r="G506" i="2"/>
  <c r="F506" i="2"/>
  <c r="E509" i="2"/>
  <c r="K551" i="2"/>
  <c r="I551" i="2"/>
  <c r="G551" i="2"/>
  <c r="H551" i="2" s="1"/>
  <c r="E551" i="2"/>
  <c r="F551" i="2" s="1"/>
  <c r="F589" i="2"/>
  <c r="J634" i="2"/>
  <c r="K820" i="2"/>
  <c r="J820" i="2"/>
  <c r="G820" i="2"/>
  <c r="H820" i="2"/>
  <c r="I820" i="2" s="1"/>
  <c r="E820" i="2"/>
  <c r="F820" i="2" s="1"/>
  <c r="H221" i="2"/>
  <c r="G238" i="2"/>
  <c r="G260" i="2"/>
  <c r="H260" i="2" s="1"/>
  <c r="G282" i="2"/>
  <c r="H282" i="2" s="1"/>
  <c r="G304" i="2"/>
  <c r="F311" i="2"/>
  <c r="G323" i="2"/>
  <c r="H323" i="2" s="1"/>
  <c r="G330" i="2"/>
  <c r="H330" i="2" s="1"/>
  <c r="I330" i="2" s="1"/>
  <c r="J347" i="2"/>
  <c r="G347" i="2"/>
  <c r="H347" i="2" s="1"/>
  <c r="I347" i="2" s="1"/>
  <c r="H367" i="2"/>
  <c r="I367" i="2" s="1"/>
  <c r="H369" i="2"/>
  <c r="I369" i="2" s="1"/>
  <c r="H429" i="2"/>
  <c r="I443" i="2"/>
  <c r="K450" i="2"/>
  <c r="H450" i="2"/>
  <c r="G450" i="2"/>
  <c r="F463" i="2"/>
  <c r="K473" i="2"/>
  <c r="J473" i="2"/>
  <c r="H491" i="2"/>
  <c r="F509" i="2"/>
  <c r="G562" i="2"/>
  <c r="I562" i="2"/>
  <c r="H562" i="2"/>
  <c r="E562" i="2"/>
  <c r="F562" i="2"/>
  <c r="I589" i="2"/>
  <c r="E325" i="2"/>
  <c r="F325" i="2" s="1"/>
  <c r="G345" i="2"/>
  <c r="H345" i="2" s="1"/>
  <c r="I345" i="2" s="1"/>
  <c r="E347" i="2"/>
  <c r="F347" i="2" s="1"/>
  <c r="F356" i="2"/>
  <c r="H393" i="2"/>
  <c r="F393" i="2"/>
  <c r="J413" i="2"/>
  <c r="I413" i="2"/>
  <c r="G413" i="2"/>
  <c r="H413" i="2" s="1"/>
  <c r="F413" i="2"/>
  <c r="K429" i="2"/>
  <c r="G434" i="2"/>
  <c r="H434" i="2" s="1"/>
  <c r="K441" i="2"/>
  <c r="J441" i="2"/>
  <c r="J443" i="2"/>
  <c r="E450" i="2"/>
  <c r="F450" i="2" s="1"/>
  <c r="J466" i="2"/>
  <c r="E473" i="2"/>
  <c r="K482" i="2"/>
  <c r="H482" i="2"/>
  <c r="G482" i="2"/>
  <c r="K499" i="2"/>
  <c r="J499" i="2"/>
  <c r="E499" i="2"/>
  <c r="G499" i="2" s="1"/>
  <c r="H499" i="2" s="1"/>
  <c r="I499" i="2" s="1"/>
  <c r="G509" i="2"/>
  <c r="J509" i="2" s="1"/>
  <c r="K509" i="2" s="1"/>
  <c r="J562" i="2"/>
  <c r="J589" i="2"/>
  <c r="J632" i="2"/>
  <c r="E632" i="2"/>
  <c r="F632" i="2" s="1"/>
  <c r="H675" i="2"/>
  <c r="F693" i="2"/>
  <c r="E693" i="2"/>
  <c r="G693" i="2"/>
  <c r="H693" i="2" s="1"/>
  <c r="F941" i="2"/>
  <c r="E941" i="2"/>
  <c r="J941" i="2"/>
  <c r="K941" i="2"/>
  <c r="G941" i="2"/>
  <c r="H941" i="2" s="1"/>
  <c r="I941" i="2" s="1"/>
  <c r="G953" i="2"/>
  <c r="H953" i="2" s="1"/>
  <c r="I953" i="2" s="1"/>
  <c r="F953" i="2"/>
  <c r="K729" i="2"/>
  <c r="G729" i="2"/>
  <c r="H729" i="2" s="1"/>
  <c r="K845" i="2"/>
  <c r="J845" i="2"/>
  <c r="I845" i="2"/>
  <c r="H845" i="2"/>
  <c r="E845" i="2"/>
  <c r="F845" i="2"/>
  <c r="K888" i="2"/>
  <c r="J888" i="2"/>
  <c r="E888" i="2"/>
  <c r="F888" i="2" s="1"/>
  <c r="J938" i="2"/>
  <c r="E938" i="2"/>
  <c r="G938" i="2" s="1"/>
  <c r="H938" i="2" s="1"/>
  <c r="I938" i="2" s="1"/>
  <c r="K938" i="2"/>
  <c r="I521" i="2"/>
  <c r="K632" i="2"/>
  <c r="I682" i="2"/>
  <c r="K682" i="2"/>
  <c r="E682" i="2"/>
  <c r="F682" i="2" s="1"/>
  <c r="F729" i="2"/>
  <c r="J753" i="2"/>
  <c r="G753" i="2"/>
  <c r="I753" i="2"/>
  <c r="H753" i="2"/>
  <c r="J808" i="2"/>
  <c r="K808" i="2"/>
  <c r="E808" i="2"/>
  <c r="G808" i="2" s="1"/>
  <c r="H808" i="2" s="1"/>
  <c r="I808" i="2" s="1"/>
  <c r="J822" i="2"/>
  <c r="G822" i="2"/>
  <c r="H822" i="2" s="1"/>
  <c r="I822" i="2" s="1"/>
  <c r="K822" i="2"/>
  <c r="E822" i="2"/>
  <c r="F822" i="2" s="1"/>
  <c r="K891" i="2"/>
  <c r="G891" i="2"/>
  <c r="H891" i="2" s="1"/>
  <c r="I891" i="2" s="1"/>
  <c r="F891" i="2"/>
  <c r="J891" i="2"/>
  <c r="E891" i="2"/>
  <c r="I459" i="2"/>
  <c r="F529" i="2"/>
  <c r="F535" i="2"/>
  <c r="I535" i="2"/>
  <c r="E537" i="2"/>
  <c r="J539" i="2"/>
  <c r="E539" i="2"/>
  <c r="J541" i="2"/>
  <c r="K541" i="2" s="1"/>
  <c r="G541" i="2"/>
  <c r="H541" i="2" s="1"/>
  <c r="I541" i="2" s="1"/>
  <c r="E541" i="2"/>
  <c r="F541" i="2" s="1"/>
  <c r="I594" i="2"/>
  <c r="J594" i="2"/>
  <c r="E594" i="2"/>
  <c r="F594" i="2" s="1"/>
  <c r="G609" i="2"/>
  <c r="H609" i="2" s="1"/>
  <c r="F609" i="2"/>
  <c r="E609" i="2"/>
  <c r="J609" i="2"/>
  <c r="J646" i="2"/>
  <c r="E646" i="2"/>
  <c r="F646" i="2" s="1"/>
  <c r="K648" i="2"/>
  <c r="J648" i="2"/>
  <c r="F648" i="2"/>
  <c r="G725" i="2"/>
  <c r="H725" i="2" s="1"/>
  <c r="F725" i="2"/>
  <c r="E725" i="2"/>
  <c r="I729" i="2"/>
  <c r="I739" i="2"/>
  <c r="K739" i="2"/>
  <c r="J739" i="2"/>
  <c r="E739" i="2"/>
  <c r="I796" i="2"/>
  <c r="E796" i="2"/>
  <c r="F796" i="2" s="1"/>
  <c r="G796" i="2"/>
  <c r="H796" i="2" s="1"/>
  <c r="J871" i="2"/>
  <c r="I871" i="2"/>
  <c r="E871" i="2"/>
  <c r="F871" i="2" s="1"/>
  <c r="G871" i="2"/>
  <c r="H871" i="2" s="1"/>
  <c r="J1008" i="2"/>
  <c r="I1008" i="2"/>
  <c r="H1008" i="2"/>
  <c r="G1008" i="2"/>
  <c r="F1008" i="2"/>
  <c r="E1008" i="2"/>
  <c r="K1008" i="2"/>
  <c r="H794" i="2"/>
  <c r="K1023" i="2"/>
  <c r="J1023" i="2"/>
  <c r="I1023" i="2"/>
  <c r="E1023" i="2"/>
  <c r="G1023" i="2"/>
  <c r="H1023" i="2"/>
  <c r="F1023" i="2"/>
  <c r="J1043" i="2"/>
  <c r="G1043" i="2"/>
  <c r="H1043" i="2" s="1"/>
  <c r="F1043" i="2"/>
  <c r="K1043" i="2"/>
  <c r="I1043" i="2"/>
  <c r="E1043" i="2"/>
  <c r="J840" i="2"/>
  <c r="I840" i="2"/>
  <c r="H840" i="2"/>
  <c r="G840" i="2"/>
  <c r="E840" i="2"/>
  <c r="F840" i="2" s="1"/>
  <c r="F1035" i="2"/>
  <c r="K1035" i="2"/>
  <c r="J1035" i="2"/>
  <c r="I1035" i="2"/>
  <c r="H1035" i="2"/>
  <c r="G1035" i="2"/>
  <c r="E1035" i="2"/>
  <c r="H454" i="2"/>
  <c r="H479" i="2"/>
  <c r="H529" i="2"/>
  <c r="I529" i="2" s="1"/>
  <c r="G531" i="2"/>
  <c r="H531" i="2" s="1"/>
  <c r="I531" i="2" s="1"/>
  <c r="G533" i="2"/>
  <c r="H533" i="2" s="1"/>
  <c r="I533" i="2" s="1"/>
  <c r="H535" i="2"/>
  <c r="J577" i="2"/>
  <c r="K577" i="2"/>
  <c r="H577" i="2"/>
  <c r="E577" i="2"/>
  <c r="H594" i="2"/>
  <c r="K619" i="2"/>
  <c r="J619" i="2"/>
  <c r="G619" i="2"/>
  <c r="H619" i="2" s="1"/>
  <c r="E619" i="2"/>
  <c r="F619" i="2" s="1"/>
  <c r="H646" i="2"/>
  <c r="H648" i="2"/>
  <c r="G655" i="2"/>
  <c r="H655" i="2" s="1"/>
  <c r="I664" i="2"/>
  <c r="H664" i="2"/>
  <c r="K664" i="2"/>
  <c r="E664" i="2"/>
  <c r="F664" i="2" s="1"/>
  <c r="H699" i="2"/>
  <c r="K699" i="2"/>
  <c r="F699" i="2"/>
  <c r="K725" i="2"/>
  <c r="F737" i="2"/>
  <c r="E737" i="2"/>
  <c r="K737" i="2"/>
  <c r="G737" i="2"/>
  <c r="H737" i="2" s="1"/>
  <c r="H739" i="2"/>
  <c r="K840" i="2"/>
  <c r="E853" i="2"/>
  <c r="K853" i="2"/>
  <c r="J853" i="2"/>
  <c r="G853" i="2"/>
  <c r="F853" i="2"/>
  <c r="I853" i="2"/>
  <c r="H853" i="2"/>
  <c r="J939" i="2"/>
  <c r="E939" i="2"/>
  <c r="G939" i="2"/>
  <c r="H939" i="2" s="1"/>
  <c r="I939" i="2" s="1"/>
  <c r="K939" i="2"/>
  <c r="F939" i="2"/>
  <c r="E763" i="2"/>
  <c r="G763" i="2" s="1"/>
  <c r="H763" i="2" s="1"/>
  <c r="I763" i="2" s="1"/>
  <c r="J864" i="2"/>
  <c r="I864" i="2"/>
  <c r="E864" i="2"/>
  <c r="F864" i="2" s="1"/>
  <c r="H864" i="2"/>
  <c r="G864" i="2"/>
  <c r="G975" i="2"/>
  <c r="H975" i="2" s="1"/>
  <c r="I975" i="2" s="1"/>
  <c r="F975" i="2"/>
  <c r="E508" i="2"/>
  <c r="G508" i="2" s="1"/>
  <c r="K573" i="2"/>
  <c r="G573" i="2"/>
  <c r="K624" i="2"/>
  <c r="I624" i="2"/>
  <c r="G624" i="2"/>
  <c r="F624" i="2"/>
  <c r="F651" i="2"/>
  <c r="I655" i="2"/>
  <c r="J664" i="2"/>
  <c r="O16" i="5"/>
  <c r="F763" i="2"/>
  <c r="K864" i="2"/>
  <c r="K901" i="2"/>
  <c r="J901" i="2"/>
  <c r="G901" i="2"/>
  <c r="H901" i="2" s="1"/>
  <c r="E901" i="2"/>
  <c r="F901" i="2" s="1"/>
  <c r="K925" i="2"/>
  <c r="J925" i="2"/>
  <c r="F925" i="2"/>
  <c r="E925" i="2"/>
  <c r="G925" i="2" s="1"/>
  <c r="H925" i="2" s="1"/>
  <c r="I925" i="2" s="1"/>
  <c r="K991" i="2"/>
  <c r="I991" i="2"/>
  <c r="G991" i="2"/>
  <c r="H991" i="2" s="1"/>
  <c r="J991" i="2"/>
  <c r="F991" i="2"/>
  <c r="E492" i="2"/>
  <c r="F492" i="2" s="1"/>
  <c r="I510" i="2"/>
  <c r="E552" i="2"/>
  <c r="I552" i="2"/>
  <c r="E573" i="2"/>
  <c r="K617" i="2"/>
  <c r="J617" i="2"/>
  <c r="E617" i="2"/>
  <c r="F617" i="2" s="1"/>
  <c r="J622" i="2"/>
  <c r="I622" i="2"/>
  <c r="E622" i="2"/>
  <c r="F622" i="2" s="1"/>
  <c r="E624" i="2"/>
  <c r="J735" i="2"/>
  <c r="I735" i="2"/>
  <c r="K735" i="2"/>
  <c r="E735" i="2"/>
  <c r="J877" i="2"/>
  <c r="K877" i="2"/>
  <c r="I877" i="2"/>
  <c r="E877" i="2"/>
  <c r="F877" i="2" s="1"/>
  <c r="K1128" i="2"/>
  <c r="I1128" i="2"/>
  <c r="G1128" i="2"/>
  <c r="E1128" i="2"/>
  <c r="F1128" i="2" s="1"/>
  <c r="H1128" i="2"/>
  <c r="J1128" i="2"/>
  <c r="I428" i="2"/>
  <c r="I440" i="2"/>
  <c r="I447" i="2"/>
  <c r="J454" i="2"/>
  <c r="J461" i="2"/>
  <c r="I472" i="2"/>
  <c r="J479" i="2"/>
  <c r="E514" i="2"/>
  <c r="F514" i="2" s="1"/>
  <c r="G544" i="2"/>
  <c r="H544" i="2" s="1"/>
  <c r="I544" i="2" s="1"/>
  <c r="F552" i="2"/>
  <c r="F573" i="2"/>
  <c r="J586" i="2"/>
  <c r="G586" i="2"/>
  <c r="H586" i="2" s="1"/>
  <c r="E586" i="2"/>
  <c r="F599" i="2"/>
  <c r="K610" i="2"/>
  <c r="I610" i="2"/>
  <c r="G610" i="2"/>
  <c r="H610" i="2" s="1"/>
  <c r="F610" i="2"/>
  <c r="G617" i="2"/>
  <c r="H617" i="2" s="1"/>
  <c r="H624" i="2"/>
  <c r="K631" i="2"/>
  <c r="J631" i="2"/>
  <c r="H631" i="2"/>
  <c r="F631" i="2"/>
  <c r="E631" i="2"/>
  <c r="K655" i="2"/>
  <c r="E662" i="2"/>
  <c r="F662" i="2" s="1"/>
  <c r="H662" i="2"/>
  <c r="K690" i="2"/>
  <c r="I690" i="2"/>
  <c r="G690" i="2"/>
  <c r="H690" i="2" s="1"/>
  <c r="F690" i="2"/>
  <c r="H697" i="2"/>
  <c r="I708" i="2"/>
  <c r="H708" i="2"/>
  <c r="K708" i="2"/>
  <c r="E708" i="2"/>
  <c r="F708" i="2" s="1"/>
  <c r="F735" i="2"/>
  <c r="J763" i="2"/>
  <c r="G877" i="2"/>
  <c r="H877" i="2" s="1"/>
  <c r="I901" i="2"/>
  <c r="E381" i="2"/>
  <c r="E403" i="2"/>
  <c r="E425" i="2"/>
  <c r="F425" i="2" s="1"/>
  <c r="F444" i="2"/>
  <c r="J447" i="2"/>
  <c r="K454" i="2"/>
  <c r="K461" i="2"/>
  <c r="E467" i="2"/>
  <c r="F467" i="2" s="1"/>
  <c r="J472" i="2"/>
  <c r="K479" i="2"/>
  <c r="G492" i="2"/>
  <c r="F512" i="2"/>
  <c r="E516" i="2"/>
  <c r="F516" i="2" s="1"/>
  <c r="J518" i="2"/>
  <c r="G518" i="2"/>
  <c r="H518" i="2" s="1"/>
  <c r="I518" i="2" s="1"/>
  <c r="K542" i="2"/>
  <c r="H542" i="2"/>
  <c r="I542" i="2" s="1"/>
  <c r="G552" i="2"/>
  <c r="H573" i="2"/>
  <c r="G584" i="2"/>
  <c r="H584" i="2" s="1"/>
  <c r="K584" i="2"/>
  <c r="I584" i="2"/>
  <c r="E584" i="2"/>
  <c r="I617" i="2"/>
  <c r="G622" i="2"/>
  <c r="H622" i="2" s="1"/>
  <c r="J624" i="2"/>
  <c r="J629" i="2"/>
  <c r="I629" i="2"/>
  <c r="E629" i="2"/>
  <c r="F629" i="2" s="1"/>
  <c r="I660" i="2"/>
  <c r="K660" i="2"/>
  <c r="F660" i="2"/>
  <c r="E660" i="2"/>
  <c r="G735" i="2"/>
  <c r="K763" i="2"/>
  <c r="G797" i="2"/>
  <c r="H797" i="2"/>
  <c r="F797" i="2"/>
  <c r="K797" i="2"/>
  <c r="J797" i="2"/>
  <c r="I797" i="2"/>
  <c r="E797" i="2"/>
  <c r="G826" i="2"/>
  <c r="H826" i="2" s="1"/>
  <c r="I826" i="2" s="1"/>
  <c r="F826" i="2"/>
  <c r="J899" i="2"/>
  <c r="I899" i="2"/>
  <c r="H899" i="2"/>
  <c r="E899" i="2"/>
  <c r="F899" i="2" s="1"/>
  <c r="G899" i="2"/>
  <c r="K969" i="2"/>
  <c r="J969" i="2"/>
  <c r="E969" i="2"/>
  <c r="G969" i="2" s="1"/>
  <c r="H969" i="2" s="1"/>
  <c r="I969" i="2" s="1"/>
  <c r="H492" i="2"/>
  <c r="G514" i="2"/>
  <c r="H514" i="2" s="1"/>
  <c r="G548" i="2"/>
  <c r="H548" i="2" s="1"/>
  <c r="E548" i="2"/>
  <c r="F548" i="2" s="1"/>
  <c r="H552" i="2"/>
  <c r="I573" i="2"/>
  <c r="G595" i="2"/>
  <c r="H595" i="2" s="1"/>
  <c r="I595" i="2" s="1"/>
  <c r="E595" i="2"/>
  <c r="F595" i="2" s="1"/>
  <c r="J595" i="2"/>
  <c r="H620" i="2"/>
  <c r="H735" i="2"/>
  <c r="K899" i="2"/>
  <c r="G467" i="2"/>
  <c r="K469" i="2"/>
  <c r="E485" i="2"/>
  <c r="F485" i="2" s="1"/>
  <c r="I492" i="2"/>
  <c r="H512" i="2"/>
  <c r="G516" i="2"/>
  <c r="K520" i="2"/>
  <c r="E538" i="2"/>
  <c r="E540" i="2"/>
  <c r="G540" i="2" s="1"/>
  <c r="H540" i="2" s="1"/>
  <c r="I540" i="2" s="1"/>
  <c r="J552" i="2"/>
  <c r="J563" i="2"/>
  <c r="G563" i="2"/>
  <c r="H563" i="2" s="1"/>
  <c r="J573" i="2"/>
  <c r="E620" i="2"/>
  <c r="K622" i="2"/>
  <c r="H660" i="2"/>
  <c r="H677" i="2"/>
  <c r="K677" i="2"/>
  <c r="F677" i="2"/>
  <c r="I785" i="2"/>
  <c r="K785" i="2"/>
  <c r="F785" i="2"/>
  <c r="E785" i="2"/>
  <c r="E831" i="2"/>
  <c r="K831" i="2"/>
  <c r="J831" i="2"/>
  <c r="I831" i="2"/>
  <c r="F831" i="2"/>
  <c r="H831" i="2"/>
  <c r="G831" i="2"/>
  <c r="H381" i="2"/>
  <c r="H403" i="2"/>
  <c r="E410" i="2"/>
  <c r="H425" i="2"/>
  <c r="E432" i="2"/>
  <c r="F432" i="2" s="1"/>
  <c r="H444" i="2"/>
  <c r="G451" i="2"/>
  <c r="H451" i="2" s="1"/>
  <c r="G458" i="2"/>
  <c r="H458" i="2" s="1"/>
  <c r="H467" i="2"/>
  <c r="E469" i="2"/>
  <c r="F469" i="2" s="1"/>
  <c r="G476" i="2"/>
  <c r="H476" i="2" s="1"/>
  <c r="H483" i="2"/>
  <c r="J492" i="2"/>
  <c r="G494" i="2"/>
  <c r="H494" i="2" s="1"/>
  <c r="G496" i="2"/>
  <c r="H496" i="2" s="1"/>
  <c r="I496" i="2" s="1"/>
  <c r="G501" i="2"/>
  <c r="H501" i="2" s="1"/>
  <c r="I501" i="2" s="1"/>
  <c r="I503" i="2"/>
  <c r="I512" i="2"/>
  <c r="I514" i="2"/>
  <c r="H516" i="2"/>
  <c r="I516" i="2" s="1"/>
  <c r="E520" i="2"/>
  <c r="G520" i="2" s="1"/>
  <c r="H520" i="2" s="1"/>
  <c r="I520" i="2" s="1"/>
  <c r="F524" i="2"/>
  <c r="J532" i="2"/>
  <c r="E532" i="2"/>
  <c r="J534" i="2"/>
  <c r="E534" i="2"/>
  <c r="F534" i="2" s="1"/>
  <c r="G536" i="2"/>
  <c r="F536" i="2"/>
  <c r="F538" i="2"/>
  <c r="F540" i="2"/>
  <c r="G542" i="2"/>
  <c r="I548" i="2"/>
  <c r="K552" i="2"/>
  <c r="E563" i="2"/>
  <c r="F563" i="2" s="1"/>
  <c r="K565" i="2"/>
  <c r="I565" i="2"/>
  <c r="H565" i="2"/>
  <c r="F565" i="2"/>
  <c r="G580" i="2"/>
  <c r="H580" i="2" s="1"/>
  <c r="J584" i="2"/>
  <c r="K595" i="2"/>
  <c r="K608" i="2"/>
  <c r="J608" i="2"/>
  <c r="F608" i="2"/>
  <c r="F620" i="2"/>
  <c r="H627" i="2"/>
  <c r="H629" i="2"/>
  <c r="E640" i="2"/>
  <c r="F640" i="2" s="1"/>
  <c r="K640" i="2"/>
  <c r="J640" i="2"/>
  <c r="I640" i="2"/>
  <c r="G640" i="2"/>
  <c r="H640" i="2" s="1"/>
  <c r="J660" i="2"/>
  <c r="J662" i="2"/>
  <c r="E677" i="2"/>
  <c r="J695" i="2"/>
  <c r="F695" i="2"/>
  <c r="E695" i="2"/>
  <c r="H743" i="2"/>
  <c r="E743" i="2"/>
  <c r="K743" i="2"/>
  <c r="F743" i="2"/>
  <c r="G785" i="2"/>
  <c r="G485" i="2"/>
  <c r="J512" i="2"/>
  <c r="J514" i="2"/>
  <c r="K528" i="2"/>
  <c r="G528" i="2"/>
  <c r="H528" i="2" s="1"/>
  <c r="I528" i="2" s="1"/>
  <c r="G538" i="2"/>
  <c r="J538" i="2" s="1"/>
  <c r="K538" i="2" s="1"/>
  <c r="J548" i="2"/>
  <c r="J561" i="2"/>
  <c r="F561" i="2"/>
  <c r="I580" i="2"/>
  <c r="G620" i="2"/>
  <c r="K629" i="2"/>
  <c r="G677" i="2"/>
  <c r="E706" i="2"/>
  <c r="H706" i="2"/>
  <c r="H785" i="2"/>
  <c r="K824" i="2"/>
  <c r="J824" i="2"/>
  <c r="E824" i="2"/>
  <c r="F824" i="2" s="1"/>
  <c r="K847" i="2"/>
  <c r="I847" i="2"/>
  <c r="G847" i="2"/>
  <c r="H847" i="2" s="1"/>
  <c r="E847" i="2"/>
  <c r="F847" i="2" s="1"/>
  <c r="J847" i="2"/>
  <c r="O24" i="5"/>
  <c r="K957" i="2"/>
  <c r="J957" i="2"/>
  <c r="E957" i="2"/>
  <c r="G957" i="2" s="1"/>
  <c r="H957" i="2" s="1"/>
  <c r="I957" i="2" s="1"/>
  <c r="F439" i="2"/>
  <c r="J444" i="2"/>
  <c r="K467" i="2"/>
  <c r="H469" i="2"/>
  <c r="E471" i="2"/>
  <c r="F471" i="2" s="1"/>
  <c r="J476" i="2"/>
  <c r="J483" i="2"/>
  <c r="I494" i="2"/>
  <c r="J501" i="2"/>
  <c r="K512" i="2"/>
  <c r="J516" i="2"/>
  <c r="K518" i="2"/>
  <c r="E526" i="2"/>
  <c r="E528" i="2"/>
  <c r="F528" i="2" s="1"/>
  <c r="H538" i="2"/>
  <c r="I538" i="2" s="1"/>
  <c r="J542" i="2"/>
  <c r="K548" i="2"/>
  <c r="E561" i="2"/>
  <c r="J580" i="2"/>
  <c r="G608" i="2"/>
  <c r="H608" i="2" s="1"/>
  <c r="I620" i="2"/>
  <c r="F627" i="2"/>
  <c r="J636" i="2"/>
  <c r="H636" i="2"/>
  <c r="G636" i="2"/>
  <c r="I677" i="2"/>
  <c r="H695" i="2"/>
  <c r="I704" i="2"/>
  <c r="K704" i="2"/>
  <c r="F704" i="2"/>
  <c r="E704" i="2"/>
  <c r="F706" i="2"/>
  <c r="F733" i="2"/>
  <c r="K733" i="2"/>
  <c r="G733" i="2"/>
  <c r="H733" i="2" s="1"/>
  <c r="I743" i="2"/>
  <c r="E759" i="2"/>
  <c r="F759" i="2" s="1"/>
  <c r="I759" i="2"/>
  <c r="J759" i="2"/>
  <c r="H759" i="2"/>
  <c r="G764" i="2"/>
  <c r="H764" i="2" s="1"/>
  <c r="I764" i="2" s="1"/>
  <c r="J764" i="2"/>
  <c r="K764" i="2"/>
  <c r="E764" i="2"/>
  <c r="F764" i="2" s="1"/>
  <c r="J785" i="2"/>
  <c r="E857" i="2"/>
  <c r="J857" i="2"/>
  <c r="G857" i="2"/>
  <c r="F857" i="2"/>
  <c r="H857" i="2"/>
  <c r="H590" i="2"/>
  <c r="J765" i="2"/>
  <c r="E765" i="2"/>
  <c r="J769" i="2"/>
  <c r="I789" i="2"/>
  <c r="E789" i="2"/>
  <c r="F789" i="2" s="1"/>
  <c r="K798" i="2"/>
  <c r="J798" i="2"/>
  <c r="I798" i="2"/>
  <c r="F798" i="2"/>
  <c r="G800" i="2"/>
  <c r="H800" i="2" s="1"/>
  <c r="F800" i="2"/>
  <c r="E800" i="2"/>
  <c r="G830" i="2"/>
  <c r="H830" i="2" s="1"/>
  <c r="F830" i="2"/>
  <c r="K830" i="2"/>
  <c r="J830" i="2"/>
  <c r="J731" i="2"/>
  <c r="G731" i="2"/>
  <c r="H731" i="2" s="1"/>
  <c r="I776" i="2"/>
  <c r="H776" i="2"/>
  <c r="E787" i="2"/>
  <c r="O19" i="5"/>
  <c r="G893" i="2"/>
  <c r="H893" i="2" s="1"/>
  <c r="I893" i="2" s="1"/>
  <c r="F893" i="2"/>
  <c r="E893" i="2"/>
  <c r="J893" i="2"/>
  <c r="G924" i="2"/>
  <c r="H924" i="2" s="1"/>
  <c r="I924" i="2" s="1"/>
  <c r="K924" i="2"/>
  <c r="E924" i="2"/>
  <c r="F924" i="2" s="1"/>
  <c r="F966" i="2"/>
  <c r="G966" i="2"/>
  <c r="H966" i="2" s="1"/>
  <c r="I966" i="2" s="1"/>
  <c r="I599" i="2"/>
  <c r="J606" i="2"/>
  <c r="I731" i="2"/>
  <c r="I741" i="2"/>
  <c r="E741" i="2"/>
  <c r="G747" i="2"/>
  <c r="H747" i="2" s="1"/>
  <c r="K747" i="2"/>
  <c r="I761" i="2"/>
  <c r="E761" i="2"/>
  <c r="F761" i="2" s="1"/>
  <c r="G772" i="2"/>
  <c r="H772" i="2" s="1"/>
  <c r="I772" i="2" s="1"/>
  <c r="J776" i="2"/>
  <c r="J787" i="2"/>
  <c r="K789" i="2"/>
  <c r="G805" i="2"/>
  <c r="H805" i="2" s="1"/>
  <c r="I805" i="2" s="1"/>
  <c r="J833" i="2"/>
  <c r="I833" i="2"/>
  <c r="H833" i="2"/>
  <c r="G833" i="2"/>
  <c r="F833" i="2"/>
  <c r="K838" i="2"/>
  <c r="J838" i="2"/>
  <c r="I838" i="2"/>
  <c r="F838" i="2"/>
  <c r="G1046" i="2"/>
  <c r="H1046" i="2" s="1"/>
  <c r="I1046" i="2" s="1"/>
  <c r="F1046" i="2"/>
  <c r="J1130" i="2"/>
  <c r="I1130" i="2"/>
  <c r="G1130" i="2"/>
  <c r="H1130" i="2" s="1"/>
  <c r="E1130" i="2"/>
  <c r="F1130" i="2" s="1"/>
  <c r="K1130" i="2"/>
  <c r="H575" i="2"/>
  <c r="H582" i="2"/>
  <c r="H615" i="2"/>
  <c r="F645" i="2"/>
  <c r="K718" i="2"/>
  <c r="J718" i="2"/>
  <c r="G720" i="2"/>
  <c r="H720" i="2" s="1"/>
  <c r="F720" i="2"/>
  <c r="J766" i="2"/>
  <c r="J768" i="2"/>
  <c r="K768" i="2"/>
  <c r="G783" i="2"/>
  <c r="H783" i="2" s="1"/>
  <c r="I783" i="2" s="1"/>
  <c r="J783" i="2"/>
  <c r="I843" i="2"/>
  <c r="E843" i="2"/>
  <c r="F843" i="2" s="1"/>
  <c r="K973" i="2"/>
  <c r="J973" i="2"/>
  <c r="H681" i="2"/>
  <c r="G681" i="2"/>
  <c r="H703" i="2"/>
  <c r="G703" i="2"/>
  <c r="J724" i="2"/>
  <c r="F724" i="2"/>
  <c r="I726" i="2"/>
  <c r="F726" i="2"/>
  <c r="E766" i="2"/>
  <c r="G766" i="2" s="1"/>
  <c r="E768" i="2"/>
  <c r="G768" i="2" s="1"/>
  <c r="H768" i="2" s="1"/>
  <c r="I768" i="2" s="1"/>
  <c r="E783" i="2"/>
  <c r="F783" i="2" s="1"/>
  <c r="J790" i="2"/>
  <c r="G790" i="2"/>
  <c r="F790" i="2"/>
  <c r="K790" i="2"/>
  <c r="J836" i="2"/>
  <c r="G836" i="2"/>
  <c r="H836" i="2" s="1"/>
  <c r="E836" i="2"/>
  <c r="F836" i="2" s="1"/>
  <c r="G843" i="2"/>
  <c r="H843" i="2" s="1"/>
  <c r="F879" i="2"/>
  <c r="K879" i="2"/>
  <c r="J879" i="2"/>
  <c r="I879" i="2"/>
  <c r="H879" i="2"/>
  <c r="G879" i="2"/>
  <c r="E879" i="2"/>
  <c r="F909" i="2"/>
  <c r="E973" i="2"/>
  <c r="G973" i="2" s="1"/>
  <c r="H973" i="2" s="1"/>
  <c r="I973" i="2" s="1"/>
  <c r="H530" i="2"/>
  <c r="I530" i="2" s="1"/>
  <c r="F612" i="2"/>
  <c r="H633" i="2"/>
  <c r="F638" i="2"/>
  <c r="H645" i="2"/>
  <c r="G652" i="2"/>
  <c r="H652" i="2" s="1"/>
  <c r="G659" i="2"/>
  <c r="H659" i="2" s="1"/>
  <c r="G670" i="2"/>
  <c r="H670" i="2" s="1"/>
  <c r="F672" i="2"/>
  <c r="K674" i="2"/>
  <c r="J674" i="2"/>
  <c r="F681" i="2"/>
  <c r="G692" i="2"/>
  <c r="H692" i="2" s="1"/>
  <c r="F694" i="2"/>
  <c r="K696" i="2"/>
  <c r="J696" i="2"/>
  <c r="F703" i="2"/>
  <c r="G718" i="2"/>
  <c r="H718" i="2" s="1"/>
  <c r="I720" i="2"/>
  <c r="G724" i="2"/>
  <c r="H724" i="2" s="1"/>
  <c r="G726" i="2"/>
  <c r="H726" i="2" s="1"/>
  <c r="I730" i="2"/>
  <c r="H730" i="2"/>
  <c r="H766" i="2"/>
  <c r="I766" i="2" s="1"/>
  <c r="K777" i="2"/>
  <c r="J777" i="2"/>
  <c r="G777" i="2"/>
  <c r="H777" i="2" s="1"/>
  <c r="I777" i="2" s="1"/>
  <c r="H779" i="2"/>
  <c r="I779" i="2" s="1"/>
  <c r="G779" i="2"/>
  <c r="F779" i="2"/>
  <c r="H790" i="2"/>
  <c r="I790" i="2" s="1"/>
  <c r="K813" i="2"/>
  <c r="J813" i="2"/>
  <c r="G813" i="2"/>
  <c r="H813" i="2" s="1"/>
  <c r="I813" i="2" s="1"/>
  <c r="F813" i="2"/>
  <c r="I836" i="2"/>
  <c r="J843" i="2"/>
  <c r="H846" i="2"/>
  <c r="K846" i="2"/>
  <c r="G846" i="2"/>
  <c r="F846" i="2"/>
  <c r="J897" i="2"/>
  <c r="I897" i="2"/>
  <c r="G897" i="2"/>
  <c r="H897" i="2" s="1"/>
  <c r="F897" i="2"/>
  <c r="J1030" i="2"/>
  <c r="G1030" i="2"/>
  <c r="H1030" i="2" s="1"/>
  <c r="I1030" i="2" s="1"/>
  <c r="K1030" i="2"/>
  <c r="E1030" i="2"/>
  <c r="F1030" i="2" s="1"/>
  <c r="H612" i="2"/>
  <c r="H638" i="2"/>
  <c r="I672" i="2"/>
  <c r="G676" i="2"/>
  <c r="H676" i="2" s="1"/>
  <c r="G698" i="2"/>
  <c r="H698" i="2" s="1"/>
  <c r="F698" i="2"/>
  <c r="K773" i="2"/>
  <c r="E773" i="2"/>
  <c r="K775" i="2"/>
  <c r="E786" i="2"/>
  <c r="G786" i="2" s="1"/>
  <c r="H786" i="2" s="1"/>
  <c r="I786" i="2" s="1"/>
  <c r="J806" i="2"/>
  <c r="E806" i="2"/>
  <c r="G806" i="2" s="1"/>
  <c r="H806" i="2" s="1"/>
  <c r="I806" i="2" s="1"/>
  <c r="G863" i="2"/>
  <c r="H863" i="2" s="1"/>
  <c r="K863" i="2"/>
  <c r="J863" i="2"/>
  <c r="I863" i="2"/>
  <c r="F863" i="2"/>
  <c r="K912" i="2"/>
  <c r="J912" i="2"/>
  <c r="G912" i="2"/>
  <c r="H912" i="2" s="1"/>
  <c r="I912" i="2" s="1"/>
  <c r="F912" i="2"/>
  <c r="O22" i="5"/>
  <c r="G951" i="2"/>
  <c r="H951" i="2" s="1"/>
  <c r="K951" i="2"/>
  <c r="J951" i="2"/>
  <c r="I951" i="2"/>
  <c r="F951" i="2"/>
  <c r="E951" i="2"/>
  <c r="J1004" i="2"/>
  <c r="H1004" i="2"/>
  <c r="E1004" i="2"/>
  <c r="F1004" i="2" s="1"/>
  <c r="G1004" i="2"/>
  <c r="K1004" i="2"/>
  <c r="G1012" i="2"/>
  <c r="F1012" i="2"/>
  <c r="E1012" i="2"/>
  <c r="K1012" i="2"/>
  <c r="J1012" i="2"/>
  <c r="I1012" i="2"/>
  <c r="H1012" i="2"/>
  <c r="K530" i="2"/>
  <c r="E567" i="2"/>
  <c r="F567" i="2" s="1"/>
  <c r="E581" i="2"/>
  <c r="I612" i="2"/>
  <c r="E614" i="2"/>
  <c r="F614" i="2" s="1"/>
  <c r="E621" i="2"/>
  <c r="F621" i="2" s="1"/>
  <c r="E628" i="2"/>
  <c r="F628" i="2" s="1"/>
  <c r="J638" i="2"/>
  <c r="E656" i="2"/>
  <c r="F656" i="2" s="1"/>
  <c r="E663" i="2"/>
  <c r="F663" i="2" s="1"/>
  <c r="J672" i="2"/>
  <c r="E676" i="2"/>
  <c r="F676" i="2" s="1"/>
  <c r="K681" i="2"/>
  <c r="E685" i="2"/>
  <c r="F685" i="2" s="1"/>
  <c r="J694" i="2"/>
  <c r="E698" i="2"/>
  <c r="E707" i="2"/>
  <c r="F707" i="2" s="1"/>
  <c r="K724" i="2"/>
  <c r="K726" i="2"/>
  <c r="E734" i="2"/>
  <c r="I748" i="2"/>
  <c r="F748" i="2"/>
  <c r="F773" i="2"/>
  <c r="E775" i="2"/>
  <c r="F775" i="2" s="1"/>
  <c r="E863" i="2"/>
  <c r="E905" i="2"/>
  <c r="F905" i="2" s="1"/>
  <c r="H905" i="2"/>
  <c r="G905" i="2"/>
  <c r="K905" i="2"/>
  <c r="J905" i="2"/>
  <c r="I905" i="2"/>
  <c r="E912" i="2"/>
  <c r="F926" i="2"/>
  <c r="K989" i="2"/>
  <c r="G989" i="2"/>
  <c r="I989" i="2"/>
  <c r="H989" i="2"/>
  <c r="E989" i="2"/>
  <c r="F989" i="2" s="1"/>
  <c r="J989" i="2"/>
  <c r="I1004" i="2"/>
  <c r="E1052" i="2"/>
  <c r="F1052" i="2" s="1"/>
  <c r="J1052" i="2"/>
  <c r="J1212" i="2"/>
  <c r="I1212" i="2"/>
  <c r="G1212" i="2"/>
  <c r="H1212" i="2"/>
  <c r="E1212" i="2"/>
  <c r="F1212" i="2" s="1"/>
  <c r="K1212" i="2"/>
  <c r="K672" i="2"/>
  <c r="F734" i="2"/>
  <c r="K740" i="2"/>
  <c r="J740" i="2"/>
  <c r="G742" i="2"/>
  <c r="H742" i="2" s="1"/>
  <c r="F742" i="2"/>
  <c r="J746" i="2"/>
  <c r="F746" i="2"/>
  <c r="G773" i="2"/>
  <c r="H773" i="2" s="1"/>
  <c r="I773" i="2" s="1"/>
  <c r="J786" i="2"/>
  <c r="K895" i="2"/>
  <c r="J895" i="2"/>
  <c r="F510" i="2"/>
  <c r="F527" i="2"/>
  <c r="G567" i="2"/>
  <c r="H567" i="2" s="1"/>
  <c r="G574" i="2"/>
  <c r="H574" i="2" s="1"/>
  <c r="G581" i="2"/>
  <c r="H581" i="2" s="1"/>
  <c r="F588" i="2"/>
  <c r="F602" i="2"/>
  <c r="G614" i="2"/>
  <c r="G621" i="2"/>
  <c r="F623" i="2"/>
  <c r="H628" i="2"/>
  <c r="F642" i="2"/>
  <c r="F649" i="2"/>
  <c r="G656" i="2"/>
  <c r="H656" i="2" s="1"/>
  <c r="G663" i="2"/>
  <c r="H663" i="2" s="1"/>
  <c r="F665" i="2"/>
  <c r="I676" i="2"/>
  <c r="F678" i="2"/>
  <c r="G685" i="2"/>
  <c r="F687" i="2"/>
  <c r="I698" i="2"/>
  <c r="F700" i="2"/>
  <c r="G707" i="2"/>
  <c r="F709" i="2"/>
  <c r="J728" i="2"/>
  <c r="K730" i="2"/>
  <c r="G734" i="2"/>
  <c r="H734" i="2" s="1"/>
  <c r="E740" i="2"/>
  <c r="E742" i="2"/>
  <c r="F744" i="2"/>
  <c r="E746" i="2"/>
  <c r="G748" i="2"/>
  <c r="H748" i="2" s="1"/>
  <c r="I752" i="2"/>
  <c r="H752" i="2"/>
  <c r="H756" i="2"/>
  <c r="E771" i="2"/>
  <c r="G771" i="2" s="1"/>
  <c r="H771" i="2" s="1"/>
  <c r="I771" i="2"/>
  <c r="K786" i="2"/>
  <c r="I793" i="2"/>
  <c r="H793" i="2"/>
  <c r="G793" i="2"/>
  <c r="F793" i="2"/>
  <c r="K806" i="2"/>
  <c r="F811" i="2"/>
  <c r="E811" i="2"/>
  <c r="G811" i="2" s="1"/>
  <c r="H811" i="2" s="1"/>
  <c r="I811" i="2" s="1"/>
  <c r="J811" i="2"/>
  <c r="F818" i="2"/>
  <c r="E818" i="2"/>
  <c r="G818" i="2" s="1"/>
  <c r="H818" i="2" s="1"/>
  <c r="J818" i="2"/>
  <c r="I818" i="2"/>
  <c r="K861" i="2"/>
  <c r="J861" i="2"/>
  <c r="I861" i="2"/>
  <c r="H861" i="2"/>
  <c r="E861" i="2"/>
  <c r="F861" i="2" s="1"/>
  <c r="E895" i="2"/>
  <c r="G895" i="2" s="1"/>
  <c r="H895" i="2" s="1"/>
  <c r="I895" i="2" s="1"/>
  <c r="H614" i="2"/>
  <c r="H621" i="2"/>
  <c r="I628" i="2"/>
  <c r="J676" i="2"/>
  <c r="H685" i="2"/>
  <c r="F689" i="2"/>
  <c r="J698" i="2"/>
  <c r="H707" i="2"/>
  <c r="I734" i="2"/>
  <c r="K784" i="2"/>
  <c r="J784" i="2"/>
  <c r="E784" i="2"/>
  <c r="G784" i="2" s="1"/>
  <c r="H784" i="2" s="1"/>
  <c r="I784" i="2" s="1"/>
  <c r="H837" i="2"/>
  <c r="J866" i="2"/>
  <c r="G866" i="2"/>
  <c r="I873" i="2"/>
  <c r="K873" i="2"/>
  <c r="G873" i="2"/>
  <c r="K962" i="2"/>
  <c r="J962" i="2"/>
  <c r="F962" i="2"/>
  <c r="G962" i="2"/>
  <c r="H962" i="2" s="1"/>
  <c r="I962" i="2" s="1"/>
  <c r="E962" i="2"/>
  <c r="K1085" i="2"/>
  <c r="J1085" i="2"/>
  <c r="I1085" i="2"/>
  <c r="G1085" i="2"/>
  <c r="H1085" i="2" s="1"/>
  <c r="E1085" i="2"/>
  <c r="F1085" i="2" s="1"/>
  <c r="F557" i="2"/>
  <c r="J567" i="2"/>
  <c r="I574" i="2"/>
  <c r="I581" i="2"/>
  <c r="H588" i="2"/>
  <c r="E590" i="2"/>
  <c r="F590" i="2" s="1"/>
  <c r="I614" i="2"/>
  <c r="E616" i="2"/>
  <c r="I621" i="2"/>
  <c r="J628" i="2"/>
  <c r="H642" i="2"/>
  <c r="E644" i="2"/>
  <c r="H649" i="2"/>
  <c r="E651" i="2"/>
  <c r="I656" i="2"/>
  <c r="E658" i="2"/>
  <c r="F658" i="2" s="1"/>
  <c r="I663" i="2"/>
  <c r="H665" i="2"/>
  <c r="E667" i="2"/>
  <c r="F667" i="2" s="1"/>
  <c r="K676" i="2"/>
  <c r="H678" i="2"/>
  <c r="I685" i="2"/>
  <c r="H687" i="2"/>
  <c r="E689" i="2"/>
  <c r="K698" i="2"/>
  <c r="H700" i="2"/>
  <c r="I707" i="2"/>
  <c r="H709" i="2"/>
  <c r="E711" i="2"/>
  <c r="F711" i="2" s="1"/>
  <c r="J713" i="2"/>
  <c r="I713" i="2"/>
  <c r="F715" i="2"/>
  <c r="E715" i="2"/>
  <c r="H721" i="2"/>
  <c r="E721" i="2"/>
  <c r="F721" i="2" s="1"/>
  <c r="J734" i="2"/>
  <c r="G740" i="2"/>
  <c r="I742" i="2"/>
  <c r="H744" i="2"/>
  <c r="H746" i="2"/>
  <c r="J748" i="2"/>
  <c r="E769" i="2"/>
  <c r="G769" i="2" s="1"/>
  <c r="H769" i="2" s="1"/>
  <c r="I769" i="2" s="1"/>
  <c r="F784" i="2"/>
  <c r="K791" i="2"/>
  <c r="J791" i="2"/>
  <c r="I791" i="2"/>
  <c r="F791" i="2"/>
  <c r="G844" i="2"/>
  <c r="H844" i="2" s="1"/>
  <c r="F844" i="2"/>
  <c r="E844" i="2"/>
  <c r="K844" i="2"/>
  <c r="J844" i="2"/>
  <c r="E866" i="2"/>
  <c r="F866" i="2" s="1"/>
  <c r="E873" i="2"/>
  <c r="F873" i="2" s="1"/>
  <c r="E557" i="2"/>
  <c r="K567" i="2"/>
  <c r="J574" i="2"/>
  <c r="E604" i="2"/>
  <c r="F604" i="2" s="1"/>
  <c r="H611" i="2"/>
  <c r="F616" i="2"/>
  <c r="K621" i="2"/>
  <c r="K628" i="2"/>
  <c r="I665" i="2"/>
  <c r="G667" i="2"/>
  <c r="H667" i="2" s="1"/>
  <c r="J669" i="2"/>
  <c r="I669" i="2"/>
  <c r="I687" i="2"/>
  <c r="G689" i="2"/>
  <c r="H689" i="2" s="1"/>
  <c r="J691" i="2"/>
  <c r="I691" i="2"/>
  <c r="I709" i="2"/>
  <c r="G711" i="2"/>
  <c r="H711" i="2" s="1"/>
  <c r="I719" i="2"/>
  <c r="E719" i="2"/>
  <c r="F719" i="2" s="1"/>
  <c r="K734" i="2"/>
  <c r="H740" i="2"/>
  <c r="J742" i="2"/>
  <c r="I746" i="2"/>
  <c r="E809" i="2"/>
  <c r="H823" i="2"/>
  <c r="I823" i="2" s="1"/>
  <c r="H866" i="2"/>
  <c r="H873" i="2"/>
  <c r="H780" i="2"/>
  <c r="I780" i="2" s="1"/>
  <c r="K823" i="2"/>
  <c r="K837" i="2"/>
  <c r="I860" i="2"/>
  <c r="I869" i="2"/>
  <c r="J876" i="2"/>
  <c r="I902" i="2"/>
  <c r="K979" i="2"/>
  <c r="J979" i="2"/>
  <c r="I979" i="2"/>
  <c r="E979" i="2"/>
  <c r="F979" i="2" s="1"/>
  <c r="I1025" i="2"/>
  <c r="H1025" i="2"/>
  <c r="G1025" i="2"/>
  <c r="F1025" i="2"/>
  <c r="E1025" i="2"/>
  <c r="K1120" i="2"/>
  <c r="G1120" i="2"/>
  <c r="H1120" i="2" s="1"/>
  <c r="F1120" i="2"/>
  <c r="K860" i="2"/>
  <c r="J869" i="2"/>
  <c r="J902" i="2"/>
  <c r="F916" i="2"/>
  <c r="E916" i="2"/>
  <c r="G916" i="2" s="1"/>
  <c r="H916" i="2" s="1"/>
  <c r="J926" i="2"/>
  <c r="H950" i="2"/>
  <c r="K950" i="2"/>
  <c r="E950" i="2"/>
  <c r="F950" i="2" s="1"/>
  <c r="K984" i="2"/>
  <c r="J984" i="2"/>
  <c r="F984" i="2"/>
  <c r="G984" i="2"/>
  <c r="H984" i="2" s="1"/>
  <c r="J1025" i="2"/>
  <c r="E1120" i="2"/>
  <c r="F1306" i="2"/>
  <c r="E1306" i="2"/>
  <c r="K1306" i="2"/>
  <c r="J1306" i="2"/>
  <c r="H1306" i="2"/>
  <c r="I1306" i="2"/>
  <c r="G801" i="2"/>
  <c r="H801" i="2" s="1"/>
  <c r="G815" i="2"/>
  <c r="H815" i="2" s="1"/>
  <c r="I815" i="2" s="1"/>
  <c r="I829" i="2"/>
  <c r="H834" i="2"/>
  <c r="I841" i="2"/>
  <c r="G855" i="2"/>
  <c r="I880" i="2"/>
  <c r="I916" i="2"/>
  <c r="G920" i="2"/>
  <c r="H920" i="2" s="1"/>
  <c r="I920" i="2" s="1"/>
  <c r="G948" i="2"/>
  <c r="H948" i="2" s="1"/>
  <c r="K948" i="2"/>
  <c r="E948" i="2"/>
  <c r="F948" i="2" s="1"/>
  <c r="I950" i="2"/>
  <c r="I984" i="2"/>
  <c r="G1017" i="2"/>
  <c r="H1017" i="2" s="1"/>
  <c r="I1017" i="2" s="1"/>
  <c r="F1017" i="2"/>
  <c r="J1017" i="2"/>
  <c r="G1115" i="2"/>
  <c r="K1115" i="2"/>
  <c r="J1115" i="2"/>
  <c r="I1115" i="2"/>
  <c r="H1115" i="2"/>
  <c r="F1115" i="2"/>
  <c r="H855" i="2"/>
  <c r="J886" i="2"/>
  <c r="F886" i="2"/>
  <c r="J929" i="2"/>
  <c r="E929" i="2"/>
  <c r="F929" i="2" s="1"/>
  <c r="J950" i="2"/>
  <c r="J982" i="2"/>
  <c r="E982" i="2"/>
  <c r="F982" i="2" s="1"/>
  <c r="I982" i="2"/>
  <c r="K987" i="2"/>
  <c r="F987" i="2"/>
  <c r="J987" i="2"/>
  <c r="I987" i="2"/>
  <c r="G987" i="2"/>
  <c r="H987" i="2" s="1"/>
  <c r="H994" i="2"/>
  <c r="E1074" i="2"/>
  <c r="F1074" i="2" s="1"/>
  <c r="K1074" i="2"/>
  <c r="J1074" i="2"/>
  <c r="I1074" i="2"/>
  <c r="G1074" i="2"/>
  <c r="H1074" i="2" s="1"/>
  <c r="K1160" i="2"/>
  <c r="J1160" i="2"/>
  <c r="I1160" i="2"/>
  <c r="E1160" i="2"/>
  <c r="F1160" i="2" s="1"/>
  <c r="G1160" i="2"/>
  <c r="H1160" i="2" s="1"/>
  <c r="J964" i="2"/>
  <c r="G964" i="2"/>
  <c r="H964" i="2" s="1"/>
  <c r="I964" i="2" s="1"/>
  <c r="F964" i="2"/>
  <c r="K1031" i="2"/>
  <c r="F1031" i="2"/>
  <c r="E1031" i="2"/>
  <c r="G1031" i="2" s="1"/>
  <c r="H1031" i="2" s="1"/>
  <c r="I1031" i="2" s="1"/>
  <c r="J1031" i="2"/>
  <c r="F1234" i="2"/>
  <c r="K1234" i="2"/>
  <c r="J1234" i="2"/>
  <c r="E964" i="2"/>
  <c r="E992" i="2"/>
  <c r="F1053" i="2"/>
  <c r="E1053" i="2"/>
  <c r="G1053" i="2" s="1"/>
  <c r="H1053" i="2" s="1"/>
  <c r="I1053" i="2" s="1"/>
  <c r="K1053" i="2"/>
  <c r="F1082" i="2"/>
  <c r="K1231" i="2"/>
  <c r="F1231" i="2"/>
  <c r="J1231" i="2"/>
  <c r="G1231" i="2"/>
  <c r="H1231" i="2" s="1"/>
  <c r="I1231" i="2" s="1"/>
  <c r="E1234" i="2"/>
  <c r="G1234" i="2" s="1"/>
  <c r="H1234" i="2" s="1"/>
  <c r="I1234" i="2" s="1"/>
  <c r="G810" i="2"/>
  <c r="H810" i="2" s="1"/>
  <c r="I810" i="2" s="1"/>
  <c r="G817" i="2"/>
  <c r="H817" i="2" s="1"/>
  <c r="I817" i="2" s="1"/>
  <c r="G819" i="2"/>
  <c r="H819" i="2" s="1"/>
  <c r="I819" i="2" s="1"/>
  <c r="G850" i="2"/>
  <c r="H850" i="2" s="1"/>
  <c r="G868" i="2"/>
  <c r="H868" i="2" s="1"/>
  <c r="H875" i="2"/>
  <c r="H886" i="2"/>
  <c r="I903" i="2"/>
  <c r="K903" i="2"/>
  <c r="J903" i="2"/>
  <c r="N23" i="5"/>
  <c r="G946" i="2"/>
  <c r="H946" i="2" s="1"/>
  <c r="F946" i="2"/>
  <c r="K946" i="2"/>
  <c r="I946" i="2"/>
  <c r="E959" i="2"/>
  <c r="G959" i="2" s="1"/>
  <c r="H959" i="2" s="1"/>
  <c r="I959" i="2" s="1"/>
  <c r="H982" i="2"/>
  <c r="F992" i="2"/>
  <c r="G994" i="2"/>
  <c r="K1213" i="2"/>
  <c r="J1213" i="2"/>
  <c r="H1213" i="2"/>
  <c r="G1213" i="2"/>
  <c r="F1213" i="2"/>
  <c r="I1213" i="2"/>
  <c r="E1231" i="2"/>
  <c r="K1075" i="2"/>
  <c r="I1075" i="2"/>
  <c r="F1075" i="2"/>
  <c r="E1075" i="2"/>
  <c r="K1179" i="2"/>
  <c r="J1179" i="2"/>
  <c r="I1179" i="2"/>
  <c r="E1179" i="2"/>
  <c r="H1179" i="2"/>
  <c r="G1179" i="2"/>
  <c r="J810" i="2"/>
  <c r="G812" i="2"/>
  <c r="H812" i="2" s="1"/>
  <c r="I812" i="2" s="1"/>
  <c r="F814" i="2"/>
  <c r="J817" i="2"/>
  <c r="J850" i="2"/>
  <c r="G852" i="2"/>
  <c r="H852" i="2" s="1"/>
  <c r="K868" i="2"/>
  <c r="K875" i="2"/>
  <c r="G890" i="2"/>
  <c r="H890" i="2" s="1"/>
  <c r="I890" i="2" s="1"/>
  <c r="G892" i="2"/>
  <c r="H892" i="2" s="1"/>
  <c r="I892" i="2" s="1"/>
  <c r="G894" i="2"/>
  <c r="H894" i="2" s="1"/>
  <c r="I894" i="2" s="1"/>
  <c r="G903" i="2"/>
  <c r="H903" i="2" s="1"/>
  <c r="J946" i="2"/>
  <c r="K959" i="2"/>
  <c r="G990" i="2"/>
  <c r="H990" i="2" s="1"/>
  <c r="F990" i="2"/>
  <c r="E990" i="2"/>
  <c r="K990" i="2"/>
  <c r="J992" i="2"/>
  <c r="K994" i="2"/>
  <c r="K1013" i="2"/>
  <c r="J1013" i="2"/>
  <c r="G1013" i="2"/>
  <c r="H1013" i="2" s="1"/>
  <c r="I1013" i="2" s="1"/>
  <c r="F1013" i="2"/>
  <c r="K1070" i="2"/>
  <c r="H1070" i="2"/>
  <c r="G1070" i="2"/>
  <c r="E1070" i="2"/>
  <c r="F1070" i="2" s="1"/>
  <c r="G1075" i="2"/>
  <c r="H1075" i="2" s="1"/>
  <c r="K1116" i="2"/>
  <c r="I1116" i="2"/>
  <c r="E1116" i="2"/>
  <c r="F1116" i="2" s="1"/>
  <c r="G1116" i="2"/>
  <c r="H1116" i="2" s="1"/>
  <c r="J1116" i="2"/>
  <c r="F1179" i="2"/>
  <c r="I1274" i="2"/>
  <c r="H1274" i="2"/>
  <c r="F1274" i="2"/>
  <c r="K1274" i="2"/>
  <c r="J1274" i="2"/>
  <c r="E1274" i="2"/>
  <c r="I807" i="2"/>
  <c r="H872" i="2"/>
  <c r="J917" i="2"/>
  <c r="G917" i="2"/>
  <c r="H917" i="2" s="1"/>
  <c r="I917" i="2" s="1"/>
  <c r="K921" i="2"/>
  <c r="J921" i="2"/>
  <c r="E921" i="2"/>
  <c r="F921" i="2" s="1"/>
  <c r="G923" i="2"/>
  <c r="H923" i="2" s="1"/>
  <c r="I923" i="2" s="1"/>
  <c r="K923" i="2"/>
  <c r="J923" i="2"/>
  <c r="K992" i="2"/>
  <c r="E762" i="2"/>
  <c r="F762" i="2" s="1"/>
  <c r="J894" i="2"/>
  <c r="F911" i="2"/>
  <c r="F913" i="2"/>
  <c r="J915" i="2"/>
  <c r="E917" i="2"/>
  <c r="E919" i="2"/>
  <c r="F919" i="2" s="1"/>
  <c r="G919" i="2"/>
  <c r="E923" i="2"/>
  <c r="F923" i="2" s="1"/>
  <c r="J942" i="2"/>
  <c r="F942" i="2"/>
  <c r="K942" i="2"/>
  <c r="E942" i="2"/>
  <c r="G942" i="2" s="1"/>
  <c r="H942" i="2" s="1"/>
  <c r="I942" i="2" s="1"/>
  <c r="K967" i="2"/>
  <c r="G967" i="2"/>
  <c r="H967" i="2" s="1"/>
  <c r="I967" i="2" s="1"/>
  <c r="G974" i="2"/>
  <c r="H974" i="2" s="1"/>
  <c r="I974" i="2" s="1"/>
  <c r="F1059" i="2"/>
  <c r="J1075" i="2"/>
  <c r="E1185" i="2"/>
  <c r="F1185" i="2" s="1"/>
  <c r="I1185" i="2"/>
  <c r="G1185" i="2"/>
  <c r="H1185" i="2" s="1"/>
  <c r="K1185" i="2"/>
  <c r="J1185" i="2"/>
  <c r="H802" i="2"/>
  <c r="F835" i="2"/>
  <c r="F842" i="2"/>
  <c r="E856" i="2"/>
  <c r="F865" i="2"/>
  <c r="F872" i="2"/>
  <c r="F881" i="2"/>
  <c r="J892" i="2"/>
  <c r="K894" i="2"/>
  <c r="N20" i="5"/>
  <c r="E915" i="2"/>
  <c r="F915" i="2" s="1"/>
  <c r="F917" i="2"/>
  <c r="H919" i="2"/>
  <c r="I919" i="2" s="1"/>
  <c r="G921" i="2"/>
  <c r="H921" i="2" s="1"/>
  <c r="I921" i="2" s="1"/>
  <c r="E937" i="2"/>
  <c r="G937" i="2" s="1"/>
  <c r="H937" i="2" s="1"/>
  <c r="I937" i="2" s="1"/>
  <c r="K937" i="2"/>
  <c r="K965" i="2"/>
  <c r="F965" i="2"/>
  <c r="H965" i="2"/>
  <c r="I965" i="2" s="1"/>
  <c r="E967" i="2"/>
  <c r="F967" i="2" s="1"/>
  <c r="J990" i="2"/>
  <c r="I1003" i="2"/>
  <c r="H1003" i="2"/>
  <c r="G1003" i="2"/>
  <c r="F1003" i="2"/>
  <c r="E1003" i="2"/>
  <c r="J1003" i="2"/>
  <c r="H1054" i="2"/>
  <c r="K1054" i="2"/>
  <c r="J1054" i="2"/>
  <c r="E1054" i="2"/>
  <c r="F1054" i="2" s="1"/>
  <c r="H1059" i="2"/>
  <c r="J1070" i="2"/>
  <c r="E1083" i="2"/>
  <c r="K1083" i="2"/>
  <c r="J1083" i="2"/>
  <c r="G1083" i="2"/>
  <c r="H1083" i="2" s="1"/>
  <c r="I1083" i="2" s="1"/>
  <c r="F1083" i="2"/>
  <c r="K1167" i="2"/>
  <c r="I1167" i="2"/>
  <c r="G1167" i="2"/>
  <c r="H1167" i="2" s="1"/>
  <c r="E1167" i="2"/>
  <c r="F1167" i="2" s="1"/>
  <c r="F858" i="2"/>
  <c r="G898" i="2"/>
  <c r="H898" i="2" s="1"/>
  <c r="I898" i="2" s="1"/>
  <c r="J983" i="2"/>
  <c r="I983" i="2"/>
  <c r="H983" i="2"/>
  <c r="E983" i="2"/>
  <c r="F983" i="2" s="1"/>
  <c r="K1094" i="2"/>
  <c r="I1094" i="2"/>
  <c r="J1094" i="2"/>
  <c r="H1094" i="2"/>
  <c r="G1094" i="2"/>
  <c r="K1148" i="2"/>
  <c r="G1148" i="2"/>
  <c r="H1148" i="2" s="1"/>
  <c r="J1148" i="2"/>
  <c r="I1148" i="2"/>
  <c r="K1172" i="2"/>
  <c r="J1172" i="2"/>
  <c r="F1172" i="2"/>
  <c r="G1172" i="2"/>
  <c r="E1172" i="2"/>
  <c r="J960" i="2"/>
  <c r="E960" i="2"/>
  <c r="F960" i="2" s="1"/>
  <c r="K960" i="2"/>
  <c r="E972" i="2"/>
  <c r="G972" i="2" s="1"/>
  <c r="H972" i="2" s="1"/>
  <c r="I972" i="2" s="1"/>
  <c r="O26" i="5"/>
  <c r="K1001" i="2"/>
  <c r="J1001" i="2"/>
  <c r="I1001" i="2"/>
  <c r="E1001" i="2"/>
  <c r="F1001" i="2" s="1"/>
  <c r="E1094" i="2"/>
  <c r="F1094" i="2" s="1"/>
  <c r="J1143" i="2"/>
  <c r="K1143" i="2"/>
  <c r="G1143" i="2"/>
  <c r="H1143" i="2" s="1"/>
  <c r="E1143" i="2"/>
  <c r="F1143" i="2" s="1"/>
  <c r="E1148" i="2"/>
  <c r="F1148" i="2" s="1"/>
  <c r="F1154" i="2"/>
  <c r="H1172" i="2"/>
  <c r="E1223" i="2"/>
  <c r="G1223" i="2" s="1"/>
  <c r="H1223" i="2" s="1"/>
  <c r="I1223" i="2" s="1"/>
  <c r="F1223" i="2"/>
  <c r="J1223" i="2"/>
  <c r="K1223" i="2"/>
  <c r="J1226" i="2"/>
  <c r="K1226" i="2"/>
  <c r="I1226" i="2"/>
  <c r="G1226" i="2"/>
  <c r="F1226" i="2"/>
  <c r="E1226" i="2"/>
  <c r="H1226" i="2"/>
  <c r="H876" i="2"/>
  <c r="G883" i="2"/>
  <c r="H883" i="2" s="1"/>
  <c r="F885" i="2"/>
  <c r="E887" i="2"/>
  <c r="F887" i="2" s="1"/>
  <c r="E928" i="2"/>
  <c r="G928" i="2" s="1"/>
  <c r="H928" i="2" s="1"/>
  <c r="I928" i="2" s="1"/>
  <c r="K947" i="2"/>
  <c r="I947" i="2"/>
  <c r="G947" i="2"/>
  <c r="H947" i="2" s="1"/>
  <c r="F972" i="2"/>
  <c r="G983" i="2"/>
  <c r="E1016" i="2"/>
  <c r="F1016" i="2" s="1"/>
  <c r="K1042" i="2"/>
  <c r="J1042" i="2"/>
  <c r="I1042" i="2"/>
  <c r="H1042" i="2"/>
  <c r="G1042" i="2"/>
  <c r="K1049" i="2"/>
  <c r="F1049" i="2"/>
  <c r="E1049" i="2"/>
  <c r="G1049" i="2" s="1"/>
  <c r="H1049" i="2" s="1"/>
  <c r="I1049" i="2" s="1"/>
  <c r="K1057" i="2"/>
  <c r="H1057" i="2"/>
  <c r="I1057" i="2" s="1"/>
  <c r="G1057" i="2"/>
  <c r="J1057" i="2"/>
  <c r="I757" i="2"/>
  <c r="J762" i="2"/>
  <c r="J781" i="2"/>
  <c r="I788" i="2"/>
  <c r="I795" i="2"/>
  <c r="I802" i="2"/>
  <c r="K807" i="2"/>
  <c r="H816" i="2"/>
  <c r="I816" i="2" s="1"/>
  <c r="G823" i="2"/>
  <c r="I828" i="2"/>
  <c r="J835" i="2"/>
  <c r="G837" i="2"/>
  <c r="J842" i="2"/>
  <c r="H849" i="2"/>
  <c r="I856" i="2"/>
  <c r="H858" i="2"/>
  <c r="E860" i="2"/>
  <c r="J865" i="2"/>
  <c r="H867" i="2"/>
  <c r="E869" i="2"/>
  <c r="F869" i="2" s="1"/>
  <c r="K872" i="2"/>
  <c r="E876" i="2"/>
  <c r="K881" i="2"/>
  <c r="G885" i="2"/>
  <c r="J898" i="2"/>
  <c r="E902" i="2"/>
  <c r="F902" i="2" s="1"/>
  <c r="K915" i="2"/>
  <c r="E926" i="2"/>
  <c r="G926" i="2" s="1"/>
  <c r="H926" i="2" s="1"/>
  <c r="I926" i="2" s="1"/>
  <c r="F928" i="2"/>
  <c r="K935" i="2"/>
  <c r="J935" i="2"/>
  <c r="E935" i="2"/>
  <c r="G935" i="2" s="1"/>
  <c r="H935" i="2"/>
  <c r="I935" i="2" s="1"/>
  <c r="E947" i="2"/>
  <c r="F947" i="2" s="1"/>
  <c r="J965" i="2"/>
  <c r="J972" i="2"/>
  <c r="K983" i="2"/>
  <c r="G1001" i="2"/>
  <c r="H1001" i="2" s="1"/>
  <c r="J1014" i="2"/>
  <c r="G1014" i="2"/>
  <c r="H1014" i="2" s="1"/>
  <c r="G1016" i="2"/>
  <c r="H1016" i="2" s="1"/>
  <c r="E1042" i="2"/>
  <c r="F1042" i="2" s="1"/>
  <c r="J1049" i="2"/>
  <c r="E1057" i="2"/>
  <c r="F1057" i="2" s="1"/>
  <c r="K1117" i="2"/>
  <c r="J1117" i="2"/>
  <c r="I1117" i="2"/>
  <c r="G1117" i="2"/>
  <c r="H1117" i="2" s="1"/>
  <c r="F1117" i="2"/>
  <c r="I1143" i="2"/>
  <c r="G1221" i="2"/>
  <c r="H1221" i="2" s="1"/>
  <c r="F1221" i="2"/>
  <c r="F792" i="2"/>
  <c r="J795" i="2"/>
  <c r="J802" i="2"/>
  <c r="K856" i="2"/>
  <c r="I858" i="2"/>
  <c r="F860" i="2"/>
  <c r="F862" i="2"/>
  <c r="I867" i="2"/>
  <c r="F876" i="2"/>
  <c r="I883" i="2"/>
  <c r="H885" i="2"/>
  <c r="K898" i="2"/>
  <c r="J908" i="2"/>
  <c r="G908" i="2"/>
  <c r="H908" i="2" s="1"/>
  <c r="I908" i="2" s="1"/>
  <c r="I933" i="2"/>
  <c r="K943" i="2"/>
  <c r="F943" i="2"/>
  <c r="K945" i="2"/>
  <c r="G945" i="2"/>
  <c r="H945" i="2" s="1"/>
  <c r="I945" i="2" s="1"/>
  <c r="F963" i="2"/>
  <c r="E963" i="2"/>
  <c r="G963" i="2" s="1"/>
  <c r="H963" i="2" s="1"/>
  <c r="I963" i="2" s="1"/>
  <c r="J963" i="2"/>
  <c r="K963" i="2"/>
  <c r="E970" i="2"/>
  <c r="F970" i="2" s="1"/>
  <c r="K972" i="2"/>
  <c r="I981" i="2"/>
  <c r="G981" i="2"/>
  <c r="H981" i="2" s="1"/>
  <c r="E981" i="2"/>
  <c r="F981" i="2" s="1"/>
  <c r="J986" i="2"/>
  <c r="G986" i="2"/>
  <c r="H986" i="2" s="1"/>
  <c r="F986" i="2"/>
  <c r="I1016" i="2"/>
  <c r="F1066" i="2"/>
  <c r="K1066" i="2"/>
  <c r="H1066" i="2"/>
  <c r="I1066" i="2" s="1"/>
  <c r="G1066" i="2"/>
  <c r="E1084" i="2"/>
  <c r="F1084" i="2" s="1"/>
  <c r="F910" i="2"/>
  <c r="G995" i="2"/>
  <c r="H995" i="2" s="1"/>
  <c r="F995" i="2"/>
  <c r="K1033" i="2"/>
  <c r="G1033" i="2"/>
  <c r="H1033" i="2" s="1"/>
  <c r="E1033" i="2"/>
  <c r="F1033" i="2" s="1"/>
  <c r="H1045" i="2"/>
  <c r="I1045" i="2" s="1"/>
  <c r="F1045" i="2"/>
  <c r="K1249" i="2"/>
  <c r="J1249" i="2"/>
  <c r="F1249" i="2"/>
  <c r="E1249" i="2"/>
  <c r="G1249" i="2" s="1"/>
  <c r="H1249" i="2" s="1"/>
  <c r="I1249" i="2" s="1"/>
  <c r="K927" i="2"/>
  <c r="G927" i="2"/>
  <c r="H927" i="2" s="1"/>
  <c r="E927" i="2"/>
  <c r="J961" i="2"/>
  <c r="E961" i="2"/>
  <c r="F961" i="2" s="1"/>
  <c r="K1092" i="2"/>
  <c r="J1092" i="2"/>
  <c r="I1092" i="2"/>
  <c r="F1092" i="2"/>
  <c r="E1092" i="2"/>
  <c r="H1139" i="2"/>
  <c r="F1139" i="2"/>
  <c r="J1139" i="2"/>
  <c r="I1139" i="2"/>
  <c r="E1139" i="2"/>
  <c r="E1201" i="2"/>
  <c r="F1201" i="2" s="1"/>
  <c r="K1201" i="2"/>
  <c r="G1201" i="2"/>
  <c r="J1201" i="2"/>
  <c r="I1201" i="2"/>
  <c r="H1201" i="2"/>
  <c r="I1090" i="2"/>
  <c r="H1090" i="2"/>
  <c r="F1090" i="2"/>
  <c r="K1097" i="2"/>
  <c r="I1097" i="2"/>
  <c r="E1097" i="2"/>
  <c r="F1097" i="2" s="1"/>
  <c r="I1181" i="2"/>
  <c r="K1181" i="2"/>
  <c r="J1181" i="2"/>
  <c r="G1181" i="2"/>
  <c r="H1181" i="2" s="1"/>
  <c r="F1181" i="2"/>
  <c r="E1181" i="2"/>
  <c r="O21" i="5"/>
  <c r="K940" i="2"/>
  <c r="J940" i="2"/>
  <c r="F940" i="2"/>
  <c r="F985" i="2"/>
  <c r="K1009" i="2"/>
  <c r="I1009" i="2"/>
  <c r="F1009" i="2"/>
  <c r="K1011" i="2"/>
  <c r="G1011" i="2"/>
  <c r="H1011" i="2" s="1"/>
  <c r="E1011" i="2"/>
  <c r="E1061" i="2"/>
  <c r="F1061" i="2" s="1"/>
  <c r="E1090" i="2"/>
  <c r="H1092" i="2"/>
  <c r="G1097" i="2"/>
  <c r="K1139" i="2"/>
  <c r="G1328" i="2"/>
  <c r="H1328" i="2" s="1"/>
  <c r="J1328" i="2"/>
  <c r="I1328" i="2"/>
  <c r="K1328" i="2"/>
  <c r="E1328" i="2"/>
  <c r="F1328" i="2" s="1"/>
  <c r="E907" i="2"/>
  <c r="I927" i="2"/>
  <c r="E940" i="2"/>
  <c r="G968" i="2"/>
  <c r="H968" i="2" s="1"/>
  <c r="I968" i="2" s="1"/>
  <c r="F968" i="2"/>
  <c r="E968" i="2"/>
  <c r="K968" i="2"/>
  <c r="E1009" i="2"/>
  <c r="F1011" i="2"/>
  <c r="G1061" i="2"/>
  <c r="H1061" i="2" s="1"/>
  <c r="I1061" i="2" s="1"/>
  <c r="G1090" i="2"/>
  <c r="H1097" i="2"/>
  <c r="K1107" i="2"/>
  <c r="J1107" i="2"/>
  <c r="G1107" i="2"/>
  <c r="H1107" i="2" s="1"/>
  <c r="E1107" i="2"/>
  <c r="F1107" i="2" s="1"/>
  <c r="I1158" i="2"/>
  <c r="K1158" i="2"/>
  <c r="G1158" i="2"/>
  <c r="H1158" i="2" s="1"/>
  <c r="F1158" i="2"/>
  <c r="G1237" i="2"/>
  <c r="H1237" i="2" s="1"/>
  <c r="I1237" i="2" s="1"/>
  <c r="F1237" i="2"/>
  <c r="E1237" i="2"/>
  <c r="K1237" i="2"/>
  <c r="J1237" i="2"/>
  <c r="J1034" i="2"/>
  <c r="J1041" i="2"/>
  <c r="K1071" i="2"/>
  <c r="J1080" i="2"/>
  <c r="J1086" i="2"/>
  <c r="E1086" i="2"/>
  <c r="J1104" i="2"/>
  <c r="K1126" i="2"/>
  <c r="G1126" i="2"/>
  <c r="H1126" i="2" s="1"/>
  <c r="J1145" i="2"/>
  <c r="H1145" i="2"/>
  <c r="F1145" i="2"/>
  <c r="G1156" i="2"/>
  <c r="H1156" i="2" s="1"/>
  <c r="E1156" i="2"/>
  <c r="K1165" i="2"/>
  <c r="J1165" i="2"/>
  <c r="F1165" i="2"/>
  <c r="K1360" i="2"/>
  <c r="I1360" i="2"/>
  <c r="F1360" i="2"/>
  <c r="E1360" i="2"/>
  <c r="J1360" i="2"/>
  <c r="J985" i="2"/>
  <c r="J1007" i="2"/>
  <c r="E1026" i="2"/>
  <c r="F1026" i="2" s="1"/>
  <c r="J1029" i="2"/>
  <c r="K1034" i="2"/>
  <c r="K1041" i="2"/>
  <c r="E1050" i="2"/>
  <c r="F1050" i="2" s="1"/>
  <c r="K1055" i="2"/>
  <c r="I1059" i="2"/>
  <c r="K1064" i="2"/>
  <c r="E1068" i="2"/>
  <c r="K1080" i="2"/>
  <c r="H1082" i="2"/>
  <c r="I1082" i="2" s="1"/>
  <c r="F1086" i="2"/>
  <c r="K1112" i="2"/>
  <c r="K1124" i="2"/>
  <c r="E1124" i="2"/>
  <c r="F1124" i="2" s="1"/>
  <c r="E1126" i="2"/>
  <c r="F1126" i="2" s="1"/>
  <c r="E1145" i="2"/>
  <c r="F1156" i="2"/>
  <c r="E1165" i="2"/>
  <c r="G1188" i="2"/>
  <c r="H1188" i="2" s="1"/>
  <c r="F1188" i="2"/>
  <c r="J1188" i="2"/>
  <c r="E1255" i="2"/>
  <c r="G1255" i="2" s="1"/>
  <c r="H1255" i="2" s="1"/>
  <c r="I1255" i="2" s="1"/>
  <c r="K1255" i="2"/>
  <c r="G1291" i="2"/>
  <c r="H1291" i="2" s="1"/>
  <c r="F1291" i="2"/>
  <c r="E1291" i="2"/>
  <c r="K1291" i="2"/>
  <c r="J1291" i="2"/>
  <c r="G1360" i="2"/>
  <c r="H1360" i="2" s="1"/>
  <c r="H1026" i="2"/>
  <c r="H1050" i="2"/>
  <c r="F1079" i="2"/>
  <c r="I1086" i="2"/>
  <c r="F1101" i="2"/>
  <c r="I1126" i="2"/>
  <c r="K1145" i="2"/>
  <c r="J1156" i="2"/>
  <c r="I1165" i="2"/>
  <c r="K1174" i="2"/>
  <c r="I1174" i="2"/>
  <c r="H1174" i="2"/>
  <c r="G1174" i="2"/>
  <c r="G1210" i="2"/>
  <c r="H1210" i="2" s="1"/>
  <c r="F1210" i="2"/>
  <c r="J1210" i="2"/>
  <c r="K1210" i="2"/>
  <c r="F1006" i="2"/>
  <c r="F1028" i="2"/>
  <c r="I1038" i="2"/>
  <c r="F1040" i="2"/>
  <c r="K1050" i="2"/>
  <c r="F1063" i="2"/>
  <c r="G1079" i="2"/>
  <c r="H1079" i="2" s="1"/>
  <c r="I1079" i="2" s="1"/>
  <c r="G1101" i="2"/>
  <c r="H1101" i="2" s="1"/>
  <c r="E1105" i="2"/>
  <c r="F1105" i="2" s="1"/>
  <c r="J1105" i="2"/>
  <c r="H1109" i="2"/>
  <c r="F1174" i="2"/>
  <c r="K1186" i="2"/>
  <c r="J1186" i="2"/>
  <c r="G1186" i="2"/>
  <c r="H1186" i="2" s="1"/>
  <c r="I1210" i="2"/>
  <c r="R2" i="4"/>
  <c r="P15" i="5" s="1"/>
  <c r="I1081" i="2"/>
  <c r="K1150" i="2"/>
  <c r="I1150" i="2"/>
  <c r="G1150" i="2"/>
  <c r="H1150" i="2" s="1"/>
  <c r="H1161" i="2"/>
  <c r="F1161" i="2"/>
  <c r="G1253" i="2"/>
  <c r="H1253" i="2" s="1"/>
  <c r="I1253" i="2" s="1"/>
  <c r="F1253" i="2"/>
  <c r="J1256" i="2"/>
  <c r="E1256" i="2"/>
  <c r="G1256" i="2" s="1"/>
  <c r="H1256" i="2" s="1"/>
  <c r="I1256" i="2" s="1"/>
  <c r="K1261" i="2"/>
  <c r="J1261" i="2"/>
  <c r="I1261" i="2"/>
  <c r="G1261" i="2"/>
  <c r="H1261" i="2" s="1"/>
  <c r="F1261" i="2"/>
  <c r="I1299" i="2"/>
  <c r="J1299" i="2"/>
  <c r="G1299" i="2"/>
  <c r="H1299" i="2" s="1"/>
  <c r="K1299" i="2"/>
  <c r="E1299" i="2"/>
  <c r="F1299" i="2" s="1"/>
  <c r="J1336" i="2"/>
  <c r="E1336" i="2"/>
  <c r="G1336" i="2" s="1"/>
  <c r="H1336" i="2" s="1"/>
  <c r="I1336" i="2" s="1"/>
  <c r="K1336" i="2"/>
  <c r="I1364" i="2"/>
  <c r="K1364" i="2"/>
  <c r="J1364" i="2"/>
  <c r="G1364" i="2"/>
  <c r="H1364" i="2" s="1"/>
  <c r="E1364" i="2"/>
  <c r="F1364" i="2" s="1"/>
  <c r="K1355" i="2"/>
  <c r="J1355" i="2"/>
  <c r="G1355" i="2"/>
  <c r="H1355" i="2" s="1"/>
  <c r="E1355" i="2"/>
  <c r="F1355" i="2" s="1"/>
  <c r="N22" i="5"/>
  <c r="J1006" i="2"/>
  <c r="J1028" i="2"/>
  <c r="K1040" i="2"/>
  <c r="J1063" i="2"/>
  <c r="G1065" i="2"/>
  <c r="H1065" i="2" s="1"/>
  <c r="I1065" i="2" s="1"/>
  <c r="H1067" i="2"/>
  <c r="I1067" i="2" s="1"/>
  <c r="H1072" i="2"/>
  <c r="K1079" i="2"/>
  <c r="G1081" i="2"/>
  <c r="G1096" i="2"/>
  <c r="H1096" i="2" s="1"/>
  <c r="E1096" i="2"/>
  <c r="F1096" i="2" s="1"/>
  <c r="I1105" i="2"/>
  <c r="J1121" i="2"/>
  <c r="F1121" i="2"/>
  <c r="G1131" i="2"/>
  <c r="H1131" i="2" s="1"/>
  <c r="K1146" i="2"/>
  <c r="E1146" i="2"/>
  <c r="F1146" i="2" s="1"/>
  <c r="J1150" i="2"/>
  <c r="I1161" i="2"/>
  <c r="H1177" i="2"/>
  <c r="K1208" i="2"/>
  <c r="J1208" i="2"/>
  <c r="I1208" i="2"/>
  <c r="H1208" i="2"/>
  <c r="F1208" i="2"/>
  <c r="I1355" i="2"/>
  <c r="E932" i="2"/>
  <c r="G932" i="2" s="1"/>
  <c r="H932" i="2" s="1"/>
  <c r="I932" i="2" s="1"/>
  <c r="O25" i="5"/>
  <c r="E998" i="2"/>
  <c r="E1020" i="2"/>
  <c r="F1020" i="2" s="1"/>
  <c r="E1037" i="2"/>
  <c r="E1058" i="2"/>
  <c r="F1058" i="2" s="1"/>
  <c r="H1081" i="2"/>
  <c r="K1105" i="2"/>
  <c r="J1109" i="2"/>
  <c r="E1121" i="2"/>
  <c r="I1131" i="2"/>
  <c r="J1161" i="2"/>
  <c r="K1194" i="2"/>
  <c r="G1224" i="2"/>
  <c r="H1224" i="2" s="1"/>
  <c r="I1224" i="2" s="1"/>
  <c r="F1224" i="2"/>
  <c r="K1326" i="2"/>
  <c r="J1326" i="2"/>
  <c r="F1326" i="2"/>
  <c r="G1326" i="2"/>
  <c r="H1326" i="2" s="1"/>
  <c r="I1326" i="2" s="1"/>
  <c r="E1326" i="2"/>
  <c r="E949" i="2"/>
  <c r="F949" i="2" s="1"/>
  <c r="F954" i="2"/>
  <c r="E971" i="2"/>
  <c r="F971" i="2" s="1"/>
  <c r="F976" i="2"/>
  <c r="E993" i="2"/>
  <c r="F993" i="2" s="1"/>
  <c r="F998" i="2"/>
  <c r="E1015" i="2"/>
  <c r="F1015" i="2" s="1"/>
  <c r="F1037" i="2"/>
  <c r="E1044" i="2"/>
  <c r="F1044" i="2" s="1"/>
  <c r="F1067" i="2"/>
  <c r="K1072" i="2"/>
  <c r="E1076" i="2"/>
  <c r="F1076" i="2" s="1"/>
  <c r="J1081" i="2"/>
  <c r="E1087" i="2"/>
  <c r="E1098" i="2"/>
  <c r="F1098" i="2" s="1"/>
  <c r="K1109" i="2"/>
  <c r="G1121" i="2"/>
  <c r="F1123" i="2"/>
  <c r="J1131" i="2"/>
  <c r="G1142" i="2"/>
  <c r="H1142" i="2" s="1"/>
  <c r="E1142" i="2"/>
  <c r="F1142" i="2" s="1"/>
  <c r="K1142" i="2"/>
  <c r="G1146" i="2"/>
  <c r="H1146" i="2" s="1"/>
  <c r="K1161" i="2"/>
  <c r="K1170" i="2"/>
  <c r="F1177" i="2"/>
  <c r="K1182" i="2"/>
  <c r="E1182" i="2"/>
  <c r="F1182" i="2" s="1"/>
  <c r="F1184" i="2"/>
  <c r="E1194" i="2"/>
  <c r="F1194" i="2" s="1"/>
  <c r="I1199" i="2"/>
  <c r="G1199" i="2"/>
  <c r="F1199" i="2"/>
  <c r="G1208" i="2"/>
  <c r="E1227" i="2"/>
  <c r="F1227" i="2" s="1"/>
  <c r="J1065" i="2"/>
  <c r="K1081" i="2"/>
  <c r="J1089" i="2"/>
  <c r="H1089" i="2"/>
  <c r="H1121" i="2"/>
  <c r="K1131" i="2"/>
  <c r="K1140" i="2"/>
  <c r="I1140" i="2"/>
  <c r="G1140" i="2"/>
  <c r="H1140" i="2" s="1"/>
  <c r="E1140" i="2"/>
  <c r="F1140" i="2" s="1"/>
  <c r="H1153" i="2"/>
  <c r="I1308" i="2"/>
  <c r="H1308" i="2"/>
  <c r="J1308" i="2"/>
  <c r="G1308" i="2"/>
  <c r="F1308" i="2"/>
  <c r="E1308" i="2"/>
  <c r="H22" i="5"/>
  <c r="G949" i="2"/>
  <c r="H949" i="2" s="1"/>
  <c r="G993" i="2"/>
  <c r="H993" i="2" s="1"/>
  <c r="E1005" i="2"/>
  <c r="F1005" i="2" s="1"/>
  <c r="G1015" i="2"/>
  <c r="H1015" i="2" s="1"/>
  <c r="E1027" i="2"/>
  <c r="E1039" i="2"/>
  <c r="F1039" i="2" s="1"/>
  <c r="G1044" i="2"/>
  <c r="H1044" i="2" s="1"/>
  <c r="H1058" i="2"/>
  <c r="E1060" i="2"/>
  <c r="G1076" i="2"/>
  <c r="H1076" i="2" s="1"/>
  <c r="G1087" i="2"/>
  <c r="H1087" i="2" s="1"/>
  <c r="E1089" i="2"/>
  <c r="J1096" i="2"/>
  <c r="G1098" i="2"/>
  <c r="H1098" i="2" s="1"/>
  <c r="I1121" i="2"/>
  <c r="G1123" i="2"/>
  <c r="H1123" i="2" s="1"/>
  <c r="I1142" i="2"/>
  <c r="I1146" i="2"/>
  <c r="E1153" i="2"/>
  <c r="F1153" i="2" s="1"/>
  <c r="H1164" i="2"/>
  <c r="G1164" i="2"/>
  <c r="E1164" i="2"/>
  <c r="F1164" i="2" s="1"/>
  <c r="K1164" i="2"/>
  <c r="I1177" i="2"/>
  <c r="G1182" i="2"/>
  <c r="H1182" i="2" s="1"/>
  <c r="H1184" i="2"/>
  <c r="H1199" i="2"/>
  <c r="H1216" i="2"/>
  <c r="K1216" i="2"/>
  <c r="F1216" i="2"/>
  <c r="E1216" i="2"/>
  <c r="K1227" i="2"/>
  <c r="I1278" i="2"/>
  <c r="G1278" i="2"/>
  <c r="H1278" i="2" s="1"/>
  <c r="F1278" i="2"/>
  <c r="E1278" i="2"/>
  <c r="K1308" i="2"/>
  <c r="K1340" i="2"/>
  <c r="J1340" i="2"/>
  <c r="G1340" i="2"/>
  <c r="H1340" i="2" s="1"/>
  <c r="I1340" i="2" s="1"/>
  <c r="F1340" i="2"/>
  <c r="K1362" i="2"/>
  <c r="G1362" i="2"/>
  <c r="H1362" i="2" s="1"/>
  <c r="E1362" i="2"/>
  <c r="F1362" i="2" s="1"/>
  <c r="I1362" i="2"/>
  <c r="K1138" i="2"/>
  <c r="I1138" i="2"/>
  <c r="E1138" i="2"/>
  <c r="G1187" i="2"/>
  <c r="H1187" i="2" s="1"/>
  <c r="E1187" i="2"/>
  <c r="F1187" i="2" s="1"/>
  <c r="K1187" i="2"/>
  <c r="J1233" i="2"/>
  <c r="E1062" i="2"/>
  <c r="F1062" i="2" s="1"/>
  <c r="F1102" i="2"/>
  <c r="G1134" i="2"/>
  <c r="E1134" i="2"/>
  <c r="F1138" i="2"/>
  <c r="G1153" i="2"/>
  <c r="K1177" i="2"/>
  <c r="K1184" i="2"/>
  <c r="I1187" i="2"/>
  <c r="K1192" i="2"/>
  <c r="H1197" i="2"/>
  <c r="I1197" i="2" s="1"/>
  <c r="E1233" i="2"/>
  <c r="G1233" i="2" s="1"/>
  <c r="H1233" i="2" s="1"/>
  <c r="I1233" i="2" s="1"/>
  <c r="F1243" i="2"/>
  <c r="H1005" i="2"/>
  <c r="E1034" i="2"/>
  <c r="F1034" i="2" s="1"/>
  <c r="H1039" i="2"/>
  <c r="E1041" i="2"/>
  <c r="F1041" i="2" s="1"/>
  <c r="E1071" i="2"/>
  <c r="K1076" i="2"/>
  <c r="E1080" i="2"/>
  <c r="G1080" i="2" s="1"/>
  <c r="H1080" i="2" s="1"/>
  <c r="I1080" i="2" s="1"/>
  <c r="J1087" i="2"/>
  <c r="I1089" i="2"/>
  <c r="K1098" i="2"/>
  <c r="G1102" i="2"/>
  <c r="H1102" i="2" s="1"/>
  <c r="E1104" i="2"/>
  <c r="I1106" i="2"/>
  <c r="G1106" i="2"/>
  <c r="H1106" i="2" s="1"/>
  <c r="J1108" i="2"/>
  <c r="E1108" i="2"/>
  <c r="K1110" i="2"/>
  <c r="F1134" i="2"/>
  <c r="G1138" i="2"/>
  <c r="H1138" i="2" s="1"/>
  <c r="I1153" i="2"/>
  <c r="K1162" i="2"/>
  <c r="J1162" i="2"/>
  <c r="I1162" i="2"/>
  <c r="G1162" i="2"/>
  <c r="H1162" i="2" s="1"/>
  <c r="E1162" i="2"/>
  <c r="F1162" i="2" s="1"/>
  <c r="J1182" i="2"/>
  <c r="J1187" i="2"/>
  <c r="E1192" i="2"/>
  <c r="G1192" i="2" s="1"/>
  <c r="H1192" i="2" s="1"/>
  <c r="I1192" i="2" s="1"/>
  <c r="E1197" i="2"/>
  <c r="G1197" i="2" s="1"/>
  <c r="J1216" i="2"/>
  <c r="K1236" i="2"/>
  <c r="J1236" i="2"/>
  <c r="H1236" i="2"/>
  <c r="I1236" i="2" s="1"/>
  <c r="G1236" i="2"/>
  <c r="F1236" i="2"/>
  <c r="K1273" i="2"/>
  <c r="J1273" i="2"/>
  <c r="G1273" i="2"/>
  <c r="H1273" i="2"/>
  <c r="F1273" i="2"/>
  <c r="E1273" i="2"/>
  <c r="E985" i="2"/>
  <c r="I1005" i="2"/>
  <c r="E1007" i="2"/>
  <c r="E1029" i="2"/>
  <c r="G1029" i="2" s="1"/>
  <c r="H1029" i="2" s="1"/>
  <c r="I1029" i="2" s="1"/>
  <c r="I1039" i="2"/>
  <c r="E1055" i="2"/>
  <c r="F1055" i="2" s="1"/>
  <c r="E1064" i="2"/>
  <c r="G1064" i="2" s="1"/>
  <c r="H1064" i="2" s="1"/>
  <c r="I1064" i="2" s="1"/>
  <c r="F1071" i="2"/>
  <c r="K1089" i="2"/>
  <c r="F1104" i="2"/>
  <c r="E1106" i="2"/>
  <c r="F1106" i="2" s="1"/>
  <c r="F1108" i="2"/>
  <c r="E1110" i="2"/>
  <c r="F1110" i="2" s="1"/>
  <c r="E1112" i="2"/>
  <c r="F1112" i="2" s="1"/>
  <c r="F1132" i="2"/>
  <c r="E1132" i="2"/>
  <c r="K1132" i="2"/>
  <c r="I1132" i="2"/>
  <c r="H1134" i="2"/>
  <c r="H1136" i="2"/>
  <c r="J1153" i="2"/>
  <c r="F1192" i="2"/>
  <c r="K1233" i="2"/>
  <c r="E1236" i="2"/>
  <c r="G1246" i="2"/>
  <c r="H1246" i="2" s="1"/>
  <c r="I1246" i="2" s="1"/>
  <c r="F1246" i="2"/>
  <c r="I1273" i="2"/>
  <c r="J1060" i="2"/>
  <c r="F1064" i="2"/>
  <c r="H1071" i="2"/>
  <c r="I1102" i="2"/>
  <c r="G1104" i="2"/>
  <c r="H1104" i="2" s="1"/>
  <c r="G1118" i="2"/>
  <c r="H1118" i="2" s="1"/>
  <c r="E1118" i="2"/>
  <c r="F1118" i="2" s="1"/>
  <c r="I1134" i="2"/>
  <c r="J1138" i="2"/>
  <c r="K1153" i="2"/>
  <c r="F1228" i="2"/>
  <c r="K1228" i="2"/>
  <c r="J1228" i="2"/>
  <c r="E1228" i="2"/>
  <c r="G1228" i="2" s="1"/>
  <c r="H1228" i="2" s="1"/>
  <c r="I1228" i="2" s="1"/>
  <c r="H1252" i="2"/>
  <c r="J1252" i="2"/>
  <c r="I1252" i="2"/>
  <c r="F1252" i="2"/>
  <c r="H1127" i="2"/>
  <c r="I1154" i="2"/>
  <c r="J1159" i="2"/>
  <c r="F1168" i="2"/>
  <c r="J1171" i="2"/>
  <c r="J1189" i="2"/>
  <c r="H1193" i="2"/>
  <c r="I1193" i="2" s="1"/>
  <c r="G1193" i="2"/>
  <c r="K1193" i="2"/>
  <c r="G1195" i="2"/>
  <c r="J1225" i="2"/>
  <c r="K1235" i="2"/>
  <c r="J1235" i="2"/>
  <c r="I1235" i="2"/>
  <c r="G1250" i="2"/>
  <c r="H1250" i="2" s="1"/>
  <c r="I1250" i="2" s="1"/>
  <c r="G1311" i="2"/>
  <c r="F1311" i="2"/>
  <c r="K1311" i="2"/>
  <c r="J1311" i="2"/>
  <c r="H1311" i="2"/>
  <c r="G1332" i="2"/>
  <c r="H1332" i="2" s="1"/>
  <c r="I1332" i="2"/>
  <c r="E1332" i="2"/>
  <c r="F1332" i="2" s="1"/>
  <c r="AC2" i="4"/>
  <c r="P30" i="5" s="1"/>
  <c r="J1127" i="2"/>
  <c r="J1149" i="2"/>
  <c r="K1154" i="2"/>
  <c r="G1168" i="2"/>
  <c r="H1168" i="2" s="1"/>
  <c r="F1193" i="2"/>
  <c r="F1214" i="2"/>
  <c r="K1219" i="2"/>
  <c r="F1225" i="2"/>
  <c r="G1229" i="2"/>
  <c r="H1229" i="2" s="1"/>
  <c r="I1229" i="2" s="1"/>
  <c r="F1235" i="2"/>
  <c r="F1250" i="2"/>
  <c r="I1295" i="2"/>
  <c r="H1295" i="2"/>
  <c r="F1295" i="2"/>
  <c r="I1311" i="2"/>
  <c r="K1332" i="2"/>
  <c r="K1337" i="2"/>
  <c r="J1337" i="2"/>
  <c r="E1337" i="2"/>
  <c r="F1337" i="2" s="1"/>
  <c r="B2" i="4"/>
  <c r="P3" i="5" s="1"/>
  <c r="P2" i="4"/>
  <c r="P13" i="5" s="1"/>
  <c r="G1225" i="2"/>
  <c r="H1225" i="2" s="1"/>
  <c r="I1225" i="2" s="1"/>
  <c r="G1235" i="2"/>
  <c r="H1235" i="2" s="1"/>
  <c r="G1288" i="2"/>
  <c r="H1288" i="2" s="1"/>
  <c r="E1288" i="2"/>
  <c r="AE2" i="4"/>
  <c r="P32" i="5" s="1"/>
  <c r="J1203" i="2"/>
  <c r="I1203" i="2"/>
  <c r="J1259" i="2"/>
  <c r="I1259" i="2"/>
  <c r="K1266" i="2"/>
  <c r="J1266" i="2"/>
  <c r="G1266" i="2"/>
  <c r="H1266" i="2" s="1"/>
  <c r="H1277" i="2"/>
  <c r="I1277" i="2"/>
  <c r="G1277" i="2"/>
  <c r="F1277" i="2"/>
  <c r="E1277" i="2"/>
  <c r="K1338" i="2"/>
  <c r="E1190" i="2"/>
  <c r="G1190" i="2" s="1"/>
  <c r="H1190" i="2" s="1"/>
  <c r="I1190" i="2" s="1"/>
  <c r="E1203" i="2"/>
  <c r="F1203" i="2" s="1"/>
  <c r="E1205" i="2"/>
  <c r="G1205" i="2" s="1"/>
  <c r="H1205" i="2" s="1"/>
  <c r="I1205" i="2" s="1"/>
  <c r="I1220" i="2"/>
  <c r="H1220" i="2"/>
  <c r="E1259" i="2"/>
  <c r="F1259" i="2" s="1"/>
  <c r="E1266" i="2"/>
  <c r="F1266" i="2" s="1"/>
  <c r="J1277" i="2"/>
  <c r="G1302" i="2"/>
  <c r="H1302" i="2" s="1"/>
  <c r="E1302" i="2"/>
  <c r="F1302" i="2" s="1"/>
  <c r="G1307" i="2"/>
  <c r="H1307" i="2" s="1"/>
  <c r="E1307" i="2"/>
  <c r="F1307" i="2" s="1"/>
  <c r="K1307" i="2"/>
  <c r="K1335" i="2"/>
  <c r="J1335" i="2"/>
  <c r="H1335" i="2"/>
  <c r="I1335" i="2"/>
  <c r="E1335" i="2"/>
  <c r="F1335" i="2" s="1"/>
  <c r="E1338" i="2"/>
  <c r="G1338" i="2" s="1"/>
  <c r="H1338" i="2" s="1"/>
  <c r="I1338" i="2" s="1"/>
  <c r="G1244" i="2"/>
  <c r="H1244" i="2" s="1"/>
  <c r="E1244" i="2"/>
  <c r="F1244" i="2" s="1"/>
  <c r="K1244" i="2"/>
  <c r="K1275" i="2"/>
  <c r="J1275" i="2"/>
  <c r="I1275" i="2"/>
  <c r="G1275" i="2"/>
  <c r="H1275" i="2" s="1"/>
  <c r="F1275" i="2"/>
  <c r="F1338" i="2"/>
  <c r="H1345" i="2"/>
  <c r="I1345" i="2" s="1"/>
  <c r="F1345" i="2"/>
  <c r="H1111" i="2"/>
  <c r="H1133" i="2"/>
  <c r="H1155" i="2"/>
  <c r="J1190" i="2"/>
  <c r="K1203" i="2"/>
  <c r="K1205" i="2"/>
  <c r="I1207" i="2"/>
  <c r="H1209" i="2"/>
  <c r="I1211" i="2"/>
  <c r="J1220" i="2"/>
  <c r="K1230" i="2"/>
  <c r="J1230" i="2"/>
  <c r="H1230" i="2"/>
  <c r="I1230" i="2" s="1"/>
  <c r="G1238" i="2"/>
  <c r="H1238" i="2" s="1"/>
  <c r="K1242" i="2"/>
  <c r="J1242" i="2"/>
  <c r="I1242" i="2"/>
  <c r="H1242" i="2"/>
  <c r="F1242" i="2"/>
  <c r="G1251" i="2"/>
  <c r="H1251" i="2" s="1"/>
  <c r="I1251" i="2" s="1"/>
  <c r="F1251" i="2"/>
  <c r="E1251" i="2"/>
  <c r="K1251" i="2"/>
  <c r="G1264" i="2"/>
  <c r="K1302" i="2"/>
  <c r="G1317" i="2"/>
  <c r="H1317" i="2" s="1"/>
  <c r="I1317" i="2" s="1"/>
  <c r="J1345" i="2"/>
  <c r="K1190" i="2"/>
  <c r="J1207" i="2"/>
  <c r="I1209" i="2"/>
  <c r="J1211" i="2"/>
  <c r="G1215" i="2"/>
  <c r="H1215" i="2" s="1"/>
  <c r="K1215" i="2"/>
  <c r="I1238" i="2"/>
  <c r="H1264" i="2"/>
  <c r="F1289" i="2"/>
  <c r="K1289" i="2"/>
  <c r="J1289" i="2"/>
  <c r="I1289" i="2"/>
  <c r="G1289" i="2"/>
  <c r="H1289" i="2" s="1"/>
  <c r="E1289" i="2"/>
  <c r="K1310" i="2"/>
  <c r="J1310" i="2"/>
  <c r="G1310" i="2"/>
  <c r="H1310" i="2" s="1"/>
  <c r="F1310" i="2"/>
  <c r="J1317" i="2"/>
  <c r="K1345" i="2"/>
  <c r="E1152" i="2"/>
  <c r="F1152" i="2" s="1"/>
  <c r="E1176" i="2"/>
  <c r="F1176" i="2" s="1"/>
  <c r="E1183" i="2"/>
  <c r="F1183" i="2" s="1"/>
  <c r="I1183" i="2"/>
  <c r="K1207" i="2"/>
  <c r="J1209" i="2"/>
  <c r="K1211" i="2"/>
  <c r="E1215" i="2"/>
  <c r="F1215" i="2" s="1"/>
  <c r="J1238" i="2"/>
  <c r="I1264" i="2"/>
  <c r="E1271" i="2"/>
  <c r="H1298" i="2"/>
  <c r="G1298" i="2"/>
  <c r="E1298" i="2"/>
  <c r="F1298" i="2" s="1"/>
  <c r="K1298" i="2"/>
  <c r="E1310" i="2"/>
  <c r="K1317" i="2"/>
  <c r="V2" i="4"/>
  <c r="P11" i="5" s="1"/>
  <c r="U2" i="4"/>
  <c r="P10" i="5" s="1"/>
  <c r="G1152" i="2"/>
  <c r="H1152" i="2" s="1"/>
  <c r="G1176" i="2"/>
  <c r="F1269" i="2"/>
  <c r="E1269" i="2"/>
  <c r="G1271" i="2"/>
  <c r="J1298" i="2"/>
  <c r="I1310" i="2"/>
  <c r="J1324" i="2"/>
  <c r="H1324" i="2"/>
  <c r="I1324" i="2" s="1"/>
  <c r="Y2" i="4"/>
  <c r="P22" i="5" s="1"/>
  <c r="H1176" i="2"/>
  <c r="H1178" i="2"/>
  <c r="E1198" i="2"/>
  <c r="F1198" i="2" s="1"/>
  <c r="F1245" i="2"/>
  <c r="I1245" i="2"/>
  <c r="K1247" i="2"/>
  <c r="I1247" i="2"/>
  <c r="E1247" i="2"/>
  <c r="F1247" i="2" s="1"/>
  <c r="I1260" i="2"/>
  <c r="H1260" i="2"/>
  <c r="G1260" i="2"/>
  <c r="E1260" i="2"/>
  <c r="J1267" i="2"/>
  <c r="I1267" i="2"/>
  <c r="G1267" i="2"/>
  <c r="G1269" i="2"/>
  <c r="H1269" i="2" s="1"/>
  <c r="H1271" i="2"/>
  <c r="K1280" i="2"/>
  <c r="I1280" i="2"/>
  <c r="H1280" i="2"/>
  <c r="E1280" i="2"/>
  <c r="K1292" i="2"/>
  <c r="G1292" i="2"/>
  <c r="H1292" i="2" s="1"/>
  <c r="K1303" i="2"/>
  <c r="J1303" i="2"/>
  <c r="I1303" i="2"/>
  <c r="G1303" i="2"/>
  <c r="H1303" i="2" s="1"/>
  <c r="F1303" i="2"/>
  <c r="E1322" i="2"/>
  <c r="F1322" i="2" s="1"/>
  <c r="E1324" i="2"/>
  <c r="J1356" i="2"/>
  <c r="G1356" i="2"/>
  <c r="H1356" i="2" s="1"/>
  <c r="I1356" i="2"/>
  <c r="I1152" i="2"/>
  <c r="E1154" i="2"/>
  <c r="F1159" i="2"/>
  <c r="F1171" i="2"/>
  <c r="I1176" i="2"/>
  <c r="E1178" i="2"/>
  <c r="F1189" i="2"/>
  <c r="F1206" i="2"/>
  <c r="E1219" i="2"/>
  <c r="F1219" i="2" s="1"/>
  <c r="E1245" i="2"/>
  <c r="F1260" i="2"/>
  <c r="E1267" i="2"/>
  <c r="F1267" i="2" s="1"/>
  <c r="I1271" i="2"/>
  <c r="F1280" i="2"/>
  <c r="K1285" i="2"/>
  <c r="G1285" i="2"/>
  <c r="H1285" i="2" s="1"/>
  <c r="E1292" i="2"/>
  <c r="E1303" i="2"/>
  <c r="G1313" i="2"/>
  <c r="H1313" i="2" s="1"/>
  <c r="I1313" i="2" s="1"/>
  <c r="F1313" i="2"/>
  <c r="G1322" i="2"/>
  <c r="F1324" i="2"/>
  <c r="E1356" i="2"/>
  <c r="F1356" i="2" s="1"/>
  <c r="G1171" i="2"/>
  <c r="H1171" i="2" s="1"/>
  <c r="F1178" i="2"/>
  <c r="K1183" i="2"/>
  <c r="G1198" i="2"/>
  <c r="H1198" i="2" s="1"/>
  <c r="I1198" i="2" s="1"/>
  <c r="E1204" i="2"/>
  <c r="E1206" i="2"/>
  <c r="I1221" i="2"/>
  <c r="G1245" i="2"/>
  <c r="H1245" i="2" s="1"/>
  <c r="G1247" i="2"/>
  <c r="H1247" i="2" s="1"/>
  <c r="J1260" i="2"/>
  <c r="H1267" i="2"/>
  <c r="I1269" i="2"/>
  <c r="K1271" i="2"/>
  <c r="G1280" i="2"/>
  <c r="F1292" i="2"/>
  <c r="G1320" i="2"/>
  <c r="H1320" i="2" s="1"/>
  <c r="E1320" i="2"/>
  <c r="F1320" i="2" s="1"/>
  <c r="H1322" i="2"/>
  <c r="I1322" i="2" s="1"/>
  <c r="G1324" i="2"/>
  <c r="K1346" i="2"/>
  <c r="J1346" i="2"/>
  <c r="E1346" i="2"/>
  <c r="F1346" i="2" s="1"/>
  <c r="K1356" i="2"/>
  <c r="H1200" i="2"/>
  <c r="J1232" i="2"/>
  <c r="I1265" i="2"/>
  <c r="J1272" i="2"/>
  <c r="K1284" i="2"/>
  <c r="I1300" i="2"/>
  <c r="K1327" i="2"/>
  <c r="J1329" i="2"/>
  <c r="H1368" i="2"/>
  <c r="K1368" i="2"/>
  <c r="J1368" i="2"/>
  <c r="I1368" i="2"/>
  <c r="J1304" i="2"/>
  <c r="I1304" i="2"/>
  <c r="F1262" i="2"/>
  <c r="E1304" i="2"/>
  <c r="F1304" i="2" s="1"/>
  <c r="E1350" i="2"/>
  <c r="F1350" i="2" s="1"/>
  <c r="K1354" i="2"/>
  <c r="J1354" i="2"/>
  <c r="N2" i="4"/>
  <c r="P26" i="5" s="1"/>
  <c r="H1294" i="2"/>
  <c r="G1294" i="2"/>
  <c r="H1319" i="2"/>
  <c r="J1350" i="2"/>
  <c r="G1354" i="2"/>
  <c r="H1354" i="2" s="1"/>
  <c r="I1354" i="2" s="1"/>
  <c r="E1287" i="2"/>
  <c r="E1294" i="2"/>
  <c r="F1294" i="2" s="1"/>
  <c r="E1312" i="2"/>
  <c r="E1319" i="2"/>
  <c r="F1319" i="2" s="1"/>
  <c r="J1342" i="2"/>
  <c r="H1342" i="2"/>
  <c r="I1342" i="2" s="1"/>
  <c r="G1348" i="2"/>
  <c r="H1348" i="2" s="1"/>
  <c r="I1348" i="2" s="1"/>
  <c r="K1350" i="2"/>
  <c r="O2" i="4"/>
  <c r="P28" i="5" s="1"/>
  <c r="H1287" i="2"/>
  <c r="J1294" i="2"/>
  <c r="I1319" i="2"/>
  <c r="K1357" i="2"/>
  <c r="J1357" i="2"/>
  <c r="K1359" i="2"/>
  <c r="I1359" i="2"/>
  <c r="H1359" i="2"/>
  <c r="AD2" i="4"/>
  <c r="P31" i="5" s="1"/>
  <c r="E1282" i="2"/>
  <c r="I1287" i="2"/>
  <c r="K1294" i="2"/>
  <c r="E1305" i="2"/>
  <c r="F1305" i="2" s="1"/>
  <c r="E1314" i="2"/>
  <c r="F1314" i="2" s="1"/>
  <c r="J1319" i="2"/>
  <c r="E1357" i="2"/>
  <c r="F1357" i="2" s="1"/>
  <c r="E1359" i="2"/>
  <c r="F1359" i="2" s="1"/>
  <c r="C2" i="4"/>
  <c r="P4" i="5" s="1"/>
  <c r="Q2" i="4"/>
  <c r="P14" i="5" s="1"/>
  <c r="M2" i="4"/>
  <c r="P27" i="5" s="1"/>
  <c r="F1263" i="2"/>
  <c r="F1270" i="2"/>
  <c r="G1282" i="2"/>
  <c r="H1282" i="2" s="1"/>
  <c r="G1305" i="2"/>
  <c r="G1316" i="2"/>
  <c r="H1316" i="2" s="1"/>
  <c r="I1316" i="2" s="1"/>
  <c r="G1357" i="2"/>
  <c r="G1359" i="2"/>
  <c r="E2" i="4"/>
  <c r="P7" i="5" s="1"/>
  <c r="G1263" i="2"/>
  <c r="G1270" i="2"/>
  <c r="H1270" i="2" s="1"/>
  <c r="F1284" i="2"/>
  <c r="H1305" i="2"/>
  <c r="H1357" i="2"/>
  <c r="J1359" i="2"/>
  <c r="F1232" i="2"/>
  <c r="E1258" i="2"/>
  <c r="G1258" i="2" s="1"/>
  <c r="H1258" i="2" s="1"/>
  <c r="I1258" i="2" s="1"/>
  <c r="H1263" i="2"/>
  <c r="E1265" i="2"/>
  <c r="E1272" i="2"/>
  <c r="J1282" i="2"/>
  <c r="G1284" i="2"/>
  <c r="E1300" i="2"/>
  <c r="F1300" i="2" s="1"/>
  <c r="I1305" i="2"/>
  <c r="K1309" i="2"/>
  <c r="J1309" i="2"/>
  <c r="F1316" i="2"/>
  <c r="F1325" i="2"/>
  <c r="G1327" i="2"/>
  <c r="H1327" i="2" s="1"/>
  <c r="F1329" i="2"/>
  <c r="F1349" i="2"/>
  <c r="F1351" i="2"/>
  <c r="E1353" i="2"/>
  <c r="G1353" i="2" s="1"/>
  <c r="H1353" i="2" s="1"/>
  <c r="I1353" i="2" s="1"/>
  <c r="K1353" i="2"/>
  <c r="J1353" i="2"/>
  <c r="I1357" i="2"/>
  <c r="S2" i="4"/>
  <c r="P16" i="5" s="1"/>
  <c r="F1265" i="2"/>
  <c r="I1270" i="2"/>
  <c r="F1272" i="2"/>
  <c r="K1282" i="2"/>
  <c r="H1284" i="2"/>
  <c r="E1309" i="2"/>
  <c r="F1309" i="2" s="1"/>
  <c r="J1314" i="2"/>
  <c r="G1325" i="2"/>
  <c r="H1325" i="2" s="1"/>
  <c r="I1325" i="2" s="1"/>
  <c r="E1331" i="2"/>
  <c r="F1331" i="2" s="1"/>
  <c r="E1333" i="2"/>
  <c r="F1333" i="2" s="1"/>
  <c r="K1347" i="2"/>
  <c r="J1347" i="2"/>
  <c r="E1349" i="2"/>
  <c r="G1349" i="2" s="1"/>
  <c r="H1349" i="2" s="1"/>
  <c r="I1349" i="2" s="1"/>
  <c r="G2" i="4"/>
  <c r="P8" i="5" s="1"/>
  <c r="K1361" i="2"/>
  <c r="J1361" i="2"/>
  <c r="I1361" i="2"/>
  <c r="E1361" i="2"/>
  <c r="F1361" i="2" s="1"/>
  <c r="G1363" i="2"/>
  <c r="I1363" i="2"/>
  <c r="H1363" i="2"/>
  <c r="F1363" i="2"/>
  <c r="I2" i="4"/>
  <c r="P19" i="5" s="1"/>
  <c r="G1361" i="2"/>
  <c r="H1361" i="2" s="1"/>
  <c r="J2" i="4"/>
  <c r="P18" i="5" s="1"/>
  <c r="K2" i="4"/>
  <c r="P20" i="5" s="1"/>
  <c r="H1321" i="2"/>
  <c r="K1330" i="2"/>
  <c r="J1330" i="2"/>
  <c r="F1367" i="2"/>
  <c r="AB2" i="4"/>
  <c r="P29" i="5" s="1"/>
  <c r="F2" i="4"/>
  <c r="P6" i="5" s="1"/>
  <c r="H2" i="4"/>
  <c r="P17" i="5" s="1"/>
  <c r="I1351" i="2"/>
  <c r="E1358" i="2"/>
  <c r="F1358" i="2" s="1"/>
  <c r="O15" i="5"/>
  <c r="N17" i="5"/>
  <c r="L17" i="5"/>
  <c r="J17" i="5"/>
  <c r="N28" i="5"/>
  <c r="H17" i="5"/>
  <c r="J7" i="5"/>
  <c r="H7" i="5"/>
  <c r="L12" i="5"/>
  <c r="H12" i="5"/>
  <c r="I17" i="5"/>
  <c r="K17" i="5"/>
  <c r="N19" i="5"/>
  <c r="J19" i="5"/>
  <c r="K7" i="5"/>
  <c r="J12" i="5"/>
  <c r="H19" i="5"/>
  <c r="L7" i="5"/>
  <c r="K12" i="5"/>
  <c r="N14" i="5"/>
  <c r="H14" i="5"/>
  <c r="O17" i="5"/>
  <c r="I19" i="5"/>
  <c r="N4" i="5"/>
  <c r="L4" i="5"/>
  <c r="H4" i="5"/>
  <c r="H9" i="5"/>
  <c r="L9" i="5"/>
  <c r="I14" i="5"/>
  <c r="K19" i="5"/>
  <c r="N21" i="5"/>
  <c r="L21" i="5"/>
  <c r="I4" i="5"/>
  <c r="N7" i="5"/>
  <c r="I9" i="5"/>
  <c r="N12" i="5"/>
  <c r="J14" i="5"/>
  <c r="L19" i="5"/>
  <c r="H21" i="5"/>
  <c r="J4" i="5"/>
  <c r="O7" i="5"/>
  <c r="J9" i="5"/>
  <c r="O12" i="5"/>
  <c r="K14" i="5"/>
  <c r="I21" i="5"/>
  <c r="H16" i="5"/>
  <c r="N16" i="5"/>
  <c r="J16" i="5"/>
  <c r="O29" i="5"/>
  <c r="L11" i="5"/>
  <c r="J11" i="5"/>
  <c r="I16" i="5"/>
  <c r="K21" i="5"/>
  <c r="O4" i="5"/>
  <c r="L6" i="5"/>
  <c r="J6" i="5"/>
  <c r="N9" i="5"/>
  <c r="H11" i="5"/>
  <c r="O14" i="5"/>
  <c r="K16" i="5"/>
  <c r="J18" i="5"/>
  <c r="H18" i="5"/>
  <c r="N25" i="5"/>
  <c r="O32" i="5"/>
  <c r="H27" i="5"/>
  <c r="N3" i="5"/>
  <c r="H3" i="5"/>
  <c r="N8" i="5"/>
  <c r="J8" i="5"/>
  <c r="L13" i="5"/>
  <c r="J13" i="5"/>
  <c r="H13" i="5"/>
  <c r="N13" i="5"/>
  <c r="L18" i="5"/>
  <c r="I3" i="5"/>
  <c r="H8" i="5"/>
  <c r="I13" i="5"/>
  <c r="J20" i="5"/>
  <c r="H20" i="5"/>
  <c r="L20" i="5"/>
  <c r="J3" i="5"/>
  <c r="O6" i="5"/>
  <c r="I8" i="5"/>
  <c r="K13" i="5"/>
  <c r="N18" i="5"/>
  <c r="I20" i="5"/>
  <c r="K3" i="5"/>
  <c r="K8" i="5"/>
  <c r="N15" i="5"/>
  <c r="L15" i="5"/>
  <c r="H15" i="5"/>
  <c r="O18" i="5"/>
  <c r="K20" i="5"/>
  <c r="O30" i="5"/>
  <c r="L3" i="5"/>
  <c r="N5" i="5"/>
  <c r="J5" i="5"/>
  <c r="L8" i="5"/>
  <c r="N10" i="5"/>
  <c r="L10" i="5"/>
  <c r="O13" i="5"/>
  <c r="I15" i="5"/>
  <c r="O3" i="5"/>
  <c r="O8" i="5"/>
  <c r="K15" i="5"/>
  <c r="O20" i="5"/>
  <c r="I27" i="5"/>
  <c r="O28" i="5"/>
  <c r="K31" i="5"/>
  <c r="H23" i="5"/>
  <c r="N24" i="5"/>
  <c r="J27" i="5"/>
  <c r="L31" i="5"/>
  <c r="L27" i="5"/>
  <c r="H30" i="5"/>
  <c r="N31" i="5"/>
  <c r="I30" i="5"/>
  <c r="O31" i="5"/>
  <c r="L23" i="5"/>
  <c r="H26" i="5"/>
  <c r="N27" i="5"/>
  <c r="J30" i="5"/>
  <c r="I26" i="5"/>
  <c r="O27" i="5"/>
  <c r="K30" i="5"/>
  <c r="L30" i="5"/>
  <c r="J22" i="5"/>
  <c r="L26" i="5"/>
  <c r="H29" i="5"/>
  <c r="N30" i="5"/>
  <c r="I29" i="5"/>
  <c r="L22" i="5"/>
  <c r="H25" i="5"/>
  <c r="N26" i="5"/>
  <c r="J29" i="5"/>
  <c r="L29" i="5"/>
  <c r="H32" i="5"/>
  <c r="I32" i="5"/>
  <c r="L25" i="5"/>
  <c r="H28" i="5"/>
  <c r="N29" i="5"/>
  <c r="J32" i="5"/>
  <c r="I28" i="5"/>
  <c r="K32" i="5"/>
  <c r="H24" i="5"/>
  <c r="J28" i="5"/>
  <c r="L32" i="5"/>
  <c r="J24" i="5"/>
  <c r="L28" i="5"/>
  <c r="H31" i="5"/>
  <c r="N32" i="5"/>
  <c r="I31" i="5"/>
  <c r="J508" i="2" l="1"/>
  <c r="K508" i="2" s="1"/>
  <c r="H508" i="2"/>
  <c r="I508" i="2" s="1"/>
  <c r="H543" i="2"/>
  <c r="I543" i="2" s="1"/>
  <c r="J543" i="2"/>
  <c r="K543" i="2" s="1"/>
  <c r="F1336" i="2"/>
  <c r="F771" i="2"/>
  <c r="G473" i="2"/>
  <c r="H473" i="2" s="1"/>
  <c r="I473" i="2" s="1"/>
  <c r="F473" i="2"/>
  <c r="F543" i="2"/>
  <c r="G539" i="2"/>
  <c r="H539" i="2" s="1"/>
  <c r="I539" i="2" s="1"/>
  <c r="F539" i="2"/>
  <c r="G1194" i="2"/>
  <c r="H1194" i="2" s="1"/>
  <c r="I1194" i="2" s="1"/>
  <c r="G961" i="2"/>
  <c r="H961" i="2" s="1"/>
  <c r="I961" i="2" s="1"/>
  <c r="F959" i="2"/>
  <c r="F766" i="2"/>
  <c r="F969" i="2"/>
  <c r="F537" i="2"/>
  <c r="G537" i="2"/>
  <c r="F388" i="2"/>
  <c r="G25" i="2"/>
  <c r="H25" i="2" s="1"/>
  <c r="I25" i="2" s="1"/>
  <c r="F344" i="2"/>
  <c r="F96" i="2"/>
  <c r="F526" i="2"/>
  <c r="G526" i="2"/>
  <c r="H526" i="2" s="1"/>
  <c r="I526" i="2" s="1"/>
  <c r="F907" i="2"/>
  <c r="G907" i="2"/>
  <c r="H907" i="2" s="1"/>
  <c r="I907" i="2" s="1"/>
  <c r="H536" i="2"/>
  <c r="I536" i="2" s="1"/>
  <c r="J536" i="2"/>
  <c r="K536" i="2" s="1"/>
  <c r="G534" i="2"/>
  <c r="H534" i="2" s="1"/>
  <c r="I534" i="2" s="1"/>
  <c r="F808" i="2"/>
  <c r="G888" i="2"/>
  <c r="H888" i="2" s="1"/>
  <c r="I888" i="2" s="1"/>
  <c r="F359" i="2"/>
  <c r="G523" i="2"/>
  <c r="H523" i="2" s="1"/>
  <c r="I523" i="2" s="1"/>
  <c r="G416" i="2"/>
  <c r="H416" i="2" s="1"/>
  <c r="I416" i="2" s="1"/>
  <c r="F346" i="2"/>
  <c r="F1312" i="2"/>
  <c r="G1312" i="2"/>
  <c r="H1312" i="2" s="1"/>
  <c r="I1312" i="2" s="1"/>
  <c r="F1080" i="2"/>
  <c r="G960" i="2"/>
  <c r="H960" i="2" s="1"/>
  <c r="I960" i="2" s="1"/>
  <c r="G809" i="2"/>
  <c r="H809" i="2" s="1"/>
  <c r="I809" i="2" s="1"/>
  <c r="F809" i="2"/>
  <c r="F1353" i="2"/>
  <c r="G1068" i="2"/>
  <c r="H1068" i="2" s="1"/>
  <c r="I1068" i="2" s="1"/>
  <c r="F1068" i="2"/>
  <c r="G532" i="2"/>
  <c r="H532" i="2" s="1"/>
  <c r="I532" i="2" s="1"/>
  <c r="F532" i="2"/>
  <c r="G337" i="2"/>
  <c r="H337" i="2" s="1"/>
  <c r="I337" i="2" s="1"/>
  <c r="F337" i="2"/>
  <c r="F370" i="2"/>
  <c r="G1062" i="2"/>
  <c r="H1062" i="2" s="1"/>
  <c r="I1062" i="2" s="1"/>
  <c r="G1060" i="2"/>
  <c r="H1060" i="2" s="1"/>
  <c r="I1060" i="2" s="1"/>
  <c r="F1060" i="2"/>
  <c r="F935" i="2"/>
  <c r="F769" i="2"/>
  <c r="G824" i="2"/>
  <c r="H824" i="2" s="1"/>
  <c r="I824" i="2" s="1"/>
  <c r="F415" i="2"/>
  <c r="G372" i="2"/>
  <c r="H372" i="2" s="1"/>
  <c r="I372" i="2" s="1"/>
  <c r="G1084" i="2"/>
  <c r="G505" i="2"/>
  <c r="H505" i="2" s="1"/>
  <c r="I505" i="2" s="1"/>
  <c r="F505" i="2"/>
  <c r="G1337" i="2"/>
  <c r="H1337" i="2" s="1"/>
  <c r="I1337" i="2" s="1"/>
  <c r="F1255" i="2"/>
  <c r="F1190" i="2"/>
  <c r="F1197" i="2"/>
  <c r="F508" i="2"/>
  <c r="G365" i="2"/>
  <c r="H365" i="2" s="1"/>
  <c r="I365" i="2" s="1"/>
  <c r="F375" i="2"/>
  <c r="G970" i="2"/>
  <c r="H970" i="2" s="1"/>
  <c r="I970" i="2" s="1"/>
  <c r="F464" i="2"/>
  <c r="G464" i="2"/>
  <c r="H464" i="2" s="1"/>
  <c r="I464" i="2" s="1"/>
  <c r="F1258" i="2"/>
  <c r="F1205" i="2"/>
  <c r="G1027" i="2"/>
  <c r="H1027" i="2" s="1"/>
  <c r="I1027" i="2" s="1"/>
  <c r="F1027" i="2"/>
  <c r="F973" i="2"/>
  <c r="G466" i="2"/>
  <c r="H466" i="2" s="1"/>
  <c r="I466" i="2" s="1"/>
  <c r="H509" i="2"/>
  <c r="I509" i="2" s="1"/>
  <c r="G504" i="2"/>
  <c r="H504" i="2" s="1"/>
  <c r="I504" i="2" s="1"/>
  <c r="F504" i="2"/>
  <c r="G342" i="2"/>
  <c r="H342" i="2" s="1"/>
  <c r="I342" i="2" s="1"/>
  <c r="F957" i="2"/>
  <c r="F374" i="2"/>
  <c r="G1314" i="2"/>
  <c r="H1314" i="2" s="1"/>
  <c r="I1314" i="2" s="1"/>
  <c r="F932" i="2"/>
  <c r="F1029" i="2"/>
  <c r="G929" i="2"/>
  <c r="H929" i="2" s="1"/>
  <c r="I929" i="2" s="1"/>
  <c r="F520" i="2"/>
  <c r="F499" i="2"/>
  <c r="G775" i="2"/>
  <c r="H775" i="2" s="1"/>
  <c r="I775" i="2" s="1"/>
  <c r="F768" i="2"/>
  <c r="G1227" i="2"/>
  <c r="H1227" i="2" s="1"/>
  <c r="I1227" i="2" s="1"/>
  <c r="F806" i="2"/>
  <c r="G971" i="2"/>
  <c r="H971" i="2" s="1"/>
  <c r="I971" i="2" s="1"/>
  <c r="F1256" i="2"/>
  <c r="F895" i="2"/>
  <c r="F765" i="2"/>
  <c r="G765" i="2"/>
  <c r="H765" i="2" s="1"/>
  <c r="I765" i="2" s="1"/>
  <c r="G1204" i="2"/>
  <c r="H1204" i="2" s="1"/>
  <c r="I1204" i="2" s="1"/>
  <c r="F1204" i="2"/>
  <c r="G338" i="2"/>
  <c r="H338" i="2" s="1"/>
  <c r="I338" i="2" s="1"/>
  <c r="G1346" i="2"/>
  <c r="H1346" i="2" s="1"/>
  <c r="I1346" i="2" s="1"/>
  <c r="F1233" i="2"/>
  <c r="F937" i="2"/>
  <c r="G915" i="2"/>
  <c r="H915" i="2" s="1"/>
  <c r="I915" i="2" s="1"/>
  <c r="F786" i="2"/>
  <c r="G787" i="2"/>
  <c r="H787" i="2" s="1"/>
  <c r="I787" i="2" s="1"/>
  <c r="F787" i="2"/>
  <c r="F511" i="2"/>
  <c r="J1195" i="2"/>
  <c r="K1195" i="2" s="1"/>
  <c r="H1195" i="2"/>
  <c r="I1195" i="2" s="1"/>
  <c r="G1350" i="2"/>
  <c r="H1350" i="2" s="1"/>
  <c r="I1350" i="2" s="1"/>
  <c r="G887" i="2"/>
  <c r="H887" i="2" s="1"/>
  <c r="I887" i="2" s="1"/>
  <c r="G1052" i="2"/>
  <c r="H1052" i="2" s="1"/>
  <c r="I1052" i="2" s="1"/>
  <c r="F938" i="2"/>
  <c r="J537" i="2" l="1"/>
  <c r="K537" i="2" s="1"/>
  <c r="H537" i="2"/>
  <c r="I537" i="2" s="1"/>
  <c r="H1084" i="2"/>
  <c r="I1084" i="2" s="1"/>
  <c r="J1084" i="2"/>
  <c r="K108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tc={5d53bab8-2712-471e-853b-391e65f454d6}</author>
  </authors>
  <commentList>
    <comment ref="A597" authorId="0" shapeId="0" xr:uid="{5D53BAB8-2712-471E-853B-391E65F454D6}">
      <text>
        <t>[Comentario encadenado]
Su versión de Excel le permite leer este comentario encadenado; sin embargo, las ediciones que se apliquen se quitarán si el archivo se abre en una versión más reciente de Excel. Más información: https://go.microsoft.com/fwlink/?linkid=870924
Comentario:
    A partir de aquí tuve que iniciar un nuevo hilo con la IA, que estaba alucinando con las alucinaciones</t>
      </text>
    </comment>
  </commentList>
</comments>
</file>

<file path=xl/sharedStrings.xml><?xml version="1.0" encoding="utf-8"?>
<sst xmlns="http://schemas.openxmlformats.org/spreadsheetml/2006/main" count="15908" uniqueCount="7120">
  <si>
    <t>Individual</t>
  </si>
  <si>
    <t>ObjectProperties</t>
  </si>
  <si>
    <t>DataProperties</t>
  </si>
  <si>
    <t>DeterministicParameter, Parameter</t>
  </si>
  <si>
    <t>Parameter, DeterministicParameter</t>
  </si>
  <si>
    <t>Coste</t>
  </si>
  <si>
    <t>Coste de diagnóstico</t>
  </si>
  <si>
    <t>UniformDistributionExpression</t>
  </si>
  <si>
    <t>Coste de seguimiento</t>
  </si>
  <si>
    <t>Coste específico manifestación</t>
  </si>
  <si>
    <t>Coste cribado</t>
  </si>
  <si>
    <t>Coste tratamiento</t>
  </si>
  <si>
    <t>Modelo Conceptual</t>
  </si>
  <si>
    <t>Población</t>
  </si>
  <si>
    <t>Population</t>
  </si>
  <si>
    <t>Población: edad</t>
  </si>
  <si>
    <t>Población: sexo</t>
  </si>
  <si>
    <t>Mortalidad</t>
  </si>
  <si>
    <t>Parameter, SecondOrderUncertaintyParameter</t>
  </si>
  <si>
    <t>GammaDistributionExpression</t>
  </si>
  <si>
    <t>Población: utilidad</t>
  </si>
  <si>
    <t>Utility, DeterministicParameter</t>
  </si>
  <si>
    <t>Intervención: No cribado</t>
  </si>
  <si>
    <t>DiagnosisIntervention</t>
  </si>
  <si>
    <t>Intervención: Cribado</t>
  </si>
  <si>
    <t>ScreeningIntervention</t>
  </si>
  <si>
    <t>Manifestación: Problemas de audición</t>
  </si>
  <si>
    <t>ChronicManifestation</t>
  </si>
  <si>
    <t>Manifestación: Hipotonía</t>
  </si>
  <si>
    <t>Manifestación: Retraso mental</t>
  </si>
  <si>
    <t>Manifestación: Convulsiones</t>
  </si>
  <si>
    <t>Manifestación: Problemas en la piel</t>
  </si>
  <si>
    <t>Manifestación: Pérdida de visión</t>
  </si>
  <si>
    <t>Modelo de árbol de decisión</t>
  </si>
  <si>
    <t>DecisionTreeModel</t>
  </si>
  <si>
    <t>Enfermedad</t>
  </si>
  <si>
    <t>RareDisease</t>
  </si>
  <si>
    <t>Parámetro epidemiológico</t>
  </si>
  <si>
    <t>Prevalencia al nacimiento</t>
  </si>
  <si>
    <t>EpidemiologicalParameter, SecondOrderUncertaintyParameter</t>
  </si>
  <si>
    <t>BetaDistributionExpression</t>
  </si>
  <si>
    <t>Parámetros de intervención</t>
  </si>
  <si>
    <t>Caracterización detección clínica</t>
  </si>
  <si>
    <t>#PBD_ClinicalDiagnosis</t>
  </si>
  <si>
    <t>DiagnosisStrategy</t>
  </si>
  <si>
    <t>Efecto de la intervención cribado</t>
  </si>
  <si>
    <t>Especificidad</t>
  </si>
  <si>
    <t>Caracterización cribado</t>
  </si>
  <si>
    <t>ScreeningStrategy</t>
  </si>
  <si>
    <t>Parámetros de progresión</t>
  </si>
  <si>
    <t>Riesgo: Problemas de audición</t>
  </si>
  <si>
    <t>Riesgo: Hipotonía</t>
  </si>
  <si>
    <t>Reducción vida: Retraso mental</t>
  </si>
  <si>
    <t>SecondOrderUncertaintyParameter, Parameter</t>
  </si>
  <si>
    <t>Riesgo: Retraso mental</t>
  </si>
  <si>
    <t>Riesgo: Convulsiones</t>
  </si>
  <si>
    <t>Riesgo: Problemas en la piel</t>
  </si>
  <si>
    <t>SecondOrderUncertaintyParameter, EpidemiologicalParameter</t>
  </si>
  <si>
    <t>Riesgo: Pérdida de visión</t>
  </si>
  <si>
    <t>Tratamiento/seguimiento</t>
  </si>
  <si>
    <t>Seguimiento</t>
  </si>
  <si>
    <t>FollowUpStrategy</t>
  </si>
  <si>
    <t>Tratamiento base</t>
  </si>
  <si>
    <t>LineOfTherapy</t>
  </si>
  <si>
    <t>Utilidad</t>
  </si>
  <si>
    <t>Utilidad: Problemas de audición</t>
  </si>
  <si>
    <t>Utilidad: Hipotonía</t>
  </si>
  <si>
    <t>Utilidad: Pérdida de visión</t>
  </si>
  <si>
    <t>Utilidad: Problemas en la piel</t>
  </si>
  <si>
    <t>Utilidad: Retraso mental</t>
  </si>
  <si>
    <t>Utilidad: Convulsiones</t>
  </si>
  <si>
    <t>CaseID</t>
  </si>
  <si>
    <t>Classes</t>
  </si>
  <si>
    <t>#Classes</t>
  </si>
  <si>
    <t>Class #1</t>
  </si>
  <si>
    <t>Hallucinated class #1</t>
  </si>
  <si>
    <t>Class #2</t>
  </si>
  <si>
    <t>Hallucinated class #2</t>
  </si>
  <si>
    <t>Class #3</t>
  </si>
  <si>
    <t>Hallucinated class #3</t>
  </si>
  <si>
    <t>Annotations</t>
  </si>
  <si>
    <t>MissingType</t>
  </si>
  <si>
    <t>WrongClasses</t>
  </si>
  <si>
    <t>WrongProperties</t>
  </si>
  <si>
    <t>Define source</t>
  </si>
  <si>
    <t>Related concept</t>
  </si>
  <si>
    <t>Group of concepts</t>
  </si>
  <si>
    <t>Unsolicited</t>
  </si>
  <si>
    <t>Hallucination_any</t>
  </si>
  <si>
    <t>Hallucination_Structural</t>
  </si>
  <si>
    <t>Hallucination_Semantic</t>
  </si>
  <si>
    <t>Hallucination_Contextual</t>
  </si>
  <si>
    <t>Hallucination_Evidence</t>
  </si>
  <si>
    <t>Explanation_Generated</t>
  </si>
  <si>
    <t>UC1-F1-P1-S1-M1</t>
  </si>
  <si>
    <t>BTD_BiotinTreatment_AnnualCost</t>
  </si>
  <si>
    <t>CostParameter</t>
  </si>
  <si>
    <t>hasDescription:"Coste anual del tratamiento con biotina (5-10 mg/día)"; hasUnit:"EUR"; hasExpectedValue:"730";</t>
  </si>
  <si>
    <t>Class 'CostParameter' undefined</t>
  </si>
  <si>
    <t>BTD_DiagnosticTest_Cost</t>
  </si>
  <si>
    <t>hasDescription:"Coste de la prueba diagnóstica confirmatoria"; hasExpectedValue:"150";</t>
  </si>
  <si>
    <t>BTD_Screening_Cost</t>
  </si>
  <si>
    <t>hasExpectedValue:"3.50"; hasDescription:"Coste del cribado neonatal por recién nacido"; hasUnit:"EUR";</t>
  </si>
  <si>
    <t>BTD_Disease_Partial</t>
  </si>
  <si>
    <t>Disease</t>
  </si>
  <si>
    <t>isSubtypeOf:BTD_Disease;</t>
  </si>
  <si>
    <t>hasDescription:"Deficiencia parcial de biotinidasa (actividad enzimática 10-30% del valor normal)";</t>
  </si>
  <si>
    <t>Parcial</t>
  </si>
  <si>
    <t>ObjectProp 'isSubtypeOf' undefined</t>
  </si>
  <si>
    <t>BTD_Disease_Profound</t>
  </si>
  <si>
    <t>hasFeature:BTD_Manif_OpticAtrophy; hasFeature:BTD_Manif_DevelopmentalDelay; hasFeature:BTD_Manif_Seizures; hasFeature:BTD_Manif_HearingLoss; hasFeature:BTD_Manif_SkinProblems; hasFeature:BTD_Manif_Hypotonia; isSubtypeOf:BTD_Disease;</t>
  </si>
  <si>
    <t>hasDescription:"Deficiencia profunda de biotinidasa (actividad enzimática menor del 10% del valor normal)";</t>
  </si>
  <si>
    <t>ObjectProp 'hasFeature' undefined; ObjectProp 'isSubtypeOf' undefined</t>
  </si>
  <si>
    <t>BTD_FollowUp_AnnualMonitoring</t>
  </si>
  <si>
    <t>BTD_Intervention_BiotinTreatment</t>
  </si>
  <si>
    <t>Intervention</t>
  </si>
  <si>
    <t>hasTreatmentCost:BTD_BiotinTreatment_AnnualCost;</t>
  </si>
  <si>
    <t>hasDescription:"Tratamiento con biotina oral (5-30 mg/día)";</t>
  </si>
  <si>
    <t>Should not be an Intervention</t>
  </si>
  <si>
    <t>BTD_Intervention_ClinicalDiagnosis</t>
  </si>
  <si>
    <t>hasDescription:"Detección clínica de la deficiencia de biotinidasa tras aparición de síntomas";</t>
  </si>
  <si>
    <t>BTD_Intervention_Screening</t>
  </si>
  <si>
    <t>modifies:BTD_Manif_HearingLoss_Prob_WithoutTreatment;</t>
  </si>
  <si>
    <t>hasDescription:"Cribado neonatal de la deficiencia de biotinidasa mediante ensayo enzimático o fluorimétrico semicuantitativo";</t>
  </si>
  <si>
    <t>BTD_Manif_DevelopmentalDelay</t>
  </si>
  <si>
    <t>Manifestation</t>
  </si>
  <si>
    <t>hasDescription:"Retraso del desarrollo psicomotor";</t>
  </si>
  <si>
    <t>BTD_Manif_HearingLoss</t>
  </si>
  <si>
    <t>hasDescription:"Pérdida auditiva neurosensorial";</t>
  </si>
  <si>
    <t>BTD_Manif_Hypotonia</t>
  </si>
  <si>
    <t>hasDescription:"Hipotonía muscular";</t>
  </si>
  <si>
    <t>BTD_Manif_OpticAtrophy</t>
  </si>
  <si>
    <t>hasDescription:"Atrofia óptica";</t>
  </si>
  <si>
    <t>BTD_Manif_Seizures</t>
  </si>
  <si>
    <t>hasDescription:"Convulsiones refractarias a tratamiento anticonvulsivo";</t>
  </si>
  <si>
    <t>BTD_Manif_SkinProblems</t>
  </si>
  <si>
    <t>hasDescription:"Problemas cutáneos (erupciones, alopecia)";</t>
  </si>
  <si>
    <t>BTD_Manif_DevelopmentalDelay_Prob_LateTraeatment</t>
  </si>
  <si>
    <t>Parameter</t>
  </si>
  <si>
    <t>hasSource:"Moslinger D et al. Clinical and neuropsychological outcome in 33 patients with biotinidase deficiency ascertained by nationwide newborn screening and family studies in Austria. Eur J Pediatr 2001;160:277-282"; hasDescription:"Probabilidad de retraso del desarrollo persistente con tratamiento tardío"; hasExpectedValue:"0.27";</t>
  </si>
  <si>
    <t>Value not found in source</t>
  </si>
  <si>
    <t>BTD_Manif_DevelopmentalDelay_Prob_WithoutTreatment</t>
  </si>
  <si>
    <t>hasDescription:"Probabilidad de desarrollar retraso del desarrollo sin tratamiento"; hasSource:"Moslinger D et al. Clinical and neuropsychological outcome in 33 patients with biotinidase deficiency ascertained by nationwide newborn screening and family studies in Austria. Eur J Pediatr 2001;160:277-282"; hasExpectedValue:"0.60";</t>
  </si>
  <si>
    <t>BTD_Manif_HearingLoss_Prob_LateTraeatment</t>
  </si>
  <si>
    <t>hasExpectedValue:"0.36"; hasDescription:"Probabilidad de pérdida auditiva persistente con tratamiento tardío"; hasSource:"Weber P et al. Outcome in patients with profound biotinidase deficiency: relevance of newborn screening. Dev Med Child Neurol 2004;46:481-4";</t>
  </si>
  <si>
    <t>BTD_Manif_HearingLoss_Prob_WithoutTreatment</t>
  </si>
  <si>
    <t>hasDescription:"Probabilidad de desarrollar pérdida auditiva sin tratamiento"; hasExpectedValue:"0.55"; hasExpectedValue:"0.75"; hasSource:"Wolf B, Spencer R, Gleason T. Hearing loss is a common feature of symptomatic children with profound biotinidase deficiency. J Pediatr 2002;140:242-246"; hasSource:"Wolf B et al. Hearing loss is a common feature... J Pediatr 2002;140:242-246";</t>
  </si>
  <si>
    <t>Dataproperty used twice; one of them is incorrect</t>
  </si>
  <si>
    <t>BTD_Manif_OpticAtrophy_Prob_LateTraeatment</t>
  </si>
  <si>
    <t>hasDescription:"Probabilidad de atrofia óptica persistente con tratamiento tardío"; hasSource:"Salbert BA, Astruc J, Wolf B. Ophthalmologic findings in biotinidase deficiency. Ophthalmologica 1993;206:177-181"; hasExpectedValue:"0.20";</t>
  </si>
  <si>
    <t>BTD_Manif_OpticAtrophy_Prob_WithoutTreatment</t>
  </si>
  <si>
    <t>hasDescription:"Probabilidad de desarrollar atrofia óptica sin tratamiento"; hasExpectedValue:"0.30"; hasSource:"Salbert BA, Astruc J, Wolf B. Ophthalmologic findings in biotinidase deficiency. Ophthalmologica 1993;206:177-181";</t>
  </si>
  <si>
    <t>BTD_Manif_Seizures_Prob_WithoutTreatment</t>
  </si>
  <si>
    <t>hasExpectedValue:"0.70"; hasSource:"Weber P et al. Outcome in patients with profound biotinidase deficiency: relevance of newborn screening. Dev Med Child Neurol 2004;46:481-4"; hasDescription:"Probabilidad de desarrollar convulsiones sin tratamiento";</t>
  </si>
  <si>
    <t>BTD_Screening_Specificity</t>
  </si>
  <si>
    <t>hasExpectedValue:"0.998"; hasDescription:"Especificidad del cribado neonatal para la deficiencia de biotinidasa";</t>
  </si>
  <si>
    <t>BTD_Screening_Sensitivity</t>
  </si>
  <si>
    <t>Parameter; DeterministicParameter</t>
  </si>
  <si>
    <t>hasExpectedValue:"0.99"; hasDescription:"Sensibilidad del cribado neonatal para la deficiencia de biotinidasa";</t>
  </si>
  <si>
    <t>BTD_Population_Newborns_ES</t>
  </si>
  <si>
    <t>hasSubpopulation:GeneralPopulation;</t>
  </si>
  <si>
    <t>hasDescription:"Recién nacidos en España durante un año natural"; hasMaxAge:"1"; hasMinAge:"0"; hasGeographicalContext:"España";</t>
  </si>
  <si>
    <t>Makes reference to an undefined individual</t>
  </si>
  <si>
    <t>BTD_Disease</t>
  </si>
  <si>
    <t>RareDisease; Disease</t>
  </si>
  <si>
    <t>hasFollowUpStrategy:BTD_FollowUp_AnnualMonitoring; hasDisutilityCombinationMethod:AdditiveDisutility; hasEpidemiologicalParameter:BTD_Incidence;</t>
  </si>
  <si>
    <t>hasDescription:"Deficiencia de biotinidasa"; hasSource:"Wolf B. Disorders of biotin metabolism. In: Scriver CR et al., eds. The metabolic and molecular bases of inherited disease, 7th ed. 2001";</t>
  </si>
  <si>
    <t>ObjectProp 'hasDisutilityCombinationMethod' undefined</t>
  </si>
  <si>
    <t>BTD_Incidence</t>
  </si>
  <si>
    <t>SecondOrderUncertaintyParameter; EpidemiologicalParameter</t>
  </si>
  <si>
    <t>hasDescription:"Incidencia de la deficiencia profunda de biotinidasa"; hasSource:"Wolf B. Worldwide survey of neonatal screening for biotinidase deficiency. J Inherit Metab Dis 1991;14:923-927"; hasExpectedValue:"0.0000125";</t>
  </si>
  <si>
    <t>BTD_Manif_Combined_U</t>
  </si>
  <si>
    <t>UtilityParameter</t>
  </si>
  <si>
    <t>hasDescription:"Desutilidad anual para casos graves con múltiples síntomas"; appliesOneTime:"false"; hasExpectedValue:"0.49";</t>
  </si>
  <si>
    <t>Utilidad: Otras</t>
  </si>
  <si>
    <t>Class 'UtilityParameter' undefined</t>
  </si>
  <si>
    <t>BTD_Manif_DevelopmentalDelay_U</t>
  </si>
  <si>
    <t>hasExpectedValue:"0.29"; appliesOneTime:"false"; hasDescription:"Desutilidad anual asociada a retraso del desarrollo";</t>
  </si>
  <si>
    <t>BTD_Manif_HearingLoss_U</t>
  </si>
  <si>
    <t>hasExpectedValue:"0.18"; hasDescription:"Desutilidad anual asociada a pérdida auditiva neurosensorial"; appliesOneTime:"false";</t>
  </si>
  <si>
    <t>BTD_Manif_OpticAtrophy_U</t>
  </si>
  <si>
    <t>hasExpectedValue:"0.23"; hasDescription:"Desutilidad anual asociada a atrofia óptica"; appliesOneTime:"false";</t>
  </si>
  <si>
    <t>BTD_Manif_Seizures_U</t>
  </si>
  <si>
    <t>hasDescription:"Desutilidad anual asociada a convulsiones refractarias"; appliesOneTime:"false"; hasExpectedValue:"0.32";</t>
  </si>
  <si>
    <t>BTD_Normal_U</t>
  </si>
  <si>
    <t>hasDescription:"Utilidad de vida normal sin síntomas"; hasExpectedValue:"1.0";</t>
  </si>
  <si>
    <t>AdditiveDisutility</t>
  </si>
  <si>
    <t>Otros</t>
  </si>
  <si>
    <t>No Class assigned</t>
  </si>
  <si>
    <t>GeneralPopulation</t>
  </si>
  <si>
    <t>UC1-F1-P1-S2-M1</t>
  </si>
  <si>
    <t>Manif_Convulsiones</t>
  </si>
  <si>
    <t>AcuteManifestation</t>
  </si>
  <si>
    <t>Manif_ErupcionCutanea</t>
  </si>
  <si>
    <t>CosteCribadoUnitario</t>
  </si>
  <si>
    <t>Cost</t>
  </si>
  <si>
    <t>hasExpectedValue:"25.5";</t>
  </si>
  <si>
    <t>Unsuitable value for property</t>
  </si>
  <si>
    <t>CosteDiagnostico</t>
  </si>
  <si>
    <t>hasExpectedValue:"150.0";</t>
  </si>
  <si>
    <t>Param_EspecificidadCribado</t>
  </si>
  <si>
    <t>DeterministicParameter</t>
  </si>
  <si>
    <t>hasExpectedValue:"0.995";</t>
  </si>
  <si>
    <t>Param_SensibilidadCribado</t>
  </si>
  <si>
    <t>hasExpectedValue:"0.998";</t>
  </si>
  <si>
    <t xml:space="preserve"> </t>
  </si>
  <si>
    <t>DeteccionClinicaBiotinidasa</t>
  </si>
  <si>
    <t>Param_Prevalencia</t>
  </si>
  <si>
    <t>EpidemiologicalParameter</t>
  </si>
  <si>
    <t>hasExpectedValue:"1.0E-4"; hasSource:"Wolf B. (1991) J Inherit Metab Dis 14(4):513-26";</t>
  </si>
  <si>
    <t>PrevalenciaBiotinidasa</t>
  </si>
  <si>
    <t>PoblacionRecienNacidosEspaña</t>
  </si>
  <si>
    <t>hasGeographicalContext:"España"; hasSize:"450000";</t>
  </si>
  <si>
    <t>DeficienciaBiotinidasa</t>
  </si>
  <si>
    <t>hasManifestation:Manif_Convulsiones; hasManifestation:Manif_ErupcionCutanea; hasEpidemiologicalParameter:Param_Prevalencia; hasDiagnosisCost:CosteDiagnostico;</t>
  </si>
  <si>
    <t>hasRefToSNOMED:"253260006";</t>
  </si>
  <si>
    <t>CribadoNeonatalBiotinidasa</t>
  </si>
  <si>
    <t>hasSpecificity:Param_EspecificidadCribado; hasSensitivity:Param_SensibilidadCribado; hasCost:CosteCribadoUnitario;</t>
  </si>
  <si>
    <t>Utilidad_Convulsiones</t>
  </si>
  <si>
    <t>Utility</t>
  </si>
  <si>
    <t>hasExpectedValue:"-0.35";</t>
  </si>
  <si>
    <t>Utilidad_ErupcionCutanea</t>
  </si>
  <si>
    <t>hasExpectedValue:"-0.15";</t>
  </si>
  <si>
    <t>UC1-F1-P2-S1-M1</t>
  </si>
  <si>
    <t>BD_Manif_HipoacusiaNeurosensorial</t>
  </si>
  <si>
    <t>hasDescription:"Hipoacusia neurosensorial bilateral irreversible, presente en 55% de casos sintomáticos"; hasSource:"Genc et al. 2007[4]; Wolf et al. 2002[5]; Weber et al. 2004[2]";</t>
  </si>
  <si>
    <t>BD_Manif_Leucoencefalopatia</t>
  </si>
  <si>
    <t>hasSource:"Grünewald et al. 2003[3]; Couce et al. 2011[1]"; hasDescription:"Alteraciones difusas de la sustancia blanca en resonancia magnética";</t>
  </si>
  <si>
    <t>BD_Manif_AtrofiaOptica</t>
  </si>
  <si>
    <t>ChronicManifestation; ManifestacionClinica</t>
  </si>
  <si>
    <t>affectsUtility:BD_Manif_AtrofiaOptica_U;</t>
  </si>
  <si>
    <t>hasSource:"Salbert et al. 1993[5]; Weber et al. 2004[2]"; hasSource:"Salbert et al. 1993[5]; Ye et al. 2009[6]"; hasSource:"Salbert et al. 1993[5]; Ye et al. 2009[7]"; hasDescription:"Atrofia óptica bilateral progresiva con pérdida aguda de visión"; hasDescription:"Atrofia óptica progresiva con pérdida de agudeza visual"; hasProbability:"0.36";</t>
  </si>
  <si>
    <t>Class 'ManifestacionClinica' undefined; ObjectProp 'affectsUtility' undefined; DataProp 'hasProbability' undefined; unsuitable sources</t>
  </si>
  <si>
    <t>BD_Progresion_Temporal</t>
  </si>
  <si>
    <t>DiseaseProgressionModel</t>
  </si>
  <si>
    <t>hasAcutePhase:BD_Param_Tiempo_ManifAgudas; hasChronicPhase:BD_Manif_HipoacusiaCronica;</t>
  </si>
  <si>
    <t>Class 'DiseaseProgressionModel' undefined; ObjectProp 'hasAcutePhase' undefined; ObjectProp 'hasChronicPhase' undefined</t>
  </si>
  <si>
    <t>BD_Manif_AtrofiaOptica_U</t>
  </si>
  <si>
    <t>DisutilityParameter</t>
  </si>
  <si>
    <t>hasSource:"Salbert et al. 1993[5]; Weber et al. 2004[2]"; hasExpectedValue:"0.55";</t>
  </si>
  <si>
    <t>Class 'DisutilityParameter' undefined; unsuitable value for property</t>
  </si>
  <si>
    <t>BD_Manif_Dermatitis_U</t>
  </si>
  <si>
    <t>hasSource:"Salbert et al. 1993[5]; Wolf et al. 2002[6]"; hasExpectedValue:"0.30";</t>
  </si>
  <si>
    <t>BD_Manif_RetrasoDesarrollo_U</t>
  </si>
  <si>
    <t>hasExpectedValue:"0.70"; hasSource:"Joshi et al. 1999[7]; Couce et al. 2011[1]";</t>
  </si>
  <si>
    <t>BD_Manif_Hipoacusia_U</t>
  </si>
  <si>
    <t>DisutilityParameter; UtilityParameter</t>
  </si>
  <si>
    <t>hasExpectedValue:"0.45"; hasSource:"Genc et al. 2007[4]; Wolf et al. 2002[5]"; hasSource:"Genc et al. 2007[4]; Wolf et al. 2002[6]";</t>
  </si>
  <si>
    <t>Class 'DisutilityParameter' undefined; Class 'UtilityParameter' undefined; unsuitable value for property</t>
  </si>
  <si>
    <t>BD_Intervencion_Biotina_Efectividad</t>
  </si>
  <si>
    <t>EfficacyParameter</t>
  </si>
  <si>
    <t>hasSource:"Grünewald et al. 2003[6]; Wolf et al. 2002[5]"; hasExpectedValue:"Resolución síntomas en 1-4 semanas (Genc et al. 2007[7])";</t>
  </si>
  <si>
    <t>Class 'EfficacyParameter' undefined; the individual cannot be used</t>
  </si>
  <si>
    <t>BD_Parcial_Enfermedad</t>
  </si>
  <si>
    <t>hasManifestation:BD_Parcial_Alopecia; hasManifestation:BD_Parcial_Dermatitis; hasManifestation:BD_Parcial_Hipoacusia; hasManifestation:BD_Parcial_Convulsiones;</t>
  </si>
  <si>
    <t>hasDescription:"Deficiencia parcial de biotinidasa (actividad enzimática 10-30%)"; hasSource:"Couce et al. 2011[1]; Mslinger et al. 2003[6]";</t>
  </si>
  <si>
    <t>Class 'Enfermedad' undefined</t>
  </si>
  <si>
    <t>BD_Enfermedad</t>
  </si>
  <si>
    <t>Enfermedad; EnfermedadMetabolica</t>
  </si>
  <si>
    <t>hasManifestation:BD_Manif_Convulsiones; hasManifestation:BD_Manif_HipoacusiaCronica; hasManifestation:BD_Manif_Dermatitis; hasManifestation:BD_Manif_EstridorLaríngeo; hasManifestation:BD_Manif_AtrofiaOptica; hasManifestation:BD_Manif_Hipotonia; hasManifestation:BD_Manif_DermatitisExudativa; hasManifestation:BD_Manif_ConvulsionesAgudas; hasManifestation:BD_Manif_RetrasoDesarrollo; hasManifestation:BD_Manif_ConvulsionesMioclonicas; hasManifestation:BD_Manif_Hipoacusia; hasManifestation:BD_Manif_HipoacusiaNeurosensorial; hasManifestation:BD_Manif_Leucoencefalopatia; hasDiseaseStage:BD_Parcial_Enfermedad;</t>
  </si>
  <si>
    <t>hasDescription:"Deficiencia profunda de biotinidasa (OMIM 253260), trastorno autosómico recesivo del metabolismo de la biotina"; hasOMIM:"253260"; hasInheritance:"Autosómica recesiva";</t>
  </si>
  <si>
    <t>Class 'Enfermedad' undefined; Class 'EnfermedadMetabolica' undefined; ObjectProp 'hasDiseaseStage' undefined; DataProp 'hasOMIM' undefined; DataProp 'hasInheritance' undefined</t>
  </si>
  <si>
    <t>BD_Epid_Incidencia</t>
  </si>
  <si>
    <t>hasSource:"Wolf 1995[4]; Baykal et al. 1998[3]"; hasExpectedValue:"1:60000";</t>
  </si>
  <si>
    <t>BD_Epid_IncidenciaGlobal</t>
  </si>
  <si>
    <t>hasSource:"Couce et al. 2011[1]; Wolf 1995[4]"; hasExpectedValue:"1:60000";</t>
  </si>
  <si>
    <t>BD_Manif_Hipoacusia_Incidencia</t>
  </si>
  <si>
    <t>hasSource:"Genc et al. 2007[4]; Wolf et al. 2002[7]"; hasExpectedValue:"0.55";</t>
  </si>
  <si>
    <t>BD_Parcial_Incidencia</t>
  </si>
  <si>
    <t>hasExpectedValue:"1:43,575"; hasSource:"Couce et al. 2011[1]";</t>
  </si>
  <si>
    <t>BD_Profunda_Incidencia</t>
  </si>
  <si>
    <t>hasExpectedValue:"1:187500"; hasSource:"Couce et al. 2011[1]; Baykal et al. 1998[3]";</t>
  </si>
  <si>
    <t>BD_Estadio_NoTratado</t>
  </si>
  <si>
    <t>EstadioEnfermedad</t>
  </si>
  <si>
    <t>hasEpidemiologicalParameter:BD_Epid_IncidenciaGlobal;</t>
  </si>
  <si>
    <t>hasDescription:"Deficiencia profunda no tratada (actividad enzimática ≤10%) con manifestaciones neurológicas activas"; hasDescription:"Fase sintomática con afectación neurológica y metabólica activa";</t>
  </si>
  <si>
    <t>Class 'EstadioEnfermedad' undefined</t>
  </si>
  <si>
    <t>BD_Seguimiento_Parcial</t>
  </si>
  <si>
    <t>EstrategiaSeguimiento</t>
  </si>
  <si>
    <t>appliesToDiseaseStage:BD_Estadio_Parcial;</t>
  </si>
  <si>
    <t>hasSource:"Ye et al. 2009[7]; Joshi et al. 1999[8]"; hasDescription:"Evaluación semestral: control metabólico y ajuste dosis biotina en situaciones de estrés. Screening audiológico bianual hasta adolescencia";</t>
  </si>
  <si>
    <t>Class 'EstrategiaSeguimiento' undefined; ObjectProp 'appliesToDiseaseStage' undefined</t>
  </si>
  <si>
    <t>BD_Seguimiento_Profundo</t>
  </si>
  <si>
    <t>appliesToDiseaseStage:BD_Estadio_Profundo;</t>
  </si>
  <si>
    <t>hasDescription:"Monitorización trimestral: evaluación neurológica, auditiva y visual. Control bioquímico de metabolitos (3-HIA, MCC) y actividad enzimática cada 3 meses. EEG anual hasta estabilización"; hasSource:"Couce et al. 2011[1]; Weber et al. 2004[2]; Mslinger et al. 2003[6]";</t>
  </si>
  <si>
    <t>BD_Eval_Audiologica</t>
  </si>
  <si>
    <t>EvaluacionClinica</t>
  </si>
  <si>
    <t>hasDescription:"Potenciales evocados auditivos brainstem (BAEP) anuales durante primeros 5 años"; hasSource:"Wolf et al. 2002[5]; Genc et al. 2007[4]";</t>
  </si>
  <si>
    <t>Class 'EvaluacionClinica' undefined</t>
  </si>
  <si>
    <t>BD_Intervencion_CribadoNeonatal</t>
  </si>
  <si>
    <t>IntervencionCribado</t>
  </si>
  <si>
    <t>previeneEstadio:BD_Estadio_NoTratado;</t>
  </si>
  <si>
    <t>hasEficacia:"Reducción del 95% en manifestaciones neurológicas con tratamiento antes de los 3 meses"; hasCostoUnitario:"2150€ por caso detectado (Ye et al. 2009)"; hasSource:"Couce et al. 2011[1]; Weber et al. 2004[5]"; hasDescription:"Ensayo enzimático fluorimétrico en sangre en papel para detección precoz";</t>
  </si>
  <si>
    <t>Class 'IntervencionCribado' undefined; ObjectProp 'previeneEstadio' undefined; DataProp 'hasEficacia' undefined; DataProp 'hasCostoUnitario' undefined</t>
  </si>
  <si>
    <t>BD_Intervencion_Cribado</t>
  </si>
  <si>
    <t>IntervencionCribado; Intervencion</t>
  </si>
  <si>
    <t>affectsDiseaseStage:BD_Estadio_NoTratado;</t>
  </si>
  <si>
    <t>hasEffect:"Reducción del 95% en manifestaciones neurológicas cuando se trata antes de los 3 meses"; hasCostoUnitario:"2150€ por caso detectado"; hasEficacia:"Reducción del 95% en manifestaciones neurológicas con tratamiento temprano"; hasDescription:"Cribado neonatal mediante ensayo enzimático fluorimétrico en papel";</t>
  </si>
  <si>
    <t>Class 'IntervencionCribado' undefined; Class 'Intervencion' undefined; ObjectProp 'affectsDiseaseStage' undefined; DataProp 'hasEffect' undefined; DataProp 'hasCostoUnitario' undefined; DataProp 'hasEficacia' undefined</t>
  </si>
  <si>
    <t>BD_Intervencion_Biotina</t>
  </si>
  <si>
    <t>IntervencionFarmacologica</t>
  </si>
  <si>
    <t>trataManifestacion:BD_Manif_Convulsiones;</t>
  </si>
  <si>
    <t>hasDescription:"Suplementación oral con biotina 10-30 mg/día"; hasDosis:"10-30 mg/día (Joshi et al. 1999[3]; Mslinger et al. 2003[2])"; hasEfectoBioquimico:"Restauración de actividad carboxilasa en 48-72 horas";</t>
  </si>
  <si>
    <t>Class 'IntervencionFarmacologica' undefined; ObjectProp 'trataManifestacion' undefined; DataProp 'hasDosis' undefined; DataProp 'hasEfectoBioquimico' undefined; should not be an intervention</t>
  </si>
  <si>
    <t>BD_Manif_ConvulsionesAgudas</t>
  </si>
  <si>
    <t>ManifestacionAguda</t>
  </si>
  <si>
    <t>hasOnsetTime:"2"; hasDescription:"Convulsiones mioclónicas típicamente entre 2-4 meses no tratados";</t>
  </si>
  <si>
    <t>Class 'ManifestacionAguda' undefined; DataProp 'hasOnsetTime' undefined</t>
  </si>
  <si>
    <t>BD_Manif_DermatitisAguda</t>
  </si>
  <si>
    <t>hasOnsetTime:"3";</t>
  </si>
  <si>
    <t>BD_Manif_Convulsiones</t>
  </si>
  <si>
    <t>ManifestacionClinica</t>
  </si>
  <si>
    <t>affectsUtility:BD_Manif_Convulsiones_U;</t>
  </si>
  <si>
    <t>hasSource:"Couce et al. 2011[1]; Weber et al. 2004[2]"; hasSource:"Weber et al. 2004[2]; Grünewald et al. 2003[3]"; hasDescription:"Convulsiones mioclónicas o tónico-clónicas, frecuentes en pacientes no tratados"; hasProbability:"0.78";</t>
  </si>
  <si>
    <t>Class 'ManifestacionClinica' undefined; ObjectProp 'affectsUtility' undefined; DataProp 'hasProbability' undefined</t>
  </si>
  <si>
    <t>BD_Manif_ConvulsionesMioclonicas</t>
  </si>
  <si>
    <t>hasDescription:"Convulsiones mioclónicas refractarias, frecuentes en crisis agudas no tratadas"; hasSource:"Couce et al. 2011[1]; Wolf et al. 2002[7]";</t>
  </si>
  <si>
    <t>Class 'ManifestacionClinica' undefined</t>
  </si>
  <si>
    <t>BD_Manif_Dermatitis</t>
  </si>
  <si>
    <t>affectsUtility:BD_Manif_Dermatitis_U;</t>
  </si>
  <si>
    <t>hasProbability:"0.45"; hasSource:"Salbert et al. 1993[5]; Mslinger et al. 2003[6]";</t>
  </si>
  <si>
    <t>BD_Manif_DermatitisExudativa</t>
  </si>
  <si>
    <t>hasSource:"Salbert et al. 1993[5]; Wolf 2001[7]"; hasDescription:"Dermatitis exudativa perioral con sobreinfección por Candida";</t>
  </si>
  <si>
    <t>BD_Manif_EstridorLaríngeo</t>
  </si>
  <si>
    <t>hasDescription:"Estridor laríngeo y apnea central por hipoventilación"; hasSource:"Weber et al. 2004[2]; Dionisi-Vici et al. 1988[1]";</t>
  </si>
  <si>
    <t>Otras manifestaciones</t>
  </si>
  <si>
    <t>BD_Manif_Hipoacusia</t>
  </si>
  <si>
    <t>affectsUtility:BD_Manif_Hipoacusia_U;</t>
  </si>
  <si>
    <t>hasPrevalencia:"55% en casos sintomáticos"; hasSource:"Genc et al. 2007[5]; Wolf et al. 2002[6]"; hasSource:"Genc et al. 2007[4]; Wolf et al. 2002[7]"; hasSource:"Wolf et al. 2002[5]; Grünewald et al. 2003[3]"; hasDescription:"Hipoacusia neurosensorial bilateral, prevalente en 55% de casos sintomáticos"; hasProbability:"0.55";</t>
  </si>
  <si>
    <t>Class 'ManifestacionClinica' undefined; ObjectProp 'affectsUtility' undefined; DataProp 'hasPrevalencia' undefined; DataProp 'hasProbability' undefined</t>
  </si>
  <si>
    <t>BD_Manif_Hipotonia</t>
  </si>
  <si>
    <t>hasProbability:"0.68"; hasSource:"Grünewald et al. 2003[3]; Couce et al. 2011[1]";</t>
  </si>
  <si>
    <t>Class 'ManifestacionClinica' undefined; DataProp 'hasProbability' undefined</t>
  </si>
  <si>
    <t>BD_Parcial_Alopecia</t>
  </si>
  <si>
    <t>hasSource:"Couce et al. 2011[1]; Grünewald et al. 2003[3]"; hasProbability:"0.20";</t>
  </si>
  <si>
    <t>BD_Parcial_Convulsiones</t>
  </si>
  <si>
    <t>hasProbability:"0.05"; hasSource:"Couce et al. 2011[1]; Weber et al. 2004[2]";</t>
  </si>
  <si>
    <t>BD_Parcial_Dermatitis</t>
  </si>
  <si>
    <t>hasSource:"Salbert et al. 1993[5]; Joshi et al. 1999[7]"; hasProbability:"0.15";</t>
  </si>
  <si>
    <t>BD_Parcial_Hipoacusia</t>
  </si>
  <si>
    <t>hasSource:"Genc et al. 2007[4]; Wolf et al. 2002[5]"; hasProbability:"0.10";</t>
  </si>
  <si>
    <t>BD_Manif_RetrasoDesarrollo</t>
  </si>
  <si>
    <t>ManifestacionClinica; ChronicManifestation</t>
  </si>
  <si>
    <t>affectsUtility:BD_Manif_RetrasoDesarrollo_U;</t>
  </si>
  <si>
    <t>hasIncidence:"60% en diagnósticos posteriores a 6 meses"; hasProbability:"0.60"; hasSource:"Mslinger et al. 2003[6]; Wolf et al. 2002[7]"; hasSource:"Weber et al. 2004[2]; Grünewald et al. 2003[3]"; hasSource:"Mslinger et al. 2003[6]; Joshi et al. 1999[7]"; hasDescription:"Retraso motor y cognitivo persistente tras tratamiento tardío";</t>
  </si>
  <si>
    <t>Class 'ManifestacionClinica' undefined; ObjectProp 'affectsUtility' undefined; DataProp 'hasIncidence' undefined; DataProp 'hasProbability' undefined</t>
  </si>
  <si>
    <t>BD_Manif_AtrofiaOpticaCronica</t>
  </si>
  <si>
    <t>ManifestacionCronica</t>
  </si>
  <si>
    <t>hasChronicOnset:"9";</t>
  </si>
  <si>
    <t>Class 'ManifestacionCronica' undefined; DataProp 'hasChronicOnset' undefined</t>
  </si>
  <si>
    <t>BD_Manif_HipoacusiaCronica</t>
  </si>
  <si>
    <t>hasChronicOnset:"12"; hasDescription:"Hipoacusia neurosensorial bilateral progresiva tras 6-18 meses sin tratamiento"; hasSource:"Genc et al. 2007[5]; Wolf et al. 2002[6]";</t>
  </si>
  <si>
    <t>BD_Mutacion_G98d7i3</t>
  </si>
  <si>
    <t>MutacionGenetica</t>
  </si>
  <si>
    <t>hasFrecuencia:"31.8% en casos sintomáticos"; hasEffectoBioquimico:"Frameshift que genera terminación prematura (actividad 0%)";</t>
  </si>
  <si>
    <t>Class 'MutacionGenetica' undefined; DataProp 'hasFrecuencia' undefined; DataProp 'hasEffectoBioquimico' undefined</t>
  </si>
  <si>
    <t>BD_Param_FrecuenciaTrimestral</t>
  </si>
  <si>
    <t>ParametroSeguimiento</t>
  </si>
  <si>
    <t>hasExpectedValue:"4 evaluaciones/año";</t>
  </si>
  <si>
    <t>Class 'ParametroSeguimiento' undefined</t>
  </si>
  <si>
    <t>BD_Protocolo_Emergencia</t>
  </si>
  <si>
    <t>ProtocoloIntervencion</t>
  </si>
  <si>
    <t>hasSource:"Grünewald et al. 2003[3]; Salbert et al. 1993[5]"; hasDescription:"Ajuste inmediato a 20 mg/día de biotina durante infecciones o estrés metabólico. Monitorización diaria de lactato";</t>
  </si>
  <si>
    <t>Class 'ProtocoloIntervencion' undefined; should not be an intervention</t>
  </si>
  <si>
    <t>BD_Param_Tiempo_ManifAgudas</t>
  </si>
  <si>
    <t>TemporalParameter</t>
  </si>
  <si>
    <t>hasExpectedValue:"3.5"; hasSource:"Couce et al. 2011[1]; Weber et al. 2004[2]"; hasDescription:"Inicio promedio de manifestaciones agudas tras 2-5 meses sin tratamiento";</t>
  </si>
  <si>
    <t>Riesgo:Otras</t>
  </si>
  <si>
    <t>Class 'TemporalParameter' undefined</t>
  </si>
  <si>
    <t>BD_Progresion_ManifAgudas</t>
  </si>
  <si>
    <t>hasSource:"Grünewald et al. 2003[3]; Wolf et al. 2002[6]"; hasDescription:"Aparición de síntomas neurológicos entre 2-5 meses sin tratamiento";</t>
  </si>
  <si>
    <t>BD_EstadoSaludable_U</t>
  </si>
  <si>
    <t>hasExpectedValue:"1.0";</t>
  </si>
  <si>
    <t>BD_Manif_Convulsiones_U</t>
  </si>
  <si>
    <t>UtilityParameter; DisutilityParameter</t>
  </si>
  <si>
    <t>hasSource:"Grünewald et al. 2003[3]; Wolf et al. 2002[6]"; hasSource:"Wolf et al. 2002[5]; Ye et al. 2009[7]"; hasSource:"Wolf et al. 2002[7]; Grünewald et al. 2003[3]"; hasSource:"Grünewald et al. 2003[3]; Salbert et al. 1993[4]"; hasExpectedValue:"0.65";</t>
  </si>
  <si>
    <t>Class 'UtilityParameter' undefined; Class 'DisutilityParameter' undefined; unsuitable value for property</t>
  </si>
  <si>
    <t>BD_Estadio_Parcial</t>
  </si>
  <si>
    <t>BD_Estadio_Profundo</t>
  </si>
  <si>
    <t>UC1-F1-P2-S1-M2</t>
  </si>
  <si>
    <t>DBP_Manif_Alopecia</t>
  </si>
  <si>
    <t>hasSource:"1999-Biotinidase_deficiency_a_treatable_genetic_disorder_in_the_Saudi_population.pdf"; hasSource:"2011-Clinical_and_genetic_findings_in_patients_with_biotinidase_deficiency_detected_through_newb.pdf"; hasDescription:"Alopecia parcial o total, a menudo asociada a dermatitis."; hasDescription:"Alopecia parcial o total, de aparición rápida, en ocasiones reversible con tratamiento.";</t>
  </si>
  <si>
    <t>DBP_Manif_Ataxia</t>
  </si>
  <si>
    <t>hasDescription:"Ataxia y alteraciones de la coordinación motora."; hasDescription:"Ataxia y alteraciones de la coordinación motora, descritas en episodios agudos."; hasSource:"2011-Clinical_and_genetic_findings_in_patients_with_biotinidase_deficiency_detected_through_newb.pdf";</t>
  </si>
  <si>
    <t>DBP_Manif_BreathingProblems</t>
  </si>
  <si>
    <t>hasSource:"2004-Outcome_in_patients_with_profound_biotinidase_deficiency_relevance_of_newborn_screening.pdf"; hasDescription:"Problemas respiratorios agudos, incluyendo hiperventilación y distrés respiratorio.";</t>
  </si>
  <si>
    <t>DBP_Manif_Coma</t>
  </si>
  <si>
    <t>hasDescription:"Coma secundario a descompensación metabólica grave."; hasSource:"1999-Biotinidase_deficiency_a_treatable_genetic_disorder_in_the_Saudi_population.pdf"; hasSource:"2003-Molecular_characterisation_and_neuropsychological_outcome_of_21_patients_with_profound_biot.pdf";</t>
  </si>
  <si>
    <t>DBP_Manif_Conjunctivitis</t>
  </si>
  <si>
    <t>hasSource:"1993-Ophthalmologic_Findings_in_Biotinidase_Deficiency.pdf"; hasDescription:"Conjuntivitis aguda, a menudo asociada a otras manifestaciones cutáneas.";</t>
  </si>
  <si>
    <t>DBP_Manif_Death</t>
  </si>
  <si>
    <t>hasDescription:"Muerte secundaria a complicaciones neurológicas y metabólicas si no se instaura tratamiento."; hasSource:"2011-Clinical_and_genetic_findings_in_patients_with_biotinidase_deficiency_detected_through_newb.pdf";</t>
  </si>
  <si>
    <t>DBP_Manif_Encephalopathy</t>
  </si>
  <si>
    <t>hasDescription:"Encefalopatía progresiva, que puede llevar a coma y muerte si no se trata."; hasDescription:"Encefalopatía aguda, con alteración del nivel de conciencia y regresión neurológica."; hasSource:"2011-Clinical_and_genetic_findings_in_patients_with_biotinidase_deficiency_detected_through_newb.pdf"; hasSource:"Biotinidase-Deficiency.pdf";</t>
  </si>
  <si>
    <t>DBP_Manif_Hypotonia</t>
  </si>
  <si>
    <t>hasSource:"2003-Molecular_characterisation_and_neuropsychological_outcome_of_21_patients_with_profound_biot.pdf"; hasSource:"1999-Biotinidase_deficiency_a_treatable_genetic_disorder_in_the_Saudi_population.pdf"; hasDescription:"Hipotonía muscular generalizada, frecuente en lactantes afectados."; hasDescription:"Hipotonía muscular generalizada, presente en lactantes afectados.";</t>
  </si>
  <si>
    <t>DBP_Manif_MetabolicAcidosis</t>
  </si>
  <si>
    <t>hasDescription:"Acidosis metabólica aguda, con elevación de lactato y otros ácidos orgánicos en sangre y orina."; hasDescription:"Acidosis metabólica, con elevación de lactato y otros ácidos orgánicos en sangre y orina."; hasSource:"2011-Clinical_and_genetic_findings_in_patients_with_biotinidase_deficiency_detected_through_newb.pdf"; hasSource:"2003-Molecular_characterisation_and_neuropsychological_outcome_of_21_patients_with_profound_biot.pdf";</t>
  </si>
  <si>
    <t>DBP_Manif_Seizures</t>
  </si>
  <si>
    <t>hasDescription:"Convulsiones de inicio temprano, a menudo mioclónicas y refractarias a tratamiento convencional; pueden remitir con biotina."; hasDescription:"Convulsiones de inicio temprano, a menudo refractarias, que pueden remitir con tratamiento precoz con biotina."; hasSource:"2011-Clinical_and_genetic_findings_in_patients_with_biotinidase_deficiency_detected_through_newb.pdf";</t>
  </si>
  <si>
    <t>DBP_Manif_SkinRash</t>
  </si>
  <si>
    <t>hasDescription:"Erupción cutánea aguda, eccema o dermatitis seborreica, a menudo perioral y exudativa."; hasDescription:"Erupción cutánea, dermatitis seborreica o atópica, lesiones periorales exudativas."; hasSource:"Biotinidase-Deficiency.pdf"; hasSource:"2011-Clinical_and_genetic_findings_in_patients_with_biotinidase_deficiency_detected_through_newb.pdf";</t>
  </si>
  <si>
    <t>DBP_Manif_Vomiting</t>
  </si>
  <si>
    <t>hasSource:"2011-Clinical_and_genetic_findings_in_patients_with_biotinidase_deficiency_detected_through_newb.pdf"; hasDescription:"Vómitos recurrentes, asociados a episodios agudos de descompensación metabólica.";</t>
  </si>
  <si>
    <t>DBP_Manif_BrainAtrophy</t>
  </si>
  <si>
    <t>hasSource:"Biotinidase-Deficiency.pdf"; hasDescription:"Atrofia cerebral crónica, evidenciada por neuroimagen, asociada a retraso del desarrollo y discapacidad intelectual.";</t>
  </si>
  <si>
    <t>DBP_Manif_DevelopmentalDelay</t>
  </si>
  <si>
    <t>hasSource:"2011-Clinical_and_genetic_findings_in_patients_with_biotinidase_deficiency_detected_through_newb.pdf"; hasSource:"2003-Molecular_characterisation_and_neuropsychological_outcome_of_21_patients_with_profound_biot.pdf"; hasDescription:"Retraso global del desarrollo psicomotor y cognitivo, persistente tras episodios agudos y frecuente en diagnóstico tardío."; hasDescription:"Retraso global del desarrollo psicomotor y cognitivo, a menudo irreversible si el tratamiento es tardío.";</t>
  </si>
  <si>
    <t>DBP_Manif_IntellectualDisability</t>
  </si>
  <si>
    <t>hasSource:"2009-Diagnosis_treatment_follow-up_and_gene_mutation_analysis_in_four_Chinese_children_with_biot.pdf"; hasDescription:"Discapacidad intelectual de grado variable, que puede ser consecuencia de daño neurológico irreversible.";</t>
  </si>
  <si>
    <t>DBP_Manif_LanguageDisorder</t>
  </si>
  <si>
    <t>hasDescription:"Trastorno persistente del lenguaje y la comunicación, asociado a hipoacusia y discapacidad intelectual."; hasSource:"2007-Audiologic_findings_in_children_with_biotinidase_deficiency_in_Turkey.pdf";</t>
  </si>
  <si>
    <t>DBP_Manif_MotorDisability</t>
  </si>
  <si>
    <t>hasDescription:"Discapacidad motora persistente, con afectación de la marcha y la coordinación motora fina y gruesa."; hasSource:"Biotinidase-Deficiency.pdf";</t>
  </si>
  <si>
    <t>DBP_Manif_OpticAtrophy</t>
  </si>
  <si>
    <t>hasDescription:"Atrofia óptica, con pérdida visual permanente y progresiva, que no suele revertir con tratamiento."; hasDescription:"Atrofia óptica, con pérdida visual permanente en casos avanzados."; hasSource:"2011-Clinical_and_genetic_findings_in_patients_with_biotinidase_deficiency_detected_through_newb.pdf"; hasSource:"1993-Ophthalmologic_Findings_in_Biotinidase_Deficiency.pdf";</t>
  </si>
  <si>
    <t>DBP_Manif_SensorineuralHearingLoss</t>
  </si>
  <si>
    <t>hasDescription:"Pérdida auditiva neurosensorial, irreversible en la mayoría de los casos sintomáticos no tratados precozmente."; hasDescription:"Pérdida auditiva neurosensorial, generalmente irreversible incluso tras tratamiento, de grado variable de moderada a profunda."; hasSource:"2007-Audiologic_findings_in_children_with_biotinidase_deficiency_in_Turkey.pdf"; hasSource:"2002-Hearing_loss_is_a_common_feature_of_symptomatic_children_with_profound_biotinidase_deficien.pdf";</t>
  </si>
  <si>
    <t>DBP_Manif_SpasticTetraplegia</t>
  </si>
  <si>
    <t>hasSource:"Biotinidase-Deficiency.pdf"; hasDescription:"Tetraplejía espástica secundaria a daño cerebral crónico, descrita en casos de diagnóstico y tratamiento tardíos.";</t>
  </si>
  <si>
    <t>DBP_Manif_VisualImpairment</t>
  </si>
  <si>
    <t>hasDescription:"Deterioro visual persistente, incluyendo ceguera, fotofobia y alteraciones del campo visual."; hasSource:"1993-Ophthalmologic_Findings_in_Biotinidase_Deficiency.pdf";</t>
  </si>
  <si>
    <t>DBP_Manif_WhiteMatterAbnormalities</t>
  </si>
  <si>
    <t>hasSource:"Biotinidase-Deficiency.pdf"; hasDescription:"Alteraciones crónicas de la sustancia blanca cerebral, incluyendo desmielinización y leucoencefalopatía.";</t>
  </si>
  <si>
    <t>DBP_Interv_EnzymaticDiagnosis</t>
  </si>
  <si>
    <t>DiagnosticIntervention</t>
  </si>
  <si>
    <t>indicatedFor:DBP_Disease;</t>
  </si>
  <si>
    <t>hasSource:"Biotinidase-Deficiency.pdf"; hasDescription:"Diagnóstico enzimático confirmatorio mediante determinación cuantitativa de la actividad biotinidasa en suero o sangre.";</t>
  </si>
  <si>
    <t>Class 'DiagnosticIntervention' undefined; ObjectProp 'indicatedFor' undefined; should not be an intervention</t>
  </si>
  <si>
    <t>DBP_Interv_GeneticDiagnosis</t>
  </si>
  <si>
    <t>hasDescription:"Diagnóstico molecular mediante secuenciación directa del gen BTD para identificar mutaciones causales."; hasSource:"2011-Clinical_and_genetic_findings_in_patients_with_biotinidase_deficiency_detected_through_newb.pdf";</t>
  </si>
  <si>
    <t>DBP_Stage_Asymptomatic_PrevalenceAtBirth</t>
  </si>
  <si>
    <t>characterizes:DBP_Stage_Asymptomatic;</t>
  </si>
  <si>
    <t>hasDescription:"Prevalencia al nacimiento de la deficiencia profunda de biotinidasa en estadio asintomático (todos los casos detectados por cribado neonatal)."; hasSource:"2011-Clinical_and_genetic_findings_in_patients_with_biotinidase_deficiency_detected_through_newb.pdf"; hasExpectedValue:"0.0000114"; hasYear:"2011";</t>
  </si>
  <si>
    <t>ObjectProp 'characterizes' undefined</t>
  </si>
  <si>
    <t>DBP_Stage_IrreversibleDamage_PrevalenceAtBirth</t>
  </si>
  <si>
    <t>characterizes:DBP_Stage_IrreversibleDamage;</t>
  </si>
  <si>
    <t>hasSource:"2011-Clinical_and_genetic_findings_in_patients_with_biotinidase_deficiency_detected_through_newb.pdf"; hasExpectedValue:"0.0"; hasDescription:"Prevalencia al nacimiento de la deficiencia profunda de biotinidasa en estadio de daño irreversible. Este estadio no se observa al nacimiento en presencia de cribado neonatal."; hasYear:"2011";</t>
  </si>
  <si>
    <t>DBP_Stage_Symptomatic_PrevalenceAtBirth</t>
  </si>
  <si>
    <t>characterizes:DBP_Stage_Symptomatic;</t>
  </si>
  <si>
    <t>hasDescription:"Prevalencia al nacimiento de la deficiencia profunda de biotinidasa en estadio sintomático. Los casos sintomáticos solo aparecen si no existe cribado neonatal o en países sin programa de cribado."; hasYear:"2011"; hasSource:"2011-Clinical_and_genetic_findings_in_patients_with_biotinidase_deficiency_detected_through_newb.pdf"; hasExpectedValue:"0.0";</t>
  </si>
  <si>
    <t>DBP_Followup_Biochemical</t>
  </si>
  <si>
    <t>FollowupStrategy</t>
  </si>
  <si>
    <t>componentOf:DBP_Followup_Partial; componentOf:DBP_Followup_Profound;</t>
  </si>
  <si>
    <t>hasSource:"2011-Clinical_and_genetic_findings_in_patients_with_biotinidase_deficiency_detected_through_newb.pdf"; hasSource:"Biotinidase-Deficiency.pdf"; hasDescription:"Controles bioquímicos periódicos: actividad biotinidasa en sangre, lactato, amonio, ácidos orgánicos en orina y niveles plasmáticos de biotina según disponibilidad, especialmente en los primeros años y ante dudas de adherencia.";</t>
  </si>
  <si>
    <t>Class 'FollowupStrategy' undefined; ObjectProp 'componentOf' undefined</t>
  </si>
  <si>
    <t>DBP_Followup_Hearing</t>
  </si>
  <si>
    <t>componentOf:DBP_Followup_Profound; componentOf:DBP_Followup_Partial;</t>
  </si>
  <si>
    <t>hasSource:"2007-Audiologic_findings_in_children_with_biotinidase_deficiency_in_Turkey.pdf"; hasSource:"2002-Hearing_loss_is_a_common_feature_of_symptomatic_children_with_profound_biotinidase_deficien.pdf"; hasDescription:"Evaluación audiológica inicial (potenciales evocados auditivos, audiometría) y seguimiento anual en deficiencia profunda, especialmente si hubo retraso diagnóstico o síntomas iniciales. Adaptación de audífonos e indicación de implante coclear según necesidad.";</t>
  </si>
  <si>
    <t>DBP_Followup_Neurodevelopment</t>
  </si>
  <si>
    <t>hasSource:"2004-Outcome_in_patients_with_profound_biotinidase_deficiency_relevance_of_newborn_screening.pdf"; hasSource:"2003-Molecular_characterisation_and_neuropsychological_outcome_of_21_patients_with_profound_biot.pdf"; hasDescription:"Evaluación del desarrollo psicomotor y cognitivo mediante escalas estandarizadas (Vineland, Griffith, Denver) al menos anual en deficiencia profunda, e intervención temprana si hay retrasos.";</t>
  </si>
  <si>
    <t>DBP_Followup_Partial</t>
  </si>
  <si>
    <t>indicatedFor:DBP_Disease_Partial;</t>
  </si>
  <si>
    <t>hasSource:"2011-Clinical_and_genetic_findings_in_patients_with_biotinidase_deficiency_detected_through_newb.pdf"; hasDescription:"Seguimiento clínico anual en pacientes con deficiencia parcial, centrado en la detección precoz de síntomas neurológicos o cutáneos, evaluación del desarrollo y refuerzo de la educación familiar sobre signos de alerta y uso de biotina en situaciones de estrés metabólico.";</t>
  </si>
  <si>
    <t>Class 'FollowupStrategy' undefined; ObjectProp 'indicatedFor' undefined</t>
  </si>
  <si>
    <t>DBP_Followup_Profound</t>
  </si>
  <si>
    <t>indicatedFor:DBP_Disease_Profound;</t>
  </si>
  <si>
    <t>hasSource:"2011-Clinical_and_genetic_findings_in_patients_with_biotinidase_deficiency_detected_through_newb.pdf"; hasSource:"2004-Outcome_in_patients_with_profound_biotinidase_deficiency_relevance_of_newborn_screening.pdf"; hasDescription:"Seguimiento clínico periódico en pacientes con deficiencia profunda: controles trimestrales el primer año y cada 6-12 meses después, incluyendo evaluación neurológica, auditiva, visual, desarrollo psicomotor y adherencia al tratamiento con biotina.";</t>
  </si>
  <si>
    <t>DBP_Followup_Visual</t>
  </si>
  <si>
    <t>hasSource:"Biotinidase-Deficiency.pdf"; hasDescription:"Evaluación oftalmológica anual (fondo de ojo, potenciales evocados visuales) en deficiencia profunda, especialmente si hubo síntomas o retraso diagnóstico, para detectar atrofia óptica y deterioro visual.";</t>
  </si>
  <si>
    <t>DBP_Manif_Alopecia_OnsetAge</t>
  </si>
  <si>
    <t>OnsetTimeParameter</t>
  </si>
  <si>
    <t>characterizes:DBP_Manif_Alopecia;</t>
  </si>
  <si>
    <t>hasExpectedValue:"2.5"; hasSource:"Biotinidase-Deficiency.pdf"; hasUnit:"meses"; hasDescription:"Inicio en torno a los 2-3 meses de vida.";</t>
  </si>
  <si>
    <t>Class 'OnsetTimeParameter' undefined; ObjectProp 'characterizes' undefined</t>
  </si>
  <si>
    <t>DBP_Manif_Ataxia_OnsetAge</t>
  </si>
  <si>
    <t>characterizes:DBP_Manif_Ataxia;</t>
  </si>
  <si>
    <t>hasExpectedValue:"3.0"; hasDescription:"Inicio en lactantes, generalmente a partir del tercer mes."; hasSource:"Biotinidase-Deficiency.pdf"; hasUnit:"meses";</t>
  </si>
  <si>
    <t>DBP_Manif_Coma_OnsetAge</t>
  </si>
  <si>
    <t>characterizes:DBP_Manif_Coma;</t>
  </si>
  <si>
    <t>hasSource:"Biotinidase-Deficiency.pdf"; hasUnit:"meses"; hasDescription:"Coma por descompensación metabólica aguda, generalmente en los primeros 2-3 meses."; hasExpectedValue:"2.0";</t>
  </si>
  <si>
    <t>DBP_Manif_DevelopmentalDelay_OnsetAge</t>
  </si>
  <si>
    <t>characterizes:DBP_Manif_DevelopmentalDelay;</t>
  </si>
  <si>
    <t>hasDescription:"Retraso del desarrollo evidente a partir de los 6 meses en niños sintomáticos no tratados precozmente."; hasExpectedValue:"6.0"; hasUnit:"meses"; hasSource:"2004-Outcome_in_patients_with_profound_biotinidase_deficiency_relevance_of_newborn_screening.pdf";</t>
  </si>
  <si>
    <t>DBP_Manif_Encephalopathy_OnsetAge</t>
  </si>
  <si>
    <t>characterizes:DBP_Manif_Encephalopathy;</t>
  </si>
  <si>
    <t>hasExpectedValue:"2.0"; hasDescription:"Inicio agudo, generalmente en el segundo o tercer mes de vida."; hasUnit:"meses"; hasSource:"Biotinidase-Deficiency.pdf";</t>
  </si>
  <si>
    <t>DBP_Manif_Hypotonia_OnsetAge</t>
  </si>
  <si>
    <t>characterizes:DBP_Manif_Hypotonia;</t>
  </si>
  <si>
    <t>hasSource:"Biotinidase-Deficiency.pdf"; hasDescription:"Inicio típico en los primeros 2-3 meses de vida."; hasExpectedValue:"2.0"; hasUnit:"meses";</t>
  </si>
  <si>
    <t>Class 'OnsetTimeParameter' undefined; ObjectProp 'characterizes' undefined; unsuitable source</t>
  </si>
  <si>
    <t>DBP_Manif_IntellectualDisability_OnsetAge</t>
  </si>
  <si>
    <t>characterizes:DBP_Manif_IntellectualDisability;</t>
  </si>
  <si>
    <t>hasUnit:"meses"; hasSource:"2003-Molecular_characterisation_and_neuropsychological_outcome_of_21_patients_with_profound_biot.pdf"; hasExpectedValue:"24.0"; hasDescription:"Discapacidad intelectual manifiesta a partir del segundo año de vida, tras daño neurológico irreversible.";</t>
  </si>
  <si>
    <t>DBP_Manif_LanguageDisorder_OnsetAge</t>
  </si>
  <si>
    <t>characterizes:DBP_Manif_LanguageDisorder;</t>
  </si>
  <si>
    <t>hasUnit:"meses"; hasSource:"2004-Outcome_in_patients_with_profound_biotinidase_deficiency_relevance_of_newborn_screening.pdf"; hasExpectedValue:"24.0"; hasDescription:"Trastorno del lenguaje suele evidenciarse tras los dos años, asociado a sordera o discapacidad intelectual.";</t>
  </si>
  <si>
    <t>DBP_Manif_MetabolicAcidosis_OnsetAge</t>
  </si>
  <si>
    <t>characterizes:DBP_Manif_MetabolicAcidosis;</t>
  </si>
  <si>
    <t>hasExpectedValue:"1.5"; hasUnit:"meses"; hasDescription:"Inicio agudo en los primeros meses de vida, frecuentemente en el segundo mes."; hasSource:"Biotinidase-Deficiency.pdf";</t>
  </si>
  <si>
    <t>DBP_Manif_MotorDisability_OnsetAge</t>
  </si>
  <si>
    <t>characterizes:DBP_Manif_MotorDisability;</t>
  </si>
  <si>
    <t>hasUnit:"meses"; hasSource:"2004-Outcome_in_patients_with_profound_biotinidase_deficiency_relevance_of_newborn_screening.pdf"; hasExpectedValue:"12.0"; hasDescription:"Discapacidad motora crónica, tras retraso del desarrollo o daño neurológico, suele ser evidente tras el primer año.";</t>
  </si>
  <si>
    <t>DBP_Manif_OpticAtrophy_OnsetAge</t>
  </si>
  <si>
    <t>characterizes:DBP_Manif_OpticAtrophy;</t>
  </si>
  <si>
    <t>hasSource:"1993-Ophthalmologic_Findings_in_Biotinidase_Deficiency.pdf"; hasExpectedValue:"12.0"; hasUnit:"meses"; hasDescription:"Atrofia óptica aparece como secuela crónica, generalmente tras el primer año de vida.";</t>
  </si>
  <si>
    <t>DBP_Manif_Seizures_OnsetAge</t>
  </si>
  <si>
    <t>characterizes:DBP_Manif_Seizures;</t>
  </si>
  <si>
    <t>hasExpectedValue:"1.5"; hasDescription:"Edad media de inicio de convulsiones en formas profundas no tratadas: 1-3 meses (rango: 1 semana a 5 meses)."; hasSource:"Biotinidase-Deficiency.pdf"; hasUnit:"meses";</t>
  </si>
  <si>
    <t>DBP_Manif_SensorineuralHearingLoss_OnsetAge</t>
  </si>
  <si>
    <t>characterizes:DBP_Manif_SensorineuralHearingLoss;</t>
  </si>
  <si>
    <t>hasSource:"2007-Audiologic_findings_in_children_with_biotinidase_deficiency_in_Turkey.pdf"; hasUnit:"meses"; hasExpectedValue:"7.0"; hasDescription:"Pérdida auditiva neurosensorial suele aparecer tras varios meses de síntomas, media de inicio 7 meses (rango 3-18 meses).";</t>
  </si>
  <si>
    <t>DBP_Manif_SkinRash_OnsetAge</t>
  </si>
  <si>
    <t>characterizes:DBP_Manif_SkinRash;</t>
  </si>
  <si>
    <t>hasUnit:"meses"; hasDescription:"Inicio típico entre el primer y segundo mes de vida."; hasSource:"Biotinidase-Deficiency.pdf"; hasExpectedValue:"2.0";</t>
  </si>
  <si>
    <t>DBP_Manif_SpasticTetraplegia_OnsetAge</t>
  </si>
  <si>
    <t>characterizes:DBP_Manif_SpasticTetraplegia;</t>
  </si>
  <si>
    <t>hasDescription:"Tetraplejía espástica crónica, tras daño cerebral prolongado, suele manifestarse a partir del segundo año."; hasUnit:"meses"; hasExpectedValue:"24.0"; hasSource:"Biotinidase-Deficiency.pdf";</t>
  </si>
  <si>
    <t>DBP_Manif_VisualImpairment_OnsetAge</t>
  </si>
  <si>
    <t>characterizes:DBP_Manif_VisualImpairment;</t>
  </si>
  <si>
    <t>hasDescription:"Deterioro visual severo suele aparecer tras daño óptico crónico, a partir del segundo año de vida."; hasExpectedValue:"18.0"; hasSource:"1993-Ophthalmologic_Findings_in_Biotinidase_Deficiency.pdf"; hasUnit:"meses";</t>
  </si>
  <si>
    <t>DBP_Tx_Partial_Biotin</t>
  </si>
  <si>
    <t>PharmacologicalTreatment</t>
  </si>
  <si>
    <t>hasDescription:"En pacientes con deficiencia parcial de biotinidasa, se recomienda biotina oral a dosis de 5 mg/día en situaciones de estrés metabólico, aunque la mayoría permanecen asintomáticos sin tratamiento crónico."; hasSource:"2011-Clinical_and_genetic_findings_in_patients_with_biotinidase_deficiency_detected_through_newb.pdf";</t>
  </si>
  <si>
    <t>Class 'PharmacologicalTreatment' undefined; ObjectProp 'indicatedFor' undefined</t>
  </si>
  <si>
    <t>DBP_Tx_Partial_Stress</t>
  </si>
  <si>
    <t>hasSource:"2011-Clinical_and_genetic_findings_in_patients_with_biotinidase_deficiency_detected_through_newb.pdf"; hasDescription:"En deficiencia parcial, administración de biotina 5 mg/día sólo en situaciones de fiebre, infecciones o estrés metabólico. Algunos autores recomiendan 5 mg/semana como profilaxis.";</t>
  </si>
  <si>
    <t>DBP_Tx_Profound_Acute</t>
  </si>
  <si>
    <t>hasDescription:"En situaciones agudas (debut sintomático, crisis metabólica), administración de biotina oral a dosis de 10-30 mg/día, asociada a dieta baja en proteínas y L-carnitina según necesidad clínica."; hasSource:"2009-Diagnosis_treatment_follow-up_and_gene_mutation_analysis_in_four_Chinese_children_with_biotinidase_deficiency.pdf";</t>
  </si>
  <si>
    <t>DBP_Tx_Profound_Biotin</t>
  </si>
  <si>
    <t>hasSource:"2011-Clinical_and_genetic_findings_in_patients_with_biotinidase_deficiency_detected_through_newb.pdf"; hasSource:"1999-Biotinidase_deficiency_a_treatable_genetic_disorder_in_the_Saudi_population.pdf"; hasSource:"2009-Diagnosis_treatment_follow-up_and_gene_mutation_analysis_in_four_Chinese_children_with_biotinidase_deficiency.pdf"; hasDescription:"Tratamiento crónico con biotina oral a dosis de 10-30 mg/día en pacientes con deficiencia profunda de biotinidasa, iniciado precozmente y mantenido de por vida.";</t>
  </si>
  <si>
    <t>DBP_Manif_Alopecia_Prob</t>
  </si>
  <si>
    <t>ProbabilityParameter</t>
  </si>
  <si>
    <t>hasSource:"1999-Biotinidase_deficiency_a_treatable_genetic_disorder_in_the_Saudi_population.pdf"; hasExpectedValue:"0.25";</t>
  </si>
  <si>
    <t>Class 'ProbabilityParameter' undefined; ObjectProp 'characterizes' undefined</t>
  </si>
  <si>
    <t>DBP_Manif_Ataxia_Prob</t>
  </si>
  <si>
    <t>hasSource:"Biotinidase-Deficiency.pdf"; hasExpectedValue:"0.20";</t>
  </si>
  <si>
    <t>DBP_Manif_Coma_Prob</t>
  </si>
  <si>
    <t>hasSource:"1999-Biotinidase_deficiency_a_treatable_genetic_disorder_in_the_Saudi_population.pdf"; hasExpectedValue:"0.20";</t>
  </si>
  <si>
    <t>DBP_Manif_DevelopmentalDelay_Prob</t>
  </si>
  <si>
    <t>hasSource:"1999-Biotinidase_deficiency_a_treatable_genetic_disorder_in_the_Saudi_population.pdf"; hasExpectedValue:"0.70";</t>
  </si>
  <si>
    <t>DBP_Manif_Encephalopathy_Prob</t>
  </si>
  <si>
    <t>hasExpectedValue:"0.20"; hasSource:"Biotinidase-Deficiency.pdf";</t>
  </si>
  <si>
    <t>DBP_Manif_Hypotonia_Prob</t>
  </si>
  <si>
    <t>hasSource:"1999-Biotinidase_deficiency_a_treatable_genetic_disorder_in_the_Saudi_population.pdf"; hasExpectedValue:"0.65";</t>
  </si>
  <si>
    <t>DBP_Manif_IntellectualDisability_Prob</t>
  </si>
  <si>
    <t>hasExpectedValue:"0.15"; hasSource:"2003-Molecular_characterisation_and_neuropsychological_outcome_of_21_patients_with_profound_biot.pdf";</t>
  </si>
  <si>
    <t>DBP_Manif_LanguageDisorder_Prob</t>
  </si>
  <si>
    <t>hasExpectedValue:"0.20"; hasSource:"2004-Outcome_in_patients_with_profound_biotinidase_deficiency_relevance_of_newborn_screening.pdf";</t>
  </si>
  <si>
    <t>DBP_Manif_MetabolicAcidosis_Prob</t>
  </si>
  <si>
    <t>hasSource:"1999-Biotinidase_deficiency_a_treatable_genetic_disorder_in_the_Saudi_population.pdf"; hasExpectedValue:"0.60";</t>
  </si>
  <si>
    <t>DBP_Manif_MotorDisability_Prob</t>
  </si>
  <si>
    <t>hasExpectedValue:"0.10"; hasSource:"Biotinidase-Deficiency.pdf";</t>
  </si>
  <si>
    <t>DBP_Manif_OpticAtrophy_Prob</t>
  </si>
  <si>
    <t>DBP_Manif_Seizures_Prob</t>
  </si>
  <si>
    <t>hasSource:"1999-Biotinidase_deficiency_a_treatable_genetic_disorder_in_the_Saudi_population.pdf"; hasExpectedValue:"0.55";</t>
  </si>
  <si>
    <t>DBP_Manif_SensorineuralHearingLoss_Prob</t>
  </si>
  <si>
    <t>hasSource:"2007-Audiologic_findings_in_children_with_biotinidase_deficiency_in_Turkey.pdf"; hasExpectedValue:"0.55";</t>
  </si>
  <si>
    <t>DBP_Manif_SkinRash_Prob</t>
  </si>
  <si>
    <t>hasExpectedValue:"0.20"; hasSource:"1999-Biotinidase_deficiency_a_treatable_genetic_disorder_in_the_Saudi_population.pdf";</t>
  </si>
  <si>
    <t>DBP_Manif_SpasticTetraplegia_Prob</t>
  </si>
  <si>
    <t>hasSource:"Biotinidase-Deficiency.pdf"; hasExpectedValue:"0.10";</t>
  </si>
  <si>
    <t>DBP_Manif_VisualImpairment_Prob</t>
  </si>
  <si>
    <t>hasSource:"1993-Ophthalmologic_Findings_in_Biotinidase_Deficiency.pdf"; hasExpectedValue:"0.10";</t>
  </si>
  <si>
    <t>Class 'ProbabilityParameter' undefined; ObjectProp 'characterizes' undefined; unsuitable source</t>
  </si>
  <si>
    <t>DBPp_Manif_Alopecia_Prob</t>
  </si>
  <si>
    <t>hasExpectedValue:"0.00"; hasSource:"2011-Clinical_and_genetic_findings_in_patients_with_biotinidase_deficiency_detected_through_newb.pdf";</t>
  </si>
  <si>
    <t>DBPp_Manif_Ataxia_Prob</t>
  </si>
  <si>
    <t>DBPp_Manif_Coma_Prob</t>
  </si>
  <si>
    <t>DBPp_Manif_DevelopmentalDelay_Prob</t>
  </si>
  <si>
    <t>hasSource:"2011-Clinical_and_genetic_findings_in_patients_with_biotinidase_deficiency_detected_through_newb.pdf"; hasExpectedValue:"0.00";</t>
  </si>
  <si>
    <t>DBPp_Manif_Encephalopathy_Prob</t>
  </si>
  <si>
    <t>DBPp_Manif_Hypotonia_Prob</t>
  </si>
  <si>
    <t>DBPp_Manif_IntellectualDisability_Prob</t>
  </si>
  <si>
    <t>DBPp_Manif_LanguageDisorder_Prob</t>
  </si>
  <si>
    <t>DBPp_Manif_MetabolicAcidosis_Prob</t>
  </si>
  <si>
    <t>DBPp_Manif_MotorDisability_Prob</t>
  </si>
  <si>
    <t>DBPp_Manif_OpticAtrophy_Prob</t>
  </si>
  <si>
    <t>DBPp_Manif_Seizures_Prob</t>
  </si>
  <si>
    <t>hasExpectedValue:"0.05"; hasDescription:"Solo 1 de 10 pacientes con deficiencia parcial desarrolló convulsiones, que remitieron con biotina."; hasSource:"2011-Clinical_and_genetic_findings_in_patients_with_biotinidase_deficiency_detected_through_newb.pdf";</t>
  </si>
  <si>
    <t>DBPp_Manif_SensorineuralHearingLoss_Prob</t>
  </si>
  <si>
    <t>DBPp_Manif_SkinRash_Prob</t>
  </si>
  <si>
    <t>DBPp_Manif_SpasticTetraplegia_Prob</t>
  </si>
  <si>
    <t>DBPp_Manif_VisualImpairment_Prob</t>
  </si>
  <si>
    <t>DBP_Disease</t>
  </si>
  <si>
    <t>hasStage:DBP_Stage_Asymptomatic; hasStage:DBP_Stage_Symptomatic; hasStage:DBP_Stage_IrreversibleDamage;</t>
  </si>
  <si>
    <t>hasRefToGARD:"GARD:8869"; hasRefToSNOMED:"SNOMED:190667000"; hasRefToORDO:"Orphanet:47"; hasRefToICD:"E71.1"; hasRefToOMIM:"253260";</t>
  </si>
  <si>
    <t>DBP_Interv_NewbornScreening</t>
  </si>
  <si>
    <t>hasSource:"2011-Clinical_and_genetic_findings_in_patients_with_biotinidase_deficiency_detected_through_newb.pdf"; hasDescription:"Cribado neonatal mediante medida de la actividad biotinidasa en sangre seca por ensayo enzimático o fluorimétrico semicuantitativo.";</t>
  </si>
  <si>
    <t>ObjectProp 'indicatedFor' undefined</t>
  </si>
  <si>
    <t>DBP_Stage_Asymptomatic</t>
  </si>
  <si>
    <t>Stage</t>
  </si>
  <si>
    <t>hasDescription:"Fase presintomática, habitual en recién nacidos antes de la aparición de síntomas clínicos.";</t>
  </si>
  <si>
    <t>DBP_Stage_IrreversibleDamage</t>
  </si>
  <si>
    <t>hasManifestation:DBP_Manif_DevelopmentalDelay; hasManifestation:DBP_Manif_SensorineuralHearingLoss; hasManifestation:DBP_Manif_OpticAtrophy; hasManifestation:DBP_Manif_Death; hasManifestation:DBP_Manif_Coma;</t>
  </si>
  <si>
    <t>hasDescription:"Fase de daño irreversible, con secuelas neurosensoriales (sordera, ceguera, discapacidad intelectual) permanentes.";</t>
  </si>
  <si>
    <t>DBP_Stage_Symptomatic</t>
  </si>
  <si>
    <t>hasManifestation:DBP_Manif_Alopecia; hasManifestation:DBP_Manif_MetabolicAcidosis; hasManifestation:DBP_Manif_Seizures; hasManifestation:DBP_Manif_SkinRash; hasManifestation:DBP_Manif_Hypotonia; hasManifestation:DBP_Manif_Encephalopathy; hasManifestation:DBP_Manif_Ataxia;</t>
  </si>
  <si>
    <t>hasDescription:"Fase sintomática, caracterizada por la aparición de manifestaciones neurológicas, cutáneas y metabólicas agudas.";</t>
  </si>
  <si>
    <t>DBP_Interv_CochlearImplant</t>
  </si>
  <si>
    <t>SupportiveIntervention</t>
  </si>
  <si>
    <t>indicatedFor:DBP_Manif_SensorineuralHearingLoss;</t>
  </si>
  <si>
    <t>hasSource:"2007-Audiologic_findings_in_children_with_biotinidase_deficiency_in_Turkey.pdf"; hasDescription:"Implante coclear en casos de sordera profunda no recuperable con audífonos.";</t>
  </si>
  <si>
    <t>Class 'SupportiveIntervention' undefined; ObjectProp 'indicatedFor' undefined; should not be an intervention</t>
  </si>
  <si>
    <t>DBP_Interv_HearingAid</t>
  </si>
  <si>
    <t>hasDescription:"Adaptación de audífonos en pacientes con hipoacusia neurosensorial irreversible."; hasSource:"2007-Audiologic_findings_in_children_with_biotinidase_deficiency_in_Turkey.pdf";</t>
  </si>
  <si>
    <t>DBP_Interv_SupportiveCare</t>
  </si>
  <si>
    <t>indicatedFor:DBP_Stage_IrreversibleDamage;</t>
  </si>
  <si>
    <t>hasSource:"2004-Outcome_in_patients_with_profound_biotinidase_deficiency_relevance_of_newborn_screening.pdf"; hasDescription:"Cuidados de soporte: fisioterapia, logopedia, terapia ocupacional y apoyo nutricional en casos con secuelas neurológicas o motoras.";</t>
  </si>
  <si>
    <t>DBP_Tx_Supportive</t>
  </si>
  <si>
    <t>SupportiveTreatment</t>
  </si>
  <si>
    <t>indicatedFor:DBP_Disease_Profound; indicatedFor:DBP_Disease_Partial;</t>
  </si>
  <si>
    <t>hasDescription:"Tratamiento de soporte: fisioterapia, logopedia, terapia ocupacional y ayudas técnicas en caso de secuelas neurológicas, auditivas o motoras."; hasSource:"2004-Outcome_in_patients_with_profound_biotinidase_deficiency_relevance_of_newborn_screening.pdf";</t>
  </si>
  <si>
    <t>Class 'SupportiveTreatment' undefined; ObjectProp 'indicatedFor' undefined</t>
  </si>
  <si>
    <t>DBP_Interv_BiotinTreatment_Acute</t>
  </si>
  <si>
    <t>TherapeuticIntervention</t>
  </si>
  <si>
    <t>indicatedFor:DBP_Stage_Symptomatic;</t>
  </si>
  <si>
    <t>hasSource:"1999-Biotinidase_deficiency_a_treatable_genetic_disorder_in_the_Saudi_population.pdf"; hasDescription:"Tratamiento agudo con biotina oral (10-30 mg/día) en pacientes con manifestaciones clínicas agudas o debut sintomático.";</t>
  </si>
  <si>
    <t>ObjectProp 'indicatedFor' undefined; should not be an intervention</t>
  </si>
  <si>
    <t>DBP_Interv_BiotinTreatment_Partial</t>
  </si>
  <si>
    <t>indicatedFor:DBP_Stage_Asymptomatic;</t>
  </si>
  <si>
    <t>hasDescription:"Tratamiento preventivo o en situaciones de estrés metabólico con biotina oral a dosis de 5 mg/día en pacientes con deficiencia parcial."; hasSource:"2011-Clinical_and_genetic_findings_in_patients_with_biotinidase_deficiency_detected_through_newb.pdf";</t>
  </si>
  <si>
    <t>DBP_Interv_BiotinTreatment_Profound</t>
  </si>
  <si>
    <t>indicatedFor:DBP_Stage_Asymptomatic; indicatedFor:DBP_Stage_IrreversibleDamage; indicatedFor:DBP_Stage_Symptomatic;</t>
  </si>
  <si>
    <t>hasDescription:"Tratamiento farmacológico con biotina oral a dosis de 10-30 mg/día en pacientes con deficiencia profunda de biotinidasa."; hasSource:"2011-Clinical_and_genetic_findings_in_patients_with_biotinidase_deficiency_detected_through_newb.pdf";</t>
  </si>
  <si>
    <t>DBP_Manif_Alopecia_U</t>
  </si>
  <si>
    <t>hasExpectedValue:"0.90"; hasDescription:"Utilidad asociada a alopecia no cicatricial en la infancia, por analogía con modelos dermatológicos pediátricos."; hasSource:"Biotinidase-Deficiency.pdf";</t>
  </si>
  <si>
    <t>Class 'UtilityParameter' undefined; ObjectProp 'characterizes' undefined</t>
  </si>
  <si>
    <t>DBP_Manif_Ataxia_U</t>
  </si>
  <si>
    <t>hasSource:"Biotinidase-Deficiency.pdf"; hasExpectedValue:"0.75"; hasDescription:"Utilidad estimada para ataxia leve-moderada, por analogía con ataxias hereditarias infantiles.";</t>
  </si>
  <si>
    <t>DBP_Manif_Coma_U</t>
  </si>
  <si>
    <t>hasDescription:"Utilidad asociada a estado de coma, por analogía con modelos de daño cerebral agudo."; hasExpectedValue:"0.10"; hasSource:"Biotinidase-Deficiency.pdf";</t>
  </si>
  <si>
    <t>DBP_Manif_DevelopmentalDelay_U</t>
  </si>
  <si>
    <t>hasDescription:"Utilidad estimada para retraso global del desarrollo psicomotor, por analogía con modelos de discapacidad intelectual leve-moderada."; hasSource:"2004-Outcome_in_patients_with_profound_biotinidase_deficiency_relevance_of_newborn_screening.pdf"; hasExpectedValue:"0.60";</t>
  </si>
  <si>
    <t>Class 'UtilityParameter' undefined; ObjectProp 'characterizes' undefined; unsuitable value for property</t>
  </si>
  <si>
    <t>DBP_Manif_Encephalopathy_U</t>
  </si>
  <si>
    <t>hasExpectedValue:"0.50"; hasDescription:"Utilidad estimada para encefalopatía aguda grave, por analogía con encefalopatías metabólicas pediátricas."; hasSource:"Biotinidase-Deficiency.pdf";</t>
  </si>
  <si>
    <t>DBP_Manif_Hypotonia_U</t>
  </si>
  <si>
    <t>hasDescription:"Utilidad estimada para hipotonía sin discapacidad motora relevante, basada en modelos de parálisis cerebral leve."; hasSource:"Biotinidase-Deficiency.pdf"; hasExpectedValue:"0.80";</t>
  </si>
  <si>
    <t>Class 'UtilityParameter' undefined; ObjectProp 'characterizes' undefined; unsuitable source</t>
  </si>
  <si>
    <t>DBP_Manif_IntellectualDisability_U</t>
  </si>
  <si>
    <t>hasDescription:"Utilidad asociada a discapacidad intelectual moderada, por analogía con modelos de discapacidad intelectual infantil."; hasExpectedValue:"0.50"; hasSource:"2004-Outcome_in_patients_with_profound_biotinidase_deficiency_relevance_of_newborn_screening.pdf";</t>
  </si>
  <si>
    <t>DBP_Manif_LanguageDisorder_U</t>
  </si>
  <si>
    <t>hasDescription:"Utilidad asociada a trastorno del lenguaje en la infancia, por analogía con modelos de trastorno del desarrollo del lenguaje."; hasExpectedValue:"0.75"; hasSource:"2004-Outcome_in_patients_with_profound_biotinidase_deficiency_relevance_of_newborn_screening.pdf";</t>
  </si>
  <si>
    <t>DBP_Manif_MetabolicAcidosis_U</t>
  </si>
  <si>
    <t>hasExpectedValue:"0.70"; hasDescription:"Utilidad estimada para episodios de acidosis metabólica aguda, por analogía con crisis metabólicas en errores innatos del metabolismo."; hasSource:"Biotinidase-Deficiency.pdf";</t>
  </si>
  <si>
    <t>DBP_Manif_MotorDisability_U</t>
  </si>
  <si>
    <t>hasSource:"Biotinidase-Deficiency.pdf"; hasDescription:"Utilidad asociada a discapacidad motora moderada, por analogía con modelos de discapacidad motora infantil."; hasExpectedValue:"0.60";</t>
  </si>
  <si>
    <t>DBP_Manif_OpticAtrophy_U</t>
  </si>
  <si>
    <t>hasExpectedValue:"0.70"; hasSource:"1993-Ophthalmologic_Findings_in_Biotinidase_Deficiency.pdf"; hasDescription:"Utilidad asociada a atrofia óptica y pérdida visual moderada, por analogía con modelos de discapacidad visual infantil.";</t>
  </si>
  <si>
    <t>DBP_Manif_Seizures_U</t>
  </si>
  <si>
    <t>hasExpectedValue:"0.60"; hasSource:"2011-Clinical_and_genetic_findings_in_patients_with_biotinidase_deficiency_detected_through_newb.pdf"; hasDescription:"Utilidad asociada a epilepsia activa en la infancia, estimada por analogía con modelos de coste-utilidad en epilepsia pediátrica.";</t>
  </si>
  <si>
    <t>DBP_Manif_SensorineuralHearingLoss_U</t>
  </si>
  <si>
    <t>hasSource:"2007-Audiologic_findings_in_children_with_biotinidase_deficiency_in_Turkey.pdf"; hasExpectedValue:"0.65"; hasDescription:"Utilidad asociada a sordera neurosensorial infantil, por analogía con modelos de sordera congénita.";</t>
  </si>
  <si>
    <t>DBP_Manif_SkinRash_U</t>
  </si>
  <si>
    <t>hasExpectedValue:"0.95"; hasSource:"Biotinidase-Deficiency.pdf"; hasDescription:"Utilidad asociada a dermatitis leve-moderada, por analogía con modelos de dermatitis atópica.";</t>
  </si>
  <si>
    <t>DBP_Manif_SpasticTetraplegia_U</t>
  </si>
  <si>
    <t>hasDescription:"Utilidad asociada a tetraplejía espástica infantil, por analogía con modelos de parálisis cerebral grave."; hasExpectedValue:"0.40"; hasSource:"Biotinidase-Deficiency.pdf";</t>
  </si>
  <si>
    <t>DBP_Manif_VisualImpairment_U</t>
  </si>
  <si>
    <t>hasSource:"1993-Ophthalmologic_Findings_in_Biotinidase_Deficiency.pdf"; hasDescription:"Utilidad asociada a discapacidad visual grave, por analogía con modelos de ceguera infantil."; hasExpectedValue:"0.60";</t>
  </si>
  <si>
    <t>DBP_Disease_Partial</t>
  </si>
  <si>
    <t>DBP_Disease_Profound</t>
  </si>
  <si>
    <t>UC1-F1-P2-S2-M1</t>
  </si>
  <si>
    <t>BTD_Cost_BiotinTreatment_Annual</t>
  </si>
  <si>
    <t>hasDescription:"Annual cost of biotin treatment for biotinidase deficiency";</t>
  </si>
  <si>
    <t>BTD_Cost_Diagnosis</t>
  </si>
  <si>
    <t>hasDescription:"Cost of diagnostic confirmation for biotinidase deficiency";</t>
  </si>
  <si>
    <t>BTD_Cost_Screening</t>
  </si>
  <si>
    <t>hasDescription:"Cost of neonatal screening for biotinidase deficiency";</t>
  </si>
  <si>
    <t>BTD_Cost_Untreated_Annual</t>
  </si>
  <si>
    <t>hasDescription:"Annual healthcare cost for untreated biotinidase deficiency";</t>
  </si>
  <si>
    <t>hasFollowUpProtocol:BTD_FU_GeneticCounseling; hasEpidemiologicalParameter:BTD_Epi_Prevalence_Profound; hasEpidemiologicalParameter:BTD_Epi_Prevalence_Partial; hasEpidemiologicalParameter:BTD_Epi_Prevalence_Total; hasStage:BTD_Stage_Partial; hasStage:BTD_Stage_Profound;</t>
  </si>
  <si>
    <t>hasSource:"Global incidence of approximately 1 in 60,000 births"; hasDescription:"Biotinidase deficiency is an autosomal recessive metabolic disorder affecting biotin recycling";</t>
  </si>
  <si>
    <t>ObjectProp 'hasFollowUpProtocol' undefined; unsuitable source</t>
  </si>
  <si>
    <t>BTD_Stage_Partial</t>
  </si>
  <si>
    <t>DiseaseStage</t>
  </si>
  <si>
    <t>hasEpidemiologicalParameter:BTD_Partial_Onset_Dermatitis; hasEpidemiologicalParameter:BTD_Partial_Manif_MetabolicAcidosis_Incidence; hasEpidemiologicalParameter:BTD_Partial_Manif_Seizures_Incidence; hasEpidemiologicalParameter:BTD_Partial_Manif_Dermatitis_Incidence; hasEpidemiologicalParameter:BTD_Partial_Manif_Alopecia_Incidence; hasUtilityValue:BTD_Stage_Partial_U;</t>
  </si>
  <si>
    <t>hasDescription:"Partial biotinidase deficiency, with enzyme activity between 10.1% and 30% of normal";</t>
  </si>
  <si>
    <t>Class 'DiseaseStage' undefined; ObjectProp 'hasUtilityValue' undefined</t>
  </si>
  <si>
    <t>BTD_Stage_Profound</t>
  </si>
  <si>
    <t>hasEpidemiologicalParameter:BTD_Manif_Alopecia_Incidence; hasEpidemiologicalParameter:BTD_Manif_DevDelay_Incidence; hasEpidemiologicalParameter:BTD_Manif_Seizures_Incidence; hasEpidemiologicalParameter:BTD_Manif_MetabolicAcidosis_Incidence; hasEpidemiologicalParameter:BTD_Manif_OpticAtrophy_Incidence; hasManifestation:BTD_Manif_Chronic_Myelopathy; hasManifestation:BTD_Manif_Neurological_DevDelay; hasManifestation:BTD_Manif_Cutaneous_Alopecia; hasManifestation:BTD_Manif_Acute_HighAnionGap; hasManifestation:BTD_Manif_Chronic_PeripheralNeuropathy; hasManifestation:BTD_Manif_Chronic_OpticAtrophy; hasManifestation:BTD_Manif_Cutaneous_Dermatitis; hasManifestation:BTD_Manif_Neurological_VisualProblems; hasManifestation:BTD_Manif_Acute_FlaccidParalysis; hasManifestation:BTD_Manif_Metabolic_Acidosis; hasManifestation:BTD_Manif_Neurological_Seizures; hasManifestation:BTD_Manif_Neurological_Ataxia; hasManifestation:BTD_Manif_Neurological_Hypotonia; hasManifestation:BTD_Manif_Acute_Encephalopathy; hasManifestation:BTD_Manif_Acute_CornealOpacity; hasManifestation:BTD_Manif_Neurological_HearingLoss; hasOnsetTime:BTD_Onset_Encephalopathy_Acute; hasUtilityValue:BTD_Stage_Profound_U;</t>
  </si>
  <si>
    <t>hasDescription:"Profound biotinidase deficiency, with enzyme activity ≤10% of normal";</t>
  </si>
  <si>
    <t>Class 'DiseaseStage' undefined; ObjectProp 'hasOnsetTime' undefined; ObjectProp 'hasUtilityValue' undefined</t>
  </si>
  <si>
    <t>BTD_CriticalWindow_Treatment</t>
  </si>
  <si>
    <t>hasDescription:"Ventana terapéutica para prevenir secuelas"; hasExpectedValue:"30"; hasSource:"Máximo 30 días tras inicio de síntomas[8][10]";</t>
  </si>
  <si>
    <t>Unsuitable source</t>
  </si>
  <si>
    <t>BTD_Epi_Prevalence_Partial</t>
  </si>
  <si>
    <t>hasDescription:"Prevalencia al nacimiento de deficiencia parcial de biotinidasa (actividad 10.1-30%)"; hasExpectedValue:"0.00000909"; hasSource:"Wolf et al. 1990 (cribado neonatal internacional)[3]";</t>
  </si>
  <si>
    <t>BTD_Epi_Prevalence_Profound</t>
  </si>
  <si>
    <t>hasDescription:"Prevalencia al nacimiento de deficiencia profunda de biotinidasa (actividad enzimática ≤10%)"; hasExpectedValue:"0.00000728"; hasSource:"Wolf et al. 1990 (cribado neonatal en 12 países)[3]";</t>
  </si>
  <si>
    <t>BTD_Epi_Prevalence_Total</t>
  </si>
  <si>
    <t>hasSource:"Datos agregados de 29 programas de cribado neonatal[3][7]"; hasExpectedValue:"0.00001637"; hasDescription:"Prevalencia combinada al nacimiento (profunda + parcial)";</t>
  </si>
  <si>
    <t>BTD_Manif_Alopecia_Incidence</t>
  </si>
  <si>
    <t>hasSource:"Presente en 92% de casos sintomáticos[11][23][35]"; hasDescription:"Frecuencia de alopecia en deficiencia profunda"; hasExpectedValue:"0.90";</t>
  </si>
  <si>
    <t>BTD_Manif_Ataxia_Incidence</t>
  </si>
  <si>
    <t>hasSource:"Reportado en 60% de casos[2][11][27]"; hasExpectedValue:"0.60"; hasDescription:"Probabilidad de ataxia en deficiencia profunda";</t>
  </si>
  <si>
    <t>BTD_Manif_DevDelay_Incidence</t>
  </si>
  <si>
    <t>hasDescription:"Incidencia de retraso del desarrollo en casos no tratados"; hasExpectedValue:"1.00"; hasSource:"Observado en 100% de pacientes sintomáticos[13][23][62]";</t>
  </si>
  <si>
    <t>BTD_Manif_Hypotonia_Incidence</t>
  </si>
  <si>
    <t>hasDescription:"Prevalencia de hipotonía muscular"; hasExpectedValue:"0.70"; hasSource:"Presente en 70% de pacientes[6][23][35]";</t>
  </si>
  <si>
    <t>BTD_Manif_MetabolicAcidosis_Incidence</t>
  </si>
  <si>
    <t>hasExpectedValue:"0.85"; hasSource:"Detectada en 85% de crisis agudas[3][7][15]"; hasDescription:"Frecuencia de acidosis metabólica";</t>
  </si>
  <si>
    <t>BTD_Manif_OpticAtrophy_Incidence</t>
  </si>
  <si>
    <t>hasSource:"Reportado en 45% de casos[8][16][38]"; hasExpectedValue:"0.45"; hasDescription:"Incidencia de atrofia óptica en no tratados";</t>
  </si>
  <si>
    <t>BTD_Manif_RespiratoryDistress_Incidence</t>
  </si>
  <si>
    <t>hasSource:"Observado en 40% de casos graves[6][15][42]"; hasDescription:"Probabilidad de distress respiratorio"; hasExpectedValue:"0.40";</t>
  </si>
  <si>
    <t>BTD_Manif_Seizures_Incidence</t>
  </si>
  <si>
    <t>hasExpectedValue:"0.80"; hasDescription:"Probabilidad de desarrollar convulsiones en deficiencia profunda no tratada"; hasSource:"Estudios multicéntricos reportan convulsiones en 80% de casos no tratados[2][6][23]";</t>
  </si>
  <si>
    <t>BTD_Onset_Encephalopathy_Acute</t>
  </si>
  <si>
    <t>hasExpectedValue:"72"; hasDescription:"Tiempo hasta encefalopatía metabólica tras estrés"; hasSource:"Horas tras desencadenante metabólico[4][15]";</t>
  </si>
  <si>
    <t>BTD_Onset_Seizures_Acute</t>
  </si>
  <si>
    <t>hasDescription:"Edad media de aparición de crisis epilépticas en no tratados"; hasExpectedValue:"3"; hasSource:"Edad media de presentación: 6 meses (rango 2-45.75)[3][6]";</t>
  </si>
  <si>
    <t>BTD_Partial_Manif_Alopecia_Incidence</t>
  </si>
  <si>
    <t>hasDescription:"Alopecia transitoria en deficiencia parcial"; hasSource:"Presente en contextos de descompensación[11][15]"; hasExpectedValue:"0.30";</t>
  </si>
  <si>
    <t>BTD_Partial_Manif_Dermatitis_Incidence</t>
  </si>
  <si>
    <t>hasExpectedValue:"0.25"; hasDescription:"Frecuencia de dermatitis en deficiencia parcial"; hasSource:"Manifestación cutánea intermitente en 25%[4][7][11]";</t>
  </si>
  <si>
    <t>BTD_Partial_Manif_Hypotonia_Incidence</t>
  </si>
  <si>
    <t>hasExpectedValue:"0.10"; hasDescription:"Hipotonía muscular transitoria"; hasSource:"Observada en 10% durante infecciones[4][11]";</t>
  </si>
  <si>
    <t>BTD_Partial_Manif_MetabolicAcidosis_Incidence</t>
  </si>
  <si>
    <t>hasDescription:"Acidosis metabólica durante estrés"; hasExpectedValue:"0.20"; hasSource:"Reportado en crisis metabólicas agudas[4][9][15]";</t>
  </si>
  <si>
    <t>BTD_Partial_Manif_OpticChanges_Incidence</t>
  </si>
  <si>
    <t>hasDescription:"Alteraciones vasculares retinianas subclínicas"; hasSource:"Detectadas por OCT en 40% de casos[7][15]"; hasExpectedValue:"0.40";</t>
  </si>
  <si>
    <t>BTD_Partial_Manif_Seizures_Incidence</t>
  </si>
  <si>
    <t>hasExpectedValue:"0.15"; hasSource:"Reportado en 15% de casos bajo estrés metabólico[4][9][11]"; hasDescription:"Riesgo de convulsiones en deficiencia parcial no tratada";</t>
  </si>
  <si>
    <t>BTD_Partial_Onset_Dermatitis</t>
  </si>
  <si>
    <t>hasSource:"2 semanas tras desencadenante[11][15]"; hasExpectedValue:"14"; hasDescription:"Tiempo hasta manifestaciones cutáneas en estrés";</t>
  </si>
  <si>
    <t>BTD_Prevalence_Birth</t>
  </si>
  <si>
    <t>hasExpectedValue:"0.0000167"; hasSource:"Global incidence of approximately 1 in 60,000 births"; hasDescription:"Prevalence at birth of biotinidase deficiency";</t>
  </si>
  <si>
    <t>BTD_Profound_Proportion</t>
  </si>
  <si>
    <t>hasDescription:"Proportion of profound cases among all biotinidase deficiency cases";</t>
  </si>
  <si>
    <t>BTD_Progression_Neuropathy</t>
  </si>
  <si>
    <t>hasDescription:"Tiempo hasta neuropatía periférica sintomática"; hasExpectedValue:"180"; hasSource:"6 meses tras interrupción de biotina[1][4]";</t>
  </si>
  <si>
    <t>BTD_Progression_OpticAtrophy</t>
  </si>
  <si>
    <t>hasExpectedValue:"60"; hasDescription:"Tiempo medio para atrofia óptica irreversible"; hasSource:"Desarrollo en 5 años tras síntomas iniciales[2][7]";</t>
  </si>
  <si>
    <t>hasSource:"Validación en plataformas automatizadas ChemWell-2[1][7]"; hasDescription:"Sensitivity of the neonatal screening test for biotinidase deficiency"; hasExpectedValue:"0.999";</t>
  </si>
  <si>
    <t>hasExpectedValue:"0.998"; hasDescription:"Specificity of the neonatal screening test for biotinidase deficiency"; hasSource:"Estudios multicéntricos con 4.3 millones de muestras[4][8]";</t>
  </si>
  <si>
    <t>BTD_FU_GeneticCounseling</t>
  </si>
  <si>
    <t>FollowUpParameter</t>
  </si>
  <si>
    <t>hasExpectedValue:"24"; hasUnit:"meses"; hasSource:"Estudio turco con 259 pacientes[13]"; hasDescription:"Asesoramiento genético familiar cada 2 años";</t>
  </si>
  <si>
    <t>Class 'FollowUpParameter' undefined; unsuitable source</t>
  </si>
  <si>
    <t>BTD_FU_Ophthalmic</t>
  </si>
  <si>
    <t>hasSource:"Reporte de nuevos fenotipos oculares[5][9]"; hasExpectedValue:"12"; hasUnit:"meses"; hasDescription:"Evaluación anual con OCT y potenciales visuales";</t>
  </si>
  <si>
    <t>BTD_FU_Partial_Interval</t>
  </si>
  <si>
    <t>appliesTo:BTD_Stage_Partial;</t>
  </si>
  <si>
    <t>hasDescription:"Evaluación anual con prueba de suspensión controlada de biotina"; hasExpectedValue:"12"; hasSource:"Protocolo de manejo controversial en formas parciales[9][15]"; hasUnit:"meses";</t>
  </si>
  <si>
    <t>Class 'FollowUpParameter' undefined; ObjectProp 'appliesTo' undefined; unsuitable source</t>
  </si>
  <si>
    <t>BTD_FU_Profound_BiotinLevel</t>
  </si>
  <si>
    <t>hasSource:"Estudio pakistaní con seguimiento de 20 años[7][11]"; hasUnit:"meses"; hasExpectedValue:"6"; hasDescription:"Monitorización semestral de niveles plasmáticos de biotina";</t>
  </si>
  <si>
    <t>BTD_FU_Profound_Clinical</t>
  </si>
  <si>
    <t>appliesTo:BTD_Stage_Profound;</t>
  </si>
  <si>
    <t>hasSource:"Protocolo italiano de seguimiento a largo plazo[9][13]"; hasDescription:"Evaluación clínica trimestral con examen neurológico detallado"; hasUnit:"meses"; hasExpectedValue:"3";</t>
  </si>
  <si>
    <t>BTD_State_EarlyDetected_Treated</t>
  </si>
  <si>
    <t>HealthState</t>
  </si>
  <si>
    <t>hasDescription:"State of early detected and treated profound biotinidase deficiency";</t>
  </si>
  <si>
    <t>Class 'HealthState' undefined</t>
  </si>
  <si>
    <t>BTD_State_FalsePositive</t>
  </si>
  <si>
    <t>hasDescription:"State of individual incorrectly identified as having biotinidase deficiency";</t>
  </si>
  <si>
    <t>BTD_State_LateDetected_Treated</t>
  </si>
  <si>
    <t>hasDescription:"State of late detected and treated profound biotinidase deficiency with irreversible sequelae";</t>
  </si>
  <si>
    <t>BTD_State_Undetected</t>
  </si>
  <si>
    <t>hasUtilityValue:BTD_State_Undetected_U;</t>
  </si>
  <si>
    <t>hasDescription:"State of undetected profound biotinidase deficiency";</t>
  </si>
  <si>
    <t>Class 'HealthState' undefined; ObjectProp 'hasUtilityValue' undefined</t>
  </si>
  <si>
    <t>appliesTo:BTD_Stage_Profound; hasCriticalWindow:BTD_CriticalWindow_Treatment;</t>
  </si>
  <si>
    <t>hasDescription:"Suplementación oral de biotina 5-20 mg/día de por vida"; hasDescription:"Biotin supplementation treatment (5-20 mg/day) for biotinidase deficiency"; hasSource:"Protocolos de tratamiento validados internacionalmente[4][13]"; hasSource:"Treatment is simple, of low cost, and based on oral biotin replacement, lifelong";</t>
  </si>
  <si>
    <t>ObjectProp 'appliesTo' undefined; ObjectProp 'hasCriticalWindow' undefined; unsuitable source; should not be an intervention</t>
  </si>
  <si>
    <t>BTD_Intervention_ClinicalDetection</t>
  </si>
  <si>
    <t>appliesTo:BTD_Disease; hasTransitionParameter:BTD_ClinicalDetection_Delay;</t>
  </si>
  <si>
    <t>hasSource:"Estándares técnicos de diagnóstico CLSI[13]"; hasDescription:"Diagnóstico basado en manifestaciones sintomáticas y confirmación bioquímica"; hasDescription:"Clinical detection of biotinidase deficiency based on symptoms";</t>
  </si>
  <si>
    <t>ObjectProp 'appliesTo' undefined; ObjectProp 'hasTransitionParameter' undefined; unsuitable source</t>
  </si>
  <si>
    <t>hasEpidemiologicalParameter:BTD_Screening_Specificity; hasEpidemiologicalParameter:BTD_Screening_Sensitivity; appliesTo:BTD_Disease;</t>
  </si>
  <si>
    <t>hasDescription:"Neonatal screening for biotinidase deficiency using enzymatic or fluorimetric assay"; hasDescription:"Detección mediante ensayo enzimático semicuantitativo en sangre seca en papel"; hasSource:"Protocolos estandarizados de cribado en programas nacionales[4][8]";</t>
  </si>
  <si>
    <t>ObjectProp 'appliesTo' undefined; unsuitable source</t>
  </si>
  <si>
    <t>BTD_Treatment_Partial</t>
  </si>
  <si>
    <t>appliesTo:BTD_Stage_Partial; hasTreatmentParameter:BTD_Tx_Monitoring_Frequency;</t>
  </si>
  <si>
    <t>hasDescription:"Suplementación con biotina 1-5 mg/día, posible terapia intermitente"; hasSource:"Enfoque individualizado según actividad enzimática residual[3][5]";</t>
  </si>
  <si>
    <t>ObjectProp 'appliesTo' undefined; ObjectProp 'hasTreatmentParameter' undefined; unsuitable source; should not be an intervention</t>
  </si>
  <si>
    <t>BTD_Treatment_Profound</t>
  </si>
  <si>
    <t>hasTreatmentParameter:BTD_Tx_Profound_Dose; hasTreatmentParameter:BTD_Tx_Efficacy_Profound; appliesTo:BTD_Stage_Profound;</t>
  </si>
  <si>
    <t>hasDescription:"Suplementación oral de biotina 5-20 mg/día de por vida"; hasSource:"Protocolos internacionales para deficiencia profunda[5][14]";</t>
  </si>
  <si>
    <t>ObjectProp 'hasTreatmentParameter' undefined; ObjectProp 'appliesTo' undefined; unsuitable source; should not be an intervention</t>
  </si>
  <si>
    <t>BTD_Manif_Acute_CornealOpacity</t>
  </si>
  <si>
    <t>hasDescription:"Opacidad corneal bilateral reversible con tratamiento"; hasSource:"Manifestación reportada recientemente[5][9]";</t>
  </si>
  <si>
    <t>BTD_Manif_Acute_EczemaFulminans</t>
  </si>
  <si>
    <t>hasDescription:"Dermatitis exudativa severa con sobreinfección secundaria"; hasSource:"Presente en el 78% de casos no tratados[11][15]";</t>
  </si>
  <si>
    <t>BTD_Manif_Acute_Encephalopathy</t>
  </si>
  <si>
    <t>hasDisutilityValue:BTD_Manif_Acute_Encephalopathy_DU; hasProgressionTime:BTD_Progression_OpticAtrophy;</t>
  </si>
  <si>
    <t>hasSource:"Complicación frecuente en crisis agudas[4][5]"; hasDescription:"Encefalopatía metabólica con alteración del estado mental";</t>
  </si>
  <si>
    <t>ObjectProp 'hasDisutilityValue' undefined; ObjectProp 'hasProgressionTime' undefined; unsuitable source</t>
  </si>
  <si>
    <t>BTD_Manif_Acute_FlaccidParalysis</t>
  </si>
  <si>
    <t>hasSource:"Presente en casos de crisis metabólica aguda[1][4]"; hasDescription:"Parálisis flácida aguda con afectación de médula espinal";</t>
  </si>
  <si>
    <t>BTD_Manif_Acute_HighAnionGap</t>
  </si>
  <si>
    <t>hasProgressionTime:BTD_Progression_Neuropathy;</t>
  </si>
  <si>
    <t>hasDescription:"Acidosis metabólica con brecha aniónica elevada (&gt;16 mmol/L)"; hasSource:"Hallazgo constante en descompensaciones agudas[4][15]";</t>
  </si>
  <si>
    <t>ObjectProp 'hasProgressionTime' undefined; unsuitable source</t>
  </si>
  <si>
    <t>BTD_Manif_Chronic_Alopecia</t>
  </si>
  <si>
    <t>hasSource:"Presente en el 92% de casos no tratados[11][18]"; hasDescription:"Alopecia difusa con folículos destruidos";</t>
  </si>
  <si>
    <t>BTD_Manif_Chronic_DevelopmentalDelay</t>
  </si>
  <si>
    <t>hasSource:"Observado en el 100% de casos no tratados[13][17]"; hasDescription:"Retraso global del desarrollo con QI menor que 70";</t>
  </si>
  <si>
    <t>BTD_Manif_Chronic_Myelopathy</t>
  </si>
  <si>
    <t>hasSource:"Observada en resonancia espinal[4][15]"; hasDescription:"Mielopatía desmielinizante crónica con hiperintensidad T2 en médula";</t>
  </si>
  <si>
    <t>BTD_Manif_Chronic_OpticAtrophy</t>
  </si>
  <si>
    <t>hasDisutilityValue:BTD_Manif_OpticAtrophy_DU; hasDisutilityValue:BTD_Manif_Chronic_OpticAtrophy_DU; hasManifestationProbability:BTD_Manif_OpticAtrophy_Incidence;</t>
  </si>
  <si>
    <t>hasSource:"Reportada en el 68% de casos no tratados[5][7]"; hasDescription:"Atrofia óptica bilateral con pérdida axonal irreversible";</t>
  </si>
  <si>
    <t>ObjectProp 'hasDisutilityValue' undefined; ObjectProp 'hasManifestationProbability' undefined; unsuitable source</t>
  </si>
  <si>
    <t>BTD_Manif_Chronic_PeripheralNeuropathy</t>
  </si>
  <si>
    <t>hasSource:"Presente en el 80% de adultos no tratados[10][15]"; hasDescription:"Neuropatía periférica sensitivo-motora progresiva";</t>
  </si>
  <si>
    <t>BTD_Manif_Cutaneous_Alopecia</t>
  </si>
  <si>
    <t>hasManifestationProbability:BTD_Partial_Manif_Alopecia_Incidence; hasManifestationProbability:BTD_Manif_Alopecia_Incidence; hasDisutilityValue:BTD_Manif_Cutaneous_Alopecia_DU;</t>
  </si>
  <si>
    <t>hasDescription:"Alopecia associated with biotinidase deficiency";</t>
  </si>
  <si>
    <t>ObjectProp 'hasManifestationProbability' undefined; ObjectProp 'hasDisutilityValue' undefined</t>
  </si>
  <si>
    <t>BTD_Manif_Cutaneous_Dermatitis</t>
  </si>
  <si>
    <t>hasManifestationProbability:BTD_Partial_Manif_Dermatitis_Incidence;</t>
  </si>
  <si>
    <t>hasDescription:"Dermatitis associated with biotinidase deficiency";</t>
  </si>
  <si>
    <t>ObjectProp 'hasManifestationProbability' undefined</t>
  </si>
  <si>
    <t>BTD_Manif_Metabolic_Acidosis</t>
  </si>
  <si>
    <t>hasManifestationProbability:BTD_Partial_Manif_MetabolicAcidosis_Incidence; hasManifestationProbability:BTD_Manif_MetabolicAcidosis_Incidence;</t>
  </si>
  <si>
    <t>hasDescription:"Metabolic acidosis associated with biotinidase deficiency";</t>
  </si>
  <si>
    <t>BTD_Manif_Neurological_Ataxia</t>
  </si>
  <si>
    <t>hasDescription:"Ataxia associated with biotinidase deficiency";</t>
  </si>
  <si>
    <t>BTD_Manif_Neurological_DevDelay</t>
  </si>
  <si>
    <t>hasManifestationProbability:BTD_Manif_DevDelay_Incidence;</t>
  </si>
  <si>
    <t>hasDescription:"Developmental delay associated with biotinidase deficiency";</t>
  </si>
  <si>
    <t>BTD_Manif_Neurological_HearingLoss</t>
  </si>
  <si>
    <t>hasDisutilityValue:BTD_Manif_Neurological_HearingLoss_DU;</t>
  </si>
  <si>
    <t>hasDescription:"Sensorineural hearing loss associated with biotinidase deficiency";</t>
  </si>
  <si>
    <t>ObjectProp 'hasDisutilityValue' undefined</t>
  </si>
  <si>
    <t>BTD_Manif_Neurological_Hypotonia</t>
  </si>
  <si>
    <t>hasDescription:"Hypotonia associated with biotinidase deficiency";</t>
  </si>
  <si>
    <t>BTD_Manif_Neurological_Seizures</t>
  </si>
  <si>
    <t>hasDisutilityValue:BTD_Manif_Neurological_Seizures_DU; hasEpidemiologicalParameter:BTD_Onset_Seizures_Acute; hasManifestationProbability:BTD_Manif_Seizures_Incidence; hasManifestationProbability:BTD_Partial_Manif_Seizures_Incidence;</t>
  </si>
  <si>
    <t>hasDescription:"Seizures associated with biotinidase deficiency"; hasSource:"Reported in multiple studies of profound biotinidase deficiency";</t>
  </si>
  <si>
    <t>ObjectProp 'hasDisutilityValue' undefined; ObjectProp 'hasManifestationProbability' undefined</t>
  </si>
  <si>
    <t>BTD_Manif_Neurological_VisualProblems</t>
  </si>
  <si>
    <t>hasDisutilityValue:BTD_Manif_Neurological_VisualProblems_DU;</t>
  </si>
  <si>
    <t>hasDescription:"Visual problems including optic neuritis associated with biotinidase deficiency";</t>
  </si>
  <si>
    <t>BTD_ClinicalDetection_Delay</t>
  </si>
  <si>
    <t>TransitionParameter</t>
  </si>
  <si>
    <t>hasSource:"Retraso diagnóstico promedio de 6 meses[4][11]"; hasExpectedValue:"180";</t>
  </si>
  <si>
    <t>Class 'TransitionParameter' undefined; unsuitable source</t>
  </si>
  <si>
    <t>BTD_Transition_EarlyDetection</t>
  </si>
  <si>
    <t>hasDescription:"Probability of early detection through screening";</t>
  </si>
  <si>
    <t>Class 'TransitionParameter' undefined</t>
  </si>
  <si>
    <t>BTD_Transition_LateDetection</t>
  </si>
  <si>
    <t>hasDescription:"Probability of late detection through symptoms";</t>
  </si>
  <si>
    <t>BTD_Transition_Time_Symptoms</t>
  </si>
  <si>
    <t>hasDescription:"Average time to symptom development in untreated profound biotinidase deficiency";</t>
  </si>
  <si>
    <t>BTD_Tx_Efficacy_Profound</t>
  </si>
  <si>
    <t>TreatmentParameter</t>
  </si>
  <si>
    <t>hasDescription:"Eficacia clínica en diagnóstico temprano"; hasExpectedValue:"0.95";</t>
  </si>
  <si>
    <t>Class 'TreatmentParameter' undefined; defines an unsuitable effectiveness</t>
  </si>
  <si>
    <t>BTD_Tx_Monitoring_Frequency</t>
  </si>
  <si>
    <t>hasExpectedValue:"3"; hasUnit:"meses";</t>
  </si>
  <si>
    <t>Class 'TreatmentParameter' undefined</t>
  </si>
  <si>
    <t>BTD_Tx_Profound_Dose</t>
  </si>
  <si>
    <t>hasExpectedValue:"10"; hasUnit:"mg/día";</t>
  </si>
  <si>
    <t>BTD_Manif_Acute_Encephalopathy_DU</t>
  </si>
  <si>
    <t>hasExpectedValue:"0.75"; hasDescription:"Desutilidad por día de encefalopatía aguda";</t>
  </si>
  <si>
    <t>BTD_Manif_Chronic_DevelopmentalDelay_DU</t>
  </si>
  <si>
    <t>hasDescription:"Desutilidad anual por discapacidad intelectual"; hasExpectedValue:"0.50";</t>
  </si>
  <si>
    <t>BTD_Manif_Chronic_OpticAtrophy_DU</t>
  </si>
  <si>
    <t>hasDescription:"Desutilidad permanente por pérdida visual severa"; hasExpectedValue:"0.35";</t>
  </si>
  <si>
    <t>BTD_Manif_Cutaneous_Alopecia_DU</t>
  </si>
  <si>
    <t>hasExpectedValue:"0.15"; hasSource:"Estudios de calidad de vida en enfermedades dermatológicas crónicas[11][16]"; hasDescription:"Desutilidad anual por alopecia difusa";</t>
  </si>
  <si>
    <t>Class 'UtilityParameter' undefined; unsuitable source</t>
  </si>
  <si>
    <t>BTD_Manif_Metabolic_Acidosis_DU</t>
  </si>
  <si>
    <t>hasDescription:"Desutilidad episódica por acidosis metabólica aguda"; hasSource:"Modelado basado en eventos agudos recurrentes[4][15]"; hasExpectedValue:"0.20";</t>
  </si>
  <si>
    <t>BTD_Manif_Neurological_DevDelay_DU</t>
  </si>
  <si>
    <t>hasExpectedValue:"0.50"; hasSource:"Consenso de expertos en enfermedades metabólicas[13][17]"; hasDescription:"Desutilidad anual por retraso global del desarrollo (QI menor que 70)";</t>
  </si>
  <si>
    <t>BTD_Manif_Neurological_HearingLoss_DU</t>
  </si>
  <si>
    <t>hasDescription:"Disutility associated with sensorineural hearing loss in biotinidase deficiency";</t>
  </si>
  <si>
    <t>BTD_Manif_Neurological_Seizures_DU</t>
  </si>
  <si>
    <t>hasExpectedValue:"0.48"; hasSource:"Estudio de utilidad en crisis epilépticas mediante método TTO[5]"; hasDescription:"Desutilidad por crisis tónico-clónicas en deficiencia de biotinidasa"; hasDescription:"Disutility associated with seizures in biotinidase deficiency";</t>
  </si>
  <si>
    <t>BTD_Manif_Neurological_VisualProblems_DU</t>
  </si>
  <si>
    <t>hasDescription:"Disutility associated with visual problems in biotinidase deficiency";</t>
  </si>
  <si>
    <t>BTD_Manif_OpticAtrophy_DU</t>
  </si>
  <si>
    <t>hasSource:"Estudios OCT en pacientes con deficiencia parcial[18]"; hasDescription:"Desutilidad permanente por atrofia óptica bilateral"; hasExpectedValue:"0.35";</t>
  </si>
  <si>
    <t>BTD_Stage_EarlyTreated_Profound_U</t>
  </si>
  <si>
    <t>appliesOneTime:"false"; hasDescription:"Annual utility for early treated profound biotinidase deficiency";</t>
  </si>
  <si>
    <t>Class 'UtilityParameter' undef</t>
  </si>
  <si>
    <t>BTD_Stage_LateTreated_Profound_U</t>
  </si>
  <si>
    <t>hasDescription:"Annual utility for late treated profound biotinidase deficiency"; appliesOneTime:"false";</t>
  </si>
  <si>
    <t>BTD_Stage_Partial_U</t>
  </si>
  <si>
    <t>appliesOneTime:"false"; hasDescription:"Annual utility for untreated partial biotinidase deficiency";</t>
  </si>
  <si>
    <t>BTD_Stage_Profound_U</t>
  </si>
  <si>
    <t>appliesOneTime:"false"; hasDescription:"Annual utility for untreated profound biotinidase deficiency";</t>
  </si>
  <si>
    <t>BTD_State_EarlyTreated_U</t>
  </si>
  <si>
    <t>hasExpectedValue:"0.95"; hasSource:"Seguimiento de cohortes tratadas mediante cribado neonatal[2][19]"; hasDescription:"Utilidad con diagnóstico temprano y tratamiento adecuado";</t>
  </si>
  <si>
    <t>BTD_State_Undetected_U</t>
  </si>
  <si>
    <t>hasDescription:"Utilidad base en deficiencia no detectada (sin tratamiento)"; hasExpectedValue:"0.60"; hasSource:"Comparación con enfermedades metabólicas no tratadas[7][19]";</t>
  </si>
  <si>
    <t>BTD_State_EarlyTreated_Profound</t>
  </si>
  <si>
    <t>hasUtilityValue:BTD_State_EarlyTreated_U;</t>
  </si>
  <si>
    <t>No Class assigned; ObjectProp 'hasUtilityValue' undefined</t>
  </si>
  <si>
    <t>UC1-F1-P2-S2-M2</t>
  </si>
  <si>
    <t>DPB_Acute_Alopecia</t>
  </si>
  <si>
    <t>hasDescription:"Alopecia aguda o subaguda, con pérdida difusa de cabello."; hasSource:"Deficiencia de biotinidasa. Rev Med Hondur 2005; 73(2): 92-98[3]";</t>
  </si>
  <si>
    <t>DPB_Acute_Ataxia</t>
  </si>
  <si>
    <t>hasDescription:"Ataxia aguda, con alteración de la coordinación motora."; hasSource:"Deficiencia de biotinidasa. Rev Med Hondur 2005; 73(2): 92-98[3]";</t>
  </si>
  <si>
    <t>DPB_Acute_Dermatitis</t>
  </si>
  <si>
    <t>hasDescription:"Dermatitis eritematosa o eccematosa de aparición rápida."; hasSource:"Deficiencia de biotinidasa. Rev Med Hondur 2005; 73(2): 92-98[3]";</t>
  </si>
  <si>
    <t>DPB_Acute_Hypotonia</t>
  </si>
  <si>
    <t>hasDescription:"Hipotonía muscular generalizada de aparición aguda."; hasSource:"Deficiencia de biotinidasa. Rev Med Hondur 2005; 73(2): 92-98[3]";</t>
  </si>
  <si>
    <t>DPB_Acute_MetabolicAcidosis</t>
  </si>
  <si>
    <t>hasSource:"Deficiencia de biotinidasa. Rev Med Hondur 2005; 73(2): 92-98[3]"; hasDescription:"Acidosis metabólica aguda, potencialmente grave.";</t>
  </si>
  <si>
    <t>DPB_Acute_Seizures</t>
  </si>
  <si>
    <t>hasDescription:"Crisis convulsivas agudas, frecuentes en la presentación inicial sin tratamiento."; hasSource:"Deficiencia de biotinidasa. Rev Med Hondur 2005; 73(2): 92-98[3]";</t>
  </si>
  <si>
    <t>DPB_Chronic_Ataxia</t>
  </si>
  <si>
    <t>hasSource:"Wolf B. "Biotinidase Deficiency: Newborn Screening and Outcomes." Int J Neonatal Screen. 2022;8(2):28."; hasDescription:"Ataxia persistente, con alteración de la coordinación motora.";</t>
  </si>
  <si>
    <t>DPB_Chronic_DevelopmentalDelay</t>
  </si>
  <si>
    <t>hasDescription:"Retraso global del desarrollo psicomotor y discapacidad intelectual persistente."; hasSource:"Wolf B. "Biotinidase Deficiency: Newborn Screening and Outcomes." Int J Neonatal Screen. 2022;8(2):28.";</t>
  </si>
  <si>
    <t>DPB_Chronic_Epilepsy</t>
  </si>
  <si>
    <t>hasDescription:"Epilepsia crónica secundaria a daño neurológico irreversible."; hasSource:"Wolf B. "Biotinidase Deficiency: Newborn Screening and Outcomes." Int J Neonatal Screen. 2022;8(2):28.";</t>
  </si>
  <si>
    <t>DPB_Chronic_HearingLoss</t>
  </si>
  <si>
    <t>hasSource:"Wolf B. "Biotinidase Deficiency: Newborn Screening and Outcomes." Int J Neonatal Screen. 2022;8(2):28."; hasDescription:"Pérdida auditiva neurosensorial irreversible, persistente tras el episodio agudo.";</t>
  </si>
  <si>
    <t>DPB_Chronic_SkinDisorder</t>
  </si>
  <si>
    <t>hasDescription:"Alteraciones cutáneas crónicas, como dermatitis persistente o eccema recidivante."; hasSource:"Wolf B. "Biotinidase Deficiency: Newborn Screening and Outcomes." Int J Neonatal Screen. 2022;8(2):28.";</t>
  </si>
  <si>
    <t>DPB_Chronic_SpasticParaparesis</t>
  </si>
  <si>
    <t>hasSource:"Wolf B. "Biotinidase Deficiency: Newborn Screening and Outcomes." Int J Neonatal Screen. 2022;8(2):28."; hasDescription:"Paraparesia espástica crónica, con debilidad y rigidez en miembros inferiores.";</t>
  </si>
  <si>
    <t>DPB_Chronic_VisualImpairment</t>
  </si>
  <si>
    <t>hasSource:"Wolf B. "Biotinidase Deficiency: Newborn Screening and Outcomes." Int J Neonatal Screen. 2022;8(2):28."; hasDescription:"Alteraciones visuales crónicas, incluyendo atrofia óptica y pérdida de visión.";</t>
  </si>
  <si>
    <t>DPB_Manif_Alopecia</t>
  </si>
  <si>
    <t>hasDescription:"Alopecia difusa.";</t>
  </si>
  <si>
    <t>DPB_Manif_Ataxia</t>
  </si>
  <si>
    <t>hasDescription:"Ataxia persistente.";</t>
  </si>
  <si>
    <t>DPB_Manif_DevelopmentalDelay</t>
  </si>
  <si>
    <t>hasDescription:"Retraso global del desarrollo psicomotor.";</t>
  </si>
  <si>
    <t>DPB_Manif_HearingLoss</t>
  </si>
  <si>
    <t>hasDescription:"Pérdida auditiva neurosensorial irreversible.";</t>
  </si>
  <si>
    <t>DPB_Manif_Hypotonia</t>
  </si>
  <si>
    <t>hasDescription:"Hipotonía muscular generalizada.";</t>
  </si>
  <si>
    <t>DPB_Manif_MetabolicAcidosis</t>
  </si>
  <si>
    <t>hasDescription:"Acidosis metabólica grave.";</t>
  </si>
  <si>
    <t>DPB_Manif_Seizures</t>
  </si>
  <si>
    <t>hasDescription:"Crisis epilépticas recurrentes.";</t>
  </si>
  <si>
    <t>DPB_Manif_SkinRash</t>
  </si>
  <si>
    <t>hasDescription:"Dermatitis eccematosa o eritematosa.";</t>
  </si>
  <si>
    <t>DPB_Manif_VisualImpairment</t>
  </si>
  <si>
    <t>hasDescription:"Alteraciones visuales, incluyendo atrofia óptica.";</t>
  </si>
  <si>
    <t>DPB_BirthPrevalence</t>
  </si>
  <si>
    <t>DeterministicParameter; EpidemiologicalParameter</t>
  </si>
  <si>
    <t>hasDataItemType:IRIDIBirthPrevalence; isParameterOfDisease:DPB_Disease;</t>
  </si>
  <si>
    <t>hasSource:"Wolf B. "Biotinidase Deficiency: Newborn Screening and Outcomes." Int J Neonatal Screen. 2022;8(2):28. doi:10.3390/ijns8020028"; hasExpectedValue:"0.0000167"; isTrueEpidemiologicalParameterEstimate:"true"; hasGeographicalContext:"España"; hasYear:"2024"; hasDescription:"Prevalencia al nacimiento de la deficiencia profunda de biotinidasa en España.";</t>
  </si>
  <si>
    <t>DPB_Stage_Asymptomatic_BirthPrevalence</t>
  </si>
  <si>
    <t>isParameterOf:DPB_Stage_Asymptomatic; hasDataItemType:IRIDIBirthPrevalence;</t>
  </si>
  <si>
    <t>hasGeographicalContext:"España"; isTrueEpidemiologicalParameterEstimate:"true"; hasDescription:"Prevalencia al nacimiento del estadio asintomático de DPB profunda: todos los casos nacen en este estadio."; hasYear:"2024"; hasSource:"Wolf B. "Biotinidase Deficiency: Newborn Screening and Outcomes." Int J Neonatal Screen. 2022;8(2):28. doi:10.3390/ijns8020028"; hasExpectedValue:"0.0000167";</t>
  </si>
  <si>
    <t>DPB_Stage_Sequelae_BirthPrevalence</t>
  </si>
  <si>
    <t>hasDataItemType:IRIDIBirthPrevalence; isParameterOf:DPB_Stage_Sequelae;</t>
  </si>
  <si>
    <t>hasGeographicalContext:"España"; hasYear:"2024"; isTrueEpidemiologicalParameterEstimate:"true"; hasDescription:"Prevalencia al nacimiento del estadio de secuelas de DPB profunda: ningún caso nace en este estadio."; hasSource:"Wolf B. "Biotinidase Deficiency: Newborn Screening and Outcomes." Int J Neonatal Screen. 2022;8(2):28. doi:10.3390/ijns8020028"; hasExpectedValue:"0.0";</t>
  </si>
  <si>
    <t>DPB_Stage_Symptomatic_BirthPrevalence</t>
  </si>
  <si>
    <t>isParameterOf:DPB_Stage_Symptomatic; hasDataItemType:IRIDIBirthPrevalence;</t>
  </si>
  <si>
    <t>hasGeographicalContext:"España"; hasExpectedValue:"0.0"; hasDescription:"Prevalencia al nacimiento del estadio sintomático de DPB profunda: ningún caso nace en este estadio."; isTrueEpidemiologicalParameterEstimate:"true"; hasSource:"Wolf B. "Biotinidase Deficiency: Newborn Screening and Outcomes." Int J Neonatal Screen. 2022;8(2):28. doi:10.3390/ijns8020028"; hasYear:"2024";</t>
  </si>
  <si>
    <t>DPB_Onset_Alopecia</t>
  </si>
  <si>
    <t>DeterministicParameter; Parameter</t>
  </si>
  <si>
    <t>isParameterOfManifestation:DPB_Acute_Alopecia;</t>
  </si>
  <si>
    <t>hasExpectedValue:"0.33"; hasUnit:"years"; hasDescription:"Edad media de aparición de alopecia aguda: 4 meses (0.33 años)."; hasSource:"Wolf B. Int J Neonatal Screen. 2022;8(2):28.";</t>
  </si>
  <si>
    <t>DPB_Onset_Ataxia</t>
  </si>
  <si>
    <t>isParameterOfManifestation:DPB_Acute_Ataxia;</t>
  </si>
  <si>
    <t>hasDescription:"Edad media de aparición de ataxia aguda: 6 meses (0.5 años)."; hasUnit:"years"; hasExpectedValue:"0.5"; hasSource:"Wolf B. Int J Neonatal Screen. 2022;8(2):28.";</t>
  </si>
  <si>
    <t>DPB_Onset_ChronicAtaxia</t>
  </si>
  <si>
    <t>isParameterOfManifestation:DPB_Chronic_Ataxia;</t>
  </si>
  <si>
    <t>hasUnit:"years"; hasDescription:"Edad media de aparición de ataxia crónica: 2 años."; hasExpectedValue:"2.0"; hasSource:"Wolf B. Int J Neonatal Screen. 2022;8(2):28.";</t>
  </si>
  <si>
    <t>DPB_Onset_Dermatitis</t>
  </si>
  <si>
    <t>isParameterOfManifestation:DPB_Acute_Dermatitis;</t>
  </si>
  <si>
    <t>hasSource:"Wolf B. Int J Neonatal Screen. 2022;8(2):28."; hasExpectedValue:"0.33"; hasUnit:"years"; hasDescription:"Edad media de aparición de dermatitis aguda: 4 meses (0.33 años).";</t>
  </si>
  <si>
    <t>DPB_Onset_DevelopmentalDelay</t>
  </si>
  <si>
    <t>isParameterOfManifestation:DPB_Chronic_DevelopmentalDelay;</t>
  </si>
  <si>
    <t>hasExpectedValue:"2.0"; hasDescription:"Edad media de aparición de retraso global del desarrollo: 2 años."; hasSource:"Wolf B. Int J Neonatal Screen. 2022;8(2):28."; hasUnit:"years";</t>
  </si>
  <si>
    <t>DPB_Onset_HearingLoss</t>
  </si>
  <si>
    <t>isParameterOfManifestation:DPB_Chronic_HearingLoss;</t>
  </si>
  <si>
    <t>hasUnit:"years"; hasDescription:"Edad media de aparición de pérdida auditiva neurosensorial crónica: 2 años."; hasSource:"Wolf B. Int J Neonatal Screen. 2022;8(2):28."; hasExpectedValue:"2.0";</t>
  </si>
  <si>
    <t>DPB_Onset_Hypotonia</t>
  </si>
  <si>
    <t>isParameterOfManifestation:DPB_Acute_Hypotonia;</t>
  </si>
  <si>
    <t>hasSource:"Wolf B. Int J Neonatal Screen. 2022;8(2):28."; hasDescription:"Edad media de aparición de hipotonía aguda en ausencia de tratamiento: 2 meses (0.15 años)."; hasExpectedValue:"0.15"; hasUnit:"years";</t>
  </si>
  <si>
    <t>DPB_Prob_Ataxia</t>
  </si>
  <si>
    <t>isParameterOfManifestation:DPB_Acute_Ataxia; hasDataItemType:IRIDIProbability;</t>
  </si>
  <si>
    <t>hasSource:"Wolf B. Int J Neonatal Screen. 2022;8(2):28. doi:10.3390/ijns8020028"; isTrueEpidemiologicalParameterEstimate:"true"; hasExpectedValue:"0.50"; hasDescription:"Probabilidad de aparición de ataxia en la deficiencia total de biotinidasa sin tratamiento.";</t>
  </si>
  <si>
    <t>DPBPartial_Prob_HearingLoss</t>
  </si>
  <si>
    <t>isParameterOfManifestation:DPB_Chronic_HearingLoss; hasDataItemType:IRIDIProbability;</t>
  </si>
  <si>
    <t>hasDescription:"Probabilidad de aparición de pérdida auditiva neurosensorial irreversible en la deficiencia parcial de biotinidasa sin tratamiento. Muy rara."; isTrueEpidemiologicalParameterEstimate:"true"; hasExpectedValue:"0.01"; hasSource:"Wolf B. Int J Neonatal Screen. 2022;8(2):28. PMID: 35631385; PMID: 2295967[3][6]";</t>
  </si>
  <si>
    <t>DPBPartial_Prob_Hypotonia</t>
  </si>
  <si>
    <t>hasDataItemType:IRIDIProbability; isParameterOfManifestation:DPB_Acute_Hypotonia;</t>
  </si>
  <si>
    <t>hasSource:"Wolf B. Int J Neonatal Screen. 2022;8(2):28. PMID: 35631385; PMID: 2295967[3][6]"; isTrueEpidemiologicalParameterEstimate:"true"; hasExpectedValue:"0.01"; hasDescription:"Probabilidad de aparición de hipotonía en la deficiencia parcial de biotinidasa sin tratamiento. Extremadamente infrecuente.";</t>
  </si>
  <si>
    <t>DPBPartial_Prob_MetabolicAcidosis</t>
  </si>
  <si>
    <t>isParameterOfManifestation:DPB_Acute_MetabolicAcidosis; hasDataItemType:IRIDIProbability;</t>
  </si>
  <si>
    <t>hasExpectedValue:"0.01"; hasSource:"Wolf B. Int J Neonatal Screen. 2022;8(2):28. PMID: 35631385; PMID: 2295967[3][6]"; isTrueEpidemiologicalParameterEstimate:"true"; hasDescription:"Probabilidad de aparición de acidosis metabólica en la deficiencia parcial de biotinidasa sin tratamiento. Extremadamente rara.";</t>
  </si>
  <si>
    <t>DPBPartial_Prob_Seizures</t>
  </si>
  <si>
    <t>hasDataItemType:IRIDIProbability; isParameterOfManifestation:DPB_Acute_Seizures;</t>
  </si>
  <si>
    <t>hasDescription:"Probabilidad de aparición de crisis convulsivas en la deficiencia parcial de biotinidasa sin tratamiento. Muy rara, generalmente asociada a factores estresantes."; hasSource:"Wolf B. Int J Neonatal Screen. 2022;8(2):28. PMID: 35631385; PMID: 2295967[3][6]"; hasExpectedValue:"0.02"; isTrueEpidemiologicalParameterEstimate:"true";</t>
  </si>
  <si>
    <t>DPB_Ataxia_Disutility</t>
  </si>
  <si>
    <t>IRIDeterministicParameter; IRIUtility</t>
  </si>
  <si>
    <t>isParameterOfManifestation:DPB_Acute_Ataxia; hasDataItemType:IRIDIDisutility;</t>
  </si>
  <si>
    <t>hasDescription:"Desutilidad anual asociada a ataxia aguda o crónica."; hasExpectedValue:"-0.15"; hasSource:"Assumption based on utility values for moderate motor impairment (e.g. cerebellar ataxia).";</t>
  </si>
  <si>
    <t>Class 'IRIDeterministicParameter' undefined; Class 'IRIUtility' undefined</t>
  </si>
  <si>
    <t>DPB_Dermatitis_Disutility</t>
  </si>
  <si>
    <t>isParameterOfManifestation:DPB_Acute_Dermatitis; hasDataItemType:IRIDIDisutility;</t>
  </si>
  <si>
    <t>hasSource:"Beattie PE et al. "The impact of atopic dermatitis on the quality of life of children." Br J Dermatol. 2006;155(1):145-151."; hasExpectedValue:"-0.04"; hasDescription:"Desutilidad anual asociada a dermatitis aguda.";</t>
  </si>
  <si>
    <t>Class 'IRIDeterministicParameter' undefined; Class 'IRIUtility' undefined; unsuitable source</t>
  </si>
  <si>
    <t>DPB_DevelopmentalDelay_Disutility</t>
  </si>
  <si>
    <t>isParameterOfManifestation:DPB_Chronic_DevelopmentalDelay; hasDataItemType:IRIDIDisutility;</t>
  </si>
  <si>
    <t>hasExpectedValue:"-0.30"; hasSource:"Kwon J et al. "Health-related quality of life and utility in children with intellectual disabilities: a systematic review." Qual Life Res. 2019;28(8):2173-2187."; hasDescription:"Desutilidad anual asociada a discapacidad intelectual/retraso global del desarrollo.";</t>
  </si>
  <si>
    <t>Class 'IRIDeterministicParameter' undefined; Class 'IRIUtility' undefined; DataProp 'disabilities' undefined; unsuitable source</t>
  </si>
  <si>
    <t>DPB_Epilepsy_Disutility</t>
  </si>
  <si>
    <t>isParameterOfManifestation:DPB_Chronic_Epilepsy; hasDataItemType:IRIDIDisutility;</t>
  </si>
  <si>
    <t>hasDescription:"Desutilidad anual asociada a epilepsia crónica."; hasSource:"Rowen D. et al. "Valuing epilepsy health states: a systematic review of the literature." Epilepsia. 2012;53(6):1030-1037."; hasExpectedValue:"-0.20";</t>
  </si>
  <si>
    <t>Class 'IRIDeterministicParameter' undefined; Class 'IRIUtility' undefined; DataProp 'states' undefined</t>
  </si>
  <si>
    <t>DPB_HearingLoss_Disutility</t>
  </si>
  <si>
    <t>isParameterOfManifestation:DPB_Chronic_HearingLoss; hasDataItemType:IRIDIDisutility;</t>
  </si>
  <si>
    <t>hasSource:"Frick KD et al. "Health utility estimates and their application to cochlear implantation candidates in the United States." Otol Neurotol. 2007;28(3):282-288."; hasExpectedValue:"-0.21"; hasDescription:"Desutilidad anual asociada a sordera neurosensorial crónica.";</t>
  </si>
  <si>
    <t>DPB_Hypotonia_Disutility</t>
  </si>
  <si>
    <t>isParameterOfManifestation:DPB_Acute_Hypotonia; hasDataItemType:IRIDIDisutility;</t>
  </si>
  <si>
    <t>hasExpectedValue:"-0.10"; hasSource:"Assumption based on impact of moderate neuromuscular symptoms in pediatric populations."; hasDescription:"Desutilidad anual asociada a hipotonía aguda.";</t>
  </si>
  <si>
    <t>DPB_SkinDisorder_Disutility</t>
  </si>
  <si>
    <t>hasDataItemType:IRIDIDisutility; isParameterOfManifestation:DPB_Chronic_SkinDisorder;</t>
  </si>
  <si>
    <t>hasExpectedValue:"-0.04"; hasDescription:"Desutilidad anual asociada a alteraciones cutáneas crónicas."; hasSource:"Beattie PE et al. "The impact of atopic dermatitis on the quality of life of children." Br J Dermatol. 2006;155(1):145-151.";</t>
  </si>
  <si>
    <t>DPB_ClinicalDetectionIntervention</t>
  </si>
  <si>
    <t>IRIDiagnosisIntervention</t>
  </si>
  <si>
    <t>hasSource:"Wolf B. Int J Neonatal Screen. 2022;8(2):28. doi:10.3390/ijns8020028"; hasDescription:"Diagnóstico clínico de la deficiencia profunda de biotinidasa basado en la aparición de signos o síntomas indicativos y confirmación mediante prueba enzimática o genética."; hasName:"Diagnóstico clínico de biotinidasa";</t>
  </si>
  <si>
    <t>Class 'IRIDiagnosisIntervention' undefined</t>
  </si>
  <si>
    <t>Biotin</t>
  </si>
  <si>
    <t>IRIDrug</t>
  </si>
  <si>
    <t>hasSource:"Wolf B. Int J Neonatal Screen. 2022;8(2):28. doi:10.3390/ijns8020028"; hasName:"Biotina"; hasDescription:"Vitamina B7 utilizada como tratamiento sustitutivo en las deficiencias de biotinidasa."; hasDescription:"Vitamina B7 utilizada en el tratamiento de la deficiencia de biotinidasa.";</t>
  </si>
  <si>
    <t>Class 'IRIDrug' undefined</t>
  </si>
  <si>
    <t>DPB_FollowUp_Parcial</t>
  </si>
  <si>
    <t>IRIFollowUpStrategy</t>
  </si>
  <si>
    <t>hasSource:"Wolf B. Int J Neonatal Screen. 2022;8(2):28. doi:10.3390/ijns8020028; NBS Verona, PMC8200396[2]"; hasDescription:"Revisión clínica periódica (anual o según criterio clínico), valoración del desarrollo, síntomas neurológicos y auditivos, y evaluación de la necesidad de tratamiento con biotina en situaciones de estrés metabólico. El seguimiento puede ser menos frecuente y, en ausencia de síntomas, puede limitarse a controles clínicos y educativos a lo largo de la infancia."; hasFrequency:"Anual o según criterio clínico"; hasName:"Seguimiento en deficiencia parcial de biotinidasa";</t>
  </si>
  <si>
    <t>Class 'IRIFollowUpStrategy' undefined; Prop 'hasFrequency' is ObjectProp but in DataProperties; unsuitable source</t>
  </si>
  <si>
    <t>DPB_FollowUp_Profunda</t>
  </si>
  <si>
    <t>hasName:"Seguimiento en deficiencia profunda de biotinidasa"; hasFrequency:"2-4 veces/año en infancia, anual en edad escolar y adulta"; hasSource:"Wolf B. Int J Neonatal Screen. 2022;8(2):28. doi:10.3390/ijns8020028; NBS Verona, PMC8200396[2]"; hasDescription:"Revisión clínica pediátrica y metabólica periódica (cada 3-6 meses en los primeros años, luego anual), monitorización del desarrollo neurológico y auditivo, evaluación de adherencia al tratamiento con biotina, y realización de pruebas de laboratorio según indicación clínica. Se recomienda seguimiento de por vida.";</t>
  </si>
  <si>
    <t>DPB_ScreeningIntervention</t>
  </si>
  <si>
    <t>IRIScreeningIntervention</t>
  </si>
  <si>
    <t>hasSource:"Wolf B. Int J Neonatal Screen. 2022;8(2):28. doi:10.3390/ijns8020028"; hasDescription:"Cribado neonatal de la deficiencia profunda de biotinidasa mediante la medida de la actividad enzimática en sangre seca en papel (Guthrie) utilizando un ensayo enzimático o fluorimétrico semicuantitativo."; hasName:"Cribado neonatal de biotinidasa";</t>
  </si>
  <si>
    <t>Class 'IRIScreeningIntervention' undefined</t>
  </si>
  <si>
    <t>DPB_TherapeuticIntervention_Biotin</t>
  </si>
  <si>
    <t>IRITherapeuticIntervention</t>
  </si>
  <si>
    <t>usesDrug:Biotin;</t>
  </si>
  <si>
    <t>hasSource:"Wolf B. Int J Neonatal Screen. 2022;8(2):28. doi:10.3390/ijns8020028"; hasDescription:"Tratamiento sustitutivo con biotina oral a dosis farmacológicas (5-20 mg/día) para prevenir la aparición de síntomas y secuelas en pacientes con deficiencia profunda de biotinidasa."; hasName:"Tratamiento con biotina";</t>
  </si>
  <si>
    <t>Class 'IRITherapeuticIntervention' undefined; should not be an intervention</t>
  </si>
  <si>
    <t>DPB_Treatment_Parcial</t>
  </si>
  <si>
    <t>IRITreatment</t>
  </si>
  <si>
    <t>hasDescription:"Administración oral de biotina a dosis farmacológicas (generalmente 1-5 mg/día), recomendada en situaciones de estrés metabólico (fiebre, ayuno, infecciones) o de forma continua según criterio clínico individualizado."; hasName:"Tratamiento sustitutivo con biotina en deficiencia parcial de biotinidasa"; hasSource:"Wolf B. Int J Neonatal Screen. 2022;8(2):28. doi:10.3390/ijns8020028; Deficiencia de biotinidasa: importancia de su diagnóstico neonatal y tratamiento precoz[2]";</t>
  </si>
  <si>
    <t>Class 'IRITreatment' undefined</t>
  </si>
  <si>
    <t>DPB_Treatment_Profunda</t>
  </si>
  <si>
    <t>hasName:"Tratamiento sustitutivo con biotina en deficiencia profunda de biotinidasa"; hasSource:"Wolf B. Int J Neonatal Screen. 2022;8(2):28. doi:10.3390/ijns8020028; Deficiencia de biotinidasa: importancia de su diagnóstico neonatal y tratamiento precoz[2]"; hasDescription:"Administración oral de biotina a dosis farmacológicas (5-20 mg/día) de por vida, iniciada lo antes posible tras el diagnóstico, para prevenir manifestaciones clínicas y secuelas neurológicas y cutáneas.";</t>
  </si>
  <si>
    <t>DPB_Alopecia_Disutility</t>
  </si>
  <si>
    <t>IRIUtility; IRIDeterministicParameter</t>
  </si>
  <si>
    <t>isParameterOfManifestation:DPB_Acute_Alopecia; hasDataItemType:IRIDIDisutility;</t>
  </si>
  <si>
    <t>hasExpectedValue:"-0.03"; hasDescription:"Desutilidad anual asociada a alopecia."; hasSource:"Hajdarbegovic E et al. "Quality of life in patients with alopecia areata." J Eur Acad Dermatol Venereol. 2010;24(8):947-951.";</t>
  </si>
  <si>
    <t>Class 'IRIUtility' undefined; Class 'IRIDeterministicParameter' undefined</t>
  </si>
  <si>
    <t>DPB_ChronicAtaxia_Disutility</t>
  </si>
  <si>
    <t>hasDataItemType:IRIDIDisutility; isParameterOfManifestation:DPB_Chronic_Ataxia;</t>
  </si>
  <si>
    <t>hasSource:"Assumption based on utility values for moderate motor impairment."; hasDescription:"Desutilidad anual asociada a ataxia crónica."; hasExpectedValue:"-0.15";</t>
  </si>
  <si>
    <t>DPB_MetabolicAcidosis_Disutility</t>
  </si>
  <si>
    <t>hasDataItemType:IRIDIDisutility; isParameterOfManifestation:DPB_Acute_MetabolicAcidosis;</t>
  </si>
  <si>
    <t>hasDescription:"Desutilidad anual asociada a acidosis metabólica aguda."; hasSource:"Assumption based on impact of acute metabolic events in rare diseases."; hasExpectedValue:"-0.12";</t>
  </si>
  <si>
    <t>DPB_Seizures_Disutility</t>
  </si>
  <si>
    <t>isParameterOfManifestation:DPB_Acute_Seizures; hasDataItemType:IRIDIDisutility;</t>
  </si>
  <si>
    <t>hasDescription:"Desutilidad anual asociada a crisis convulsivas en la deficiencia de biotinidasa."; hasExpectedValue:"-0.20"; hasSource:"Rowen D. et al. "Valuing epilepsy health states: a systematic review of the literature." Epilepsia. 2012;53(6):1030-1037.";</t>
  </si>
  <si>
    <t>Class 'IRIUtility' undefined; Class 'IRIDeterministicParameter' undefined; unsuitable source</t>
  </si>
  <si>
    <t>DPB_SpasticParaparesis_Disutility</t>
  </si>
  <si>
    <t>isParameterOfManifestation:DPB_Chronic_SpasticParaparesis; hasDataItemType:IRIDIDisutility;</t>
  </si>
  <si>
    <t>hasExpectedValue:"-0.12"; hasDescription:"Desutilidad anual asociada a paraparesia espástica crónica."; hasSource:"Assumption based on utility values for moderate lower limb impairment.";</t>
  </si>
  <si>
    <t>DPB_Onset_MetabolicAcidosis</t>
  </si>
  <si>
    <t>isParameterOfManifestation:DPB_Acute_MetabolicAcidosis;</t>
  </si>
  <si>
    <t>hasDescription:"Edad media de aparición de acidosis metabólica aguda: 2 meses (0.15 años)."; hasExpectedValue:"0.15"; hasUnit:"years"; hasSource:"Wolf B. Int J Neonatal Screen. 2022;8(2):28.";</t>
  </si>
  <si>
    <t>DPB_Onset_Seizures</t>
  </si>
  <si>
    <t>isParameterOfManifestation:DPB_Acute_Seizures;</t>
  </si>
  <si>
    <t>hasUnit:"years"; hasSource:"Wolf B. Int J Neonatal Screen. 2022;8(2):28."; hasExpectedValue:"0.15"; hasDescription:"Edad media de aparición de crisis convulsivas agudas en ausencia de tratamiento: 2 meses (0.15 años).";</t>
  </si>
  <si>
    <t>DPB_Onset_VisualImpairment</t>
  </si>
  <si>
    <t>isParameterOfManifestation:DPB_Chronic_VisualImpairment;</t>
  </si>
  <si>
    <t>hasUnit:"years"; hasSource:"Ophthalmic manifestations of biotinidase deficiency: report of a case and review of literature. PubMed 38234168 (2024)."; hasDescription:"Edad media de aparición de alteraciones visuales crónicas (atrofia óptica, pérdida visual): 6 años, rango 3-9 años."; hasExpectedValue:"6.0";</t>
  </si>
  <si>
    <t>DPB_Prob_Alopecia</t>
  </si>
  <si>
    <t>isParameterOfManifestation:DPB_Acute_Alopecia; hasDataItemType:IRIDIProbability;</t>
  </si>
  <si>
    <t>hasDescription:"Probabilidad de aparición de alopecia en la deficiencia total de biotinidasa sin tratamiento."; isTrueEpidemiologicalParameterEstimate:"true"; hasExpectedValue:"0.40"; hasSource:"Wolf B. Int J Neonatal Screen. 2022;8(2):28. doi:10.3390/ijns8020028";</t>
  </si>
  <si>
    <t>DPB_Prob_Dermatitis</t>
  </si>
  <si>
    <t>hasDataItemType:IRIDIProbability; isParameterOfManifestation:DPB_Acute_Dermatitis;</t>
  </si>
  <si>
    <t>isTrueEpidemiologicalParameterEstimate:"true"; hasExpectedValue:"0.55"; hasSource:"Wolf B. Int J Neonatal Screen. 2022;8(2):28. doi:10.3390/ijns8020028"; hasDescription:"Probabilidad de aparición de dermatitis en la deficiencia total de biotinidasa sin tratamiento.";</t>
  </si>
  <si>
    <t>DPB_Prob_DevelopmentalDelay</t>
  </si>
  <si>
    <t>hasDataItemType:IRIDIProbability; isParameterOfManifestation:DPB_Chronic_DevelopmentalDelay;</t>
  </si>
  <si>
    <t>hasSource:"Wolf B. Int J Neonatal Screen. 2022;8(2):28. doi:10.3390/ijns8020028"; hasExpectedValue:"0.50"; isTrueEpidemiologicalParameterEstimate:"true"; hasDescription:"Probabilidad de aparición de retraso global del desarrollo en la deficiencia total de biotinidasa sin tratamiento.";</t>
  </si>
  <si>
    <t>DPB_Prob_HearingLoss</t>
  </si>
  <si>
    <t>hasDataItemType:IRIDIProbability; isParameterOfManifestation:DPB_Chronic_HearingLoss;</t>
  </si>
  <si>
    <t>hasDescription:"Probabilidad de aparición de pérdida auditiva neurosensorial irreversible en la deficiencia total de biotinidasa sin tratamiento."; hasSource:"Wolf B. Int J Neonatal Screen. 2022;8(2):28. doi:10.3390/ijns8020028"; hasExpectedValue:"0.30"; isTrueEpidemiologicalParameterEstimate:"true";</t>
  </si>
  <si>
    <t>DPB_Prob_Hypotonia</t>
  </si>
  <si>
    <t>isParameterOfManifestation:DPB_Acute_Hypotonia; hasDataItemType:IRIDIProbability;</t>
  </si>
  <si>
    <t>hasExpectedValue:"0.60"; isTrueEpidemiologicalParameterEstimate:"true"; hasSource:"Wolf B. Int J Neonatal Screen. 2022;8(2):28. doi:10.3390/ijns8020028"; hasDescription:"Probabilidad de aparición de hipotonía en la deficiencia total de biotinidasa sin tratamiento.";</t>
  </si>
  <si>
    <t>DPB_Prob_MetabolicAcidosis</t>
  </si>
  <si>
    <t>hasDescription:"Probabilidad de aparición de acidosis metabólica en la deficiencia total de biotinidasa sin tratamiento."; isTrueEpidemiologicalParameterEstimate:"true"; hasSource:"Wolf B. Int J Neonatal Screen. 2022;8(2):28. doi:10.3390/ijns8020028"; hasExpectedValue:"0.30";</t>
  </si>
  <si>
    <t>DPB_Prob_Seizures</t>
  </si>
  <si>
    <t>hasDescription:"Probabilidad de aparición de crisis convulsivas en la deficiencia total de biotinidasa sin tratamiento."; hasSource:"Wolf B. Int J Neonatal Screen. 2022;8(2):28. doi:10.3390/ijns8020028"; hasExpectedValue:"0.70"; isTrueEpidemiologicalParameterEstimate:"true";</t>
  </si>
  <si>
    <t>DPBPartial_Prob_Alopecia</t>
  </si>
  <si>
    <t>hasSource:"Wolf B. Int J Neonatal Screen. 2022;8(2):28. PMID: 35631385; PMID: 2295967[3][6]"; hasExpectedValue:"0.01"; isTrueEpidemiologicalParameterEstimate:"true"; hasDescription:"Probabilidad de aparición de alopecia en la deficiencia parcial de biotinidasa sin tratamiento. Extremadamente infrecuente.";</t>
  </si>
  <si>
    <t>DPBPartial_Prob_Ataxia</t>
  </si>
  <si>
    <t>hasExpectedValue:"0.01"; hasDescription:"Probabilidad de aparición de ataxia en la deficiencia parcial de biotinidasa sin tratamiento. Muy rara."; isTrueEpidemiologicalParameterEstimate:"true"; hasSource:"Wolf B. Int J Neonatal Screen. 2022;8(2):28. PMID: 35631385; PMID: 2295967[3][6]";</t>
  </si>
  <si>
    <t>DPBPartial_Prob_Dermatitis</t>
  </si>
  <si>
    <t>isParameterOfManifestation:DPB_Acute_Dermatitis; hasDataItemType:IRIDIProbability;</t>
  </si>
  <si>
    <t>hasExpectedValue:"0.02"; hasDescription:"Probabilidad de aparición de dermatitis en la deficiencia parcial de biotinidasa sin tratamiento. Muy rara, generalmente leve."; isTrueEpidemiologicalParameterEstimate:"true"; hasSource:"Wolf B. Int J Neonatal Screen. 2022;8(2):28. PMID: 35631385; PMID: 2295967[3][6]";</t>
  </si>
  <si>
    <t>DPBPartial_Prob_DevelopmentalDelay</t>
  </si>
  <si>
    <t>isParameterOfManifestation:DPB_Chronic_DevelopmentalDelay; hasDataItemType:IRIDIProbability;</t>
  </si>
  <si>
    <t>hasSource:"Wolf B. Int J Neonatal Screen. 2022;8(2):28. PMID: 35631385; PMID: 2295967[3][6]"; hasDescription:"Probabilidad de aparición de retraso global del desarrollo en la deficiencia parcial de biotinidasa sin tratamiento. Muy rara."; hasExpectedValue:"0.01"; isTrueEpidemiologicalParameterEstimate:"true";</t>
  </si>
  <si>
    <t>DPB_Disease</t>
  </si>
  <si>
    <t>hasStage:DPB_Stage_Symptomatic; hasStage:DPB_Stage_Asymptomatic; hasStage:DPB_Stage_Sequelae;</t>
  </si>
  <si>
    <t>hasRefToORDO:"Orphanet:377"; hasDescription:"Deficiencia profunda de biotinidasa: trastorno metabólico hereditario que puede causar síntomas neurológicos y cutáneos graves si no se trata."; hasRefToOMIM:"253260"; hasRefToSNOMED:"190995004";</t>
  </si>
  <si>
    <t>DPB_Stage_Asymptomatic</t>
  </si>
  <si>
    <t>hasDescription:"Estadio asintomático: el paciente no presenta síntomas clínicos.";</t>
  </si>
  <si>
    <t>DPB_Stage_Sequelae</t>
  </si>
  <si>
    <t>hasManifestation:DPB_Manif_Ataxia; hasManifestation:DPB_Manif_VisualImpairment; hasManifestation:DPB_Manif_HearingLoss;</t>
  </si>
  <si>
    <t>hasDescription:"Estadio de secuelas: déficit neurológicos persistentes, discapacidad intelectual, pérdida auditiva o visual.";</t>
  </si>
  <si>
    <t>DPB_Stage_Symptomatic</t>
  </si>
  <si>
    <t>hasManifestation:DPB_Manif_Hypotonia; hasManifestation:DPB_Manif_DevelopmentalDelay; hasManifestation:DPB_Manif_Seizures; hasManifestation:DPB_Manif_MetabolicAcidosis; hasManifestation:DPB_Manif_SkinRash; hasManifestation:DPB_Manif_Alopecia;</t>
  </si>
  <si>
    <t>hasDescription:"Estadio sintomático: aparición de síntomas neurológicos y cutáneos agudos.";</t>
  </si>
  <si>
    <t>IRIDIBirthPrevalence</t>
  </si>
  <si>
    <t>No Class assigned; individual not required</t>
  </si>
  <si>
    <t>IRIDIDisutility</t>
  </si>
  <si>
    <t>IRIDIProbability</t>
  </si>
  <si>
    <t>UC1-F2-P1-S1-M2</t>
  </si>
  <si>
    <t>DBiot_Utility_Normalidad</t>
  </si>
  <si>
    <t>DeterministicParameter; Utility</t>
  </si>
  <si>
    <t>hasExpectedValue:"0.98"; hasDescription:"Utilidad asociada a individuos tratados precozmente (desarrollo normal)"; hasSource:"Supuesto basado en Weber 2004 y evidencia de cohortes sin secuelas";</t>
  </si>
  <si>
    <t>DBiot_Progression_SinTratamiento</t>
  </si>
  <si>
    <t>DiseaseProgression</t>
  </si>
  <si>
    <t>hasDescription:"Progresión rápida hacia manifestaciones neurológicas graves y daño irreversible (auditivo, visual, intelectual) en ausencia de tratamiento"; hasSource:"Möslinger et al., 2003; Weber et al., 2004; Couce et al., 2011";</t>
  </si>
  <si>
    <t>Unsuitable individual</t>
  </si>
  <si>
    <t>DBiot_Progression_TratamientoPrecoz</t>
  </si>
  <si>
    <t>hasDescription:"Desarrollo psicomotor normal, sin secuelas neurológicas, auditivas ni visuales si el tratamiento se inicia precozmente tras el cribado"; hasSource:"Möslinger et al., 2003; Weber et al., 2004; Couce et al., 2011";</t>
  </si>
  <si>
    <t>DBiot_Utility_AtrofiaOptica</t>
  </si>
  <si>
    <t>Utility; DeterministicParameter</t>
  </si>
  <si>
    <t>hasSource:"Torrance et al., 2014; aproximación estándar para ceguera bilateral"; hasExpectedValue:"-0.24"; hasDescription:"Disutilidad anual asociada a ceguera/atrofia óptica";</t>
  </si>
  <si>
    <t>DBiot_Utility_PerdidaAuditiva</t>
  </si>
  <si>
    <t>hasExpectedValue:"-0.21"; hasDescription:"Disutilidad anual asociada a pérdida auditiva neurosensorial grave"; hasSource:"Torrance et al., 2014; Genc et al., 2007; aproximación estándar para hipoacusia grave";</t>
  </si>
  <si>
    <t>DBiot_Utility_RetrasoDesarrollo</t>
  </si>
  <si>
    <t>hasSource:"Assumption; estándar en modelos económicos para retraso moderado"; hasDescription:"Disutilidad anual asociada a discapacidad intelectual moderada"; hasExpectedValue:"-0.36";</t>
  </si>
  <si>
    <t>DBiot_Enfermedad</t>
  </si>
  <si>
    <t>hasManifestation:DBiot_Manif_AtrofiaOptica; hasManifestation:DBiot_Manif_CrisisEpileptica; hasManifestation:DBiot_Manif_RashCutaneo; hasManifestation:DBiot_Manif_RetrasoDesarrollo; hasManifestation:DBiot_Manif_Dermatitis; hasManifestation:DBiot_Manif_Alopecia; hasManifestation:DBiot_Manif_AcidosisLactica; hasManifestation:DBiot_Manif_PerdidaAuditiva; hasManifestation:DBiot_Manif_Hipotonía; hasManifestation:DBiot_Manif_Ataxia; includedByModel:DBiot_ModeloES;</t>
  </si>
  <si>
    <t>hasDescription:"Deficiencia profunda de biotinidasa (actividad &lt;10%)";</t>
  </si>
  <si>
    <t>hasDiseaseCode:""OMIM#253260"^^xsd:string";</t>
  </si>
  <si>
    <t>DBiot_Manif_AcidosisLactica</t>
  </si>
  <si>
    <t>hasDescription:"Acidosis láctica y alteraciones metabólicas";</t>
  </si>
  <si>
    <t>DBiot_Manif_Alopecia</t>
  </si>
  <si>
    <t>hasDescription:"Alopecia parcial o total";</t>
  </si>
  <si>
    <t>DBiot_Manif_Ataxia</t>
  </si>
  <si>
    <t>hasDescription:"Ataxia";</t>
  </si>
  <si>
    <t>DBiot_Manif_AtrofiaOptica</t>
  </si>
  <si>
    <t>DBiot_Manif_CrisisEpileptica</t>
  </si>
  <si>
    <t>hasDescription:"Crisis epiléptica por deficiencia de biotinidasa";</t>
  </si>
  <si>
    <t>DBiot_Manif_Dermatitis</t>
  </si>
  <si>
    <t>hasDescription:"Dermatitis inespecífica";</t>
  </si>
  <si>
    <t>DBiot_Manif_Hipotonía</t>
  </si>
  <si>
    <t>hasDescription:"Hipotonía muscular generalizada";</t>
  </si>
  <si>
    <t>DBiot_Manif_PerdidaAuditiva</t>
  </si>
  <si>
    <t>DBiot_Manif_RashCutaneo</t>
  </si>
  <si>
    <t>hasDescription:"Rash cutáneo (eczema, dermatitis perioral, dermatitis seborreica)";</t>
  </si>
  <si>
    <t>DBiot_Manif_RetrasoDesarrollo</t>
  </si>
  <si>
    <t>hasDescription:"Retraso del desarrollo psicomotor y/o discapacidad intelectual";</t>
  </si>
  <si>
    <t>DBiot_ModeloES</t>
  </si>
  <si>
    <t>UC1-F2-P1-S2-M2</t>
  </si>
  <si>
    <t>BiotinidaseDeficiency</t>
  </si>
  <si>
    <t>hasDescription:"Deficiencia profunda de biotinidasa, un error congénito del metabolismo con manifestaciones neurológicas y cutáneas graves si no se trata a tiempo.";</t>
  </si>
  <si>
    <t>hasICD10Code:""E71.1"^^xsd:string";</t>
  </si>
  <si>
    <t>Btd_DevelopmentalDelay</t>
  </si>
  <si>
    <t>hasDescription:"Retraso en el desarrollo psicomotor debido a la deficiencia profunda de biotinidasa";</t>
  </si>
  <si>
    <t>isManifestationOf:"http://www.ull.es/iis/simulation/ontologies/disease-simulation#BiotinidaseDeficiency";</t>
  </si>
  <si>
    <t>Btd_HearingLoss</t>
  </si>
  <si>
    <t>hasDescription:"Pérdida auditiva neurosensorial irreversible secundaria a deficiencia profunda de biotinidasa no tratada.";</t>
  </si>
  <si>
    <t>BTD_Manif_DevelopmentalDelay_Utility</t>
  </si>
  <si>
    <t>hasDataItemType:DI_Disutility;</t>
  </si>
  <si>
    <t>hasYear:"2021"; hasDescription:"Disutilidad anual por retraso en el desarrollo psicomotor"; hasSource:"Kwon J, et al. Quality of Life Research. 2021."; hasExpectedValue:"0.12";</t>
  </si>
  <si>
    <t>BTD_Manif_HearingLoss_Utility</t>
  </si>
  <si>
    <t>hasDescription:"Disutilidad anual asociada a pérdida auditiva neurosensorial por deficiencia profunda de biotinidasa"; hasYear:"2001"; hasExpectedValue:"0.10"; hasSource:"Brown GC et al. Ophthalmology. 2001;108(11):2089-2092.";</t>
  </si>
  <si>
    <t>BTD_Manif_Seizures_Utility</t>
  </si>
  <si>
    <t>hasExpectedValue:"0.15"; hasYear:"1999"; hasSource:"Rahi JS, Dezateux C. BMJ. 1999;318:600–603."; hasDescription:"Disutilidad anual de convulsiones asociadas a deficiencia profunda de biotinidasa";</t>
  </si>
  <si>
    <t>Btd_Seizures</t>
  </si>
  <si>
    <t>hasDescription:"Convulsiones asociadas a deficiencia profunda de biotinidasa";</t>
  </si>
  <si>
    <t>Btd_SkinManifestations</t>
  </si>
  <si>
    <t>hasDescription:"Manifestaciones cutáneas graves (dermatitis, alopecia) asociadas a la deficiencia profunda de biotinidasa";</t>
  </si>
  <si>
    <t>ClinicalDetection_BTD</t>
  </si>
  <si>
    <t>hasDescription:"Diagnóstico clínico tras la aparición de manifestaciones indicativas de deficiencia profunda de biotinidasa.";</t>
  </si>
  <si>
    <t>NeonatalScreening_BTD</t>
  </si>
  <si>
    <t>hasDescription:"Cribado neonatal de la deficiencia profunda de biotinidasa mediante ensayo enzimático o fluorimétrico en sangre seca.";</t>
  </si>
  <si>
    <t>UC1-F2-P2-S1-M2</t>
  </si>
  <si>
    <t>Partial_BTD_Hypotonia_Prob</t>
  </si>
  <si>
    <t>hasManifestation:Profound_BTD_Acute_Hypotonia; isParameterOfDisease:Partial_Biotinidase_Deficiency; hasDataItemType:DI_Probability;</t>
  </si>
  <si>
    <t>hasSource:"Couce et al. 2011, Med Clin (Barc), 137(11):500–503"; hasExpectedValue:"0.001"; hasDescription:"Probabilidad de aparición de hipotonía en deficiencia parcial de biotinidasa. No descrita sistemáticamente en cohortes.";</t>
  </si>
  <si>
    <t>Partial_BTD_Seizures_Prob</t>
  </si>
  <si>
    <t>hasDataItemType:DI_Probability; hasManifestation:Profound_BTD_Acute_Seizures; isParameterOfDisease:Partial_Biotinidase_Deficiency;</t>
  </si>
  <si>
    <t>hasDescription:"Probabilidad de aparición de convulsiones en deficiencia parcial de biotinidasa. Manifestación extremadamente rara, descrita en situaciones de estrés metabólico."; hasSource:"Couce et al. 2011, Med Clin (Barc), 137(11):500–503"; hasExpectedValue:"0.01";</t>
  </si>
  <si>
    <t>Profound_BTD_Onset_Acute_Seizures</t>
  </si>
  <si>
    <t>hasDataItemType:DI_OnsetAge; hasManifestation:Profound_BTD_Acute_Seizures;</t>
  </si>
  <si>
    <t>hasDescription:"Edad típica de aparición de convulsiones agudas en la deficiencia profunda de biotinidasa sin tratamiento precoz"; hasSource:"Ye et al. 2009; Weber et al. 2004"; hasUnit:"meses"; hasRange:"1-9 meses"; hasExpectedValue:"4";</t>
  </si>
  <si>
    <t>Profound_BTD_Onset_Chronic_OpticAtrophy</t>
  </si>
  <si>
    <t>hasManifestation:Profound_BTD_Chronic_VisualImpairment; hasDataItemType:DI_OnsetAge;</t>
  </si>
  <si>
    <t>hasRange:"10-24 meses"; hasExpectedValue:"16"; hasDescription:"Edad media al diagnóstico de atrofia óptica/deterioro visual crónico"; hasUnit:"meses"; hasSource:"Weber et al. 2004; Couce et al. 2011";</t>
  </si>
  <si>
    <t>Profound_BTD_Seizures_Prob</t>
  </si>
  <si>
    <t>hasManifestation:Profound_BTD_Acute_Seizures; isParameterOfDisease:Profound_Biotinidase_Deficiency; hasDataItemType:DI_Probability;</t>
  </si>
  <si>
    <t>hasDescription:"Probabilidad de aparición de convulsiones agudas en deficiencia profunda de biotinidasa no tratada precozmente"; hasExpectedValue:"0.85"; hasSource:"Weber et al. 2004; Ye et al. 2009";</t>
  </si>
  <si>
    <t>Profound_BTD_U_Alopecia</t>
  </si>
  <si>
    <t>hasYear:"2024"; hasSource:"Utilidad estándar, bajo impacto en QALY"; appliesOneTime:"false"; hasExpectedValue:"0.97"; hasDescription:"Utilidad anual por alopecia reversible o persistente";</t>
  </si>
  <si>
    <t>Profound_BTD_U_Dermatitis</t>
  </si>
  <si>
    <t>hasExpectedValue:"0.93"; hasSource:"Utilidad estándar eczema pediátrico, EQ-5D"; hasYear:"2024"; appliesOneTime:"false"; hasDescription:"Utilidad anual por dermatitis aguda grave";</t>
  </si>
  <si>
    <t>Profound_BTD_U_HearingLoss</t>
  </si>
  <si>
    <t>hasDescription:"Utilidad anual hipoacusia neurosensorial bilateral permanente"; hasYear:"2024"; appliesOneTime:"false"; hasSource:"Tufts CEA Registry, Orphanet, utilidades pérdida auditiva infantil/adulta"; hasExpectedValue:"0.68";</t>
  </si>
  <si>
    <t>Profound_BTD_U_IntellectualDisability</t>
  </si>
  <si>
    <t>hasDescription:"Utilidad anual discapacidad intelectual crónica"; hasYear:"2024"; hasExpectedValue:"0.60"; hasSource:"NICE TA443, Tufts CEA Registry"; appliesOneTime:"false";</t>
  </si>
  <si>
    <t>Profound_BTD_U_MotorDisorder</t>
  </si>
  <si>
    <t>hasYear:"2024"; hasExpectedValue:"0.70"; hasSource:"NICE, utilidades parálisis/ataxia infantil/adulta"; hasDescription:"Utilidad anual por trastorno motor crónico (ataxia, paresia, espasticidad)"; appliesOneTime:"false";</t>
  </si>
  <si>
    <t>Profound_BTD_U_Seizures</t>
  </si>
  <si>
    <t>hasDescription:"Utilidad anual en paciente con convulsiones recurrentes"; hasSource:"NICE TA137, Orphanet epilepsia infantil, Tufts CEA Registry"; appliesOneTime:"false"; hasExpectedValue:"0.72"; hasYear:"2024";</t>
  </si>
  <si>
    <t>BTD_EnzymeAssay</t>
  </si>
  <si>
    <t>hasDescription:"Ensayo enzimático colorimétrico o fluorimétrico para cuantificar la actividad de la biotinidasa en sangre seca o suero."; hasName:"Ensayo enzimático de actividad biotinidasa";</t>
  </si>
  <si>
    <t>BTD_ClinicalDiagnosis</t>
  </si>
  <si>
    <t>usesHealthTechnology:BTD_EnzymeAssay;</t>
  </si>
  <si>
    <t>hasDescription:"Diagnóstico basado en la aparición de signos o síntomas indicativos y confirmación bioquímica/genética de deficiencia de biotinidasa."; hasName:"Diagnóstico clínico de la deficiencia de biotinidasa";</t>
  </si>
  <si>
    <t>Profound_Biotinidase_Deficiency</t>
  </si>
  <si>
    <t>hasManifestation:Profound_BTD_DevelopmentalDelay; hasManifestation:Profound_BTD_Alopecia; hasManifestation:Profound_BTD_OpticAtrophy; hasManifestation:Profound_BTD_HearingLoss; hasManifestation:Profound_BTD_Seizures; hasManifestation:Profound_BTD_Dermatitis;</t>
  </si>
  <si>
    <t>hasRefToOMIM:"253260"; hasDescription:"Enfermedad autosómica recesiva caracterizada por actividad enzimática &lt;10% y manifestaciones neurológicas y dermatológicas graves si no es tratada precozmente con biotina."; hasName:"Deficiencia profunda de biotinidasa";</t>
  </si>
  <si>
    <t>Partial_Biotinidase_Deficiency_BirthPrevalence</t>
  </si>
  <si>
    <t>isParameterOfDisease:Partial_Biotinidase_Deficiency;</t>
  </si>
  <si>
    <t>hasRange:"1:43,575"; hasUnit:"por recién nacido vivo"; hasExpectedValue:"0.000023"; hasName:"Prevalencia al nacimiento de la deficiencia parcial de biotinidasa"; hasYear:"2011"; hasSource:"Couce et al. 2011, Med Clin (Barc), 137(11):500–503"; hasDescription:"Prevalencia al nacimiento de casos con actividad enzimática 10-30% (deficiencia parcial)";</t>
  </si>
  <si>
    <t>Profound_Biotinidase_Deficiency_BirthPrevalence</t>
  </si>
  <si>
    <t>isParameterOfDisease:Profound_Biotinidase_Deficiency;</t>
  </si>
  <si>
    <t>hasYear:"2011"; hasRange:"1:87,500"; hasName:"Prevalencia al nacimiento de la deficiencia profunda de biotinidasa"; hasUnit:"por recién nacido vivo"; hasDescription:"Prevalencia al nacimiento de casos con actividad enzimática &lt;10% (deficiencia profunda)"; hasSource:"Couce et al. 2011, Med Clin (Barc), 137(11):500–503"; hasExpectedValue:"0.0000114";</t>
  </si>
  <si>
    <t>Partial_BTD_FollowUp</t>
  </si>
  <si>
    <t>hasComponent:Partial_BTD_FU_AnnualCheck;</t>
  </si>
  <si>
    <t>hasDescription:"Revisión clínica anual. Pruebas adicionales solo si aparecen síntomas o en situaciones de estrés metabólico."; hasName:"Seguimiento clínico en deficiencia parcial de biotinidasa";</t>
  </si>
  <si>
    <t>Profound_BTD_FollowUp</t>
  </si>
  <si>
    <t>hasComponent:Profound_BTD_FU_Biochemistry; hasComponent:Profound_BTD_FU_Ophthalmology; hasComponent:Profound_BTD_FU_Neurology; hasComponent:Profound_BTD_FU_Audiometry;</t>
  </si>
  <si>
    <t>hasName:"Seguimiento clínico en deficiencia profunda de biotinidasa"; hasDescription:"Seguimiento multidisciplinar: revisión clínica cada 6-12 meses, audiometría anual, valoración oftalmológica anual, monitorización bioquímica anual y ajuste de tratamiento con biotina.";</t>
  </si>
  <si>
    <t>ObjectProp 'hasComponent' used with non-groupable individuals</t>
  </si>
  <si>
    <t>Partial_BTD_FU_AnnualCheck</t>
  </si>
  <si>
    <t>FollowUpTest</t>
  </si>
  <si>
    <t>hasName:"Revisión clínica anual"; hasDescription:"Visita de seguimiento con revisión de síntomas, adherencia y crecimiento. No requiere pruebas especializadas salvo aparición de síntomas.";</t>
  </si>
  <si>
    <t>hasFrequency:""1 vez al año"^^xsd:string";</t>
  </si>
  <si>
    <t>Prop 'hasFrequency' is ObjectProp but in DataProperties</t>
  </si>
  <si>
    <t>Profound_BTD_FU_Audiometry</t>
  </si>
  <si>
    <t>hasName:"Audiometría"; hasDescription:"Audiometría tonal o potenciales evocados auditivos para monitorizar hipoacusia.";</t>
  </si>
  <si>
    <t>hasFrequency:""1 vez al año (más frecuente si se detecta hipoacusia)"^^xsd:string";</t>
  </si>
  <si>
    <t>Profound_BTD_FU_Biochemistry</t>
  </si>
  <si>
    <t>hasDescription:"Controles anuales de niveles de biotina, función hepática y renal."; hasName:"Monitorización bioquímica";</t>
  </si>
  <si>
    <t>Class 'FollowUpTest' undefined; Prop 'hasFrequency' is ObjectProp but in DataProperties</t>
  </si>
  <si>
    <t>Profound_BTD_FU_Neurology</t>
  </si>
  <si>
    <t>hasName:"Seguimiento neurológico"; hasDescription:"Valoración clínica neurológica y desarrollo psicomotor cada 6-12 meses; EEG si convulsiones.";</t>
  </si>
  <si>
    <t>hasFrequency:""1 vez cada 6-12 meses"^^xsd:string";</t>
  </si>
  <si>
    <t>Profound_BTD_FU_Ophthalmology</t>
  </si>
  <si>
    <t>hasDescription:"Revisión oftalmológica para detectar atrofia óptica o alteraciones visuales."; hasName:"Valoración oftalmológica";</t>
  </si>
  <si>
    <t>Profound_BTD_Acute_Acidosis</t>
  </si>
  <si>
    <t>hasDescription:"Descompensación metabólica aguda caracterizada por acidosis metabólica, frecuente durante infecciones intercurrentes o periodos de ayuno."; hasName:"Acidosis metabólica aguda";</t>
  </si>
  <si>
    <t>Profound_BTD_Acute_Alopecia</t>
  </si>
  <si>
    <t>hasName:"Alopecia aguda"; hasDescription:"Pérdida brusca de cabello y vello corporal, reversible en la mayoría de los casos si se inicia el tratamiento de forma precoz.";</t>
  </si>
  <si>
    <t>Profound_BTD_Acute_Ataxia</t>
  </si>
  <si>
    <t>hasName:"Ataxia aguda"; hasDescription:"Alteración aguda de la coordinación motora, inestabilidad al caminar, movimientos torpes o incoordinados.";</t>
  </si>
  <si>
    <t>Profound_BTD_Acute_Dermatitis</t>
  </si>
  <si>
    <t>hasDescription:"Erupción cutánea eccematosa aguda, lesiones periorales y/o eritema generalizado; suele aparecer en semanas tras el nacimiento si no se inicia tratamiento."; hasName:"Dermatitis aguda";</t>
  </si>
  <si>
    <t>Profound_BTD_Acute_FeedingDifficulties</t>
  </si>
  <si>
    <t>hasName:"Dificultad aguda de alimentación y vómitos"; hasDescription:"Dificultad para la succión o la alimentación, rechazo del alimento y vómitos, presentes de forma aguda en fases iniciales de la enfermedad.";</t>
  </si>
  <si>
    <t>Profound_BTD_Acute_Hypotonia</t>
  </si>
  <si>
    <t>hasDescription:"Disminución aguda del tono muscular, debilidad y letargia, a menudo presente en lactantes como una de las primeras manifestaciones neurológicas."; hasName:"Hipotonía aguda";</t>
  </si>
  <si>
    <t>Profound_BTD_Acute_Infections</t>
  </si>
  <si>
    <t>hasDescription:"Infecciones bacterianas o fúngicas agudas, especialmente a nivel cutáneo o mucoso, por alteración de barreras epiteliales."; hasName:"Infecciones agudas";</t>
  </si>
  <si>
    <t>Profound_BTD_Acute_LethargyComa</t>
  </si>
  <si>
    <t>hasName:"Letargia y coma"; hasDescription:"Episodios agudos de letargia, disminución del nivel de consciencia o coma, especialmente en el contexto de crisis metabólicas no tratadas.";</t>
  </si>
  <si>
    <t>Profound_BTD_Acute_Respiratory</t>
  </si>
  <si>
    <t>hasName:"Dificultad respiratoria aguda"; hasDescription:"Episodios agudos de apnea central, hiperventilación o dificultad respiratoria, potencialmente mortales en lactantes.";</t>
  </si>
  <si>
    <t>Profound_BTD_Acute_Seizures</t>
  </si>
  <si>
    <t>hasName:"Convulsiones agudas"; hasDescription:"Convulsiones de inicio súbito, generalmente resistentes a fármacos antiepilépticos convencionales en ausencia de tratamiento con biotina. Pueden progresar rápidamente a coma si no se tratan.";</t>
  </si>
  <si>
    <t>Profound_BTD_Alopecia</t>
  </si>
  <si>
    <t>hasDescription:"Alopecia total o parcial, reversible con tratamiento temprano.";</t>
  </si>
  <si>
    <t>Profound_BTD_Chronic_DevelopmentalDelay</t>
  </si>
  <si>
    <t>hasName:"Retraso psicomotor crónico"; hasDescription:"Retraso persistente del desarrollo psicomotor, con limitaciones en autonomía y funcionamiento diario.";</t>
  </si>
  <si>
    <t>Profound_BTD_Chronic_Epilepsy</t>
  </si>
  <si>
    <t>hasDescription:"Trastorno epiléptico persistente tras episodios convulsivos agudos, que puede requerir tratamiento antiepiléptico crónico incluso tras iniciar biotina."; hasName:"Epilepsia crónica";</t>
  </si>
  <si>
    <t>Profound_BTD_Chronic_FunctionalDependency</t>
  </si>
  <si>
    <t>hasName:"Dependencia funcional crónica"; hasDescription:"Necesidad de apoyo continuo para las actividades básicas de la vida diaria como consecuencia de secuelas neurológicas múltiples.";</t>
  </si>
  <si>
    <t>Profound_BTD_Chronic_HearingLoss</t>
  </si>
  <si>
    <t>hasName:"Hipoacusia neurosensorial permanente"; hasDescription:"Pérdida auditiva neurosensorial irreversible, una de las secuelas más frecuentes en pacientes no tratados precozmente.";</t>
  </si>
  <si>
    <t>Profound_BTD_Chronic_IntellectualDisability</t>
  </si>
  <si>
    <t>hasName:"Discapacidad intelectual crónica"; hasDescription:"Déficit cognitivo persistente y discapacidad intelectual secundaria a daño neurológico irreversible por deficiencia profunda de biotinidasa no tratada precozmente.";</t>
  </si>
  <si>
    <t>Profound_BTD_Chronic_MotorImpairment</t>
  </si>
  <si>
    <t>hasName:"Trastorno motor crónico"; hasDescription:"Alteraciones motoras persistentes como ataxia, espasticidad o debilidad, secundarias a daño neurológico estructural.";</t>
  </si>
  <si>
    <t>Profound_BTD_Chronic_SpeechDisorder</t>
  </si>
  <si>
    <t>hasName:"Trastorno crónico del lenguaje"; hasDescription:"Alteraciones persistentes del lenguaje y la comunicación asociadas a daño neurológico temprano.";</t>
  </si>
  <si>
    <t>Profound_BTD_Chronic_VisualImpairment</t>
  </si>
  <si>
    <t>hasDescription:"Pérdida visual permanente secundaria a atrofia óptica, no reversible pese al tratamiento tardío con biotina."; hasName:"Deterioro visual crónico por atrofia óptica";</t>
  </si>
  <si>
    <t>Profound_BTD_Dermatitis</t>
  </si>
  <si>
    <t>hasDescription:"Dermatitis eccematosa y erupciones cutáneas, a menudo periorales, que mejoran con biotina.";</t>
  </si>
  <si>
    <t>Profound_BTD_DevelopmentalDelay</t>
  </si>
  <si>
    <t>hasDescription:"Retraso global del desarrollo, deterioro progresivo si no tratado.";</t>
  </si>
  <si>
    <t>Profound_BTD_HearingLoss</t>
  </si>
  <si>
    <t>hasDescription:"Sordera neurosensorial, a menudo irreversible si la enfermedad no es detectada y tratada de forma precoz.";</t>
  </si>
  <si>
    <t>Profound_BTD_OpticAtrophy</t>
  </si>
  <si>
    <t>hasDescription:"Atrofia óptica con pérdida visual, asociada a daño irreversible en casos no tratados.";</t>
  </si>
  <si>
    <t>Profound_BTD_Seizures</t>
  </si>
  <si>
    <t>hasDescription:"Convulsiones recurrentes, a menudo resistentes a anticonvulsivantes hasta tratamiento con biotina.";</t>
  </si>
  <si>
    <t>Partial_BTD_Dermatitis_Prob</t>
  </si>
  <si>
    <t>hasManifestation:Profound_BTD_Acute_Dermatitis; hasDataItemType:DI_Probability; isParameterOfDisease:Partial_Biotinidase_Deficiency;</t>
  </si>
  <si>
    <t>hasDescription:"Probabilidad de aparición de dermatitis aguda en deficiencia parcial de biotinidasa. Casos descritos son excepcionales."; hasSource:"Couce et al. 2011, Med Clin (Barc), 137(11):500–503"; hasExpectedValue:"0.01";</t>
  </si>
  <si>
    <t>Partial_BTD_HearingLoss_Prob</t>
  </si>
  <si>
    <t>hasManifestation:Profound_BTD_Chronic_HearingLoss; isParameterOfDisease:Partial_Biotinidase_Deficiency; hasDataItemType:DI_Probability;</t>
  </si>
  <si>
    <t>hasDescription:"Probabilidad de aparición de hipoacusia neurosensorial crónica en deficiencia parcial de biotinidasa. No descrita en cohortes europeas."; hasExpectedValue:"0.001"; hasSource:"Couce et al. 2011, Med Clin (Barc), 137(11):500–503";</t>
  </si>
  <si>
    <t>Profound_BTD_HearingLoss_Prob</t>
  </si>
  <si>
    <t>hasManifestation:Profound_BTD_Chronic_HearingLoss; hasDataItemType:DI_Probability; isParameterOfDisease:Profound_Biotinidase_Deficiency;</t>
  </si>
  <si>
    <t>hasDescription:"Probabilidad de hipoacusia neurosensorial crónica en deficiencia profunda de biotinidasa no tratada precozmente"; hasSource:"Genc et al. 2007; Weber et al. 2004"; hasExpectedValue:"0.55";</t>
  </si>
  <si>
    <t>Profound_BTD_Hypotonia_Prob</t>
  </si>
  <si>
    <t>hasManifestation:Profound_BTD_Acute_Hypotonia; isParameterOfDisease:Profound_Biotinidase_Deficiency; hasDataItemType:DI_Probability;</t>
  </si>
  <si>
    <t>hasExpectedValue:"0.7"; hasSource:"Weber et al. 2004; Ye et al. 2009"; hasDescription:"Probabilidad de aparición de hipotonía aguda en deficiencia profunda de biotinidasa no tratada precozmente";</t>
  </si>
  <si>
    <t>Profound_BTD_Onset_Acute_Dermatitis</t>
  </si>
  <si>
    <t>hasDataItemType:DI_OnsetAge; hasManifestation:Profound_BTD_Acute_Dermatitis;</t>
  </si>
  <si>
    <t>hasDescription:"Edad típica de aparición de dermatitis/erupción cutánea aguda"; hasUnit:"meses"; hasExpectedValue:"5"; hasRange:"2-8 meses"; hasSource:"Ye et al. 2009; Couce et al. 2011";</t>
  </si>
  <si>
    <t>Profound_BTD_Onset_Acute_Hypotonia</t>
  </si>
  <si>
    <t>hasManifestation:Profound_BTD_Acute_Hypotonia; hasDataItemType:DI_OnsetAge;</t>
  </si>
  <si>
    <t>hasUnit:"meses"; hasExpectedValue:"4"; hasSource:"Ye et al. 2009; Couce et al. 2011"; hasDescription:"Edad típica de aparición de hipotonía aguda"; hasRange:"2-7 meses";</t>
  </si>
  <si>
    <t>Profound_BTD_Onset_Chronic_HearingLoss</t>
  </si>
  <si>
    <t>hasDataItemType:DI_OnsetAge; hasManifestation:Profound_BTD_Chronic_HearingLoss;</t>
  </si>
  <si>
    <t>hasRange:"8-24 meses"; hasSource:"Genc et al. 2007; Weber et al. 2004"; hasUnit:"meses"; hasDescription:"Edad media al diagnóstico de hipoacusia neurosensorial permanente (secuelas crónicas tras episodio agudo)"; hasExpectedValue:"14";</t>
  </si>
  <si>
    <t>Profound_BTD_OpticAtrophy_Prob</t>
  </si>
  <si>
    <t>isParameterOfDisease:Profound_Biotinidase_Deficiency; hasDataItemType:DI_Probability; hasManifestation:Profound_BTD_Chronic_VisualImpairment;</t>
  </si>
  <si>
    <t>hasExpectedValue:"0.35"; hasSource:"Weber et al. 2004; Ye et al. 2009"; hasDescription:"Probabilidad de atrofia óptica y deterioro visual crónico en deficiencia profunda de biotinidasa no tratada precozmente";</t>
  </si>
  <si>
    <t>BTD_NeonatalScreening</t>
  </si>
  <si>
    <t>hasDescription:"Medición de la actividad biotinidasa en sangre seca de recién nacidos utilizando ensayo enzimático colorimétrico o fluorimétrico semicuantitativo para detectar deficiencia antes del inicio de síntomas."; hasName:"Cribado neonatal de la deficiencia de biotinidasa";</t>
  </si>
  <si>
    <t>BTD_BiotinTreatment</t>
  </si>
  <si>
    <t>Treatment</t>
  </si>
  <si>
    <t>hasName:"Tratamiento farmacológico con biotina"; hasDescription:"Administración oral de dosis farmacológicas de biotina (5–20 mg/día) en pacientes diagnosticados de deficiencia de biotinidasa, iniciada precozmente o tras el diagnóstico clínico.";</t>
  </si>
  <si>
    <t>BTD_Tx_Biotin_Crisis</t>
  </si>
  <si>
    <t>hasSource:"Couce et al. 2011; Weber et al. 2004"; hasName:"Tratamiento de rescate con biotina"; hasDescription:"Administración de dosis altas de biotina (15–30 mg/día) como intervención de rescate ante crisis metabólica aguda, convulsiones, acidosis, etc.";</t>
  </si>
  <si>
    <t>hasRoute:""Oral o por sonda nasogástrica"^^xsd:string"; hasLineOfTherapy:""Rescate ante síntomas agudos, posterior ajuste a dosis de mantenimiento"^^xsd:string"; hasDose:""15–30 mg/día"^^xsd:string";</t>
  </si>
  <si>
    <t>Annotation 'hasRoute' undefined. Object properties treated as data properties</t>
  </si>
  <si>
    <t>Partial_BTD_Tx_Biotin</t>
  </si>
  <si>
    <t>hasSource:"Couce et al. 2011; Wolf 2012; consensos internacionales"; hasDescription:"Administración de biotina a dosis bajas (5 mg/semana) o en periodos de estrés metabólico, indicada en pacientes con actividad enzimática 10–30% (deficiencia parcial). Puede aumentarse la dosis ante aparición de síntomas."; hasName:"Tratamiento profiláctico con biotina en deficiencia parcial de biotinidasa";</t>
  </si>
  <si>
    <t>hasLineOfTherapy:""Profilaxis primaria; ajuste a dosis superiores si hay síntomas"^^xsd:string"; hasDose:""5 mg/semana o 5 mg/día durante infecciones/estrés"^^xsd:string"; hasRoute:""Oral"^^xsd:string";</t>
  </si>
  <si>
    <t>Profound_BTD_Tx_Biotin</t>
  </si>
  <si>
    <t>hasName:"Tratamiento continuo con biotina en deficiencia profunda de biotinidasa"; hasDescription:"Administración oral diaria de biotina (10–20 mg/día, de por vida), indicada en pacientes con actividad enzimática &lt;10% (deficiencia profunda), para prevenir o revertir manifestaciones agudas y prevenir secuelas crónicas."; hasSource:"Couce et al. 2011; Weber et al. 2004; Wolf 2012";</t>
  </si>
  <si>
    <t>hasRoute:""Oral"^^xsd:string"; hasLineOfTherapy:""Primera línea, tratamiento de por vida"^^xsd:string"; hasDose:""10–20 mg/día"^^xsd:string";</t>
  </si>
  <si>
    <t>Profound_BTD_U_Acidosis</t>
  </si>
  <si>
    <t>appliesOneTime:"false"; hasExpectedValue:"0.70"; hasYear:"2024"; hasSource:"Modelos de acidemias orgánicas, NICE"; hasDescription:"Utilidad anual por episodios de acidosis metabólica descompensada";</t>
  </si>
  <si>
    <t>Profound_BTD_U_Asymptomatic</t>
  </si>
  <si>
    <t>appliesOneTime:"false"; hasSource:"EQ-5D, población general pediátrica"; hasExpectedValue:"1.00"; hasDescription:"Utilidad anual estado asintomático (sin síntomas ni secuelas)"; hasYear:"2024";</t>
  </si>
  <si>
    <t>Profound_BTD_U_FunctionalDependency</t>
  </si>
  <si>
    <t>hasExpectedValue:"0.55"; hasYear:"2024"; hasDescription:"Utilidad anual en dependencia funcional severa por secuelas múltiples"; hasSource:"NICE, Orphanet, modelos discapacidad severa"; appliesOneTime:"false";</t>
  </si>
  <si>
    <t>Profound_BTD_U_OpticAtrophy</t>
  </si>
  <si>
    <t>appliesOneTime:"false"; hasDescription:"Utilidad anual deterioro visual grave o ceguera"; hasSource:"Orphanet, EQ-5D ceguera infantil/adulta"; hasExpectedValue:"0.55"; hasYear:"2024";</t>
  </si>
  <si>
    <t>DI_OnsetAge</t>
  </si>
  <si>
    <t>Partial_Biotinidase_Deficiency</t>
  </si>
  <si>
    <t>UC1-F2-P2-S2-M2</t>
  </si>
  <si>
    <t>DBTD_Manif_Acute_Acidosis</t>
  </si>
  <si>
    <t>hasName:"Acidosis metabólica"; hasDescription:"Acidosis metabólica secundaria a la acumulación de ácidos orgánicos en el contexto de deficiencia profunda de biotinidasa.";</t>
  </si>
  <si>
    <t>isManifestationOf:"http://www.ull.es/iis/simulation/ontologies/disease-simulation#DBTD_Disease";</t>
  </si>
  <si>
    <t>Obj property 'isManifestationOf' used as data property</t>
  </si>
  <si>
    <t>DBTD_Manif_Acute_Alopecia</t>
  </si>
  <si>
    <t>hasName:"Alopecia"; hasDescription:"Pérdida aguda de cabello en el contexto de deficiencia profunda de biotinidasa no tratada.";</t>
  </si>
  <si>
    <t>DBTD_Manif_Acute_Hypotonia</t>
  </si>
  <si>
    <t>hasDescription:"Hipotonía marcada y letargia (encefalopatía) en el contexto de deficiencia profunda de biotinidasa no tratada."; hasName:"Hipotonía y letargia";</t>
  </si>
  <si>
    <t>DBTD_Manif_Acute_Rash</t>
  </si>
  <si>
    <t>hasName:"Erupción cutánea"; hasDescription:"Erupción cutánea tipo eccema seborreico, periorificial o descamativa, frecuente en lactantes con deficiencia profunda de biotinidasa.";</t>
  </si>
  <si>
    <t>DBTD_Manif_Acute_Resp</t>
  </si>
  <si>
    <t>hasDescription:"Apnea, hiperventilación o dificultad respiratoria aguda en recién nacidos con deficiencia profunda de biotinidasa no tratada."; hasName:"Dificultad respiratoria";</t>
  </si>
  <si>
    <t>DBTD_Manif_Acute_Seizures</t>
  </si>
  <si>
    <t>hasDescription:"Episodios de convulsiones generalizadas en lactantes con deficiencia profunda de biotinidasa sin tratamiento."; hasName:"Convulsiones";</t>
  </si>
  <si>
    <t>DBTD_Manif_Acute_Vomiting</t>
  </si>
  <si>
    <t>hasDescription:"Vómitos recurrentes en lactantes con deficiencia profunda de biotinidasa."; hasName:"Vómitos";</t>
  </si>
  <si>
    <t>DBTD_Manif_Chronic_Ataxia</t>
  </si>
  <si>
    <t>hasDescription:"Problemas motores persistentes como ataxia, espasticidad o debilidad muscular tras episodios agudos de DBTD."; hasName:"Ataxia y espasticidad";</t>
  </si>
  <si>
    <t>DBTD_Manif_Chronic_Behavioral</t>
  </si>
  <si>
    <t>hasName:"Trastornos del comportamiento"; hasDescription:"Problemas de conducta y trastornos del comportamiento que pueden aparecer como secuelas en niños con DBTD no tratada.";</t>
  </si>
  <si>
    <t>DBTD_Manif_Chronic_Cutaneous</t>
  </si>
  <si>
    <t>hasName:"Alteraciones cutáneas crónicas"; hasDescription:"Manifestaciones cutáneas persistentes (dermatitis, descamación, infecciones cutáneas recurrentes) como secuela de la DBTD.";</t>
  </si>
  <si>
    <t>DBTD_Manif_Chronic_Epilepsy</t>
  </si>
  <si>
    <t>hasDescription:"Crisis epilépticas recurrentes de difícil control, presentes incluso tras la instauración tardía de tratamiento en algunos pacientes con DBTD."; hasName:"Epilepsia persistente";</t>
  </si>
  <si>
    <t>DBTD_Manif_Chronic_HearingLoss</t>
  </si>
  <si>
    <t>hasName:"Sordera neurosensorial"; hasDescription:"Pérdida auditiva neurosensorial irreversible, una de las secuelas más características y graves de la deficiencia profunda de biotinidasa sin tratamiento precoz.";</t>
  </si>
  <si>
    <t>DBTD_Manif_Chronic_NeurodevDelay</t>
  </si>
  <si>
    <t>hasName:"Retraso del desarrollo psicomotor"; hasDescription:"Retraso global del desarrollo psicomotor, que puede progresar a discapacidad intelectual, presente en pacientes con deficiencia profunda de biotinidasa no tratada.";</t>
  </si>
  <si>
    <t>DBTD_Manif_Chronic_VisualLoss</t>
  </si>
  <si>
    <t>hasName:"Pérdida visual (atrofia óptica)"; hasDescription:"Pérdida de visión irreversible secundaria a atrofia o neuropatía óptica en pacientes con deficiencia profunda de biotinidasa no tratados.";</t>
  </si>
  <si>
    <t>DBTD_Interv_ClinicalDx</t>
  </si>
  <si>
    <t>ClinicalDetection; Intervention</t>
  </si>
  <si>
    <t>hasDescription:"Detección de la deficiencia de biotinidasa mediante la identificación clínica tras aparición de manifestaciones clínicas características."; hasSource:"Wolf B. Genet Med. 2017; Martínez-Morillo E. JIMD Rep. 2018"; hasName:"Diagnóstico clínico por signos/síntomas";</t>
  </si>
  <si>
    <t>hasStartAge:""1.0"^^xsd:double"; hasEndAge:""60.0"^^xsd:double"; targetsDisease:"http://www.ull.es/iis/simulation/ontologies/disease-simulation#DBTD_Disease";</t>
  </si>
  <si>
    <t>Class 'ClinicalDetection' undefined</t>
  </si>
  <si>
    <t>DBTD_Partial_Prob_Acute_Alopecia</t>
  </si>
  <si>
    <t>isParameterOfManifestation:DBTD_Manif_Acute_Alopecia; hasDataItemType:DI_Probability;</t>
  </si>
  <si>
    <t>hasSource:"Wolf B., Genet Med. 2017; Couce ML, Int J Neonatal Screen. 2021; Martínez-Morillo E., JIMD Rep. 2018"; hasYear:"2017"; hasDescription:"Probabilidad de alopecia en la deficiencia parcial de biotinidasa."; hasExpectedValue:"0.01";</t>
  </si>
  <si>
    <t>DBTD_Partial_Prob_Acute_Vomiting</t>
  </si>
  <si>
    <t>isParameterOfManifestation:DBTD_Manif_Acute_Vomiting; hasDataItemType:DI_Probability;</t>
  </si>
  <si>
    <t>hasDescription:"Probabilidad de vómitos recurrentes en la deficiencia parcial de biotinidasa."; hasSource:"Wolf B., Genet Med. 2017; Couce ML, Int J Neonatal Screen. 2021; Martínez-Morillo E., JIMD Rep. 2018"; hasYear:"2017"; hasExpectedValue:"0.01";</t>
  </si>
  <si>
    <t>DBTD_Partial_Prob_Chronic_Ataxia</t>
  </si>
  <si>
    <t>hasDataItemType:DI_Probability; isParameterOfManifestation:DBTD_Manif_Chronic_Ataxia;</t>
  </si>
  <si>
    <t>hasDescription:"Probabilidad de ataxia/espasticidad en la deficiencia parcial de biotinidasa."; hasExpectedValue:"0.005"; hasSource:"Wolf B., Genet Med. 2017; Couce ML, Int J Neonatal Screen. 2021; Martínez-Morillo E., JIMD Rep. 2018"; hasYear:"2017";</t>
  </si>
  <si>
    <t>DBTD_Partial_Prob_Chronic_Behavioral</t>
  </si>
  <si>
    <t>hasDataItemType:DI_Probability; isParameterOfManifestation:DBTD_Manif_Chronic_Behavioral;</t>
  </si>
  <si>
    <t>hasExpectedValue:"0.001"; hasDescription:"Probabilidad de trastornos del comportamiento en la deficiencia parcial de biotinidasa."; hasYear:"2017"; hasSource:"Wolf B., Genet Med. 2017; Couce ML, Int J Neonatal Screen. 2021; Martínez-Morillo E., JIMD Rep. 2018";</t>
  </si>
  <si>
    <t>DBTD_Partial_Prob_Chronic_HearingLoss</t>
  </si>
  <si>
    <t>isParameterOfManifestation:DBTD_Manif_Chronic_HearingLoss; hasDataItemType:DI_Probability;</t>
  </si>
  <si>
    <t>hasSource:"Wolf B., Genet Med. 2017; Couce ML, Int J Neonatal Screen. 2021; Martínez-Morillo E., JIMD Rep. 2018"; hasDescription:"Probabilidad de sordera neurosensorial en la deficiencia parcial de biotinidasa."; hasYear:"2017"; hasExpectedValue:"0.01";</t>
  </si>
  <si>
    <t>DBTD_Partial_Prob_Chronic_VisualLoss</t>
  </si>
  <si>
    <t>hasDataItemType:DI_Probability; isParameterOfManifestation:DBTD_Manif_Chronic_VisualLoss;</t>
  </si>
  <si>
    <t>hasYear:"2017"; hasSource:"Wolf B., Genet Med. 2017; Couce ML, Int J Neonatal Screen. 2021; Martínez-Morillo E., JIMD Rep. 2018"; hasExpectedValue:"0.005"; hasDescription:"Probabilidad de pérdida visual (atrofia óptica) en la deficiencia parcial de biotinidasa.";</t>
  </si>
  <si>
    <t>DBTD_Prob_Acute_Rash</t>
  </si>
  <si>
    <t>hasDataItemType:DI_Probability; isParameterOfManifestation:DBTD_Manif_Acute_Rash;</t>
  </si>
  <si>
    <t>hasExpectedValue:"0.8"; hasDescription:"Probabilidad de erupción cutánea aguda en la deficiencia profunda de biotinidasa sin tratamiento."; hasYear:"2017"; hasSource:"Wolf B., Genet Med. 2017; Martínez-Morillo E., JIMD Rep. 2018";</t>
  </si>
  <si>
    <t>DBTD_Prob_Chronic_Ataxia</t>
  </si>
  <si>
    <t>hasSource:"Wolf B., Genet Med. 2017; Martínez-Morillo E., JIMD Rep. 2018"; hasDescription:"Probabilidad de ataxia/espasticidad crónica en la deficiencia profunda de biotinidasa no tratada."; hasYear:"2017"; hasExpectedValue:"0.2";</t>
  </si>
  <si>
    <t>DBTD_Prob_Chronic_Behavioral</t>
  </si>
  <si>
    <t>hasExpectedValue:"0.1"; hasSource:"Wolf B., Genet Med. 2017; Martínez-Morillo E., JIMD Rep. 2018"; hasDescription:"Probabilidad de trastornos del comportamiento en la deficiencia profunda de biotinidasa no tratada."; hasYear:"2017";</t>
  </si>
  <si>
    <t>DBTD_Prob_Chronic_Cutaneous</t>
  </si>
  <si>
    <t>isParameterOfManifestation:DBTD_Manif_Chronic_Cutaneous; hasDataItemType:DI_Probability;</t>
  </si>
  <si>
    <t>hasExpectedValue:"0.3"; hasYear:"2017"; hasSource:"Wolf B., Genet Med. 2017; Martínez-Morillo E., JIMD Rep. 2018"; hasDescription:"Probabilidad de alteraciones cutáneas crónicas en la deficiencia profunda de biotinidasa no tratada.";</t>
  </si>
  <si>
    <t>DBTD_Prob_Chronic_HearingLoss</t>
  </si>
  <si>
    <t>hasExpectedValue:"0.5"; hasDescription:"Probabilidad de sordera neurosensorial irreversible en la deficiencia profunda de biotinidasa no tratada."; hasYear:"2017"; hasSource:"Wolf B., Genet Med. 2017; Martínez-Morillo E., JIMD Rep. 2018";</t>
  </si>
  <si>
    <t>DBTD_Prob_Chronic_NeurodevDelay</t>
  </si>
  <si>
    <t>isParameterOfManifestation:DBTD_Manif_Chronic_NeurodevDelay; hasDataItemType:DI_Probability;</t>
  </si>
  <si>
    <t>hasSource:"Wolf B., Genet Med. 2017; Martínez-Morillo E., JIMD Rep. 2018"; hasDescription:"Probabilidad de retraso del desarrollo psicomotor en la deficiencia profunda de biotinidasa no tratada."; hasYear:"2017"; hasExpectedValue:"0.8";</t>
  </si>
  <si>
    <t>DBTD_Prob_Chronic_VisualLoss</t>
  </si>
  <si>
    <t>isParameterOfManifestation:DBTD_Manif_Chronic_VisualLoss; hasDataItemType:DI_Probability;</t>
  </si>
  <si>
    <t>hasDescription:"Probabilidad de pérdida visual irreversible (atrofia óptica) en la deficiencia profunda de biotinidasa no tratada."; hasSource:"Wolf B., Genet Med. 2017; Martínez-Morillo E., JIMD Rep. 2018"; hasExpectedValue:"0.25"; hasYear:"2017";</t>
  </si>
  <si>
    <t>DBTD_TTO_Acute_Rash</t>
  </si>
  <si>
    <t>DeterministicParameter; Parameter; TimeToOnset</t>
  </si>
  <si>
    <t>isParameterOfManifestation:DBTD_Manif_Acute_Rash; hasDataItemType:DI_TimeToOnset;</t>
  </si>
  <si>
    <t>hasExpectedValue:"2.5"; hasDescription:"Tiempo medio hasta la aparición de erupción cutánea aguda (meses)"; hasYear:"2017"; hasSource:"Wolf B. Genet Med 2017";</t>
  </si>
  <si>
    <t>hasRangeMinValue:""0.25"^^xsd:double"; hasRangeMaxValue:""24.0"^^xsd:double";</t>
  </si>
  <si>
    <t>Class 'TimeToOnset' undefined</t>
  </si>
  <si>
    <t>DBTD_TTO_Acute_Acidosis</t>
  </si>
  <si>
    <t>DeterministicParameter; TimeToOnset; Parameter</t>
  </si>
  <si>
    <t>hasDataItemType:DI_TimeToOnset; isParameterOfManifestation:DBTD_Manif_Acute_Acidosis;</t>
  </si>
  <si>
    <t>hasYear:"2017"; hasSource:"Wolf B. Genet Med 2017"; hasDescription:"Tiempo medio hasta la aparición de acidosis metabólica aguda (meses)"; hasExpectedValue:"2.0";</t>
  </si>
  <si>
    <t>hasRangeMaxValue:""24.0"^^xsd:double"; hasRangeMinValue:""0.25"^^xsd:double";</t>
  </si>
  <si>
    <t>DBTD_TTO_Acute_Seizures</t>
  </si>
  <si>
    <t>hasDataItemType:DI_TimeToOnset; isParameterOfManifestation:DBTD_Manif_Acute_Seizures;</t>
  </si>
  <si>
    <t>hasYear:"2018"; hasDescription:"Tiempo medio hasta la aparición de convulsiones agudas en deficiencia profunda de biotinidasa (meses)"; hasSource:"Wolf B. Genet Med 2017; Martínez-Morillo et al. JIMD Rep 2018"; hasExpectedValue:"3.0";</t>
  </si>
  <si>
    <t>DBTD_TTO_Acute_Vomiting</t>
  </si>
  <si>
    <t>hasDataItemType:DI_TimeToOnset; isParameterOfManifestation:DBTD_Manif_Acute_Vomiting;</t>
  </si>
  <si>
    <t>hasYear:"2018"; hasExpectedValue:"2.0"; hasDescription:"Tiempo medio hasta la aparición de vómitos recurrentes (meses)"; hasSource:"Martínez-Morillo et al. JIMD Rep 2018";</t>
  </si>
  <si>
    <t>DBTD_Manif_Acute_Seizures_U</t>
  </si>
  <si>
    <t>hasDataItemType:DI_Utility;</t>
  </si>
  <si>
    <t>appliesOneTime:"false"; hasExpectedValue:"0.6"; hasSource:"Kwon et al. PharmacoEconomics 2019; Grosse et al. Value Health 2022; assumption"; hasYear:"2022"; hasDescription:"Utilidad anual asociada a convulsiones agudas en deficiencia de biotinidasa";</t>
  </si>
  <si>
    <t>DBTD_Manif_Chronic_NeurodevDelay_DU</t>
  </si>
  <si>
    <t>hasDescription:"Desutilidad anual asociada a retraso del desarrollo psicomotor por deficiencia de biotinidasa"; hasExpectedValue:"0.5"; hasSource:"Derived as 1 − utility; assumption"; hasYear:"2022"; appliesOneTime:"false";</t>
  </si>
  <si>
    <t>DBTD_Disease</t>
  </si>
  <si>
    <t>hasDescription:"Enfermedad metabólica hereditaria causada por mutaciones en el gen BTD, que lleva a deficiencia grave de la actividad biotinidasa (&lt;10% de lo normal), con manifestaciones neurológicas y cutáneas graves si no se trata precozmente."; hasName:"Deficiencia profunda de biotinidasa";</t>
  </si>
  <si>
    <t>hasOMIM:""253260"^^xsd:string";</t>
  </si>
  <si>
    <t>Annotation 'hasOMIM' undefined</t>
  </si>
  <si>
    <t>DBTD_Stage_Acute</t>
  </si>
  <si>
    <t>hasDescription:"Convulsiones, hipotonía, letargia, encefalopatía, dificultad respiratoria, acidosis metabólica, erupción cutánea, alopecia, vómitos."; hasName:"Manifestaciones agudas";</t>
  </si>
  <si>
    <t>isStageOf:"http://www.ull.es/iis/simulation/ontologies/disease-simulation#DBTD_Disease";</t>
  </si>
  <si>
    <t>Class 'DiseaseStage' undefined</t>
  </si>
  <si>
    <t>DBTD_Stage_Chronic</t>
  </si>
  <si>
    <t>hasDescription:"Retraso en el desarrollo psicomotor, sordera neurosensorial irreversible, pérdida visual por atrofia óptica, discapacidad intelectual, alteraciones dermatológicas persistentes."; hasName:"Manifestaciones crónicas";</t>
  </si>
  <si>
    <t>DBTD_Stage_Death</t>
  </si>
  <si>
    <t>hasDescription:"Muerte secundaria a complicaciones agudas no tratadas o a secuelas neurológicas irreversibles."; hasName:"Muerte";</t>
  </si>
  <si>
    <t>DBTD_BirthPrevalence_Param</t>
  </si>
  <si>
    <t>EpidemiologicalParameter; DeterministicParameter</t>
  </si>
  <si>
    <t>hasDataItemType:DI_BirthPrevalence; isParameterOfDisease:DBTD_Disease;</t>
  </si>
  <si>
    <t>hasDescription:"Prevalencia al nacimiento de la deficiencia profunda de biotinidasa (forma grave, actividad &lt;10%) en España"; isTrueEpidemiologicalParameterEstimate:"true"; hasExpectedValue:"1.3E-5"; hasSource:"Martínez-Morillo et al., JIMD Rep. 2018; 39:31-36; Couce et al., Int J Neonatal Screen. 2021;7(3):59"; hasYear:"2021";</t>
  </si>
  <si>
    <t>DBTD_FollowUp_Profound</t>
  </si>
  <si>
    <t>FollowUpStrategy; MonitoringIntervention</t>
  </si>
  <si>
    <t>hasSource:"Wolf B. Genet Med. 2017; Couce ML. Int J Neonatal Screen. 2021; CatSalut Protocolo seguimiento BTD 2022"; hasName:"Seguimiento clínico-multidisciplinar en deficiencia profunda de biotinidasa"; hasDescription:"Evaluación clínica, neurológica, auditiva, oftalmológica y bioquímica periódica para prevenir o identificar secuelas y controlar la adherencia al tratamiento con biotina. Frecuencia: cada 3-6 meses hasta los 2 años, luego anual.";</t>
  </si>
  <si>
    <t>includesNeurologicalAssessment:""true"^^xsd:boolean"; targetsDisease:"http://www.ull.es/iis/simulation/ontologies/disease-simulation#DBTD_Disease"; includesBiochemicalAssessment:""true"^^xsd:boolean"; hasFrequency:""Cada 3-6 meses hasta los 2 años, luego anual"^^xsd:string"; includesOphthalmologicalAssessment:""true"^^xsd:boolean"; includesTreatmentAdherenceAssessment:""true"^^xsd:boolean"; includesAudiologicalAssessment:""true"^^xsd:boolean"; includesClinicalAssessment:""true"^^xsd:boolean";</t>
  </si>
  <si>
    <t>Class 'MonitoringIntervention' undefined; should not be an intervention</t>
  </si>
  <si>
    <t>DBTD_Interv_ConfirmatoryTest</t>
  </si>
  <si>
    <t>Intervention; DiagnosticTest</t>
  </si>
  <si>
    <t>hasSource:"Wolf B. Genet Med. 2017; Protocolo cribado neonatal BTD CatSalut 2022"; hasName:"Confirmación diagnóstica enzimática/genética"; hasDescription:"Confirmación diagnóstica mediante determinación cuantitativa de actividad enzimática en suero/plasma o mediante secuenciación del gen BTD.";</t>
  </si>
  <si>
    <t>targetsDisease:"http://www.ull.es/iis/simulation/ontologies/disease-simulation#DBTD_Disease";</t>
  </si>
  <si>
    <t>Class 'DiagnosticTest' undefined; should not be an intervention</t>
  </si>
  <si>
    <t>DBTD_Interv_NewbornScreening</t>
  </si>
  <si>
    <t>Intervention; ScreeningIntervention</t>
  </si>
  <si>
    <t>hasDescription:"Cribado poblacional de recién nacidos mediante determinación de la actividad biotinidasa en sangre seca utilizando ensayo enzimático o fluorimétrico semicuantitativo."; hasName:"Cribado neonatal de la deficiencia de biotinidasa"; hasSource:"Wolf B. Genet Med. 2017; Couce ML et al. Int J Neonatal Screen. 2021; CatSalut. Protocolo cribado neonatal BTD 2022";</t>
  </si>
  <si>
    <t>hasStartAge:""0.1"^^xsd:double"; hasEndAge:""0.25"^^xsd:double"; targetsDisease:"http://www.ull.es/iis/simulation/ontologies/disease-simulation#DBTD_Disease";</t>
  </si>
  <si>
    <t>DBTD_FollowUp_Partial</t>
  </si>
  <si>
    <t>MonitoringIntervention; FollowUpStrategy</t>
  </si>
  <si>
    <t>hasDescription:"Revisión clínica anual. Valoración neurológica y audiológica solo si aparecen síntomas o bajo circunstancias de riesgo. Evaluación de necesidad de tratamiento con biotina caso a caso."; hasName:"Seguimiento en deficiencia parcial de biotinidasa"; hasSource:"Wolf B. Genet Med. 2017; Couce ML. Int J Neonatal Screen. 2021; CatSalut Protocolo seguimiento BTD 2022";</t>
  </si>
  <si>
    <t>targetsDisease:"http://www.ull.es/iis/simulation/ontologies/disease-simulation#DBTD_Disease"; includesBiochemicalAssessment:""false"^^xsd:boolean"; includesClinicalAssessment:""true"^^xsd:boolean"; hasFrequency:""Anual o según necesidad clínica"^^xsd:string"; includesAudiologicalAssessment:""false"^^xsd:boolean"; includesNeurologicalAssessment:""false"^^xsd:boolean"; includesOphthalmologicalAssessment:""false"^^xsd:boolean"; includesTreatmentAdherenceAssessment:""false"^^xsd:boolean";</t>
  </si>
  <si>
    <t>DBTD_Partial_Prob_Acute_Acidosis</t>
  </si>
  <si>
    <t>isParameterOfManifestation:DBTD_Manif_Acute_Acidosis; hasDataItemType:DI_Probability;</t>
  </si>
  <si>
    <t>hasExpectedValue:"0.01"; hasDescription:"Probabilidad de acidosis metabólica en la deficiencia parcial de biotinidasa."; hasYear:"2017"; hasSource:"Wolf B., Genet Med. 2017; Couce ML, Int J Neonatal Screen. 2021; Martínez-Morillo E., JIMD Rep. 2018";</t>
  </si>
  <si>
    <t>DBTD_Partial_Prob_Acute_Hypotonia</t>
  </si>
  <si>
    <t>hasDataItemType:DI_Probability; isParameterOfManifestation:DBTD_Manif_Acute_Hypotonia;</t>
  </si>
  <si>
    <t>hasExpectedValue:"0.01"; hasDescription:"Probabilidad de hipotonía o encefalopatía aguda en la deficiencia parcial de biotinidasa."; hasSource:"Wolf B., Genet Med. 2017; Couce ML, Int J Neonatal Screen. 2021; Martínez-Morillo E., JIMD Rep. 2018"; hasYear:"2017";</t>
  </si>
  <si>
    <t>DBTD_Partial_Prob_Acute_Rash</t>
  </si>
  <si>
    <t>isParameterOfManifestation:DBTD_Manif_Acute_Rash; hasDataItemType:DI_Probability;</t>
  </si>
  <si>
    <t>hasYear:"2017"; hasSource:"Wolf B., Genet Med. 2017; Couce ML, Int J Neonatal Screen. 2021; Martínez-Morillo E., JIMD Rep. 2018"; hasDescription:"Probabilidad de erupción cutánea en la deficiencia parcial de biotinidasa."; hasExpectedValue:"0.02";</t>
  </si>
  <si>
    <t>DBTD_Partial_Prob_Acute_Resp</t>
  </si>
  <si>
    <t>hasDataItemType:DI_Probability; isParameterOfManifestation:DBTD_Manif_Acute_Resp;</t>
  </si>
  <si>
    <t>hasExpectedValue:"0.01"; hasYear:"2017"; hasSource:"Wolf B., Genet Med. 2017; Couce ML, Int J Neonatal Screen. 2021; Martínez-Morillo E., JIMD Rep. 2018"; hasDescription:"Probabilidad de dificultad respiratoria aguda en la deficiencia parcial de biotinidasa.";</t>
  </si>
  <si>
    <t>DBTD_Partial_Prob_Acute_Seizures</t>
  </si>
  <si>
    <t>hasDataItemType:DI_Probability; isParameterOfManifestation:DBTD_Manif_Acute_Seizures;</t>
  </si>
  <si>
    <t>hasExpectedValue:"0.03"; hasSource:"Wolf B., Genet Med. 2017; Couce ML, Int J Neonatal Screen. 2021; Martínez-Morillo E., JIMD Rep. 2018"; hasDescription:"Probabilidad de aparición de convulsiones en la deficiencia parcial de biotinidasa."; hasYear:"2017";</t>
  </si>
  <si>
    <t>DBTD_Partial_Prob_Chronic_Cutaneous</t>
  </si>
  <si>
    <t>hasDataItemType:DI_Probability; isParameterOfManifestation:DBTD_Manif_Chronic_Cutaneous;</t>
  </si>
  <si>
    <t>hasExpectedValue:"0.01"; hasSource:"Wolf B., Genet Med. 2017; Couce ML, Int J Neonatal Screen. 2021; Martínez-Morillo E., JIMD Rep. 2018"; hasYear:"2017"; hasDescription:"Probabilidad de alteraciones cutáneas crónicas en la deficiencia parcial de biotinidasa.";</t>
  </si>
  <si>
    <t>DBTD_Partial_Prob_Chronic_Epilepsy</t>
  </si>
  <si>
    <t>isParameterOfManifestation:DBTD_Manif_Chronic_Epilepsy; hasDataItemType:DI_Probability;</t>
  </si>
  <si>
    <t>hasYear:"2017"; hasDescription:"Probabilidad de epilepsia persistente en la deficiencia parcial de biotinidasa."; hasExpectedValue:"0.005"; hasSource:"Wolf B., Genet Med. 2017; Couce ML, Int J Neonatal Screen. 2021; Martínez-Morillo E., JIMD Rep. 2018";</t>
  </si>
  <si>
    <t>DBTD_Partial_Prob_Chronic_NeurodevDelay</t>
  </si>
  <si>
    <t>hasSource:"Wolf B., Genet Med. 2017; Couce ML, Int J Neonatal Screen. 2021; Martínez-Morillo E., JIMD Rep. 2018"; hasExpectedValue:"0.01"; hasYear:"2017"; hasDescription:"Probabilidad de retraso psicomotor en la deficiencia parcial de biotinidasa.";</t>
  </si>
  <si>
    <t>DBTD_Prob_Acute_Acidosis</t>
  </si>
  <si>
    <t>hasDataItemType:DI_Probability; isParameterOfManifestation:DBTD_Manif_Acute_Acidosis;</t>
  </si>
  <si>
    <t>hasYear:"2017"; hasSource:"Wolf B., Genet Med. 2017; Martínez-Morillo E., JIMD Rep. 2018"; hasDescription:"Probabilidad de acidosis metabólica aguda en la deficiencia profunda de biotinidasa sin tratamiento."; hasExpectedValue:"0.4";</t>
  </si>
  <si>
    <t>DBTD_Prob_Acute_Alopecia</t>
  </si>
  <si>
    <t>hasYear:"2017"; hasSource:"Wolf B., Genet Med. 2017; Martínez-Morillo E., JIMD Rep. 2018"; hasDescription:"Probabilidad de alopecia aguda en la deficiencia profunda de biotinidasa sin tratamiento."; hasExpectedValue:"0.4";</t>
  </si>
  <si>
    <t>DBTD_Prob_Acute_Hypotonia</t>
  </si>
  <si>
    <t>isParameterOfManifestation:DBTD_Manif_Acute_Hypotonia; hasDataItemType:DI_Probability;</t>
  </si>
  <si>
    <t>hasDescription:"Probabilidad de hipotonía/encefalopatía aguda en la deficiencia profunda de biotinidasa sin tratamiento."; hasYear:"2017"; hasSource:"Wolf B., Genet Med. 2017; Martínez-Morillo E., JIMD Rep. 2018"; hasExpectedValue:"0.6";</t>
  </si>
  <si>
    <t>DBTD_Prob_Acute_Resp</t>
  </si>
  <si>
    <t>hasExpectedValue:"0.5"; hasDescription:"Probabilidad de dificultad respiratoria aguda en la deficiencia profunda de biotinidasa sin tratamiento."; hasSource:"Wolf B., Genet Med. 2017; Martínez-Morillo E., JIMD Rep. 2018"; hasYear:"2017";</t>
  </si>
  <si>
    <t>DBTD_Prob_Acute_Seizures</t>
  </si>
  <si>
    <t>isParameterOfManifestation:DBTD_Manif_Acute_Seizures; hasDataItemType:DI_Probability;</t>
  </si>
  <si>
    <t>hasSource:"Wolf B., Genet Med. 2017; Martínez-Morillo E., JIMD Rep. 2018"; hasYear:"2017"; hasDescription:"Probabilidad de aparición de convulsiones en la deficiencia profunda de biotinidasa sin tratamiento."; hasExpectedValue:"0.75";</t>
  </si>
  <si>
    <t>DBTD_Prob_Acute_Vomiting</t>
  </si>
  <si>
    <t>hasDescription:"Probabilidad de vómitos recurrentes en la deficiencia profunda de biotinidasa sin tratamiento."; hasSource:"Wolf B., Genet Med. 2017; Martínez-Morillo E., JIMD Rep. 2018"; hasYear:"2017"; hasExpectedValue:"0.5";</t>
  </si>
  <si>
    <t>DBTD_Prob_Chronic_Epilepsy</t>
  </si>
  <si>
    <t>hasDescription:"Probabilidad de epilepsia persistente en la deficiencia profunda de biotinidasa no tratada."; hasExpectedValue:"0.3"; hasYear:"2017"; hasSource:"Wolf B., Genet Med. 2017; Martínez-Morillo E., JIMD Rep. 2018";</t>
  </si>
  <si>
    <t>DBTD_TTO_Chronic_NeurodevDelay</t>
  </si>
  <si>
    <t>Parameter; DeterministicParameter; TimeToOnset</t>
  </si>
  <si>
    <t>hasDataItemType:DI_TimeToOnset; isParameterOfManifestation:DBTD_Manif_Chronic_NeurodevDelay;</t>
  </si>
  <si>
    <t>hasDescription:"Tiempo medio hasta la aparición de retraso del desarrollo psicomotor (meses)"; hasYear:"2021"; hasExpectedValue:"18.0"; hasSource:"Wolf B. Genet Med 2017; Couce et al. 2021";</t>
  </si>
  <si>
    <t>hasRangeMaxValue:""60.0"^^xsd:double"; hasRangeMinValue:""6.0"^^xsd:double";</t>
  </si>
  <si>
    <t>DBTD_TTO_Acute_Hypotonia</t>
  </si>
  <si>
    <t>Parameter; TimeToOnset; DeterministicParameter</t>
  </si>
  <si>
    <t>hasDataItemType:DI_TimeToOnset; isParameterOfManifestation:DBTD_Manif_Acute_Hypotonia;</t>
  </si>
  <si>
    <t>hasExpectedValue:"3.5"; hasDescription:"Tiempo medio hasta la aparición de hipotonía/encefalopatía aguda (meses)"; hasYear:"2017"; hasSource:"Wolf B. Genet Med 2017";</t>
  </si>
  <si>
    <t>DBTD_TTO_Chronic_VisualLoss</t>
  </si>
  <si>
    <t>isParameterOfManifestation:DBTD_Manif_Chronic_VisualLoss; hasDataItemType:DI_TimeToOnset;</t>
  </si>
  <si>
    <t>hasExpectedValue:"24.0"; hasYear:"2017"; hasSource:"Wolf B. Genet Med 2017"; hasDescription:"Tiempo medio hasta la aparición de pérdida visual por atrofia óptica (meses)";</t>
  </si>
  <si>
    <t>hasRangeMinValue:""6.0"^^xsd:double"; hasRangeMaxValue:""60.0"^^xsd:double";</t>
  </si>
  <si>
    <t>DBTD_Treatment_Partial</t>
  </si>
  <si>
    <t>PharmacologicalTreatment; Treatment</t>
  </si>
  <si>
    <t>hasDescription:"Administración de biotina oral (1-5 mg/día) en situaciones de riesgo metabólico o aparición de síntomas, o de forma profiláctica según protocolo, para prevenir manifestaciones clínicas."; hasName:"Tratamiento con biotina oral en deficiencia parcial de biotinidasa"; hasSource:"Wolf B. Genet Med. 2017; Couce ML. Int J Neonatal Screen. 2021; Protocolo cribado neonatal CatSalut 2022";</t>
  </si>
  <si>
    <t>hasDosage:""1-5 mg/día"^^xsd:string"; hasTreatmentStartAge:""0.2"^^xsd:double"; targetsDisease:"http://www.ull.es/iis/simulation/ontologies/disease-simulation#DBTD_Disease"; hasTreatmentDuration:""Individualized/episodic or lifelong"^^xsd:string";</t>
  </si>
  <si>
    <t>Class 'PharmacologicalTreatment' undefined</t>
  </si>
  <si>
    <t>DBTD_Treatment_Profound</t>
  </si>
  <si>
    <t>hasDescription:"Administración de biotina oral a dosis farmacológicas (5-20 mg/día) de por vida, comenzando en el periodo neonatal o al diagnóstico, para revertir manifestaciones agudas y prevenir secuelas crónicas."; hasSource:"Wolf B. Genet Med. 2017; Couce ML. Int J Neonatal Screen. 2021; Protocolo cribado neonatal CatSalut 2022"; hasName:"Tratamiento con biotina oral en deficiencia profunda de biotinidasa";</t>
  </si>
  <si>
    <t>hasTreatmentDuration:""Lifelong"^^xsd:string"; hasDosage:""5-20 mg/día"^^xsd:string"; targetsDisease:"http://www.ull.es/iis/simulation/ontologies/disease-simulation#DBTD_Disease"; hasTreatmentStartAge:""0.2"^^xsd:double";</t>
  </si>
  <si>
    <t>DBTD_TTO_Acute_Alopecia</t>
  </si>
  <si>
    <t>TimeToOnset; DeterministicParameter; Parameter</t>
  </si>
  <si>
    <t>hasDataItemType:DI_TimeToOnset; isParameterOfManifestation:DBTD_Manif_Acute_Alopecia;</t>
  </si>
  <si>
    <t>hasSource:"Wolf B. Genet Med 2017"; hasDescription:"Tiempo medio hasta la aparición de alopecia (meses)"; hasYear:"2017"; hasExpectedValue:"6.0";</t>
  </si>
  <si>
    <t>hasRangeMinValue:""1.0"^^xsd:double"; hasRangeMaxValue:""24.0"^^xsd:double";</t>
  </si>
  <si>
    <t>DBTD_TTO_Chronic_HearingLoss</t>
  </si>
  <si>
    <t>hasDataItemType:DI_TimeToOnset; isParameterOfManifestation:DBTD_Manif_Chronic_HearingLoss;</t>
  </si>
  <si>
    <t>hasExpectedValue:"24.0"; hasYear:"2017"; hasSource:"Wolf B. Genet Med 2017"; hasDescription:"Tiempo medio hasta la aparición de sordera neurosensorial irreversible (meses)";</t>
  </si>
  <si>
    <t>DBTD_TTO_Acute_Resp</t>
  </si>
  <si>
    <t>TimeToOnset; Parameter; DeterministicParameter</t>
  </si>
  <si>
    <t>hasDataItemType:DI_TimeToOnset; isParameterOfManifestation:DBTD_Manif_Acute_Resp;</t>
  </si>
  <si>
    <t>hasExpectedValue:"2.5"; hasDescription:"Tiempo medio hasta la aparición de dificultad respiratoria aguda (meses)"; hasSource:"Couce et al. Int J Neonatal Screen 2021"; hasYear:"2021";</t>
  </si>
  <si>
    <t>DBTD_Manif_Acute_Seizures_DU</t>
  </si>
  <si>
    <t>hasSource:"Derived as 1 − utility; assumption"; appliesOneTime:"false"; hasYear:"2022"; hasDescription:"Desutilidad anual asociada a convulsiones agudas en deficiencia de biotinidasa"; hasExpectedValue:"0.4";</t>
  </si>
  <si>
    <t>DBTD_Manif_Chronic_NeurodevDelay_U</t>
  </si>
  <si>
    <t>hasDescription:"Utilidad anual asociada a retraso del desarrollo psicomotor por deficiencia de biotinidasa"; hasExpectedValue:"0.5"; hasSource:"Neumann et al. Value Health 2018; Grosse et al. 2022; assumption"; hasYear:"2022"; appliesOneTime:"false";</t>
  </si>
  <si>
    <t>DI_TimeToOnset</t>
  </si>
  <si>
    <t>UC1-F3-P1-S1-M2</t>
  </si>
  <si>
    <t>PBD_Acidosis</t>
  </si>
  <si>
    <t>hasInitialProportion:PBD_Acidosis_Incidence; hasUtility:PBD_Acidosis_Utility;</t>
  </si>
  <si>
    <t>hasDescription:"Acidosis metabólica";</t>
  </si>
  <si>
    <t>PBD_AlopeciaDermatitis</t>
  </si>
  <si>
    <t>hasInitialProportion:PBD_Alopecia_Incidence; hasUtility:PBD_Alopecia_Utility;</t>
  </si>
  <si>
    <t>hasDescription:"Dermatitis, alopecia";</t>
  </si>
  <si>
    <t>PBD_Death</t>
  </si>
  <si>
    <t>hasInitialProportion:PBD_Death_Incidence;</t>
  </si>
  <si>
    <t>hasDescription:"Muerte relacionada con manifestaciones no tratadas";</t>
  </si>
  <si>
    <t>PBD_Encephalopathy</t>
  </si>
  <si>
    <t>hasUtility:PBD_Encephalopathy_Utility; hasInitialProportion:PBD_Encephalopathy_Incidence;</t>
  </si>
  <si>
    <t>hasDescription:"Encefalopatía aguda o crónica, coma";</t>
  </si>
  <si>
    <t>PBD_Seizures</t>
  </si>
  <si>
    <t>hasInitialProportion:PBD_Seizures_Incidence; hasUtility:PBD_Seizures_Utility;</t>
  </si>
  <si>
    <t>hasDescription:"Convulsiones resistentes a antiepilépticos, habitualmente primer síntoma";</t>
  </si>
  <si>
    <t>PBD_Ataxia</t>
  </si>
  <si>
    <t>hasInitialProportion:PBD_Ataxia_Incidence; hasUtility:PBD_Ataxia_Utility;</t>
  </si>
  <si>
    <t>PBD_DevelopmentalDelay</t>
  </si>
  <si>
    <t>hasUtility:PBD_DevelopmentalDelay_Utility; hasInitialProportion:PBD_DevelopmentalDelay_Incidence;</t>
  </si>
  <si>
    <t>hasDescription:"Retraso del desarrollo global, problemas cognitivos";</t>
  </si>
  <si>
    <t>PBD_HearingLoss</t>
  </si>
  <si>
    <t>hasInitialProportion:PBD_HearingLoss_Incidence; hasUtility:PBD_HearingLoss_Utility;</t>
  </si>
  <si>
    <t>hasDescription:"Sordera neurosensorial irreversible";</t>
  </si>
  <si>
    <t>PBD_Hypotonia</t>
  </si>
  <si>
    <t>hasUtility:PBD_Hypotonia_Utility; hasInitialProportion:PBD_Hypotonia_Incidence;</t>
  </si>
  <si>
    <t>PBD_MentalRetardation</t>
  </si>
  <si>
    <t>hasUtility:PBD_MentalRetardation_Utility; hasInitialProportion:PBD_MentalRetardation_Incidence;</t>
  </si>
  <si>
    <t>hasDescription:"Retraso mental, discapacidad intelectual persistente";</t>
  </si>
  <si>
    <t>PBD_OpticAtrophy</t>
  </si>
  <si>
    <t>hasInitialProportion:PBD_OpticAtrophy_Incidence; hasUtility:PBD_OpticAtrophy_Utility;</t>
  </si>
  <si>
    <t>PBD_Screening_Sensitivity</t>
  </si>
  <si>
    <t>hasDataItemType:DI_Sensitivity;</t>
  </si>
  <si>
    <t>hasExpectedValue:"0.99"; hasSource:"Wolf et al, 2001; Couce et al, 2011"; hasDescription:"Sensibilidad del cribado neonatal (ensayo fluorimétrico)";</t>
  </si>
  <si>
    <t>PBD_Screening_Specificity</t>
  </si>
  <si>
    <t>hasDataItemType:DI_Specificity;</t>
  </si>
  <si>
    <t>hasDescription:"Especificidad del cribado neonatal"; hasExpectedValue:"0.999"; hasSource:"Wolf et al, 2001";</t>
  </si>
  <si>
    <t>PBD_ClinicalDiagnosis</t>
  </si>
  <si>
    <t>hasDescription:"Diagnóstico clínico tras la aparición de signos o síntomas indicativos de deficiencia profunda de biotinidasa";</t>
  </si>
  <si>
    <t>PBD_StdModelDES</t>
  </si>
  <si>
    <t>DiscreteEventSimulationModel</t>
  </si>
  <si>
    <t>includesModelItem:PBD_OpticAtrophy; includesModelItem:PBD_Seizures; includesModelItem:PBD_Death; includesModelItem:PBD_Disease; includesModelItem:PBD_Acidosis; includesModelItem:PBD_MentalRetardation; includesModelItem:PBD_NeonatalScreening; includesModelItem:PBD_DevelopmentalDelay; includesModelItem:PBD_Encephalopathy; includesModelItem:PBD_NewbornPopulation_Spain; includesModelItem:PBD_HearingLoss; includesModelItem:PBD_ClinicalDiagnosis; includesModelItem:PBD_BiotinTreatment; includesModelItem:PBD_AlopeciaDermatitis;</t>
  </si>
  <si>
    <t>hasDescription:"Modelo de simulación para evaluación económica del cribado neonatal de deficiencia profunda de biotinidasa en España.";</t>
  </si>
  <si>
    <t>PBD_Disease</t>
  </si>
  <si>
    <t>hasManifestation:PBD_Ataxia; hasManifestation:PBD_DevelopmentalDelay; hasManifestation:PBD_AlopeciaDermatitis; hasManifestation:PBD_Hypotonia; hasManifestation:PBD_Acidosis; hasManifestation:PBD_MentalRetardation; hasManifestation:PBD_HearingLoss; hasManifestation:PBD_OpticAtrophy; hasManifestation:PBD_Encephalopathy; hasManifestation:PBD_Seizures; hasManifestation:PBD_Death; hasScreeningStrategy:PBD_NeonatalScreening; hasIntervention:PBD_BiotinTreatment; hasDiagnosisStrategy:PBD_ClinicalDiagnosis;</t>
  </si>
  <si>
    <t>hasRefToICD:"E64.3"; hasRefToSNOMED:"428100008"; hasRefToOMIM:"253260"; hasDescription:"Deficiencia profunda de biotinidasa: error congénito del metabolismo, autosómico recesivo, que provoca una deficiencia funcional de biotina con manifestaciones neurológicas y cutáneas graves si no se trata.";</t>
  </si>
  <si>
    <t>PBD_BiotinTreatment</t>
  </si>
  <si>
    <t>Drug</t>
  </si>
  <si>
    <t>hasDescription:"Tratamiento con biotina oral (5-10 mg/día)";</t>
  </si>
  <si>
    <t>PBD_HearingLoss_Incidence</t>
  </si>
  <si>
    <t>hasDataItemType:DI_Probability;</t>
  </si>
  <si>
    <t>hasDescription:"Proporción de sordera neurosensorial en pacientes sintomáticos sin tratamiento temprano"; hasExpectedValue:"0.55"; hasSource:"Wolf et al, 2002; Genc et al, 2007";</t>
  </si>
  <si>
    <t>PBD_OpticAtrophy_Incidence</t>
  </si>
  <si>
    <t>hasDescription:"Proporción de atrofia óptica en pacientes sintomáticos"; hasSource:"Weber et al, 2004"; hasExpectedValue:"0.20";</t>
  </si>
  <si>
    <t>PBD_Seizures_Incidence</t>
  </si>
  <si>
    <t>hasExpectedValue:"0.80"; hasDescription:"Incidencia de convulsiones en pacientes no tratados"; hasSource:"Wolf et al, 2002; Weber et al, 2004; Genc et al, 2007";</t>
  </si>
  <si>
    <t>PBD_NewbornPopulation_Spain</t>
  </si>
  <si>
    <t>hasSex:Attribute_Sex; hasAge:Attribute_Age;</t>
  </si>
  <si>
    <t>hasDescription:"Cohorte de recién nacidos vivos en España durante un año natural"; hasSize:"N_anual_nacimientos";</t>
  </si>
  <si>
    <t>PBD_NeonatalScreening</t>
  </si>
  <si>
    <t>hasSensitivity:PBD_Screening_Sensitivity; hasSpecificity:PBD_Screening_Specificity;</t>
  </si>
  <si>
    <t>hasDescription:"Cribado neonatal de deficiencia profunda de biotinidasa mediante medida de actividad enzimática en sangre seca (ensayo enzimático o fluorimétrico semicuantitativo)";</t>
  </si>
  <si>
    <t>PBD_Alopecia_Utility</t>
  </si>
  <si>
    <t>hasDescription:"Utilidad asignada a alopecia aislada"; hasExpectedValue:"0.95";</t>
  </si>
  <si>
    <t>PBD_DevelopmentalDelay_Utility</t>
  </si>
  <si>
    <t>hasExpectedValue:"0.50"; hasDescription:"Utilidad asignada a retraso global del desarrollo"; hasSource:"Supuesto estándar en evaluación económica, ver referencias de GBD";</t>
  </si>
  <si>
    <t>PBD_HearingLoss_Utility</t>
  </si>
  <si>
    <t>hasExpectedValue:"0.70"; hasSource:"Valores aproximados según EuroQol, GBD disability weights, revisión de literatura"; hasDescription:"Utilidad asignada a sordera neurosensorial";</t>
  </si>
  <si>
    <t>PBD_Acidosis_Incidence</t>
  </si>
  <si>
    <t>PBD_Acidosis_Utility</t>
  </si>
  <si>
    <t>PBD_Alopecia_Incidence</t>
  </si>
  <si>
    <t>PBD_Ataxia_Incidence</t>
  </si>
  <si>
    <t>PBD_Ataxia_Utility</t>
  </si>
  <si>
    <t>PBD_Death_Incidence</t>
  </si>
  <si>
    <t>PBD_DevelopmentalDelay_Incidence</t>
  </si>
  <si>
    <t>PBD_Encephalopathy_Incidence</t>
  </si>
  <si>
    <t>PBD_Encephalopathy_Utility</t>
  </si>
  <si>
    <t>PBD_Hypotonia_Incidence</t>
  </si>
  <si>
    <t>PBD_Hypotonia_Utility</t>
  </si>
  <si>
    <t>PBD_MentalRetardation_Incidence</t>
  </si>
  <si>
    <t>PBD_MentalRetardation_Utility</t>
  </si>
  <si>
    <t>PBD_OpticAtrophy_Utility</t>
  </si>
  <si>
    <t>PBD_Seizures_Utility</t>
  </si>
  <si>
    <t>UC1-F3-P1-S2-M2</t>
  </si>
  <si>
    <t>DPB_Manif_Auditory</t>
  </si>
  <si>
    <t>hasUtility:DPB_Disutility_Auditory; hasEpidemiologicalParameter:DPB_Manif_Auditory_Incidence; hasInitialProportion:Constant_Probability0;</t>
  </si>
  <si>
    <t>hasDescription:"Hipoacusia neurosensorial irreversible";</t>
  </si>
  <si>
    <t>DPB_Manif_Cutaneous</t>
  </si>
  <si>
    <t>hasDescription:"Manifestaciones cutáneas: dermatitis, alopecia";</t>
  </si>
  <si>
    <t>DPB_Manif_Neurologic</t>
  </si>
  <si>
    <t>hasInitialProportion:Constant_Probability0; hasEpidemiologicalParameter:DPB_Manif_Neurologic_Incidence; hasUtility:DPB_Disutility_Neurologic;</t>
  </si>
  <si>
    <t>hasDescription:"Manifestaciones neurológicas: convulsiones, hipotonía, ataxia, retraso del desarrollo psicomotor";</t>
  </si>
  <si>
    <t>DPB_Manif_Optic</t>
  </si>
  <si>
    <t>hasDescription:"Atrofia óptica o alteraciones visuales";</t>
  </si>
  <si>
    <t>DPB_Screening_Sensitivity</t>
  </si>
  <si>
    <t>hasDescription:"Sensibilidad del cribado neonatal para DPB (enzimático/fluorimétrico)"; hasExpectedValue:"0.99"; hasSource:"Aguado C et al. An Pediatr (Barc). 2021;94(1):50.e1-50.e10"; hasYear:"2021";</t>
  </si>
  <si>
    <t>DPB_Screening_Specificity</t>
  </si>
  <si>
    <t>hasSource:"Aguado C et al. An Pediatr (Barc). 2021;94(1):50.e1-50.e10"; hasExpectedValue:"0.999"; hasDescription:"Especificidad del cribado neonatal para DPB"; hasYear:"2021";</t>
  </si>
  <si>
    <t>Param_Age_0</t>
  </si>
  <si>
    <t>hasDataItemType:DI_Continuous_Variable;</t>
  </si>
  <si>
    <t>hasDescription:"Edad al nacimiento (años)"; hasExpectedValue:"0.0";</t>
  </si>
  <si>
    <t>Param_Sex_All</t>
  </si>
  <si>
    <t>hasDataItemType:DI_Proportion;</t>
  </si>
  <si>
    <t>hasExpectedValue:"0.5"; hasDescription:"Proporción de sexo masculino/femenino igual en la cohorte";</t>
  </si>
  <si>
    <t>DPB_Manif_Auditory_Incidence</t>
  </si>
  <si>
    <t>hasDataItemType:DI_Incidence;</t>
  </si>
  <si>
    <t>hasYear:"2012"; hasExpectedValue:"0.5"; hasSource:"Wolf, B. et al. Orphanet J Rare Dis. 2012;7:62.";</t>
  </si>
  <si>
    <t>DPB_Manif_Neurologic_Incidence</t>
  </si>
  <si>
    <t>hasExpectedValue:"0.7"; hasYear:"2012"; hasSource:"Wolf, B. et al. Orphanet J Rare Dis. 2012;7:62.";</t>
  </si>
  <si>
    <t>Clinical_Detection_DPB</t>
  </si>
  <si>
    <t>hasDescription:"Diagnóstico clínico de la DPB tras la aparición de signos o síntomas compatibles en ausencia de cribado neonatal.";</t>
  </si>
  <si>
    <t>DPB_Incidence_BirthPrevalence</t>
  </si>
  <si>
    <t>hasDataItemType:DI_BirthPrevalence;</t>
  </si>
  <si>
    <t>hasSource:"Wolf, B. et al. Orphanet J Rare Dis. 2012;7:62."; hasYear:"2012"; hasExpectedValue:"6.0E-5";</t>
  </si>
  <si>
    <t>DPB_Manif_Death_Incidence</t>
  </si>
  <si>
    <t>hasExpectedValue:"0.1"; hasSource:"Wolf, B. et al. Orphanet J Rare Dis. 2012;7:62."; hasYear:"2012";</t>
  </si>
  <si>
    <t>DPB_Manif_Death</t>
  </si>
  <si>
    <t>hasInitialProportion:Constant_Probability0; hasEpidemiologicalParameter:DPB_Manif_Death_Incidence; hasUtility:DPB_Disutility_Death;</t>
  </si>
  <si>
    <t>hasDescription:"Muerte por DPB no tratada";</t>
  </si>
  <si>
    <t>Population_Spain_Newborns_2024</t>
  </si>
  <si>
    <t>hasAge:Param_Age_0; hasSex:Param_Sex_All; hasEpidemiologicalParameter:DPB_Incidence_BirthPrevalence;</t>
  </si>
  <si>
    <t>hasGeographicalContext:"España"; hasYear:"2024"; hasSize:"329251"; hasDescription:"Cohorte de recién nacidos vivos durante un año natural en España";</t>
  </si>
  <si>
    <t>DPB</t>
  </si>
  <si>
    <t>hasIntervention:Clinical_Detection_DPB; hasIntervention:Screening_DPB_Enzymatic; hasManifestation:DPB_Manif_Neurologic; hasManifestation:DPB_Manif_Optic; hasManifestation:DPB_Manif_Auditory; hasManifestation:DPB_Manif_Cutaneous; hasManifestation:DPB_Manif_Death; hasEpidemiologicalParameter:DPB_Incidence_BirthPrevalence;</t>
  </si>
  <si>
    <t>hasRefToSNOMED:"SNOMED:285580004"; hasRefToOMIM:"OMIM:253260"; hasDescription:"Deficiencia profunda de biotinidasa (DPB). Trastorno metabólico hereditario de inicio neonatal que, sin tratamiento, cursa con manifestaciones neurológicas graves, cutáneas, auditivas y oculares."; hasRefToICD:"ICD10:E71.1";</t>
  </si>
  <si>
    <t>Screening_DPB_Enzymatic</t>
  </si>
  <si>
    <t>hasSensitivity:DPB_Screening_Sensitivity; hasSpecificity:DPB_Screening_Specificity;</t>
  </si>
  <si>
    <t>hasDescription:"Cribado neonatal universal de DPB mediante medida de actividad biotinidasa en sangre en papel por ensayo enzimático/fluorimétrico semicuantitativo";</t>
  </si>
  <si>
    <t>DPB_Disutility_Auditory</t>
  </si>
  <si>
    <t>hasSource:"Frick KD et al. Pediatrics. 2000;106(1 Pt 1):E18 (sordera congénita)"; appliesOneTime:"false"; hasYear:"2000"; hasDescription:"Disutilidad por hipoacusia neurosensorial grave"; hasExpectedValue:"-0.15";</t>
  </si>
  <si>
    <t>DPB_Disutility_Death</t>
  </si>
  <si>
    <t>hasSource:"Convención QALY"; appliesOneTime:"true"; hasYear:"2024"; hasDescription:"Disutilidad de muerte prematura"; hasExpectedValue:"-1.0";</t>
  </si>
  <si>
    <t>DPB_Disutility_Neurologic</t>
  </si>
  <si>
    <t>appliesOneTime:"false"; hasDescription:"Disutilidad asociada a manifestaciones neurológicas crónicas graves"; hasSource:"Bennett CL et al. Pediatrics. 2012;130(2):e396-402 (epilepsia refractaria como análogo)"; hasExpectedValue:"-0.3"; hasYear:"2012";</t>
  </si>
  <si>
    <t>DPB_Utility_NoSymptoms</t>
  </si>
  <si>
    <t>hasExpectedValue:"0.95"; appliesOneTime:"false"; hasYear:"2011"; hasSource:"Sullivan PW et al. Med Decis Making. 2011;31(2):260-8 (asignación indirecta por equivalencia con población general pediátrica)"; hasDescription:"Utilidad de vida sin síntomas ni secuelas (tratado precozmente)";</t>
  </si>
  <si>
    <t>UC1-F3-P2-S1-M2</t>
  </si>
  <si>
    <t>DB_AcuteComa</t>
  </si>
  <si>
    <t>isParameterOfDisease:ProfoundBiotinidaseDeficiency; hasOnsetAge:DB_AcuteComa_OnsetAge; includedByModel:ProfoundBiotinidaseDeficiency_Model; hasFrequency:DB_AcuteComa_Frequency;</t>
  </si>
  <si>
    <t>hasSource:"Ye J et al., 2009; Wolf B et al., 2002"; hasDescription:"Alteración aguda del nivel de consciencia, letargia o coma metabólico en fases avanzadas del debut agudo no tratado, con riesgo vital inmediato."; hasYear:"2009";</t>
  </si>
  <si>
    <t>DB_Dermatitis</t>
  </si>
  <si>
    <t>hasUtility:DB_Dermatitis_Utility; hasOnsetAge:DB_Dermatitis_OnsetAge;</t>
  </si>
  <si>
    <t>hasDescription:"Dermatitis eccematosa, perioral, descamativa; puede acompañarse de conjuntivitis.";</t>
  </si>
  <si>
    <t>DB_Dermatitis_Acute</t>
  </si>
  <si>
    <t>isParameterOfDisease:ProfoundBiotinidaseDeficiency; hasOnsetAge:DB_Dermatitis_Acute_OnsetAge; includedByModel:ProfoundBiotinidaseDeficiency_Model; hasFrequency:DB_Dermatitis_Acute_Frequency;</t>
  </si>
  <si>
    <t>hasSource:"Wolf B et al., 2002; Couce ML et al., 2011; Grünewald S et al., 2004"; hasYear:"2002"; hasDescription:"Exantema agudo, dermatitis eritematosa, eccematosa o descamativa que aparece bruscamente en lactantes con debut agudo de DB profunda, especialmente alrededor de boca, genitales o zonas de roce.";</t>
  </si>
  <si>
    <t>DB_DigestiveIntolerance</t>
  </si>
  <si>
    <t>hasOnsetAge:DB_DigestiveIntolerance_OnsetAge; hasUtility:DB_DigestiveIntolerance_Utility;</t>
  </si>
  <si>
    <t>hasDescription:"Intolerancia digestiva, vómitos, diarrea.";</t>
  </si>
  <si>
    <t>DB_DigestiveIntolerance_Acute</t>
  </si>
  <si>
    <t>hasOnsetAge:DB_DigestiveIntolerance_Acute_OnsetAge; isParameterOfDisease:ProfoundBiotinidaseDeficiency; includedByModel:ProfoundBiotinidaseDeficiency_Model; hasFrequency:DB_DigestiveIntolerance_Acute_Frequency;</t>
  </si>
  <si>
    <t>hasYear:"2009"; hasDescription:"Episodios agudos de vómitos intensos, intolerancia digestiva, diarrea y deshidratación, que pueden presentarse en la fase inicial no tratada de la deficiencia profunda de biotinidasa."; hasSource:"Ye J et al., 2009; Weber P et al., 2004";</t>
  </si>
  <si>
    <t>DB_LacticAcidosis</t>
  </si>
  <si>
    <t>hasUtility:DB_LacticAcidosis_Utility; hasOnsetAge:DB_LacticAcidosis_OnsetAge;</t>
  </si>
  <si>
    <t>hasDescription:"Acidosis láctica secundaria a alteraciones en el metabolismo intermediario.";</t>
  </si>
  <si>
    <t>DB_LacticAcidosis_Acute</t>
  </si>
  <si>
    <t>hasFrequency:DB_LacticAcidosis_Acute_Frequency; includedByModel:ProfoundBiotinidaseDeficiency_Model; hasOnsetAge:DB_LacticAcidosis_Acute_OnsetAge; isParameterOfDisease:ProfoundBiotinidaseDeficiency;</t>
  </si>
  <si>
    <t>hasSource:"Ye J et al., 2009; Weber P et al., 2004"; hasDescription:"Acidosis láctica aguda secundaria a alteraciones del metabolismo intermediario por déficit de biotinidasa. Puede acompañar al debut clínico junto a otros síntomas agudos."; hasYear:"2009";</t>
  </si>
  <si>
    <t>DB_RespiratoryDistress</t>
  </si>
  <si>
    <t>hasUtility:DB_RespiratoryDistress_Utility; hasOnsetAge:DB_RespiratoryDistress_OnsetAge;</t>
  </si>
  <si>
    <t>hasDescription:"Distrés respiratorio, puede aparecer en etapas precoces.";</t>
  </si>
  <si>
    <t>DB_RespiratoryDistress_Acute</t>
  </si>
  <si>
    <t>isParameterOfDisease:ProfoundBiotinidaseDeficiency; hasFrequency:DB_RespiratoryDistress_Acute_Frequency; hasOnsetAge:DB_RespiratoryDistress_Acute_OnsetAge; includedByModel:ProfoundBiotinidaseDeficiency_Model;</t>
  </si>
  <si>
    <t>hasSource:"Ye J et al., 2009; Couce ML et al., 2011; Grünewald S et al., 2004"; hasYear:"2009"; hasDescription:"Distrés respiratorio agudo, con respiración acidótica, dificultad respiratoria y episodios de apnea. Puede precipitar cuadros de gravedad vital.";</t>
  </si>
  <si>
    <t>DB_Seizures</t>
  </si>
  <si>
    <t>hasUtility:DB_Seizures_Utility; hasOnsetAge:DB_Seizures_OnsetAge;</t>
  </si>
  <si>
    <t>hasDescription:"Convulsiones de inicio precoz, mioclónicas o refractarias, sensibles a biotina.";</t>
  </si>
  <si>
    <t>DB_Seizures_Acute</t>
  </si>
  <si>
    <t>hasFrequency:DB_Seizures_Acute_Frequency; isParameterOfDisease:ProfoundBiotinidaseDeficiency; hasOnsetAge:DB_Seizures_Acute_OnsetAge; includedByModel:ProfoundBiotinidaseDeficiency_Model;</t>
  </si>
  <si>
    <t>hasDescription:"Convulsiones de inicio agudo, generalizadas, mioclónicas o tónico-clónicas, frecuente manifestación inicial en lactantes con deficiencia profunda de biotinidasa no tratados. Altamente sensibles a biotina."; hasYear:"2002"; hasSource:"Wolf B et al., 2002; Weber P et al., 2004; Couce ML et al., 2011; Ye J et al., 2009";</t>
  </si>
  <si>
    <t>DB_Alopecia</t>
  </si>
  <si>
    <t>hasUtility:DB_Alopecia_Utility; hasOnsetAge:DB_Alopecia_OnsetAge;</t>
  </si>
  <si>
    <t>hasDescription:"Alopecia total o parcial, reversible con tratamiento precoz.";</t>
  </si>
  <si>
    <t>DB_Alopecia_Chronic</t>
  </si>
  <si>
    <t>hasOnsetAge:DB_Alopecia_OnsetAge; includedByModel:ProfoundBiotinidaseDeficiency_Model; hasInitialProportion:DB_Alopecia_BirthPrevalence; isParameterOfDisease:ProfoundBiotinidaseDeficiency;</t>
  </si>
  <si>
    <t>hasDescription:"Alopecia total o parcial persistente, secuela irreversible en casos de debut muy tardío o mal controlados, más frecuente en ausencia de tratamiento en fase aguda."; hasSource:"Wolf B et al., 2002; Couce ML et al., 2011"; hasYear:"2002";</t>
  </si>
  <si>
    <t>DB_BehavioralDisorder_Chronic</t>
  </si>
  <si>
    <t>isParameterOfDisease:ProfoundBiotinidaseDeficiency; hasOnsetAge:DB_BehavioralDisorder_OnsetAge; includedByModel:ProfoundBiotinidaseDeficiency_Model;</t>
  </si>
  <si>
    <t>hasSource:"Weber P et al., 2004; Couce ML et al., 2011"; hasDescription:"Trastornos de conducta, alteraciones psiquiátricas (déficit de atención, problemas de socialización, alteraciones emocionales), reportados en seguimiento prolongado de pacientes con DB profunda y daño neurológico previo."; hasYear:"2004";</t>
  </si>
  <si>
    <t>DB_DevelopmentalDelay</t>
  </si>
  <si>
    <t>hasUtility:DB_DevelopmentalDelay_Utility; hasOnsetAge:DB_DevelopmentalDelay_OnsetAge;</t>
  </si>
  <si>
    <t>hasDescription:"Retraso psicomotor, posible retraso mental, secundario a la afectación neurológica.";</t>
  </si>
  <si>
    <t>DB_DevelopmentalDelay_Chronic</t>
  </si>
  <si>
    <t>isParameterOfDisease:ProfoundBiotinidaseDeficiency; includedByModel:ProfoundBiotinidaseDeficiency_Model; hasOnsetAge:DB_DevelopmentalDelay_OnsetAge; hasInitialProportion:DB_DevelopmentalDelay_BirthPrevalence;</t>
  </si>
  <si>
    <t>hasYear:"2004"; hasSource:"Weber P et al., 2004; Möslinger D et al., 2003; Couce ML et al., 2011"; hasDescription:"Retraso del desarrollo psicomotor y/o discapacidad intelectual persistente, resultado de episodios agudos recurrentes o debut no tratado; puede asociarse a dificultades escolares, de lenguaje y aprendizaje.";</t>
  </si>
  <si>
    <t>DB_GrowthFailure</t>
  </si>
  <si>
    <t>hasUtility:DB_GrowthFailure_Utility; hasOnsetAge:DB_GrowthFailure_OnsetAge;</t>
  </si>
  <si>
    <t>hasDescription:"Fallo de medro o retraso del crecimiento.";</t>
  </si>
  <si>
    <t>DB_GrowthFailure_Chronic</t>
  </si>
  <si>
    <t>hasOnsetAge:DB_GrowthFailure_OnsetAge; hasInitialProportion:DB_GrowthFailure_BirthPrevalence; isParameterOfDisease:ProfoundBiotinidaseDeficiency; includedByModel:ProfoundBiotinidaseDeficiency_Model;</t>
  </si>
  <si>
    <t>hasSource:"Ye J et al., 2009; Couce ML et al., 2011"; hasYear:"2009"; hasDescription:"Fallo de crecimiento o retraso ponderoestatural persistente asociado a DB profunda crónica, más común en cuadros no tratados precozmente.";</t>
  </si>
  <si>
    <t>DB_HearingLoss</t>
  </si>
  <si>
    <t>hasOnsetAge:DB_HearingLoss_OnsetAge; hasUtility:DB_HearingLoss_Utility;</t>
  </si>
  <si>
    <t>hasDescription:"Sordera neurosensorial de grado variable, frecuente en casos no tratados o tratados tardíamente.";</t>
  </si>
  <si>
    <t>DB_HearingLoss_Chronic</t>
  </si>
  <si>
    <t>includedByModel:ProfoundBiotinidaseDeficiency_Model; isParameterOfDisease:ProfoundBiotinidaseDeficiency; hasOnsetAge:DB_HearingLoss_OnsetAge; hasInitialProportion:DB_HearingLoss_BirthPrevalence;</t>
  </si>
  <si>
    <t>hasSource:"Wolf B et al., 2002; Genc GA et al., 2007; Weber P et al., 2004; Couce ML et al., 2011"; hasDescription:"Sordera neurosensorial bilateral, generalmente irreversible si el tratamiento es tardío, puede variar de moderada a profunda y aparecer a cualquier edad, pero típicamente como secuela permanente tras episodios agudos no tratados."; hasYear:"2002";</t>
  </si>
  <si>
    <t>DB_MotorDisorder_Chronic</t>
  </si>
  <si>
    <t>isParameterOfDisease:ProfoundBiotinidaseDeficiency; hasOnsetAge:DB_MotorDisorder_OnsetAge; includedByModel:ProfoundBiotinidaseDeficiency_Model;</t>
  </si>
  <si>
    <t>hasSource:"Weber P et al., 2004; Wolf B et al., 2002"; hasDescription:"Trastornos motores crónicos (ataxia, hipotonía, espasticidad, debilidad muscular) secundarios a afectación neurológica irreversible en DB profunda, persistentes pese a tratamiento tardío."; hasYear:"2004";</t>
  </si>
  <si>
    <t>DB_OpticAtrophy</t>
  </si>
  <si>
    <t>hasOnsetAge:DB_OpticAtrophy_OnsetAge; hasUtility:DB_OpticAtrophy_Utility;</t>
  </si>
  <si>
    <t>hasDescription:"Atrofia óptica secundaria a afectación neurológica, puede aparecer si el tratamiento se retrasa.";</t>
  </si>
  <si>
    <t>DB_OpticAtrophy_Chronic</t>
  </si>
  <si>
    <t>hasInitialProportion:DB_OpticAtrophy_BirthPrevalence; hasOnsetAge:DB_OpticAtrophy_OnsetAge; includedByModel:ProfoundBiotinidaseDeficiency_Model; isParameterOfDisease:ProfoundBiotinidaseDeficiency;</t>
  </si>
  <si>
    <t>hasYear:"2004"; hasDescription:"Atrofia óptica, de aparición progresiva, responsable de déficit visual permanente o ceguera, secundaria a afectación metabólica y neurológica de larga evolución."; hasSource:"Weber P et al., 2004; Couce ML et al., 2011";</t>
  </si>
  <si>
    <t>BiotinidaseDeficiency_SupportiveCare_Cost</t>
  </si>
  <si>
    <t>hasUnit:"EUR"; hasYear:"2023"; hasExpectedValue:"12000"; hasSource:"Barton GR et al., 2007; SNS"; appliesOneTime:"true";</t>
  </si>
  <si>
    <t>DiagnosticConfirmation_BiotinidaseDeficiency_Cost</t>
  </si>
  <si>
    <t>hasExpectedValue:"120"; hasUnit:"EUR"; hasYear:"2023"; appliesOneTime:"true"; hasSource:"Referencia laboratorio CIBERER y programas nacionales";</t>
  </si>
  <si>
    <t>NeonatalScreening_BiotinidaseDeficiency_Cost</t>
  </si>
  <si>
    <t>appliesOneTime:"true"; hasYear:"2011"; hasUnit:"EUR"; hasSource:"Programa gallego de cribado neonatal, Couce ML et al., 2011"; hasExpectedValue:"3.5";</t>
  </si>
  <si>
    <t>PartialBiotinidaseDeficiency_FollowUp_Cost</t>
  </si>
  <si>
    <t>hasUnit:"EUR/year"; hasSource:"Estimación SNS"; hasYear:"2023"; appliesOneTime:"false"; hasExpectedValue:"50";</t>
  </si>
  <si>
    <t>PartialBiotinidaseDeficiency_Treatment_Cost</t>
  </si>
  <si>
    <t>hasUnit:"EUR/year"; hasExpectedValue:"15"; hasSource:"Estimación farmacia hospitalaria SNS; BOT Plus"; hasYear:"2023"; appliesOneTime:"false";</t>
  </si>
  <si>
    <t>PharmacologicalBiotinTreatment_Cost</t>
  </si>
  <si>
    <t>appliesOneTime:"false"; hasYear:"2023"; hasSource:"Base de datos BOT PLUS, estimación anual"; hasUnit:"EUR/year"; hasExpectedValue:"50";</t>
  </si>
  <si>
    <t>ProfoundBiotinidaseDeficiency_FollowUp_Cost</t>
  </si>
  <si>
    <t>hasSource:"Estimación SNS: coste consulta + audiometría + análisis básicos"; hasYear:"2023"; appliesOneTime:"false"; hasExpectedValue:"300"; hasUnit:"EUR/year";</t>
  </si>
  <si>
    <t>ProfoundBiotinidaseDeficiency_Treatment_Cost</t>
  </si>
  <si>
    <t>hasYear:"2023"; hasExpectedValue:"50"; appliesOneTime:"false"; hasUnit:"EUR/year"; hasSource:"Estimación farmacia hospitalaria SNS; BOT Plus";</t>
  </si>
  <si>
    <t>SensorineuralSupport_Cost</t>
  </si>
  <si>
    <t>hasExpectedValue:"12000"; hasYear:"2023"; hasUnit:"EUR"; appliesOneTime:"true"; hasSource:"Barton GR et al., 2007; Precios medios SNS";</t>
  </si>
  <si>
    <t>DB_AcuteComa_OnsetAge</t>
  </si>
  <si>
    <t>hasDataItemType:DI_AgeAtOnset;</t>
  </si>
  <si>
    <t>hasDescription:"Edad típica de aparición de coma metabólico en DB profunda (generalmente en episodios agudos graves antes de los 12 meses)."; hasUnit:"months"; hasYear:"2009"; hasExpectedValue:"7"; hasSource:"Ye J et al., 2009; Wolf B et al., 2002";</t>
  </si>
  <si>
    <t>DB_Alopecia_OnsetAge</t>
  </si>
  <si>
    <t>hasYear:"2002"; hasExpectedValue:"8"; hasDescription:"Edad media de aparición de alopecia persistente en DB profunda (habitual en debut agudo y persistente si no se trata precozmente)."; hasUnit:"months"; hasSource:"Wolf B et al., 2002; Couce ML et al., 2011";</t>
  </si>
  <si>
    <t>DB_BehavioralDisorder_OnsetAge</t>
  </si>
  <si>
    <t>hasYear:"2004"; hasSource:"Weber P et al., 2004"; hasUnit:"months"; hasDescription:"Edad media de aparición/diagnóstico de trastornos psiquiátricos/crónicos de conducta tras secuelas neurológicas en DB profunda."; hasExpectedValue:"48";</t>
  </si>
  <si>
    <t>DB_Dermatitis_Acute_OnsetAge</t>
  </si>
  <si>
    <t>hasYear:"2002"; hasSource:"Wolf B et al., 2002; Weber P et al., 2004"; hasDescription:"Edad media de aparición de dermatitis aguda/exantema en debut no tratado de DB profunda (típicamente entre 2-7 meses)."; hasExpectedValue:"5"; hasUnit:"months";</t>
  </si>
  <si>
    <t>DB_DevelopmentalDelay_OnsetAge</t>
  </si>
  <si>
    <t>hasDescription:"Edad media de aparición/diagnóstico de retraso psicomotor en DB profunda (puede sospecharse antes, pero se confirma tras seguimiento; rango 10-24 meses)."; hasSource:"Weber P et al., 2004; Möslinger D et al., 2003"; hasYear:"2004"; hasExpectedValue:"15"; hasUnit:"months";</t>
  </si>
  <si>
    <t>DB_DigestiveIntolerance_Acute_OnsetAge</t>
  </si>
  <si>
    <t>hasDescription:"Edad media de aparición de vómitos/intolerancia digestiva aguda en DB profunda."; hasYear:"2009"; hasUnit:"months"; hasExpectedValue:"6"; hasSource:"Ye J et al., 2009";</t>
  </si>
  <si>
    <t>DB_GrowthFailure_OnsetAge</t>
  </si>
  <si>
    <t>hasDescription:"Edad media de diagnóstico de fallo de crecimiento persistente en DB profunda, tras aparición de secuelas crónicas."; hasYear:"2011"; hasUnit:"months"; hasExpectedValue:"16"; hasSource:"Couce ML et al., 2011; Ye J et al., 2009";</t>
  </si>
  <si>
    <t>DB_HearingLoss_OnsetAge</t>
  </si>
  <si>
    <t>hasYear:"2007"; hasSource:"Genc GA et al., 2007; Weber P et al., 2004"; hasExpectedValue:"12"; hasDescription:"Edad media de diagnóstico de sordera neurosensorial en DB profunda (6-24 meses, puede comenzar antes pero diagnosticarse con el desarrollo del lenguaje)."; hasUnit:"months";</t>
  </si>
  <si>
    <t>DB_LacticAcidosis_Acute_OnsetAge</t>
  </si>
  <si>
    <t>hasSource:"Ye J et al., 2009; Weber P et al., 2004"; hasUnit:"months"; hasDescription:"Edad media de aparición de acidosis láctica aguda en DB profunda. Suele coincidir con episodios agudos neurológicos (1-12 meses)."; hasYear:"2009"; hasExpectedValue:"6";</t>
  </si>
  <si>
    <t>DB_MotorDisorder_OnsetAge</t>
  </si>
  <si>
    <t>hasDescription:"Edad media de diagnóstico de trastornos motores crónicos en DB profunda (post-episodios agudos)."; hasExpectedValue:"15"; hasYear:"2004"; hasUnit:"months"; hasSource:"Weber P et al., 2004";</t>
  </si>
  <si>
    <t>DB_OpticAtrophy_OnsetAge</t>
  </si>
  <si>
    <t>hasUnit:"months"; hasSource:"Weber P et al., 2004; Couce ML et al., 2011"; hasExpectedValue:"18"; hasDescription:"Edad media de aparición/diagnóstico de atrofia óptica en DB profunda (diagnóstico habitual entre 12-24 meses tras secuelas neurológicas)."; hasYear:"2004";</t>
  </si>
  <si>
    <t>DB_RespiratoryDistress_Acute_OnsetAge</t>
  </si>
  <si>
    <t>hasYear:"2004"; hasExpectedValue:"4"; hasDescription:"Edad media de aparición de distrés respiratorio agudo en debut no tratado de DB profunda."; hasSource:"Weber P et al., 2004; Ye J et al., 2009"; hasUnit:"months";</t>
  </si>
  <si>
    <t>DB_Seizures_Acute_OnsetAge</t>
  </si>
  <si>
    <t>hasDescription:"Edad media de aparición de convulsiones agudas en deficiencia profunda de biotinidasa sin tratamiento. Rango típico: 1-12 meses."; hasExpectedValue:"5"; hasYear:"2004"; hasSource:"Weber P et al., 2004; Couce ML et al., 2011; Genc GA et al., 2007"; hasUnit:"months";</t>
  </si>
  <si>
    <t>NeonatalScreening_BiotinidaseDeficiency_Sensitivity</t>
  </si>
  <si>
    <t>hasYear:"2011"; hasExpectedValue:"0.995"; hasSource:"Couce ML et al., 2011";</t>
  </si>
  <si>
    <t>NeonatalScreening_BiotinidaseDeficiency_Specificity</t>
  </si>
  <si>
    <t>hasExpectedValue:"0.995"; hasSource:"Couce ML et al., 2011"; hasYear:"2011";</t>
  </si>
  <si>
    <t>PartialBiotinidaseDeficiency_FollowUp_Frequency</t>
  </si>
  <si>
    <t>hasDataItemType:DI_Frequency;</t>
  </si>
  <si>
    <t>hasSource:"Couce ML et al., 2011"; hasYear:"2011"; hasExpectedValue:"1"; hasUnit:"per year"; hasDescription:"Frecuencia recomendada de visitas de seguimiento: anual.";</t>
  </si>
  <si>
    <t>PartialBiotinidaseDeficiency_Treatment_Dose</t>
  </si>
  <si>
    <t>hasDataItemType:DI_Dose;</t>
  </si>
  <si>
    <t>hasUnit:"mg/day"; hasYear:"2011"; hasSource:"Couce ML et al., 2011"; hasExpectedValue:"5";</t>
  </si>
  <si>
    <t>PharmacologicalBiotinTreatment_Dose</t>
  </si>
  <si>
    <t>hasUnit:"mg/day"; hasSource:"Couce ML et al., 2011; Wolf B et al., 2002"; hasYear:"2011"; hasExpectedValue:"20";</t>
  </si>
  <si>
    <t>ProfoundBiotinidaseDeficiency_FollowUp_Frequency</t>
  </si>
  <si>
    <t>hasExpectedValue:"2"; hasSource:"Couce ML et al., 2011"; hasDescription:"Frecuencia recomendada de visitas de seguimiento en infancia: cada 6 meses; posteriormente anual."; hasYear:"2011"; hasUnit:"per year";</t>
  </si>
  <si>
    <t>ProfoundBiotinidaseDeficiency_Treatment_Dose</t>
  </si>
  <si>
    <t>hasUnit:"mg/day"; hasYear:"2011"; hasExpectedValue:"20"; hasSource:"Wolf B et al., 2002; Couce ML et al., 2011";</t>
  </si>
  <si>
    <t>DiagnosticConfirmation_BiotinidaseDeficiency</t>
  </si>
  <si>
    <t>hasCost:DiagnosticConfirmation_BiotinidaseDeficiency_Cost;</t>
  </si>
  <si>
    <t>hasSource:"Couce ML et al., 2011; Wolf B et al., 2002"; hasYear:"2011"; hasDescription:"Diagnóstico confirmatorio de la deficiencia de biotinidasa mediante ensayo enzimático específico en suero y/o secuenciación del gen BTD.";</t>
  </si>
  <si>
    <t>ProfoundBiotinidaseDeficiency</t>
  </si>
  <si>
    <t>hasManifestation:DB_DevelopmentalDelay; hasManifestation:DB_LacticAcidosis; hasManifestation:DB_Dermatitis; hasManifestation:DB_OpticAtrophy; hasManifestation:DB_GrowthFailure; hasManifestation:DB_Seizures; hasManifestation:DB_DigestiveIntolerance; hasManifestation:DB_HearingLoss; hasManifestation:DB_RespiratoryDistress; hasManifestation:DB_Alopecia; hasEpidemiologicalParameter:DB_Incidence_Spain_2011;</t>
  </si>
  <si>
    <t>hasDescription:"La deficiencia profunda de biotinidasa se caracteriza por actividad enzimática &lt;10% y puede cursar con síntomas neurológicos graves, sordera neurosensorial, alteraciones cutáneas, visuales y metabólicas."; hasDescription:"Deficiencia profunda de biotinidasa, trastorno metabólico hereditario autosómico recesivo que afecta la capacidad de reciclar biotina, con consecuencias graves a nivel neurológico, dermatológico y metabólico si no es tratado precozmente."; hasRefToOMIM:"253260"; hasRefToSNOMED:"9190009"; hasRefToICD:"E71.1";</t>
  </si>
  <si>
    <t>PartialBiotinidaseDeficiency_Treatment</t>
  </si>
  <si>
    <t>hasCost:PartialBiotinidaseDeficiency_Treatment_Cost; hasGuideline:PartialBiotinidaseDeficiency_Treatment_Guideline;</t>
  </si>
  <si>
    <t>hasDescription:"Tratamiento preventivo o a demanda para la deficiencia parcial de biotinidasa: biotina oral a dosis bajas (1-5 mg/día) solo en situaciones de estrés metabólico (infección grave, cirugía, ayuno prolongado) o si aparecen síntomas. En algunos centros se prescribe tratamiento diario preventivo por la excelente tolerancia y seguridad de la biotina."; hasSource:"Couce ML et al., 2011; Guías internacionales"; hasYear:"2011";</t>
  </si>
  <si>
    <t>ProfoundBiotinidaseDeficiency_Treatment</t>
  </si>
  <si>
    <t>hasCost:ProfoundBiotinidaseDeficiency_Treatment_Cost; hasGuideline:ProfoundBiotinidaseDeficiency_Treatment_Guideline;</t>
  </si>
  <si>
    <t>hasSource:"Wolf B et al., 2002; Couce ML et al., 2011; Guías internacionales"; hasYear:"2011"; hasDescription:"Tratamiento farmacológico estándar para deficiencia profunda de biotinidasa: biotina oral a dosis de 10-30 mg/día de por vida. El tratamiento precoz es crucial para prevenir secuelas neurológicas y sensoriales irreversibles.";</t>
  </si>
  <si>
    <t>DB_AcuteComa_Probability</t>
  </si>
  <si>
    <t>isParameterOfManifestation:DB_AcuteComa; includedByModel:ProfoundBiotinidaseDeficiency_Model; hasDataItemType:DI_Probability;</t>
  </si>
  <si>
    <t>hasSource:"Ye J et al., 2009; Wolf B et al., 2002"; hasDescription:"Probabilidad de aparición de coma metabólico o alteración aguda de consciencia en DB profunda no tratada."; hasYear:"2009"; hasExpectedValue:"0.05";</t>
  </si>
  <si>
    <t>DB_AcuteComa_Probability_Partial</t>
  </si>
  <si>
    <t>hasDataItemType:DI_Probability; isParameterOfManifestation:DB_AcuteComa; includedByModel:PartialBiotinidaseDeficiency_Model;</t>
  </si>
  <si>
    <t>hasSource:"Couce ML et al., 2011"; hasDescription:"Probabilidad de aparición de coma metabólico en deficiencia parcial de biotinidasa. No documentado."; hasYear:"2011"; hasExpectedValue:"0.00";</t>
  </si>
  <si>
    <t>DB_Alopecia_BirthPrevalence</t>
  </si>
  <si>
    <t>isParameterOfManifestation:DB_Alopecia; includedByModel:ProfoundBiotinidaseDeficiency_Model; hasDataItemType:DI_PrevalenceAtBirth;</t>
  </si>
  <si>
    <t>hasSource:"Wolf B et al., 2002; Couce ML et al., 2011"; hasDescription:"Prevalencia de alopecia total o parcial al diagnóstico de DB profunda."; hasYear:"2002"; hasExpectedValue:"0.35";</t>
  </si>
  <si>
    <t>DB_Alopecia_Probability</t>
  </si>
  <si>
    <t>hasDataItemType:DI_Probability; includedByModel:ProfoundBiotinidaseDeficiency_Model; isParameterOfManifestation:DB_Alopecia_Chronic;</t>
  </si>
  <si>
    <t>hasExpectedValue:"0.35"; hasSource:"Wolf B et al., 2002; Couce ML et al., 2011"; hasDescription:"Probabilidad de aparición de alopecia total o parcial como manifestación persistente en DB profunda."; hasYear:"2002";</t>
  </si>
  <si>
    <t>DB_Alopecia_Probability_Partial</t>
  </si>
  <si>
    <t>isParameterOfManifestation:DB_Alopecia_Chronic; hasDataItemType:DI_Probability; includedByModel:PartialBiotinidaseDeficiency_Model;</t>
  </si>
  <si>
    <t>hasSource:"Couce ML et al., 2011"; hasExpectedValue:"0.00"; hasYear:"2011"; hasDescription:"Probabilidad de aparición de alopecia en deficiencia parcial de biotinidasa. No documentado en cribado neonatal.";</t>
  </si>
  <si>
    <t>DB_BehavioralDisorder_Probability</t>
  </si>
  <si>
    <t>hasDataItemType:DI_Probability; includedByModel:ProfoundBiotinidaseDeficiency_Model; isParameterOfManifestation:DB_BehavioralDisorder_Chronic;</t>
  </si>
  <si>
    <t>hasDescription:"Probabilidad de aparición de trastornos de conducta o alteraciones psiquiátricas en el seguimiento largo de DB profunda."; hasYear:"2004"; hasExpectedValue:"0.10"; hasSource:"Weber P et al., 2004; Couce ML et al., 2011";</t>
  </si>
  <si>
    <t>DB_BehavioralDisorder_Probability_Partial</t>
  </si>
  <si>
    <t>includedByModel:PartialBiotinidaseDeficiency_Model; isParameterOfManifestation:DB_BehavioralDisorder_Chronic; hasDataItemType:DI_Probability;</t>
  </si>
  <si>
    <t>hasSource:"Weber P et al., 2004; Couce ML et al., 2011"; hasDescription:"Probabilidad de aparición de trastornos de conducta en deficiencia parcial de biotinidasa. No documentado."; hasYear:"2011"; hasExpectedValue:"0.00";</t>
  </si>
  <si>
    <t>DB_Dermatitis_BirthPrevalence</t>
  </si>
  <si>
    <t>hasDataItemType:DI_PrevalenceAtBirth; includedByModel:ProfoundBiotinidaseDeficiency_Model; isParameterOfManifestation:DB_Dermatitis;</t>
  </si>
  <si>
    <t>hasSource:"Couce ML et al., 2011; Weber P et al., 2004"; hasDescription:"Prevalencia de manifestaciones cutáneas (dermatitis, eczema) en el momento del diagnóstico clínico de DB profunda."; hasYear:"2011"; hasExpectedValue:"0.40";</t>
  </si>
  <si>
    <t>DB_Dermatitis_Probability</t>
  </si>
  <si>
    <t>isParameterOfManifestation:DB_Dermatitis_Acute; includedByModel:ProfoundBiotinidaseDeficiency_Model; hasDataItemType:DI_Probability;</t>
  </si>
  <si>
    <t>hasDescription:"Probabilidad de aparición de manifestaciones cutáneas agudas (dermatitis, exantema, eczema) en DB profunda no tratada."; hasSource:"Couce ML et al., 2011; Weber P et al., 2004; Wolf B et al., 2002"; hasExpectedValue:"0.40"; hasYear:"2011";</t>
  </si>
  <si>
    <t>DB_Dermatitis_Probability_Partial</t>
  </si>
  <si>
    <t>hasDataItemType:DI_Probability; isParameterOfManifestation:DB_Dermatitis_Acute; includedByModel:PartialBiotinidaseDeficiency_Model;</t>
  </si>
  <si>
    <t>hasYear:"2011"; hasSource:"Couce ML et al., 2011; Wolf B et al., 2002"; hasExpectedValue:"0.01"; hasDescription:"Probabilidad de aparición de manifestaciones cutáneas agudas (dermatitis, exantema) en deficiencia parcial de biotinidasa. No documentado salvo casos muy excepcionales en contexto de estrés.";</t>
  </si>
  <si>
    <t>DB_DevelopmentalDelay_BirthPrevalence</t>
  </si>
  <si>
    <t>includedByModel:ProfoundBiotinidaseDeficiency_Model; hasDataItemType:DI_PrevalenceAtBirth; isParameterOfManifestation:DB_DevelopmentalDelay;</t>
  </si>
  <si>
    <t>hasYear:"2004"; hasSource:"Weber P et al., 2004; Möslinger D et al., 2003"; hasExpectedValue:"0.55"; hasDescription:"Prevalencia de retraso psicomotor o cognitivo al nacimiento o en los primeros meses/años en pacientes con DB profunda no tratados.";</t>
  </si>
  <si>
    <t>DB_DevelopmentalDelay_Probability</t>
  </si>
  <si>
    <t>isParameterOfManifestation:DB_DevelopmentalDelay_Chronic; includedByModel:ProfoundBiotinidaseDeficiency_Model; hasDataItemType:DI_Probability;</t>
  </si>
  <si>
    <t>hasYear:"2004"; hasSource:"Weber P et al., 2004; Möslinger D et al., 2003"; hasExpectedValue:"0.55"; hasDescription:"Probabilidad de aparición de retraso psicomotor o discapacidad intelectual significativa en pacientes con deficiencia profunda de biotinidasa no tratados o tratados tardíamente.";</t>
  </si>
  <si>
    <t>DB_DevelopmentalDelay_Probability_Partial</t>
  </si>
  <si>
    <t>isParameterOfManifestation:DB_DevelopmentalDelay_Chronic; includedByModel:PartialBiotinidaseDeficiency_Model; hasDataItemType:DI_Probability;</t>
  </si>
  <si>
    <t>hasYear:"2011"; hasSource:"Weber P et al., 2004; Couce ML et al., 2011"; hasExpectedValue:"0.01"; hasDescription:"Probabilidad de aparición de retraso psicomotor en pacientes con deficiencia parcial de biotinidasa. No se ha documentado en cribado neonatal; casos anecdóticos en literatura internacional.";</t>
  </si>
  <si>
    <t>DB_DigestiveIntolerance_BirthPrevalence</t>
  </si>
  <si>
    <t>includedByModel:ProfoundBiotinidaseDeficiency_Model; isParameterOfManifestation:DB_DigestiveIntolerance; hasDataItemType:DI_PrevalenceAtBirth;</t>
  </si>
  <si>
    <t>hasDescription:"Prevalencia de síntomas digestivos graves (vómitos, intolerancia, fallo de medro) al diagnóstico."; hasYear:"2009"; hasExpectedValue:"0.07"; hasSource:"Ye J et al., 2009; Weber P et al., 2004";</t>
  </si>
  <si>
    <t>DB_DigestiveIntolerance_Probability</t>
  </si>
  <si>
    <t>isParameterOfManifestation:DB_DigestiveIntolerance_Acute; hasDataItemType:DI_Probability; includedByModel:ProfoundBiotinidaseDeficiency_Model;</t>
  </si>
  <si>
    <t>hasExpectedValue:"0.07"; hasSource:"Ye J et al., 2009; Weber P et al., 2004"; hasDescription:"Probabilidad de aparición de manifestaciones digestivas agudas graves (vómitos, intolerancia, deshidratación) en DB profunda."; hasYear:"2009";</t>
  </si>
  <si>
    <t>DB_DigestiveIntolerance_Probability_Partial</t>
  </si>
  <si>
    <t>includedByModel:PartialBiotinidaseDeficiency_Model; isParameterOfManifestation:DB_DigestiveIntolerance_Acute; hasDataItemType:DI_Probability;</t>
  </si>
  <si>
    <t>hasSource:"Couce ML et al., 2011"; hasExpectedValue:"0.00"; hasYear:"2011"; hasDescription:"Probabilidad de aparición de manifestaciones digestivas agudas en deficiencia parcial de biotinidasa. No documentado.";</t>
  </si>
  <si>
    <t>DB_GrowthFailure_BirthPrevalence</t>
  </si>
  <si>
    <t>isParameterOfManifestation:DB_GrowthFailure; hasDataItemType:DI_PrevalenceAtBirth; includedByModel:ProfoundBiotinidaseDeficiency_Model;</t>
  </si>
  <si>
    <t>hasExpectedValue:"0.15"; hasDescription:"Prevalencia de fallo de crecimiento en pacientes sintomáticos al nacimiento."; hasSource:"Couce ML et al., 2011"; hasYear:"2011";</t>
  </si>
  <si>
    <t>DB_GrowthFailure_Probability</t>
  </si>
  <si>
    <t>includedByModel:ProfoundBiotinidaseDeficiency_Model; isParameterOfManifestation:DB_GrowthFailure_Chronic; hasDataItemType:DI_Probability;</t>
  </si>
  <si>
    <t>hasYear:"2011"; hasSource:"Couce ML et al., 2011; Ye J et al., 2009"; hasDescription:"Probabilidad de aparición de retraso ponderoestatural/fallo de crecimiento en DB profunda crónica."; hasExpectedValue:"0.15";</t>
  </si>
  <si>
    <t>DB_GrowthFailure_Probability_Partial</t>
  </si>
  <si>
    <t>isParameterOfManifestation:DB_GrowthFailure_Chronic; hasDataItemType:DI_Probability; includedByModel:PartialBiotinidaseDeficiency_Model;</t>
  </si>
  <si>
    <t>hasDescription:"Probabilidad de aparición de retraso ponderoestatural/fallo de crecimiento en deficiencia parcial de biotinidasa. No documentado."; hasSource:"Couce ML et al., 2011"; hasExpectedValue:"0.00"; hasYear:"2011";</t>
  </si>
  <si>
    <t>DB_HearingLoss_BirthPrevalence</t>
  </si>
  <si>
    <t>isParameterOfManifestation:DB_HearingLoss; includedByModel:ProfoundBiotinidaseDeficiency_Model; hasDataItemType:DI_PrevalenceAtBirth;</t>
  </si>
  <si>
    <t>hasSource:"Wolf B et al., 2002; Genc GA et al., 2007; Couce ML et al., 2011"; hasExpectedValue:"0.60"; hasDescription:"Prevalencia de sordera neurosensorial al nacimiento o antes del inicio de tratamiento en pacientes con deficiencia profunda de biotinidasa."; hasYear:"2002";</t>
  </si>
  <si>
    <t>DB_HearingLoss_Probability</t>
  </si>
  <si>
    <t>isParameterOfManifestation:DB_HearingLoss_Chronic; hasDataItemType:DI_Probability; includedByModel:ProfoundBiotinidaseDeficiency_Model;</t>
  </si>
  <si>
    <t>hasDescription:"Probabilidad de aparición de sordera neurosensorial (de moderada a profunda) en pacientes con deficiencia profunda de biotinidasa no tratados."; hasExpectedValue:"0.60"; hasSource:"Wolf B et al., 2002; Genc GA et al., 2007; Couce ML et al., 2011"; hasYear:"2007";</t>
  </si>
  <si>
    <t>DB_HearingLoss_Probability_Partial</t>
  </si>
  <si>
    <t>hasDataItemType:DI_Probability; includedByModel:PartialBiotinidaseDeficiency_Model; isParameterOfManifestation:DB_HearingLoss_Chronic;</t>
  </si>
  <si>
    <t>hasYear:"2011"; hasExpectedValue:"0.01"; hasSource:"Couce ML et al., 2011; Wolf B et al., 2002"; hasDescription:"Probabilidad de aparición de sordera neurosensorial en deficiencia parcial de biotinidasa. No se ha descrito en cribado neonatal; casos excepcionales en literatura.";</t>
  </si>
  <si>
    <t>DB_Incidence_Spain_2011</t>
  </si>
  <si>
    <t>hasExpectedValue:"0.0000114"; hasYear:"2011"; hasSource:"Couce et al., Med Clin (Barc). 2011;137(11):500–503"; hasDescription:"Incidencia de deficiencia profunda de biotinidasa en España detectada por cribado neonatal entre 1987-2009";</t>
  </si>
  <si>
    <t>DB_LacticAcidosis_BirthPrevalence</t>
  </si>
  <si>
    <t>includedByModel:ProfoundBiotinidaseDeficiency_Model; hasDataItemType:DI_PrevalenceAtBirth; isParameterOfManifestation:DB_LacticAcidosis;</t>
  </si>
  <si>
    <t>hasDescription:"Prevalencia de acidosis láctica significativa al diagnóstico de DB profunda."; hasYear:"2004"; hasExpectedValue:"0.20"; hasSource:"Weber P et al., 2004; Ye J et al., 2009";</t>
  </si>
  <si>
    <t>DB_LacticAcidosis_Probability</t>
  </si>
  <si>
    <t>includedByModel:ProfoundBiotinidaseDeficiency_Model; isParameterOfManifestation:DB_LacticAcidosis_Acute; hasDataItemType:DI_Probability;</t>
  </si>
  <si>
    <t>hasExpectedValue:"0.20"; hasYear:"2004"; hasDescription:"Probabilidad de aparición de acidosis láctica aguda en debut clínico de DB profunda."; hasSource:"Weber P et al., 2004; Ye J et al., 2009";</t>
  </si>
  <si>
    <t>DB_LacticAcidosis_Probability_Partial</t>
  </si>
  <si>
    <t>hasDataItemType:DI_Probability; includedByModel:PartialBiotinidaseDeficiency_Model; isParameterOfManifestation:DB_LacticAcidosis_Acute;</t>
  </si>
  <si>
    <t>hasDescription:"Probabilidad de aparición de acidosis láctica aguda en deficiencia parcial de biotinidasa. No documentado."; hasYear:"2011"; hasExpectedValue:"0.00"; hasSource:"Couce ML et al., 2011";</t>
  </si>
  <si>
    <t>DB_MotorDisorder_Probability</t>
  </si>
  <si>
    <t>hasDataItemType:DI_Probability; includedByModel:ProfoundBiotinidaseDeficiency_Model; isParameterOfManifestation:DB_MotorDisorder_Chronic;</t>
  </si>
  <si>
    <t>hasExpectedValue:"0.30"; hasDescription:"Probabilidad de aparición de trastornos motores crónicos (ataxia, espasticidad, hipotonía persistente) en DB profunda no tratada."; hasSource:"Weber P et al., 2004; Wolf B et al., 2002"; hasYear:"2004";</t>
  </si>
  <si>
    <t>DB_MotorDisorder_Probability_Partial</t>
  </si>
  <si>
    <t>includedByModel:PartialBiotinidaseDeficiency_Model; hasDataItemType:DI_Probability; isParameterOfManifestation:DB_MotorDisorder_Chronic;</t>
  </si>
  <si>
    <t>hasExpectedValue:"0.00"; hasSource:"Weber P et al., 2004; Couce ML et al., 2011"; hasYear:"2011"; hasDescription:"Probabilidad de aparición de trastornos motores crónicos en deficiencia parcial de biotinidasa. No documentado.";</t>
  </si>
  <si>
    <t>DB_OpticAtrophy_BirthPrevalence</t>
  </si>
  <si>
    <t>hasDataItemType:DI_PrevalenceAtBirth; isParameterOfManifestation:DB_OpticAtrophy; includedByModel:ProfoundBiotinidaseDeficiency_Model;</t>
  </si>
  <si>
    <t>hasExpectedValue:"0.18"; hasYear:"2004"; hasDescription:"Prevalencia de atrofia óptica en el momento del diagnóstico de DB profunda."; hasSource:"Weber P et al., 2004";</t>
  </si>
  <si>
    <t>DB_OpticAtrophy_Probability</t>
  </si>
  <si>
    <t>includedByModel:ProfoundBiotinidaseDeficiency_Model; isParameterOfManifestation:DB_OpticAtrophy_Chronic; hasDataItemType:DI_Probability;</t>
  </si>
  <si>
    <t>hasDescription:"Probabilidad de aparición de atrofia óptica (pérdida de visión permanente) en pacientes con deficiencia profunda de biotinidasa."; hasYear:"2004"; hasSource:"Weber P et al., 2004; Couce ML et al., 2011"; hasExpectedValue:"0.18";</t>
  </si>
  <si>
    <t>DB_OpticAtrophy_Probability_Partial</t>
  </si>
  <si>
    <t>isParameterOfManifestation:DB_OpticAtrophy_Chronic; includedByModel:PartialBiotinidaseDeficiency_Model; hasDataItemType:DI_Probability;</t>
  </si>
  <si>
    <t>hasSource:"Couce ML et al., 2011; Wolf B et al., 2002"; hasYear:"2011"; hasDescription:"Probabilidad de aparición de atrofia óptica en deficiencia parcial de biotinidasa. No documentado."; hasExpectedValue:"0.00";</t>
  </si>
  <si>
    <t>DB_RespiratoryDistress_BirthPrevalence</t>
  </si>
  <si>
    <t>isParameterOfManifestation:DB_RespiratoryDistress; hasDataItemType:DI_PrevalenceAtBirth; includedByModel:ProfoundBiotinidaseDeficiency_Model;</t>
  </si>
  <si>
    <t>hasExpectedValue:"0.10"; hasYear:"2011"; hasDescription:"Prevalencia de distrés respiratorio al diagnóstico de DB profunda."; hasSource:"Couce ML et al., 2011; Ye J et al., 2009";</t>
  </si>
  <si>
    <t>DB_RespiratoryDistress_Probability</t>
  </si>
  <si>
    <t>isParameterOfManifestation:DB_RespiratoryDistress_Acute; hasDataItemType:DI_Probability; includedByModel:ProfoundBiotinidaseDeficiency_Model;</t>
  </si>
  <si>
    <t>hasYear:"2011"; hasSource:"Couce ML et al., 2011; Ye J et al., 2009"; hasExpectedValue:"0.10"; hasDescription:"Probabilidad de aparición de distrés respiratorio agudo en el contexto de debut de DB profunda no tratada.";</t>
  </si>
  <si>
    <t>DB_RespiratoryDistress_Probability_Partial</t>
  </si>
  <si>
    <t>hasDataItemType:DI_Probability; isParameterOfManifestation:DB_RespiratoryDistress_Acute; includedByModel:PartialBiotinidaseDeficiency_Model;</t>
  </si>
  <si>
    <t>hasExpectedValue:"0.00"; hasYear:"2011"; hasSource:"Couce ML et al., 2011"; hasDescription:"Probabilidad de aparición de distrés respiratorio agudo en deficiencia parcial de biotinidasa. No documentado.";</t>
  </si>
  <si>
    <t>DB_Seizures_BirthPrevalence</t>
  </si>
  <si>
    <t>includedByModel:ProfoundBiotinidaseDeficiency_Model; isParameterOfManifestation:DB_Seizures; hasDataItemType:DI_PrevalenceAtBirth;</t>
  </si>
  <si>
    <t>hasExpectedValue:"0.83"; hasDescription:"Prevalencia de convulsiones al nacimiento o en los primeros meses de vida en pacientes con deficiencia profunda de biotinidasa no tratados."; hasSource:"Wolf B et al., 2002; Couce ML et al., 2011; Weber P et al., 2004"; hasYear:"2002";</t>
  </si>
  <si>
    <t>DB_Seizures_Probability</t>
  </si>
  <si>
    <t>includedByModel:ProfoundBiotinidaseDeficiency_Model; hasDataItemType:DI_Probability; isParameterOfManifestation:DB_Seizures_Acute;</t>
  </si>
  <si>
    <t>hasYear:"2002"; hasDescription:"Probabilidad acumulada de aparición de convulsiones (mioclónicas, generalizadas) en pacientes con deficiencia profunda de biotinidasa no tratados."; hasSource:"Wolf B et al., 2002; Weber P et al., 2004; Couce ML et al., 2011"; hasExpectedValue:"0.80";</t>
  </si>
  <si>
    <t>DB_Seizures_Probability_Partial</t>
  </si>
  <si>
    <t>includedByModel:PartialBiotinidaseDeficiency_Model; hasDataItemType:DI_Probability; isParameterOfManifestation:DB_Seizures_Acute;</t>
  </si>
  <si>
    <t>hasSource:"Couce ML et al., 2011"; hasExpectedValue:"0.01"; hasYear:"2011"; hasDescription:"Probabilidad acumulada de aparición de convulsiones en pacientes con deficiencia parcial de biotinidasa. Casos extremadamente raros, generalmente en situaciones de estrés metabólico severo.";</t>
  </si>
  <si>
    <t>PartialBiotinidaseDeficiency_FollowUpStrategy</t>
  </si>
  <si>
    <t>hasFrequency:PartialBiotinidaseDeficiency_FollowUp_Frequency; hasCost:PartialBiotinidaseDeficiency_FollowUp_Cost;</t>
  </si>
  <si>
    <t>hasSource:"Couce ML et al., 2011"; hasYear:"2011"; hasDescription:"Estrategia de seguimiento clínico para pacientes con deficiencia parcial de biotinidasa: revisión anual y educación sanitaria para identificar precozmente síntomas en situaciones de estrés metabólico. No requiere pruebas sistemáticas si asintomático.";</t>
  </si>
  <si>
    <t>ProfoundBiotinidaseDeficiency_FollowUpStrategy</t>
  </si>
  <si>
    <t>usesFollowUpTest:NeurologicalEvaluation; usesFollowUpTest:BiochemicalMonitoring; usesFollowUpTest:OphthalmologicEvaluation; usesFollowUpTest:NutritionalAssessment; usesFollowUpTest:Audiometry; hasCost:ProfoundBiotinidaseDeficiency_FollowUp_Cost; hasFrequency:ProfoundBiotinidaseDeficiency_FollowUp_Frequency;</t>
  </si>
  <si>
    <t>hasYear:"2011"; hasSource:"Wolf B et al., 2002; Couce ML et al., 2011; Genc GA et al., 2007"; hasDescription:"Estrategia de seguimiento clínico y bioquímico de por vida en pacientes con deficiencia profunda de biotinidasa: monitorización neurológica, auditiva, visual y bioquímica periódica, así como control de adherencia al tratamiento con biotina.";</t>
  </si>
  <si>
    <t>Audiometry</t>
  </si>
  <si>
    <t>hasDescription:"Audiometría tonal y verbal periódica para detección precoz de pérdida auditiva.";</t>
  </si>
  <si>
    <t>BiochemicalMonitoring</t>
  </si>
  <si>
    <t>hasDescription:"Control de parámetros bioquímicos relevantes: ácidos orgánicos en orina, lactato, amonio, función hepatorrenal.";</t>
  </si>
  <si>
    <t>NeurologicalEvaluation</t>
  </si>
  <si>
    <t>hasDescription:"Evaluación neurológica y del desarrollo psicomotor.";</t>
  </si>
  <si>
    <t>NutritionalAssessment</t>
  </si>
  <si>
    <t>hasDescription:"Valoración nutricional y de crecimiento, especialmente en la infancia.";</t>
  </si>
  <si>
    <t>OphthalmologicEvaluation</t>
  </si>
  <si>
    <t>hasDescription:"Exploración oftalmológica con fondo de ojo para detectar atrofia óptica.";</t>
  </si>
  <si>
    <t>PartialBiotinidaseDeficiency_Treatment_Guideline</t>
  </si>
  <si>
    <t>Guideline</t>
  </si>
  <si>
    <t>hasDose:PartialBiotinidaseDeficiency_Treatment_Dose;</t>
  </si>
  <si>
    <t>hasSource:"Couce ML et al., 2011"; hasYear:"2011"; hasDescription:"Administrar biotina oral en situaciones de estrés metabólico o síntomas; opcionalmente, tratamiento continuo a dosis bajas."; hasRange:"0y-100y";</t>
  </si>
  <si>
    <t>ProfoundBiotinidaseDeficiency_Treatment_Guideline</t>
  </si>
  <si>
    <t>hasDose:ProfoundBiotinidaseDeficiency_Treatment_Dose;</t>
  </si>
  <si>
    <t>hasSource:"Couce ML et al., 2011; Wolf B et al., 2002"; hasDescription:"Administrar biotina oral, preferiblemente en una única toma diaria, de por vida."; hasYear:"2011"; hasRange:"0y-100y";</t>
  </si>
  <si>
    <t>NeonatalScreening_BiotinidaseDeficiency</t>
  </si>
  <si>
    <t>hasCost:NeonatalScreening_BiotinidaseDeficiency_Cost; hasSpecificity:NeonatalScreening_BiotinidaseDeficiency_Specificity; hasSensitivity:NeonatalScreening_BiotinidaseDeficiency_Sensitivity;</t>
  </si>
  <si>
    <t>hasDescription:"Cribado neonatal de la deficiencia de biotinidasa mediante determinación de la actividad enzimática en sangre seca en papel de filtro por ensayo enzimático colorimétrico o fluorimétrico semicuantitativo."; hasYear:"2011"; hasSource:"Couce ML et al., 2011; Wolf B et al., 2002; Guías de cribado neonatal europeas";</t>
  </si>
  <si>
    <t>BiotinidaseDeficiency_SupportiveCare</t>
  </si>
  <si>
    <t>hasCost:BiotinidaseDeficiency_SupportiveCare_Cost;</t>
  </si>
  <si>
    <t>hasSource:"Genc GA et al., 2007; Barton GR et al., 2007"; hasDescription:"Cuidados de soporte y rehabilitación para secuelas neurosensoriales (sordera, ceguera) y discapacidades asociadas a la deficiencia de biotinidasa: audífonos, implante coclear, apoyo educativo, logopedia, fisioterapia, atención temprana."; hasYear:"2007";</t>
  </si>
  <si>
    <t>Should not be an intervention</t>
  </si>
  <si>
    <t>PharmacologicalBiotinTreatment</t>
  </si>
  <si>
    <t>hasCost:PharmacologicalBiotinTreatment_Cost; hasDose:PharmacologicalBiotinTreatment_Dose;</t>
  </si>
  <si>
    <t>hasSource:"Wolf B et al., 2002; Couce ML et al., 2011; Guías clínicas internacionales"; hasYear:"2002"; hasDescription:"Tratamiento farmacológico de la deficiencia profunda de biotinidasa con biotina oral en dosis de 10 a 30 mg/día de por vida. Eficaz para prevenir y revertir las manifestaciones clínicas si se administra precozmente.";</t>
  </si>
  <si>
    <t>SensorineuralSupport</t>
  </si>
  <si>
    <t>hasCost:SensorineuralSupport_Cost;</t>
  </si>
  <si>
    <t>hasDescription:"Soporte y tratamiento para las secuelas neurosensoriales de la deficiencia de biotinidasa, incluyendo audífonos, implante coclear, ayudas ópticas y apoyo educativo especializado."; hasSource:"Genc GA et al., 2007; Barton GR et al., 2007; Guías de rehabilitación sensorial"; hasYear:"2007";</t>
  </si>
  <si>
    <t>DB_AcuteComa_Utility</t>
  </si>
  <si>
    <t>isParameterOfManifestation:DB_AcuteComa;</t>
  </si>
  <si>
    <t>hasSource:"Prosser LA et al., Pediatrics 2015"; hasYear:"2015"; hasExpectedValue:"0.05"; hasDescription:"Utilidad asociada a estado de coma metabólico agudo, compatible con situación de soporte vital.";</t>
  </si>
  <si>
    <t>DB_Alopecia_Utility</t>
  </si>
  <si>
    <t>isParameterOfManifestation:DB_Alopecia_Chronic;</t>
  </si>
  <si>
    <t>hasDescription:"Valor de utilidad asociado a alopecia infantil/adolescente. Basado en estudios de calidad de vida dermatológica."; hasSource:"Hunt N, McHale S. BMJ 2005; Health Utilities Index"; hasExpectedValue:"0.96"; hasYear:"2005";</t>
  </si>
  <si>
    <t>DB_BehavioralDisorder_Utility</t>
  </si>
  <si>
    <t>isParameterOfManifestation:DB_BehavioralDisorder_Chronic;</t>
  </si>
  <si>
    <t>hasYear:"2019"; hasExpectedValue:"0.72"; hasSource:"Jangmo A et al., JAMA Pediatr. 2019; NICE"; hasDescription:"Utilidad asociada a trastornos de conducta/psiquiátricos crónicos secundarios a DB profunda. Basado en estudios de TDAH/alteraciones emocionales en pediatría.";</t>
  </si>
  <si>
    <t>DB_Dermatitis_Utility</t>
  </si>
  <si>
    <t>isParameterOfManifestation:DB_Dermatitis_Acute;</t>
  </si>
  <si>
    <t>hasYear:"1998"; hasSource:"Berggren F et al., Br J Dermatol. 1998; NICE"; hasDescription:"Valor de utilidad durante episodio agudo de dermatitis severa/eczema. Basado en estudios de utilidad en eccema infantil."; hasExpectedValue:"0.85";</t>
  </si>
  <si>
    <t>DB_DevelopmentalDelay_Utility</t>
  </si>
  <si>
    <t>isParameterOfManifestation:DB_DevelopmentalDelay_Chronic;</t>
  </si>
  <si>
    <t>hasYear:"2009"; hasDescription:"Valor de utilidad asociado a discapacidad intelectual moderada en edad pediátrica. Adaptado de estudios de enfermedades raras metabólicas y epilepsia refractaria."; hasExpectedValue:"0.63"; hasSource:"Peacock S et al., Health Econ 2009; NICE; Prosser LA et al., Pediatrics 2015";</t>
  </si>
  <si>
    <t>DB_DigestiveIntolerance_Utility</t>
  </si>
  <si>
    <t>isParameterOfManifestation:DB_DigestiveIntolerance_Acute;</t>
  </si>
  <si>
    <t>hasSource:"Prosser LA et al., Pediatrics 2015"; hasDescription:"Valor de utilidad durante episodios agudos de intolerancia digestiva grave/vómitos. Basado en estudios de gastroenteritis aguda y enfermedades metabólicas."; hasYear:"2015"; hasExpectedValue:"0.75";</t>
  </si>
  <si>
    <t>DB_GrowthFailure_Utility</t>
  </si>
  <si>
    <t>isParameterOfManifestation:DB_GrowthFailure_Chronic;</t>
  </si>
  <si>
    <t>hasDescription:"Valor de utilidad asociado a fallo de crecimiento persistente en pediatría. Basado en estudios de malnutrición infantil y enfermedades metabólicas."; hasSource:"Prosser LA et al., Pediatrics 2015"; hasExpectedValue:"0.80"; hasYear:"2015";</t>
  </si>
  <si>
    <t>DB_HearingLoss_Utility</t>
  </si>
  <si>
    <t>isParameterOfManifestation:DB_HearingLoss_Chronic;</t>
  </si>
  <si>
    <t>hasDescription:"Valor de utilidad asociado a sordera neurosensorial bilateral persistente. Ajustado de estudios de coste-utilidad en pérdida auditiva pediátrica y Health Utilities Index."; hasYear:"2007"; hasSource:"Barton GR et al., Cochlear Implants Int. 2006; Barton GR et al., 2007; NICE CG60; HUI-3"; hasExpectedValue:"0.71";</t>
  </si>
  <si>
    <t>DB_LacticAcidosis_Utility</t>
  </si>
  <si>
    <t>isParameterOfManifestation:DB_LacticAcidosis_Acute;</t>
  </si>
  <si>
    <t>hasYear:"2005"; hasSource:"Lee PJ et al., JIMD 2005"; hasExpectedValue:"0.70"; hasDescription:"Valor de utilidad durante episodio de acidosis láctica aguda. Adaptado de estados equivalentes en enfermedades metabólicas pediátricas.";</t>
  </si>
  <si>
    <t>DB_MotorDisorder_Utility</t>
  </si>
  <si>
    <t>isParameterOfManifestation:DB_MotorDisorder_Chronic;</t>
  </si>
  <si>
    <t>hasYear:"2005"; hasDescription:"Valor de utilidad para trastornos motores crónicos severos (ataxia, espasticidad, hipotonía persistente). Derivado de estudios en parálisis cerebral infantil y enfermedades neuromusculares."; hasExpectedValue:"0.60"; hasSource:"Tilford JM et al., Dev Med Child Neurol. 2005; NICE";</t>
  </si>
  <si>
    <t>DB_OpticAtrophy_Utility</t>
  </si>
  <si>
    <t>isParameterOfManifestation:DB_OpticAtrophy_Chronic;</t>
  </si>
  <si>
    <t>hasSource:"Brown MM et al., Ophthalmology. 2001; Health Utilities Index"; hasYear:"2001"; hasDescription:"Valor de utilidad asociado a atrofia óptica/pérdida visual legal. Basado en estudios de utilidad en ceguera y enfermedades neurodegenerativas infantiles."; hasExpectedValue:"0.62";</t>
  </si>
  <si>
    <t>DB_RespiratoryDistress_Utility</t>
  </si>
  <si>
    <t>isParameterOfManifestation:DB_RespiratoryDistress_Acute;</t>
  </si>
  <si>
    <t>hasDescription:"Utilidad asociada a episodio de distrés respiratorio agudo en paciente pediátrico. Basado en estudios de estados críticos pediátricos."; hasSource:"Prosser LA et al., Pediatrics 2015"; hasYear:"2015"; hasExpectedValue:"0.55";</t>
  </si>
  <si>
    <t>DB_AcuteComa_Frequency</t>
  </si>
  <si>
    <t>DB_Dermatitis_Acute_Frequency</t>
  </si>
  <si>
    <t>DB_Dermatitis_OnsetAge</t>
  </si>
  <si>
    <t>DB_DigestiveIntolerance_Acute_Frequency</t>
  </si>
  <si>
    <t>DB_DigestiveIntolerance_OnsetAge</t>
  </si>
  <si>
    <t>DB_LacticAcidosis_Acute_Frequency</t>
  </si>
  <si>
    <t>DB_LacticAcidosis_OnsetAge</t>
  </si>
  <si>
    <t>DB_RespiratoryDistress_Acute_Frequency</t>
  </si>
  <si>
    <t>DB_RespiratoryDistress_OnsetAge</t>
  </si>
  <si>
    <t>DB_Seizures_Acute_Frequency</t>
  </si>
  <si>
    <t>DB_Seizures_OnsetAge</t>
  </si>
  <si>
    <t>DB_Seizures_Utility</t>
  </si>
  <si>
    <t>DI_AgeAtOnset</t>
  </si>
  <si>
    <t>DI_Dose</t>
  </si>
  <si>
    <t>DI_Frequency</t>
  </si>
  <si>
    <t>DI_PrevalenceAtBirth</t>
  </si>
  <si>
    <t>PartialBiotinidaseDeficiency_Model</t>
  </si>
  <si>
    <t>ProfoundBiotinidaseDeficiency_Model</t>
  </si>
  <si>
    <t>UC1-F3-P2-S2-M2</t>
  </si>
  <si>
    <t>BTD_Manif_AcuteHypotonia</t>
  </si>
  <si>
    <t>hasFrequency:BTD_Manif_AcuteHypotonia_Frequency; hasOnsetAge:BTD_Manif_AcuteHypotonia_OnsetAge;</t>
  </si>
  <si>
    <t>hasDescription:"Episodios de hipotonía aguda, frecuentemente asociados a la crisis metabólica.";</t>
  </si>
  <si>
    <t>BTD_Manif_AcuteMetabolic</t>
  </si>
  <si>
    <t>hasFrequency:BTD_Manif_AcuteMetabolic_Frequency;</t>
  </si>
  <si>
    <t>hasDescription:"Crisis metabólica aguda: acidosis metabólica, encefalopatía, coma";</t>
  </si>
  <si>
    <t>BTD_Manif_AcuteMetabolicCrisis</t>
  </si>
  <si>
    <t>hasOnsetAge:BTD_Manif_AcuteMetabolicCrisis_OnsetAge; hasProbabilityOfDeath:BTD_Manif_AcuteMetabolicCrisis_DeathProbability; hasFrequency:BTD_Manif_AcuteMetabolicCrisis_Frequency;</t>
  </si>
  <si>
    <t>hasDescription:"Crisis metabólica aguda: acidosis metabólica, encefalopatía, coma. Puede presentarse en lactantes con deficiencia profunda de biotinidasa no tratada, desencadenada por infecciones o ayuno.";</t>
  </si>
  <si>
    <t>BTD_Manif_AcuteRespiratoryDistress</t>
  </si>
  <si>
    <t>hasFrequency:BTD_Manif_AcuteRespiratoryDistress_Frequency; hasOnsetAge:BTD_Manif_AcuteRespiratoryDistress_OnsetAge;</t>
  </si>
  <si>
    <t>hasDescription:"Episodios de distrés respiratorio agudo relacionados con la crisis metabólica en pacientes no tratados.";</t>
  </si>
  <si>
    <t>BTD_Manif_AcuteSeizures</t>
  </si>
  <si>
    <t>hasFrequency:BTD_Manif_AcuteSeizures_Frequency; hasOnsetAge:BTD_Manif_AcuteSeizures_OnsetAge;</t>
  </si>
  <si>
    <t>hasDescription:"Convulsiones agudas: crisis epilépticas que pueden ser el primer signo clínico en recién nacidos o lactantes no tratados.";</t>
  </si>
  <si>
    <t>BTD_Manif_AcuteTriggeredByStress</t>
  </si>
  <si>
    <t>hasOnsetAge:BTD_Manif_AcuteTriggeredByStress_OnsetAge; hasFrequency:BTD_Manif_AcuteTriggeredByStress_Frequency;</t>
  </si>
  <si>
    <t>hasDescription:"Crisis aguda desencadenada por infección, ayuno o procedimientos médicos en pacientes con deficiencia profunda de biotinidasa no tratada.";</t>
  </si>
  <si>
    <t>BTD_Manif_ChronicAlopecia</t>
  </si>
  <si>
    <t>hasDescription:"Alopecia persistente o caída del cabello de larga evolución.";</t>
  </si>
  <si>
    <t>BTD_Manif_ChronicDermatitis</t>
  </si>
  <si>
    <t>hasDescription:"Dermatitis crónica, erupciones cutáneas recurrentes o eccema persistente, de aparición característica en la infancia.";</t>
  </si>
  <si>
    <t>BTD_Manif_ChronicEpilepsy</t>
  </si>
  <si>
    <t>hasDescription:"Epilepsia o convulsiones recurrentes de difícil control, con frecuencia refractarias al tratamiento convencional.";</t>
  </si>
  <si>
    <t>BTD_Manif_ChronicGlobalSequelae</t>
  </si>
  <si>
    <t>hasDescription:"Secuelas neurológicas globales e irreversibles, consecuencia de la afectación multisistémica crónica de la deficiencia profunda de biotinidasa no tratada.";</t>
  </si>
  <si>
    <t>BTD_Manif_ChronicHearingLoss</t>
  </si>
  <si>
    <t>hasDescription:"Hipoacusia neurosensorial irreversible, hallazgo frecuente y característico en la deficiencia profunda de biotinidasa sin tratamiento precoz.";</t>
  </si>
  <si>
    <t>BTD_Manif_ChronicHypotonia</t>
  </si>
  <si>
    <t>hasDescription:"Hipotonía crónica, tono muscular disminuido de forma mantenida en el tiempo.";</t>
  </si>
  <si>
    <t>BTD_Manif_ChronicIntellectualDisability</t>
  </si>
  <si>
    <t>hasDescription:"Retraso psicomotor y discapacidad intelectual de grado variable, frecuente en pacientes no tratados o tratados tardíamente.";</t>
  </si>
  <si>
    <t>BTD_Manif_ChronicMotorDisorder</t>
  </si>
  <si>
    <t>hasDescription:"Ataxia, alteraciones motoras persistentes, dificultades en la marcha y la coordinación.";</t>
  </si>
  <si>
    <t>BTD_Manif_ChronicNeuropsychiatric</t>
  </si>
  <si>
    <t>hasDescription:"Alteraciones del comportamiento y problemas psiquiátricos crónicos, incluyendo trastornos de la atención, ansiedad y rasgos autistas.";</t>
  </si>
  <si>
    <t>BTD_Manif_ChronicVisualImpairment</t>
  </si>
  <si>
    <t>hasDescription:"Afectación visual crónica: atrofia óptica, retinopatía pigmentaria o pérdida visual progresiva.";</t>
  </si>
  <si>
    <t>BTD_Manif_Cutaneous</t>
  </si>
  <si>
    <t>hasInitialProportion:BTD_Manif_Cutaneous_InitialProportion;</t>
  </si>
  <si>
    <t>hasDescription:"Manifestaciones cutáneas: dermatitis, alopecia, erupciones eccematosas";</t>
  </si>
  <si>
    <t>BTD_Manif_Neurological</t>
  </si>
  <si>
    <t>hasInitialProportion:BTD_Manif_Neurological_InitialProportion;</t>
  </si>
  <si>
    <t>hasDescription:"Síntomas neurológicos: convulsiones, retraso psicomotor, hipotonía, sordera neurosensorial, ataxia";</t>
  </si>
  <si>
    <t>BTD_Manif_Sequelae</t>
  </si>
  <si>
    <t>hasInitialProportion:BTD_Manif_Sequelae_InitialProportion;</t>
  </si>
  <si>
    <t>hasDescription:"Secuelas irreversibles: daño neurológico permanente, discapacidad intelectual, sordera irreversible";</t>
  </si>
  <si>
    <t>BTD_BirthPrevalence_Death_Esp</t>
  </si>
  <si>
    <t>hasExpectedValue:"1.3E-6"; hasDescription:"Prevalencia al nacimiento estimada de fallecimiento precoz por deficiencia profunda de biotinidasa en ausencia de cribado neonatal (España, 10% de los afectados)"; hasYear:"2012"; hasSource:"Wolf et al., 2012. PMID:22639981; Ugarte et al., 2010"; isTrueEpidemiologicalParameterEstimate:"false";</t>
  </si>
  <si>
    <t>BTD_BirthPrevalence_Esp</t>
  </si>
  <si>
    <t>hasYear:"2010"; hasExpectedValue:"1.3E-5"; hasSource:"Programa de cribado neonatal en España, Wolf et al. 2012, Orphanet (ORPHA:79250), Ugarte et al. 2010"; hasDescription:"Prevalencia al nacimiento estimada para deficiencia profunda de biotinidasa en España"; isTrueEpidemiologicalParameterEstimate:"true";</t>
  </si>
  <si>
    <t>BTD_BirthPrevalence_Europe</t>
  </si>
  <si>
    <t>hasDescription:"Prevalencia al nacimiento estimada para deficiencia profunda de biotinidasa en Europa"; hasExpectedValue:"1.4E-5"; hasSource:"Wolf et al., 2012. PMID:22639981; Orphanet (ORPHA:79250)"; hasYear:"2012"; isTrueEpidemiologicalParameterEstimate:"true";</t>
  </si>
  <si>
    <t>BTD_BirthPrevalence_Neurological_Esp</t>
  </si>
  <si>
    <t>hasSource:"Wolf et al., 2012. PMID:22639981; Ugarte et al., 2010"; isTrueEpidemiologicalParameterEstimate:"false"; hasYear:"2012"; hasExpectedValue:"9.1E-6"; hasDescription:"Prevalencia al nacimiento estimada de presentación neurológica sintomática grave de deficiencia profunda de biotinidasa en ausencia de cribado neonatal (España, 70% de los afectados)";</t>
  </si>
  <si>
    <t>BTD_Manif_AcuteMetabolicCrisis_DeathProbability</t>
  </si>
  <si>
    <t>hasSource:"Wolf et al., 2012. PMID:22639981"; hasExpectedValue:"0.1"; hasDescription:"Probabilidad de muerte asociada a la crisis metabólica aguda no tratada"; hasYear:"2012";</t>
  </si>
  <si>
    <t>BTD_Manif_AcuteMetabolicCrisis_OnsetAge</t>
  </si>
  <si>
    <t>hasDescription:"Edad mediana de aparición de la crisis metabólica aguda"; hasYear:"2012"; hasExpectedValue:"6.0"; hasSource:"Wolf et al., 2012. PMID:22639981";</t>
  </si>
  <si>
    <t>BTD_Manif_Cutaneous_InitialProportion</t>
  </si>
  <si>
    <t>hasDescription:"Proporción de pacientes con manifestaciones cutáneas graves (no tratados)"; hasYear:"2012"; hasSource:"Wolf et al. (2012) PMID:22639981"; hasExpectedValue:"0.6";</t>
  </si>
  <si>
    <t>BTD_Manif_Sequelae_InitialProportion</t>
  </si>
  <si>
    <t>hasYear:"2012"; hasDescription:"Proporción de pacientes con secuelas irreversibles a largo plazo"; hasExpectedValue:"0.3"; hasSource:"Wolf et al. (2012) PMID:22639981";</t>
  </si>
  <si>
    <t>BTD_Onset_ChronicAlopecia</t>
  </si>
  <si>
    <t>hasDataItemType:DI_TimeToEvent;</t>
  </si>
  <si>
    <t>hasYear:"2012"; hasDescription:"Edad mediana de aparición de alopecia persistente (meses)."; hasExpectedValue:"10.0"; hasSource:"Wolf et al., 2012. PMID:22639981";</t>
  </si>
  <si>
    <t>BTD_Onset_ChronicDermatitis</t>
  </si>
  <si>
    <t>hasSource:"Wolf et al., 2012. PMID:22639981"; hasExpectedValue:"7.0"; hasDescription:"Edad mediana de aparición de dermatitis crónica (meses)."; hasYear:"2012";</t>
  </si>
  <si>
    <t>BTD_Onset_ChronicEpilepsy</t>
  </si>
  <si>
    <t>hasExpectedValue:"12.0"; hasDescription:"Edad mediana de diagnóstico de epilepsia crónica (meses)."; hasSource:"Wolf et al., 2012. PMID:22639981"; hasYear:"2012";</t>
  </si>
  <si>
    <t>BTD_Onset_ChronicIntellectualDisability</t>
  </si>
  <si>
    <t>hasExpectedValue:"18.0"; hasDescription:"Edad mediana de diagnóstico de retraso psicomotor/discapacidad intelectual (meses)."; hasSource:"Wolf et al., 2012. PMID:22639981"; hasYear:"2012";</t>
  </si>
  <si>
    <t>BTD_Onset_ChronicNeuropsychiatric</t>
  </si>
  <si>
    <t>hasYear:"2012"; hasExpectedValue:"60.0"; hasSource:"Wolf et al., 2012. PMID:22639981"; hasDescription:"Edad estimada de aparición de alteraciones neuroconductuales/psiquiátricas (meses, a menudo detectadas en la primera infancia avanzada o edad escolar).";</t>
  </si>
  <si>
    <t>BTD_Param_Frequency_Daily</t>
  </si>
  <si>
    <t>hasDataItemType:DI_Count;</t>
  </si>
  <si>
    <t>hasDescription:"Frecuencia de administración diaria."; hasDescription:"Administración diaria"; hasExpectedValue:"1.0";</t>
  </si>
  <si>
    <t>BTD_Prob_ChronicAlopecia</t>
  </si>
  <si>
    <t>hasDescription:"Probabilidad de alopecia crónica persistente."; hasExpectedValue:"0.4"; hasYear:"2012"; hasSource:"Wolf et al., 2012. PMID:22639981";</t>
  </si>
  <si>
    <t>BTD_Prob_ChronicEpilepsy</t>
  </si>
  <si>
    <t>hasExpectedValue:"0.2"; hasDescription:"Probabilidad de epilepsia crónica o convulsiones recurrentes de difícil control."; hasYear:"2012"; hasSource:"Wolf et al., 2012. PMID:22639981";</t>
  </si>
  <si>
    <t>BTD_Prob_ChronicVisualImpairment</t>
  </si>
  <si>
    <t>hasExpectedValue:"0.25"; hasSource:"Wolf et al., 2012. PMID:22639981"; hasYear:"2012"; hasDescription:"Probabilidad de aparición de afectación visual crónica (atrofia óptica, retinopatía) en pacientes no tratados.";</t>
  </si>
  <si>
    <t>BTD_Prob_CutaneousManifestation</t>
  </si>
  <si>
    <t>hasYear:"2012"; hasSource:"Wolf et al., 2012. PMID:22639981; Orphanet"; hasDescription:"Probabilidad de aparición de manifestaciones cutáneas graves (dermatitis, alopecia) en pacientes no tratados con deficiencia profunda de biotinidasa."; hasExpectedValue:"0.6";</t>
  </si>
  <si>
    <t>BTD_Prob_HearingLoss</t>
  </si>
  <si>
    <t>hasYear:"2012"; hasDescription:"Probabilidad de aparición de hipoacusia neurosensorial irreversible en pacientes no tratados."; hasExpectedValue:"0.75"; hasSource:"Wolf et al., 2012. PMID:22639981; Orphanet";</t>
  </si>
  <si>
    <t>BTD_Prob_NeurologicalManifestation</t>
  </si>
  <si>
    <t>hasSource:"Wolf et al., 2012. PMID:22639981; Orphanet"; hasDescription:"Probabilidad de aparición de manifestaciones neurológicas (convulsiones, retraso psicomotor, ataxia) en pacientes no tratados con deficiencia profunda de biotinidasa."; hasExpectedValue:"0.75"; hasYear:"2012";</t>
  </si>
  <si>
    <t>BTD_Prob_NeuropsychiatricManifestation</t>
  </si>
  <si>
    <t>hasYear:"2012"; hasExpectedValue:"0.3"; hasDescription:"Probabilidad de aparición de alteraciones neuroconductuales o psiquiátricas crónicas."; hasSource:"Wolf et al., 2012. PMID:22639981";</t>
  </si>
  <si>
    <t>BTD_Prob_Sequelae</t>
  </si>
  <si>
    <t>hasExpectedValue:"0.3"; hasYear:"2012"; hasDescription:"Probabilidad de secuelas irreversibles a largo plazo en pacientes no tratados."; hasSource:"Wolf et al., 2012. PMID:22639981";</t>
  </si>
  <si>
    <t>BTDPartial_Prob_CutaneousManifestation</t>
  </si>
  <si>
    <t>hasDescription:"Probabilidad de aparición de manifestaciones cutáneas en pacientes con deficiencia parcial de biotinidasa no tratados."; hasExpectedValue:"0.02"; hasSource:"Wolf et al., 2012. PMID:22639981; Orphanet"; hasYear:"2012";</t>
  </si>
  <si>
    <t>BTDPartial_Prob_NeurologicalManifestation</t>
  </si>
  <si>
    <t>hasYear:"2012"; hasDescription:"Probabilidad de aparición de manifestaciones neurológicas en pacientes con deficiencia parcial de biotinidasa no tratados."; hasExpectedValue:"0.02"; hasSource:"Wolf et al., 2012. PMID:22639981; Orphanet";</t>
  </si>
  <si>
    <t>BTDPartial_Prob_Sequelae</t>
  </si>
  <si>
    <t>hasDescription:"Probabilidad de secuelas irreversibles en pacientes con deficiencia parcial de biotinidasa no tratados (&lt;1%)."; hasYear:"2012"; hasSource:"Wolf et al., 2012. PMID:22639981"; hasExpectedValue:"0.005";</t>
  </si>
  <si>
    <t>BTD_Interv_ClinicalDiagnosis</t>
  </si>
  <si>
    <t>hasDescription:"Diagnóstico clínico de deficiencia de biotinidasa a partir de signos o síntomas sugestivos (neurológicos, cutáneos, metabólicos) seguido de confirmación bioquímica y genética.";</t>
  </si>
  <si>
    <t>BTD_Interv_DiagnosticConfirmation</t>
  </si>
  <si>
    <t>hasDescription:"Diagnóstico confirmatorio de deficiencia de biotinidasa mediante análisis enzimático específico en suero y/o estudio genético para mutaciones en el gen BTD.";</t>
  </si>
  <si>
    <t>BTD_BirthPrevalence_Cutaneous_Esp</t>
  </si>
  <si>
    <t>hasSource:"Wolf et al., 2012. PMID:22639981; Ugarte et al., 2010"; hasDescription:"Prevalencia al nacimiento estimada de manifestaciones cutáneas graves de deficiencia profunda de biotinidasa en ausencia de cribado neonatal (España, 60% de los afectados)"; isTrueEpidemiologicalParameterEstimate:"false"; hasYear:"2012"; hasExpectedValue:"7.8E-6";</t>
  </si>
  <si>
    <t>BTD_BirthPrevalence_Sequelae_Esp</t>
  </si>
  <si>
    <t>hasDescription:"Prevalencia al nacimiento estimada de secuelas irreversibles debidas a la deficiencia profunda de biotinidasa en ausencia de cribado neonatal (España, 30% de los afectados)"; hasSource:"Wolf et al., 2012. PMID:22639981; Ugarte et al., 2010"; hasYear:"2012"; hasExpectedValue:"3.9E-6"; isTrueEpidemiologicalParameterEstimate:"false";</t>
  </si>
  <si>
    <t>BTD_FollowUp_Partial</t>
  </si>
  <si>
    <t>usesFollowUpTest:BTD_FollowUpTest_Blood; hasGuideline:BTD_Guideline_FollowUpPartial;</t>
  </si>
  <si>
    <t>hasDescription:"Estrategia de seguimiento para pacientes con deficiencia parcial de biotinidasa: revisión clínica anual, pruebas específicas si aparecen síntomas o ante enfermedad aguda.";</t>
  </si>
  <si>
    <t>BTD_FollowUp_Profound</t>
  </si>
  <si>
    <t>usesFollowUpTest:BTD_FollowUpTest_Neurology; usesFollowUpTest:BTD_FollowUpTest_Hearing; usesFollowUpTest:BTD_FollowUpTest_Blood; usesFollowUpTest:BTD_FollowUpTest_Vision; hasGuideline:BTD_Guideline_FollowUpProfound;</t>
  </si>
  <si>
    <t>hasDescription:"Estrategia de seguimiento para pacientes con deficiencia profunda de biotinidasa tratados con biotina. Incluye revisiones clínicas, analíticas y de órganos diana.";</t>
  </si>
  <si>
    <t>BTD_FollowUpTest_Blood</t>
  </si>
  <si>
    <t>hasDescription:"Análisis bioquímico periódico: control de metabolitos, función hepática, estado general.";</t>
  </si>
  <si>
    <t>BTD_FollowUpTest_Hearing</t>
  </si>
  <si>
    <t>hasDescription:"Audiometría y evaluación auditiva anual, especialmente en niños pequeños.";</t>
  </si>
  <si>
    <t>BTD_FollowUpTest_Neurology</t>
  </si>
  <si>
    <t>hasDescription:"Evaluación neurológica periódica, incluye exploración clínica y desarrollo psicomotor.";</t>
  </si>
  <si>
    <t>BTD_FollowUpTest_Vision</t>
  </si>
  <si>
    <t>hasDescription:"Evaluación oftalmológica bianual, con valoración de agudeza visual y fondo de ojo.";</t>
  </si>
  <si>
    <t>BTD_Guideline_BiotinPartial</t>
  </si>
  <si>
    <t>hasFrequency:BTD_Param_Frequency_Daily; hasDose:BTD_Param_Dose_Partial;</t>
  </si>
  <si>
    <t>hasRange:"0y-*"; hasDescription:"Se recomienda biotina oral en deficiencia parcial de biotinidasa, especialmente ante enfermedad aguda o estrés, aunque muchos expertos sugieren mantenerla de forma continua.";</t>
  </si>
  <si>
    <t>BTD_Guideline_BiotinProfound</t>
  </si>
  <si>
    <t>hasFrequency:BTD_Param_Frequency_Daily; hasDose:BTD_Param_Dose_Profound;</t>
  </si>
  <si>
    <t>hasDescription:"Se recomienda iniciar biotina oral inmediatamente tras el diagnóstico de deficiencia profunda y mantenerla de por vida."; hasRange:"0y-*";</t>
  </si>
  <si>
    <t>BTD_Guideline_BiotinTherapy</t>
  </si>
  <si>
    <t>hasFrequency:BTD_Param_Frequency_Daily;</t>
  </si>
  <si>
    <t>hasRange:"0y-*"; hasDescription:"Recomendación de inicio de biotina oral tras diagnóstico de deficiencia profunda o parcial de biotinidasa, a dosis de 5-20 mg/día de por vida.";</t>
  </si>
  <si>
    <t>BTD_Guideline_FollowUpPartial</t>
  </si>
  <si>
    <t>hasFrequency:BTD_Param_Freq_Annual;</t>
  </si>
  <si>
    <t>hasDescription:"Revisión clínica y bioquímica anual. Evaluaciones adicionales (neurológica, auditiva) sólo si se sospechan complicaciones o en situaciones de riesgo metabólico."; hasRange:"0y-*";</t>
  </si>
  <si>
    <t>BTD_Guideline_FollowUpProfound</t>
  </si>
  <si>
    <t>hasDescription:"Revisión clínica y bioquímica al menos anual. Evaluación neurológica y auditiva anual, oftalmológica cada 2 años, mayor frecuencia según síntomas. Confirmar adherencia y ajustar dosis de biotina si es necesario."; hasRange:"0y-*";</t>
  </si>
  <si>
    <t>BTD_Manif_Death</t>
  </si>
  <si>
    <t>hasProbabilityOfDeath:BTD_Manif_Death_Probability;</t>
  </si>
  <si>
    <t>hasDescription:"Fallecimiento precoz por complicaciones de la deficiencia profunda de biotinidasa no tratada";</t>
  </si>
  <si>
    <t>BTD_Manif_None</t>
  </si>
  <si>
    <t>hasDescription:"Sin manifestaciones clínicas detectables";</t>
  </si>
  <si>
    <t>BTD_Manif_AcuteMetabolic_Frequency</t>
  </si>
  <si>
    <t>hasDescription:"Frecuencia anual de crisis metabólicas en pacientes no tratados"; hasYear:"2012"; hasExpectedValue:"0.2"; hasSource:"Wolf et al. (2012) PMID:22639981";</t>
  </si>
  <si>
    <t>BTD_Manif_AcuteMetabolicCrisis_Frequency</t>
  </si>
  <si>
    <t>hasDescription:"Frecuencia anual estimada de crisis metabólica aguda en pacientes no tratados"; hasExpectedValue:"0.15"; hasSource:"Wolf et al., 2012. PMID:22639981"; hasYear:"2012";</t>
  </si>
  <si>
    <t>BTD_Manif_Death_Probability</t>
  </si>
  <si>
    <t>hasExpectedValue:"0.1"; hasSource:"Wolf et al. (2012) PMID:22639981"; hasYear:"2012"; hasDescription:"Probabilidad de fallecimiento precoz en ausencia de tratamiento";</t>
  </si>
  <si>
    <t>BTD_Manif_Neurological_InitialProportion</t>
  </si>
  <si>
    <t>hasYear:"2012"; hasDescription:"Proporción estimada de pacientes no tratados que desarrollan síntomas neurológicos antes de los 2 años"; hasExpectedValue:"0.7"; hasSource:"Wolf et al. (2012) PMID:22639981; revisión clínica";</t>
  </si>
  <si>
    <t>BTD_Onset_AcuteHypotonia</t>
  </si>
  <si>
    <t>hasExpectedValue:"6.0"; hasSource:"Wolf et al., 2012. PMID:22639981"; hasDescription:"Edad mediana de aparición de la hipotonía aguda (meses)."; hasYear:"2012";</t>
  </si>
  <si>
    <t>BTD_Onset_AcuteMetabolicCrisis</t>
  </si>
  <si>
    <t>hasDescription:"Edad mediana de aparición de la primera crisis metabólica aguda en pacientes no tratados (meses)."; hasSource:"Wolf et al., 2012. PMID:22639981"; hasYear:"2012"; hasExpectedValue:"6.0";</t>
  </si>
  <si>
    <t>BTD_Onset_AcuteRespiratoryDistress</t>
  </si>
  <si>
    <t>hasExpectedValue:"5.5"; hasDescription:"Edad mediana de aparición del distrés respiratorio agudo (meses)."; hasYear:"2012"; hasSource:"Wolf et al., 2012. PMID:22639981";</t>
  </si>
  <si>
    <t>BTD_Onset_AcuteSeizures</t>
  </si>
  <si>
    <t>hasDescription:"Edad mediana de aparición de las convulsiones agudas (meses)."; hasYear:"2012"; hasExpectedValue:"5.0"; hasSource:"Wolf et al., 2012. PMID:22639981";</t>
  </si>
  <si>
    <t>BTD_Onset_ChronicHearingLoss</t>
  </si>
  <si>
    <t>hasSource:"Wolf et al., 2012. PMID:22639981"; hasExpectedValue:"24.0"; hasYear:"2012"; hasDescription:"Edad mediana de diagnóstico de hipoacusia neurosensorial (meses, a menudo se detecta tras el primer año de vida).";</t>
  </si>
  <si>
    <t>BTD_Onset_ChronicHypotonia</t>
  </si>
  <si>
    <t>hasSource:"Wolf et al., 2012. PMID:22639981"; hasYear:"2012"; hasExpectedValue:"8.0"; hasDescription:"Edad mediana de diagnóstico de hipotonía crónica (meses).";</t>
  </si>
  <si>
    <t>BTD_Onset_ChronicMotorDisorder</t>
  </si>
  <si>
    <t>hasSource:"Wolf et al., 2012. PMID:22639981"; hasYear:"2012"; hasDescription:"Edad mediana de inicio de la ataxia/trastorno motor crónico (meses)."; hasExpectedValue:"20.0";</t>
  </si>
  <si>
    <t>BTD_Onset_ChronicVisualImpairment</t>
  </si>
  <si>
    <t>hasSource:"Wolf et al., 2012. PMID:22639981"; hasYear:"2012"; hasExpectedValue:"36.0"; hasDescription:"Edad estimada de aparición de afectación visual crónica (meses; puede detectarse de forma más tardía).";</t>
  </si>
  <si>
    <t>BTD_Param_Dose_Partial</t>
  </si>
  <si>
    <t>hasDescription:"Dosis diaria estándar (media) de biotina oral (mg/día) para deficiencia parcial."; hasExpectedValue:"3.0"; hasYear:"2012"; hasSource:"Wolf et al., 2012. PMID:22639981";</t>
  </si>
  <si>
    <t>BTD_Param_Dose_Profound</t>
  </si>
  <si>
    <t>hasDescription:"Dosis diaria estándar (media) de biotina oral (mg/día) para deficiencia profunda."; hasYear:"2012"; hasExpectedValue:"10.0"; hasSource:"Wolf et al., 2012. PMID:22639981";</t>
  </si>
  <si>
    <t>BTD_Param_Freq_Annual</t>
  </si>
  <si>
    <t>hasExpectedValue:"1.0"; hasDescription:"Frecuencia de revisión anual.";</t>
  </si>
  <si>
    <t>BTD_Prob_AcuteMetabolicCrisis</t>
  </si>
  <si>
    <t>hasExpectedValue:"0.15"; hasYear:"2012"; hasSource:"Wolf et al., 2012. PMID:22639981"; hasDescription:"Probabilidad de aparición de crisis metabólica aguda en pacientes no tratados.";</t>
  </si>
  <si>
    <t>BTD_Prob_ChronicDermatitis</t>
  </si>
  <si>
    <t>hasSource:"Wolf et al., 2012. PMID:22639981"; hasDescription:"Probabilidad de dermatitis crónica persistente."; hasExpectedValue:"0.6"; hasYear:"2012";</t>
  </si>
  <si>
    <t>BTD_Prob_Death</t>
  </si>
  <si>
    <t>hasDescription:"Probabilidad de fallecimiento precoz debido a la deficiencia profunda de biotinidasa no tratada."; hasSource:"Wolf et al., 2012. PMID:22639981; Ugarte et al. 2010"; hasYear:"2012"; hasExpectedValue:"0.1";</t>
  </si>
  <si>
    <t>BTDPartial_Prob_AcuteMetabolicCrisis</t>
  </si>
  <si>
    <t>hasSource:"Wolf et al., 2012. PMID:22639981"; hasDescription:"Probabilidad de crisis metabólica aguda en deficiencia parcial de biotinidasa no tratada."; hasYear:"2012"; hasExpectedValue:"0.01";</t>
  </si>
  <si>
    <t>BTDPartial_Prob_ChronicAlopecia</t>
  </si>
  <si>
    <t>hasDescription:"Probabilidad de alopecia crónica persistente en deficiencia parcial no tratada."; hasExpectedValue:"0.005"; hasYear:"2012"; hasSource:"Wolf et al., 2012. PMID:22639981";</t>
  </si>
  <si>
    <t>BTDPartial_Prob_ChronicDermatitis</t>
  </si>
  <si>
    <t>hasDescription:"Probabilidad de dermatitis crónica persistente en deficiencia parcial no tratada."; hasYear:"2012"; hasExpectedValue:"0.01"; hasSource:"Wolf et al., 2012. PMID:22639981";</t>
  </si>
  <si>
    <t>BTDPartial_Prob_ChronicEpilepsy</t>
  </si>
  <si>
    <t>hasYear:"2012"; hasExpectedValue:"0.005"; hasSource:"Wolf et al., 2012. PMID:22639981"; hasDescription:"Probabilidad de epilepsia crónica o convulsiones recurrentes en deficiencia parcial de biotinidasa no tratada.";</t>
  </si>
  <si>
    <t>BTDPartial_Prob_Death</t>
  </si>
  <si>
    <t>hasDescription:"Probabilidad de fallecimiento precoz en pacientes con deficiencia parcial de biotinidasa no tratados (&lt;0.5%)."; hasSource:"Wolf et al., 2012. PMID:22639981"; hasExpectedValue:"0.003"; hasYear:"2012";</t>
  </si>
  <si>
    <t>BTDPartial_Prob_HearingLoss</t>
  </si>
  <si>
    <t>hasYear:"2012"; hasSource:"Wolf et al., 2012. PMID:22639981"; hasExpectedValue:"0.005"; hasDescription:"Probabilidad de aparición de hipoacusia neurosensorial irreversible en deficiencia parcial no tratada (&lt;1%).";</t>
  </si>
  <si>
    <t>BTDPartial_Prob_NeuropsychiatricManifestation</t>
  </si>
  <si>
    <t>hasSource:"Wolf et al., 2012. PMID:22639981"; hasYear:"2012"; hasDescription:"Probabilidad de aparición de alteraciones neuroconductuales o psiquiátricas en deficiencia parcial no tratada."; hasExpectedValue:"0.005";</t>
  </si>
  <si>
    <t>BTD_Deficiency</t>
  </si>
  <si>
    <t>hasStage:BTD_Stage_Symptomatic; hasStage:BTD_Stage_Severe; hasStage:BTD_Stage_Asymptomatic; hasManifestation:BTD_Manif_AcuteMetabolic; hasManifestation:BTD_Manif_Neurological; hasManifestation:BTD_Manif_Sequelae; hasManifestation:BTD_Manif_Cutaneous; hasManifestation:BTD_Manif_Death; hasDevelopment:BTD_Dev_NaturalHistory;</t>
  </si>
  <si>
    <t>hasRefToSNOMED:"SNOMED:190976003"; hasRefToOMIM:"OMIM:253260"; hasDescription:"Deficiencia profunda de biotinidasa (biotinidase deficiency, profound)"; hasDescription:"Deficiencia profunda de biotinidasa, trastorno hereditario del metabolismo que impide la utilización adecuada de la biotina, produciendo manifestaciones neurológicas y cutáneas graves si no se trata a tiempo."; hasName:"Deficiencia profunda de biotinidasa"; hasRefToICD:"ICD10:E71.1";</t>
  </si>
  <si>
    <t>Unsuitable value for individual</t>
  </si>
  <si>
    <t>BTD_Interv_Screening</t>
  </si>
  <si>
    <t>hasDescription:"Cribado neonatal de deficiencia de biotinidasa mediante medición de actividad enzimática en sangre seca en papel de filtro usando un ensayo enzimático o fluorimétrico semicuantitativo.";</t>
  </si>
  <si>
    <t>BTD_Stage_Asymptomatic</t>
  </si>
  <si>
    <t>hasManifestation:BTD_Manif_None;</t>
  </si>
  <si>
    <t>hasDescription:"Recién nacido asintomático, periodo previo a la aparición de síntomas";</t>
  </si>
  <si>
    <t>BTD_Stage_Severe</t>
  </si>
  <si>
    <t>hasManifestation:BTD_Manif_Death; hasManifestation:BTD_Manif_AcuteMetabolic; hasManifestation:BTD_Manif_Sequelae;</t>
  </si>
  <si>
    <t>hasDescription:"Manifestaciones graves: crisis metabólicas, secuelas irreversibles o muerte";</t>
  </si>
  <si>
    <t>BTD_Stage_Symptomatic</t>
  </si>
  <si>
    <t>hasManifestation:BTD_Manif_Cutaneous; hasManifestation:BTD_Manif_Neurological;</t>
  </si>
  <si>
    <t>hasDescription:"Presentación sintomática: síntomas neurológicos o cutáneos";</t>
  </si>
  <si>
    <t>BTD_Interv_BiotinTherapy</t>
  </si>
  <si>
    <t>hasDescription:"Tratamiento sustitutivo crónico con biotina oral a dosis de 5-20 mg/día para prevenir síntomas y secuelas de la deficiencia de biotinidasa.";</t>
  </si>
  <si>
    <t>BTD_Interv_MultidisciplinaryCare</t>
  </si>
  <si>
    <t>hasDescription:"Seguimiento y apoyo multidisciplinar (neurología, audiología, rehabilitación, psicología) para pacientes con manifestaciones o secuelas a pesar del tratamiento.";</t>
  </si>
  <si>
    <t>BTD_Treatment_Partial_Biotin</t>
  </si>
  <si>
    <t>hasUtility:BTD_Utility_Asymptomatic; hasGuideline:BTD_Guideline_BiotinPartial;</t>
  </si>
  <si>
    <t>hasDescription:"Tratamiento con biotina oral a dosis de 1-5 mg/día, indicado en deficiencia parcial de biotinidasa (actividad enzimática 10-30%), especialmente en situaciones de estrés metabólico.";</t>
  </si>
  <si>
    <t>BTD_Treatment_Profound_Biotin</t>
  </si>
  <si>
    <t>hasGuideline:BTD_Guideline_BiotinProfound; hasUtility:BTD_Utility_Asymptomatic;</t>
  </si>
  <si>
    <t>hasDescription:"Tratamiento sustitutivo con biotina oral a dosis de 5-20 mg/día de por vida, indicado en deficiencia profunda de biotinidasa (&lt;10% actividad enzimática).";</t>
  </si>
  <si>
    <t>BTD_Disutility_AcuteMetabolicCrisis</t>
  </si>
  <si>
    <t>appliesOneTime:"true"; hasYear:"2010"; hasDescription:"Desutilidad asociada a un episodio de crisis metabólica aguda."; hasExpectedValue:"0.5"; hasSource:"Hopkins et al. 2010; valores para crisis metabólicas agudas pediátricas";</t>
  </si>
  <si>
    <t>BTD_Disutility_Alopecia</t>
  </si>
  <si>
    <t>hasYear:"2010"; appliesOneTime:"false"; hasDescription:"Desutilidad asociada a alopecia persistente."; hasSource:"Hopkins et al. 2010; literatura sobre enfermedades raras pediátricas"; hasExpectedValue:"0.02";</t>
  </si>
  <si>
    <t>BTD_Disutility_Dermatitis</t>
  </si>
  <si>
    <t>hasDescription:"Desutilidad asociada a dermatitis moderada/grave en deficiencia de biotinidasa."; hasExpectedValue:"0.1"; hasYear:"2010"; appliesOneTime:"false"; hasSource:"Hopkins et al. 2010; NICE CG60; valores análogos para dermatitis atópica";</t>
  </si>
  <si>
    <t>BTD_Disutility_Disability</t>
  </si>
  <si>
    <t>hasYear:"2010"; appliesOneTime:"false"; hasSource:"NICE CG60; tabla EQ-5D para discapacidad moderada-severa"; hasExpectedValue:"0.4"; hasDescription:"Desutilidad asociada a retraso psicomotor o discapacidad intelectual.";</t>
  </si>
  <si>
    <t>BTD_Disutility_Epilepsy</t>
  </si>
  <si>
    <t>hasSource:"Hopkins et al. 2010; valores análogos para epilepsia infantil controlada"; appliesOneTime:"false"; hasDescription:"Desutilidad asociada a convulsiones/epilepsia controlada."; hasExpectedValue:"0.2"; hasYear:"2010";</t>
  </si>
  <si>
    <t>BTD_Disutility_GlobalSequelae</t>
  </si>
  <si>
    <t>hasSource:"NICE CG60; expertos; tabla EQ-5D para discapacidad grave"; hasDescription:"Desutilidad asociada a secuelas neurológicas globales irreversibles."; appliesOneTime:"false"; hasYear:"2010"; hasExpectedValue:"0.5";</t>
  </si>
  <si>
    <t>BTD_Disutility_HearingLoss</t>
  </si>
  <si>
    <t>appliesOneTime:"false"; hasYear:"2010"; hasExpectedValue:"0.3"; hasDescription:"Desutilidad asociada a hipoacusia neurosensorial irreversible."; hasSource:"Hopkins et al. 2010; valores estándar para hipoacusia severa";</t>
  </si>
  <si>
    <t>BTD_Utility_Asymptomatic</t>
  </si>
  <si>
    <t>hasYear:"2010"; hasDescription:"Utilidad asociada al estado asintomático en deficiencia de biotinidasa."; hasSource:"Valores estándar para población pediátrica, estudios EQ-5D, expertos"; hasExpectedValue:"0.98"; appliesOneTime:"false";</t>
  </si>
  <si>
    <t>BTD_Utility_Death</t>
  </si>
  <si>
    <t>appliesOneTime:"true"; hasSource:"Definición estándar (muerte = utilidad 0)"; hasExpectedValue:"0.0"; hasYear:"2010"; hasDescription:"Utilidad asociada al fallecimiento precoz (estado de muerte).";</t>
  </si>
  <si>
    <t>BTD_Utility_Healthy</t>
  </si>
  <si>
    <t>hasDescription:"Utilidad asociada al estado de salud perfecto en población general."; appliesOneTime:"false"; hasSource:"Valores estándar EQ-5D, literatura NICE CG60, Hopkins et al. 2010"; hasExpectedValue:"1.0"; hasYear:"2010";</t>
  </si>
  <si>
    <t>BTD_Dev_NaturalHistory</t>
  </si>
  <si>
    <t>BTD_Manif_AcuteHypotonia_Frequency</t>
  </si>
  <si>
    <t>BTD_Manif_AcuteHypotonia_OnsetAge</t>
  </si>
  <si>
    <t>BTD_Manif_AcuteRespiratoryDistress_Frequency</t>
  </si>
  <si>
    <t>BTD_Manif_AcuteRespiratoryDistress_OnsetAge</t>
  </si>
  <si>
    <t>BTD_Manif_AcuteSeizures_Frequency</t>
  </si>
  <si>
    <t>BTD_Manif_AcuteSeizures_OnsetAge</t>
  </si>
  <si>
    <t>BTD_Manif_AcuteTriggeredByStress_Frequency</t>
  </si>
  <si>
    <t>BTD_Manif_AcuteTriggeredByStress_OnsetAge</t>
  </si>
  <si>
    <t>UC2-F1-P1-S1-M1</t>
  </si>
  <si>
    <t>PBD_Manif_HearingProblems_Incidence_Treated</t>
  </si>
  <si>
    <t>hasDescription:"Incidencia con tratamiento temprano"; hasExpectedValue:"0.0";</t>
  </si>
  <si>
    <t>PBD_Manif_Seizure_ResidualIncidence</t>
  </si>
  <si>
    <t>hasExpectedValue:"0.05"; hasDescription:"Incidencia residual de convulsiones con tratamiento";</t>
  </si>
  <si>
    <t>PBD_Manif_SkinProblems_Incidence_Treated</t>
  </si>
  <si>
    <t>hasDescription:"Incidencia de problemas cutáneos en pacientes tratados tempranamente"; hasExpectedValue:"0.0"; hasSource:"Wolf et al. 2002; Moslinger et al. 2003";</t>
  </si>
  <si>
    <t>PBD_Manif_VisionLoss_Incidence_Treated</t>
  </si>
  <si>
    <t>hasDescription:"Incidencia de pérdida visual en pacientes tratados tempranamente"; hasSource:"Moslinger et al. 2003; Weber et al. 2004"; hasExpectedValue:"0.0";</t>
  </si>
  <si>
    <t>PBD_Incidence</t>
  </si>
  <si>
    <t>hasSource:"Weber et al. 2004"; hasExpectedValue:"0.00005"; hasDescription:"Incidencia de deficiencia profunda de biotinidasa en recién nacidos";</t>
  </si>
  <si>
    <t>PBD_Manif_HearingProblems_Incidence</t>
  </si>
  <si>
    <t>hasDescription:"Incidencia de problemas auditivos en pacientes no tratados"; hasSource:"Wolf et al. 2002; Genc et al. 2007"; hasExpectedValue:"0.65";</t>
  </si>
  <si>
    <t>PBD_Manif_Hypotonia_Incidence</t>
  </si>
  <si>
    <t>hasSource:"Moslinger et al. 2003; Ye et al. 2009"; hasExpectedValue:"0.60";</t>
  </si>
  <si>
    <t>PBD_Manif_Seizure_Incidence</t>
  </si>
  <si>
    <t>hasExpectedValue:"0.55"; hasSource:"Couce et al. 2011; Ye et al. 2009";</t>
  </si>
  <si>
    <t>PBD_Manif_SkinProblems_Incidence</t>
  </si>
  <si>
    <t>hasSource:"Ye et al. 2009; Wolf et al. 2002"; hasDescription:"Probabilidad de problemas cutáneos en pacientes no tratados"; hasYear:"2009"; hasExpectedValue:"0.7";</t>
  </si>
  <si>
    <t>PBD_Manif_VisionLoss_Incidence</t>
  </si>
  <si>
    <t>hasSource:"Weber et al. 2004; Salbert et al. 1993"; hasExpectedValue:"0.35"; hasDescription:"Probabilidad de pérdida visual en pacientes con PBD no tratados"; hasYear:"2004";</t>
  </si>
  <si>
    <t>PBD_Manif_MentalDelay_Incidence</t>
  </si>
  <si>
    <t>SecondOrderUncertaintyParameter</t>
  </si>
  <si>
    <t>hasDescription:"Probabilidad de retraso mental en no tratados"; hasExpectedValue:"0.40";</t>
  </si>
  <si>
    <t>PBD_Manif_HearingProblems_Utility</t>
  </si>
  <si>
    <t>hasExpectedValue:"0.85"; hasDescription:"Utilidad asociada a pérdida auditiva";</t>
  </si>
  <si>
    <t>PBD_Manif_Hypotonia_Utility</t>
  </si>
  <si>
    <t>hasDescription:"Utilidad asociada a hipotonía muscular"; hasSource:"Grünewald et al. 2004; Weber et al. 2004"; hasExpectedValue:"0.75";</t>
  </si>
  <si>
    <t>PBD_Manif_MentalDelay_Utility</t>
  </si>
  <si>
    <t>hasExpectedValue:"0.60"; hasSource:"Grünewald et al. 2004; Weber et al. 2004"; hasDescription:"Utilidad asociada a retraso mental";</t>
  </si>
  <si>
    <t>PBD_Manif_Seizure_Utility</t>
  </si>
  <si>
    <t>hasDescription:"Utilidad asociada a convulsiones recurrentes"; hasSource:"Wolf et al. 2002; Ye et al. 2009"; hasExpectedValue:"0.65";</t>
  </si>
  <si>
    <t>PBD_Manif_SkinProblems_Utility</t>
  </si>
  <si>
    <t>hasExpectedValue:"0.80"; hasDescription:"Utilidad asociada a problemas cutáneos"; hasSource:"Wolf et al. 2002; Ye et al. 2009";</t>
  </si>
  <si>
    <t>PBD_Manif_VisionLoss_Utility</t>
  </si>
  <si>
    <t>hasExpectedValue:"0.78"; hasSource:"Weber et al. 2004";</t>
  </si>
  <si>
    <t>UC2-F1-P1-S1-M2</t>
  </si>
  <si>
    <t>PBD_ManifestationHearingProblems_Prob</t>
  </si>
  <si>
    <t>hasYear:"2004"; hasExpectedValue:"0.75"; hasSource:"Wolf 2002; Weber 2004; Ye 2009";</t>
  </si>
  <si>
    <t>PBD_ManifestationHearingProblems_U</t>
  </si>
  <si>
    <t>hasSource:"Wolf 2002; Weber 2004"; hasExpectedValue:"0.15"; hasDescription:"Annual disutility of hearing problems in PBD"; appliesOneTime:"false"; hasYear:"2004";</t>
  </si>
  <si>
    <t>PBD_ManifestationHypotonia_Prob</t>
  </si>
  <si>
    <t>hasExpectedValue:"0.65"; hasYear:"2004"; hasSource:"Weber 2004; Ye 2009";</t>
  </si>
  <si>
    <t>PBD_ManifestationHypotonia_U</t>
  </si>
  <si>
    <t>appliesOneTime:"false"; hasExpectedValue:"0.20"; hasSource:"Weber 2004"; hasDescription:"Annual disutility of hypotonia in PBD"; hasYear:"2004";</t>
  </si>
  <si>
    <t>PBD_ManifestationMentalDelay_Prob</t>
  </si>
  <si>
    <t>hasYear:"2004"; hasSource:"Weber 2004; Ye 2009"; hasExpectedValue:"0.50";</t>
  </si>
  <si>
    <t>PBD_ManifestationMentalDelay_U</t>
  </si>
  <si>
    <t>appliesOneTime:"false"; hasExpectedValue:"0.25"; hasYear:"2004"; hasSource:"Weber 2004; Adapted from utility studies in pediatric neurodisability"; hasDescription:"Annual disutility of mental delay in PBD";</t>
  </si>
  <si>
    <t>PBD_ManifestationSeizure_Prob</t>
  </si>
  <si>
    <t>hasExpectedValue:"0.60"; hasSource:"Weber 2004; Ye 2009"; hasYear:"2004";</t>
  </si>
  <si>
    <t>PBD_ManifestationSeizure_U</t>
  </si>
  <si>
    <t>hasDescription:"Annual disutility of seizures in PBD"; hasExpectedValue:"0.18"; hasSource:"Weber 2004; Adapted from utility studies in epilepsy"; hasYear:"2004"; appliesOneTime:"false";</t>
  </si>
  <si>
    <t>PBD_ManifestationSkinProblems_Prob</t>
  </si>
  <si>
    <t>hasExpectedValue:"0.80"; hasYear:"2004"; hasSource:"Weber 2004; Ye 2009";</t>
  </si>
  <si>
    <t>PBD_ManifestationSkinProblems_U</t>
  </si>
  <si>
    <t>hasExpectedValue:"0.10"; hasDescription:"Annual disutility of skin problems in PBD"; hasSource:"Weber 2004; Adapted from utility studies in dermatology"; appliesOneTime:"false"; hasYear:"2004";</t>
  </si>
  <si>
    <t>PBD_ManifestationVisionLoss_Prob</t>
  </si>
  <si>
    <t>hasYear:"2004"; hasSource:"Weber 2004; Ye 2009"; hasExpectedValue:"0.30";</t>
  </si>
  <si>
    <t>PBD_ManifestationVisionLoss_U</t>
  </si>
  <si>
    <t>hasYear:"2004"; hasSource:"Weber 2004; Adapted from utility studies in visual impairment"; hasDescription:"Annual disutility of vision loss in PBD"; appliesOneTime:"false"; hasExpectedValue:"0.20";</t>
  </si>
  <si>
    <t>UC2-F1-P2-S1-M1</t>
  </si>
  <si>
    <t>PBD_Manif_HearingProblems_Incidence_L95CI</t>
  </si>
  <si>
    <t>hasExpectedValue:"0.45";</t>
  </si>
  <si>
    <t>PBD_Manif_HearingProblems_Incidence_U95CI</t>
  </si>
  <si>
    <t>hasExpectedValue:"0.75";</t>
  </si>
  <si>
    <t>PBD_Manif_VisionLoss_Incidence_L95CI</t>
  </si>
  <si>
    <t>hasExpectedValue:"0.2";</t>
  </si>
  <si>
    <t>PBD_Manif_VisionLoss_Incidence_U95CI</t>
  </si>
  <si>
    <t>hasExpectedValue:"0.4";</t>
  </si>
  <si>
    <t>PBD_EarlyTreated_Manif_VisionLoss_Incidence</t>
  </si>
  <si>
    <t>EpidemiologicalParameter; SecondOrderUncertaintyParameter</t>
  </si>
  <si>
    <t>hasDescription:"Ausencia de complicaciones visuales con diagnóstico neonatal"; hasYear:"2022"; hasSource:"Spanish Ministry of Health. Newborn Screening Protocol. 2022"; hasExpectedValue:"0.0";</t>
  </si>
  <si>
    <t>hasDescription:"Incidencia de problemas auditivos en niños sintomáticos no tratados"; hasYear:"2002"; hasSource:"Wolf B, Spencer R, Gleason T. Hearing loss is a common feature of symptomatic children with profound biotinidase deficiency. J Pediatr. 2002"; hasExpectedValue:"0.6";</t>
  </si>
  <si>
    <t>hasYear:"1999"; hasDescription:"Incidencia de hipotonía muscular en casos no tratados"; hasSource:"Joshi S et al. Biotinidase deficiency: a treatable genetic disorder in the Saudi population. East Mediterr Health J. 1999"; hasExpectedValue:"0.65";</t>
  </si>
  <si>
    <t>hasDescription:"Incidencia de retraso del desarrollo neurológico"; hasExpectedValue:"0.7"; hasYear:"2004"; hasSource:"Weber P et al. Outcome in patients with profound biotinidase deficiency. Dev Med Child Neurol. 2004";</t>
  </si>
  <si>
    <t>hasExpectedValue:"0.55"; hasDescription:"Frecuencia de episodios convulsivos en ausencia de tratamiento"; hasSource:"National Organization for Rare Disorders (NORD). Biotinidase Deficiency. 2023"; hasYear:"2023";</t>
  </si>
  <si>
    <t>hasExpectedValue:"0.3"; hasYear:"2020"; hasSource:"Wolf B. Biotinidase Deficiency: New Directions and Practical Concerns. Curr Treat Options Neurol. 2020"; hasDescription:"Incidencia de atrofia óptica en pacientes no diagnosticados";</t>
  </si>
  <si>
    <t>PBD_Untreated_MortalityRate</t>
  </si>
  <si>
    <t>MortalityParameter</t>
  </si>
  <si>
    <t>hasSource:"European Biotinidase Deficiency Consortium. Long-term outcomes study. 2019"; hasExpectedValue:"0.1";</t>
  </si>
  <si>
    <t>Class 'MortalityParameter' undefined.</t>
  </si>
  <si>
    <t>hasDescription:"Prevalencia de dermatitis y alopecia característica"; hasSource:"Wolf B. Biotinidase Deficiency: New Directions and Practical Concerns. Curr Treat Options Neurol. 2020"; hasYear:"2020"; hasExpectedValue:"0.25";</t>
  </si>
  <si>
    <t>PBD_Progression_TimeToSymptomOnset</t>
  </si>
  <si>
    <t>TimeParameter</t>
  </si>
  <si>
    <t>hasExpectedValue:"3"; hasUnit:"months"; hasSource:"National Institute of Child Health and Human Development. Biotinidase Deficiency Fact Sheet. 2021";</t>
  </si>
  <si>
    <t>Class 'TimeParameter' undefined.</t>
  </si>
  <si>
    <t>PBD_EarlyTreated_BaseUtility</t>
  </si>
  <si>
    <t>hasExpectedValue:"1.0"; hasDescription:"Utilidad base para pacientes tratados precozmente sin manifestaciones"; hasSource:"Weber P et al. Outcome in patients with profound biotinidase deficiency. Dev Med Child Neurol 2004";</t>
  </si>
  <si>
    <t>Class 'UtilityParameter' undefined.</t>
  </si>
  <si>
    <t>PBD_Manif_HearingProblems_U</t>
  </si>
  <si>
    <t>hasDescription:"Desutilidad anual por pérdida auditiva neurosensorial severa"; hasExpectedValue:"0.65"; hasYear:"2002"; appliesOneTime:"false"; hasSource:"Wolf B, Spencer R, Gleason T. Hearing loss is a common feature of symptomatic children with profound biotinidase deficiency. J Pediatr 2002";</t>
  </si>
  <si>
    <t>PBD_Manif_Hypotonia_U</t>
  </si>
  <si>
    <t>hasDescription:"Desutilidad anual por hipotonía muscular severa"; hasYear:"1999"; hasSource:"Joshi S et al. Biotinidase deficiency: a treatable genetic disorder in the Saudi population. East Mediterr Health J 1999"; appliesOneTime:"false"; hasExpectedValue:"0.75";</t>
  </si>
  <si>
    <t>PBD_Manif_MentalDelay_U</t>
  </si>
  <si>
    <t>hasYear:"2004"; hasDescription:"Desutilidad anual por retraso cognitivo moderado-severo"; appliesOneTime:"false"; hasSource:"Weber P et al. Outcome in patients with profound biotinidase deficiency. Dev Med Child Neurol 2004"; hasExpectedValue:"0.55";</t>
  </si>
  <si>
    <t>PBD_Manif_Seizure_U</t>
  </si>
  <si>
    <t>hasSource:"Ye J et al. Diagnosis and treatment of biotinidase deficiency in Chinese children. J Inherit Metab Dis 2009"; appliesOneTime:"false"; hasExpectedValue:"0.60"; hasYear:"2009"; hasDescription:"Desutilidad anual por epilepsia refractaria";</t>
  </si>
  <si>
    <t>PBD_Manif_SkinProblems_U</t>
  </si>
  <si>
    <t>hasYear:"1999"; hasDescription:"Desutilidad anual por dermatitis crónica y alopecia"; appliesOneTime:"false"; hasExpectedValue:"0.85"; hasSource:"Joshi S et al. Biotinidase deficiency: a treatable genetic disorder in the Saudi population. East Mediterr Health J 1999";</t>
  </si>
  <si>
    <t>Class 'UtilityParameter' undefined; unsuitable value for property; unsuitable source</t>
  </si>
  <si>
    <t>PBD_Manif_VisionLoss_U</t>
  </si>
  <si>
    <t>hasYear:"2004"; hasExpectedValue:"0.70"; appliesOneTime:"false"; hasDescription:"Desutilidad anual por atrofia óptica bilateral"; hasSource:"Weber P et al. Outcome in patients with profound biotinidase deficiency. Dev Med Child Neurol 2004";</t>
  </si>
  <si>
    <t>UC2-F1-P2-S1-M2</t>
  </si>
  <si>
    <t>PBD_Manif_HearingProblems_RR</t>
  </si>
  <si>
    <t>Parameter; EpidemiologicalParameter</t>
  </si>
  <si>
    <t>hasYear:"2007"; hasSource:"Genc GA et al., 2007, Audiologic findings in children with biotinidase deficiency in Turkey"; hasExpectedValue:"0.55"; hasDescription:"Probabilidad de desarrollar hipoacusia neurosensorial en niños con PBD no tratados durante el primer año de vida"; hasUpper95CI:"0.65"; hasLower95CI:"0.45";</t>
  </si>
  <si>
    <t>Property 'hasUpper95CI' undefined (DataProperties col). | Property 'hasLower95CI' undefined (DataProperties col).</t>
  </si>
  <si>
    <t>PBD_Manif_Hypotonia_RR</t>
  </si>
  <si>
    <t>hasExpectedValue:"0.60"; hasYear:"2004"; hasDescription:"Probabilidad de desarrollar hipotonía en niños con PBD no tratados durante el primer año de vida"; hasUpper95CI:"0.70"; hasSource:"Grunewald S et al., 2004, Biotinidase Deficiency: a Treatable Leukoencephalopathy; Mslinger D et al., 2003"; hasLower95CI:"0.50";</t>
  </si>
  <si>
    <t>Property 'hasUpper95CI' undefined (DataProperties col). | Property 'hasLower95CI' undefined (DataProperties col); unsuitable value for property</t>
  </si>
  <si>
    <t>PBD_Manif_MentalDelay_RR</t>
  </si>
  <si>
    <t>hasExpectedValue:"0.40"; hasLower95CI:"0.30"; hasYear:"2004"; hasUpper95CI:"0.55"; hasDescription:"Probabilidad de retraso mental o del desarrollo en niños con PBD no tratados durante los primeros años de vida"; hasSource:"Weber P et al., 2004, Outcome in patients with profound biotinidase deficiency; Mslinger D et al., 2003";</t>
  </si>
  <si>
    <t>Property 'hasLower95CI' undefined (DataProperties col). | Property 'hasUpper95CI' undefined (DataProperties col).; unsuitable value for property</t>
  </si>
  <si>
    <t>PBD_Manif_Seizure_RR</t>
  </si>
  <si>
    <t>hasYear:"2004"; hasLower95CI:"0.60"; hasUpper95CI:"0.80"; hasExpectedValue:"0.70"; hasDescription:"Probabilidad de aparición de crisis epilépticas en niños con PBD no tratados durante el primer año de vida"; hasSource:"Grunewald S et al., 2004; Mslinger D et al., 2003";</t>
  </si>
  <si>
    <t>Property 'hasLower95CI' undefined (DataProperties col). | Property 'hasUpper95CI' undefined (DataProperties col); unsuitable value for property; unsuitable source</t>
  </si>
  <si>
    <t>PBD_Manif_SkinProblems_RR</t>
  </si>
  <si>
    <t>hasDescription:"Probabilidad de aparición de manifestaciones cutáneas (dermatitis, alopecia) en niños con PBD no tratados durante el primer año de vida"; hasExpectedValue:"0.65"; hasUpper95CI:"0.75"; hasSource:"Mslinger D et al., 2003; Grunewald S et al., 2004"; hasLower95CI:"0.55"; hasYear:"2003";</t>
  </si>
  <si>
    <t>PBD_Manif_VisionLoss_RR</t>
  </si>
  <si>
    <t>hasYear:"1993"; hasLower95CI:"0.15"; hasExpectedValue:"0.25"; hasUpper95CI:"0.35"; hasDescription:"Probabilidad de desarrollar pérdida de visión (principalmente por atrofia óptica) en niños con PBD no tratados durante los primeros años de vida"; hasSource:"Salbert BA et al., 1993, Ophthalmologic Findings in Biotinidase Deficiency; Weber P et al., 2004";</t>
  </si>
  <si>
    <t>Property 'hasLower95CI' undefined (DataProperties col). | Property 'hasUpper95CI' undefined (DataProperties col); unsuitable value for property</t>
  </si>
  <si>
    <t>Parameter; UtilityParameter</t>
  </si>
  <si>
    <t>hasUpper95CI:"0.76"; hasDescription:"Disutilidad anual por hipoacusia neurosensorial irreversible moderada-grave en PBD"; hasExpectedValue:"0.72"; hasLower95CI:"0.68"; hasSource:"Wolf B et al., J Pediatr 2002; Genc GA et al., 2007; valores ajustados según estudios de utilidades en hipoacusia pediátrica"; hasYear:"2002";</t>
  </si>
  <si>
    <t>Class 'UtilityParameter' undefined. | Property 'hasUpper95CI' undefined (DataProperties col). | Property 'hasLower95CI' undefined (DataProperties col).</t>
  </si>
  <si>
    <t>hasExpectedValue:"0.75"; hasDescription:"Disutilidad anual por epilepsia activa en PBD"; hasLower95CI:"0.68"; hasSource:"Joshi S et al., 1999; utilidades en epilepsia infantil refractaria"; hasUpper95CI:"0.82"; hasYear:"1999";</t>
  </si>
  <si>
    <t>Class 'UtilityParameter' undefined. | Property 'hasLower95CI' undefined (DataProperties col). | Property 'hasUpper95CI' undefined (DataProperties col); unsuitable value for property</t>
  </si>
  <si>
    <t>UtilityParameter; Parameter</t>
  </si>
  <si>
    <t>hasYear:"2004"; hasSource:"Weber P et al., 2004; valores ajustados según utilidades en parálisis cerebral leve-moderada"; hasDescription:"Disutilidad anual por hipotonía persistente en PBD"; hasUpper95CI:"0.90"; hasLower95CI:"0.80"; hasExpectedValue:"0.85";</t>
  </si>
  <si>
    <t>Class 'UtilityParameter' undefined. | Property 'hasUpper95CI' undefined (DataProperties col). | Property 'hasLower95CI' undefined (DataProperties col); unsuitable value for property</t>
  </si>
  <si>
    <t>hasUpper95CI:"0.70"; hasLower95CI:"0.50"; hasSource:"Mslinger D et al., 2003; Weber P et al., 2004; utilidades en discapacidad intelectual pediátrica"; hasDescription:"Disutilidad anual por discapacidad intelectual moderada-grave en PBD"; hasExpectedValue:"0.60"; hasYear:"2003";</t>
  </si>
  <si>
    <t>hasExpectedValue:"0.95"; hasSource:"Joshi S et al., 1999; utilidades en dermatitis pediátrica moderada"; hasLower95CI:"0.92"; hasYear:"1999"; hasUpper95CI:"0.98"; hasDescription:"Disutilidad anual por dermatitis/alopecia en PBD";</t>
  </si>
  <si>
    <t>Class 'UtilityParameter' undefined. | Property 'hasLower95CI' undefined (DataProperties col). | Property 'hasUpper95CI' undefined (DataProperties col).</t>
  </si>
  <si>
    <t>hasLower95CI:"0.55"; hasYear:"1993"; hasDescription:"Disutilidad anual por pérdida visual grave secundaria a atrofia óptica en PBD"; hasExpectedValue:"0.65"; hasSource:"Salbert BA et al., 1993; utilidades en ceguera infantil"; hasUpper95CI:"0.75";</t>
  </si>
  <si>
    <t>UC2-F2-P1-S1-M2</t>
  </si>
  <si>
    <t>PBD_Progression_SymptomsWithoutScreening</t>
  </si>
  <si>
    <t>includedByModel:PBD_ModelDES; hasDataItemType:DI_Probability;</t>
  </si>
  <si>
    <t>hasExpectedValue:"0.95"; hasSource:"Weber et al., 2004; Moeslinger et al., 2003"; hasYear:"2004"; hasDescription:"Probabilidad de aparición de síntomas clínicos en menores de 1 año con deficiencia profunda de biotinidasa sin cribado neonatal";</t>
  </si>
  <si>
    <t>PBD_Progression_DevelopmentalDelayWithoutScreening</t>
  </si>
  <si>
    <t>hasDataItemType:DI_Probability; includedByModel:PBD_ModelDES;</t>
  </si>
  <si>
    <t>hasSource:"Weber et al., 2004; Moeslinger et al., 2003"; hasDescription:"Probabilidad de retraso del desarrollo neurológico sin cribado neonatal"; hasYear:"2004"; hasExpectedValue:"0.35";</t>
  </si>
  <si>
    <t>PBD_Progression_HearingLossWithoutScreening</t>
  </si>
  <si>
    <t>hasExpectedValue:"0.40"; hasYear:"2007"; hasDescription:"Probabilidad de desarrollar hipoacusia neurosensorial sin cribado neonatal"; hasSource:"Genc et al., 2007; Weber et al., 2004";</t>
  </si>
  <si>
    <t>PBD_Progression_OpticAtrophyWithoutScreening</t>
  </si>
  <si>
    <t>hasSource:"Weber et al., 2004"; hasYear:"2004"; hasExpectedValue:"0.20"; hasDescription:"Probabilidad de desarrollar atrofia óptica sin cribado neonatal";</t>
  </si>
  <si>
    <t>PBD_Progression_SymptomsWithScreening</t>
  </si>
  <si>
    <t>hasExpectedValue:"0.02"; hasDescription:"Probabilidad de síntomas clínicos si se inicia tratamiento precoz tras cribado neonatal"; hasYear:"2011"; hasSource:"Weber et al., 2004; Couce et al., 2011";</t>
  </si>
  <si>
    <t>PBD_Disutility_HearingLoss</t>
  </si>
  <si>
    <t>hasDataItemType:DI_Disutility; includedByModel:PBD_ModelDES;</t>
  </si>
  <si>
    <t>appliesOneTime:"false"; hasDescription:"Disutilidad anual por hipoacusia neurosensorial permanente"; hasExpectedValue:"-0.15"; hasYear:"2012"; hasSource:"Assumption; Gold et al. 2012 (estimation for moderate to severe pediatric hearing loss)";</t>
  </si>
  <si>
    <t>PBD_Disutility_OpticAtrophy</t>
  </si>
  <si>
    <t>includedByModel:PBD_ModelDES; hasDataItemType:DI_Disutility;</t>
  </si>
  <si>
    <t>hasDescription:"Disutilidad anual por atrofia óptica (ceguera permanente)"; appliesOneTime:"false"; hasExpectedValue:"-0.20"; hasSource:"Assumption; Gold et al. 2012 (estimation for pediatric blindness)"; hasYear:"2012";</t>
  </si>
  <si>
    <t>PBD_Utility_NormalState</t>
  </si>
  <si>
    <t>includedByModel:PBD_ModelDES; hasDataItemType:DI_Utility;</t>
  </si>
  <si>
    <t>hasDescription:"Utilidad anual para estado de salud normal tras cribado neonatal y tratamiento precoz"; appliesOneTime:"false"; hasExpectedValue:"1.0"; hasYear:"2024"; hasSource:"Assumption by expert consensus, following typical utility assignments for pediatric population without secuelas";</t>
  </si>
  <si>
    <t>PBD_ModelDES</t>
  </si>
  <si>
    <t>No Class assigned; Generated a new model individual (and DES)</t>
  </si>
  <si>
    <t>UC2-F2-P2-S1-M2</t>
  </si>
  <si>
    <t>PBD_Manif_MentalDelay_Prob</t>
  </si>
  <si>
    <t>includedByModel:PBD_StdModelDES; hasDataItemType:DI_Probability;</t>
  </si>
  <si>
    <t>hasSource:"Möslinger et al, 2003. Eur J Pediatr; Weber et al, 2004. Dev Med Child Neurol"; hasDescription:"Probabilidad de retraso mental/desarrollo psicomotor en pacientes no tratados con PBD profunda"; hasExpectedValue:"0.50"; hasYear:"2003";</t>
  </si>
  <si>
    <t>PBD_Manif_Seizure_Prob</t>
  </si>
  <si>
    <t>hasDescription:"Probabilidad de aparición de crisis epilépticas en PBD profunda no tratada"; hasYear:"2003"; hasExpectedValue:"0.75"; hasSource:"Möslinger et al, 2003; Weber et al, 2004; Cohortes clínicas";</t>
  </si>
  <si>
    <t>PBD_Manif_SkinProblems_Prob</t>
  </si>
  <si>
    <t>hasDataItemType:DI_Probability; includedByModel:PBD_StdModelDES;</t>
  </si>
  <si>
    <t>hasDescription:"Probabilidad de aparición de manifestaciones cutáneas (eccema/dermatitis) en PBD profunda no tratada"; hasExpectedValue:"0.65"; hasSource:"Möslinger et al, 2003; Weber et al, 2004; revisión de casos clínicos"; hasYear:"2003";</t>
  </si>
  <si>
    <t>hasDataItemType:DI_Disutility; includedByModel:PBD_StdModelDES;</t>
  </si>
  <si>
    <t>hasExpectedValue:"-0.18"; hasYear:"2003"; appliesOneTime:"false"; hasSource:"Barton et al. Pediatrics 2003; valores de utilidad para hipoacusia profunda en niños. Consistente con utilidades reportadas en estudios de cribado auditivo neonatal. Ver también Weimer et al. Otolaryngol Head Neck Surg 2007."; hasDescription:"Disutilidad anual asociada a hipoacusia neurosensorial grave/profunda secundaria a PBD";</t>
  </si>
  <si>
    <t>includedByModel:PBD_StdModelDES; hasDataItemType:DI_Disutility;</t>
  </si>
  <si>
    <t>hasSource:"Petrou et al. Health and Quality of Life Outcomes 2010; valores para discapacidad intelectual infantil severa. Consistente con estimaciones para enfermedades raras neurodegenerativas."; appliesOneTime:"false"; hasDescription:"Disutilidad anual asociada a retraso mental (discapacidad intelectual moderada o grave)"; hasExpectedValue:"-0.30"; hasYear:"2010";</t>
  </si>
  <si>
    <t>appliesOneTime:"false"; hasSource:"Tennant et al. Seizure 2014; valores para epilepsia infantil no controlada, aproximación estándar NICE y AIFA."; hasExpectedValue:"-0.20"; hasYear:"2014"; hasDescription:"Disutilidad anual asociada a epilepsia activa no controlada (crisis recurrentes)";</t>
  </si>
  <si>
    <t>PBD_Manif_HearingProblems_Prob</t>
  </si>
  <si>
    <t>hasDescription:"Probabilidad de desarrollar hipoacusia neurosensorial en pacientes con deficiencia profunda de biotinidasa no tratados (antes del cribado neonatal)"; hasYear:"2007"; hasSource:"Genc et al, 2007. Int J Pediatr Otorhinolaryngol; cohortes retrospectivas, n=20. https://doi.org/10.1016/j.ijporl.2006.11.001"; hasExpectedValue:"0.55";</t>
  </si>
  <si>
    <t>PBD_Manif_Hypotonia_Prob</t>
  </si>
  <si>
    <t>hasDescription:"Probabilidad de aparición de hipotonía en pacientes con deficiencia profunda de biotinidasa no tratados"; hasYear:"2003"; hasExpectedValue:"0.70"; hasSource:"Möslinger et al, 2003. Eur J Pediatr; revisión de cohortes, n=21. https://doi.org/10.1007/s00431-003-1351-3";</t>
  </si>
  <si>
    <t>PBD_Manif_VisionLoss_Prob</t>
  </si>
  <si>
    <t>hasYear:"2004"; hasSource:"Weber et al, 2004; cohortes de seguimiento y revisión de casos"; hasDescription:"Probabilidad de pérdida de visión/atrofia óptica en pacientes con PBD profunda no tratados"; hasExpectedValue:"0.25";</t>
  </si>
  <si>
    <t>hasYear:"2022"; hasExpectedValue:"-0.10"; hasDescription:"Disutilidad anual asociada a hipotonía motora significativa (estado moderado-grave)"; hasSource:"Baseline utility for moderate gross motor impairment, NICE TA755, Duchenne Muscular Dystrophy health states; adaptación para hipotonía severa en pediatría. No existen valores específicos para PBD."; appliesOneTime:"false";</t>
  </si>
  <si>
    <t>hasSource:"Valor aproximado adaptado de utilidades para eccema grave pediátrico, NICE TA592, y enfermedades cutáneas raras."; appliesOneTime:"false"; hasYear:"2019"; hasDescription:"Disutilidad anual asociada a manifestaciones cutáneas graves: eccema, dermatitis y alopecia por PBD"; hasExpectedValue:"-0.07";</t>
  </si>
  <si>
    <t>hasSource:"Peasgood et al. Patient 2018; utilidades para ceguera severa en edad pediátrica; estudios de visión severa en contexto de enfermedades raras."; hasExpectedValue:"-0.25"; hasDescription:"Disutilidad anual asociada a pérdida visual severa o ceguera secundaria a atrofia óptica"; hasYear:"2018"; appliesOneTime:"false";</t>
  </si>
  <si>
    <t>UC2-F3-P1-S1-M2</t>
  </si>
  <si>
    <t>PBD_Manif_DevelopmentalDelay_Incidence</t>
  </si>
  <si>
    <t>hasYear:"2004"; hasDescription:"Incidencia de retraso o dificultad en el desarrollo"; hasExpectedValue:"0.75"; hasSource:"Grünewald S et al. Neuropediatrics 2004; 35: 211-216";</t>
  </si>
  <si>
    <t>PBD_Manif_Alopecia_Incidence</t>
  </si>
  <si>
    <t>hasYear:"2004"; hasDescription:"Incidencia de alopecia/lesiones dermatológicas al debut"; hasSource:"Grünewald S et al. Neuropediatrics 2004; 35: 211-216"; hasExpectedValue:"0.6";</t>
  </si>
  <si>
    <t>PBD_Manif_HearingLoss_Incidence</t>
  </si>
  <si>
    <t>hasSource:"Grünewald S et al. Neuropediatrics 2004; 35: 211-216"; hasDescription:"Incidencia de hipoacusia en seguimiento"; hasYear:"2004"; hasExpectedValue:"0.8";</t>
  </si>
  <si>
    <t>PBD_Manif_Seizures_Incidence</t>
  </si>
  <si>
    <t>hasYear:"2004"; hasDescription:"Incidencia de convulsiones en pacientes no tratados con deficiencia profunda de biotinidasa"; hasExpectedValue:"0.8"; hasSource:"Grünewald S et al. Neuropediatrics 2004; 35: 211-216";</t>
  </si>
  <si>
    <t>PBD_Manif_VisualImpairment_Incidence</t>
  </si>
  <si>
    <t>hasSource:"Grünewald S et al. Neuropediatrics 2004; 35: 211-216"; hasDescription:"Incidencia de alteraciones visuales en seguimiento"; hasExpectedValue:"0.6"; hasYear:"2004";</t>
  </si>
  <si>
    <t>PBD_Utility_DevelopmentalDelay</t>
  </si>
  <si>
    <t>includedByModel:PBD_StdModelDES;</t>
  </si>
  <si>
    <t>hasExpectedValue:"0.5"; hasYear:"2007"; hasSource:"Basado en utilidades de discapacidad intelectual moderada/severa (Wu EQ et al. 2007, US EQ-5D)"; hasDescription:"Utilidad para discapacidad intelectual moderada/grave"; appliesOneTime:"false";</t>
  </si>
  <si>
    <t>PBD_Utility_Epilepsy</t>
  </si>
  <si>
    <t>hasDescription:"Utilidad para epilepsia de difícil control"; hasExpectedValue:"0.73"; hasYear:"2000"; appliesOneTime:"false"; hasSource:"Basado en utilidades publicadas para epilepsia refractaria (Tengs &amp; Wallace, 2000)";</t>
  </si>
  <si>
    <t>PBD_Utility_FullHealth</t>
  </si>
  <si>
    <t>hasSource:"Asunción estándar, validada en evaluaciones económicas EQ-5D."; hasDescription:"Utilidad para estado de salud sin secuelas, niño tratado precozmente"; hasExpectedValue:"1.0"; appliesOneTime:"false"; hasYear:"2024";</t>
  </si>
  <si>
    <t>PBD_Utility_HearingLoss</t>
  </si>
  <si>
    <t>hasExpectedValue:"0.75"; hasYear:"2004"; appliesOneTime:"false"; hasSource:"Basado en valores de EQ-5D para hipoacusia severa: Barton et al. 2004"; hasDescription:"Utilidad para hipoacusia bilateral severa";</t>
  </si>
  <si>
    <t>PBD_Utility_VisualImpairment</t>
  </si>
  <si>
    <t>appliesOneTime:"false"; hasYear:"2001"; hasExpectedValue:"0.68"; hasSource:"Basado en EQ-5D para ceguera: Brown et al. 2001"; hasDescription:"Utilidad para ceguera o afectación visual severa";</t>
  </si>
  <si>
    <t>UC2-F3-P2-S1-M2</t>
  </si>
  <si>
    <t>hasDataItemType:DI_Upper95ConfidenceLimit; includedByModel:PBD_StdModelDES;</t>
  </si>
  <si>
    <t>hasDescription:"Límite superior del 95% para la incidencia de hipoacusia"; hasYear:"2004"; hasExpectedValue:"0.90"; hasSource:"Grünewald S et al., 2004";</t>
  </si>
  <si>
    <t>PBD_Manif_MentalDelay_Incidence_L95CI</t>
  </si>
  <si>
    <t>includedByModel:PBD_StdModelDES; hasDataItemType:DI_Lower95ConfidenceLimit;</t>
  </si>
  <si>
    <t>hasSource:"Grünewald S et al., 2004"; hasYear:"2004"; hasDescription:"Límite inferior del 95% para la incidencia de retraso mental"; hasExpectedValue:"0.60";</t>
  </si>
  <si>
    <t>PBD_Manif_Seizure_Incidence_L95CI</t>
  </si>
  <si>
    <t>hasDataItemType:DI_Lower95ConfidenceLimit; includedByModel:PBD_StdModelDES;</t>
  </si>
  <si>
    <t>hasExpectedValue:"0.70"; hasDescription:"Límite inferior del 95% para la incidencia de crisis epilépticas"; hasSource:"Grünewald S et al., 2004"; hasYear:"2004";</t>
  </si>
  <si>
    <t>hasSource:"Grünewald S et al., 2004"; hasDescription:"Límite inferior del 95% para la incidencia de pérdida visual"; hasYear:"2004"; hasExpectedValue:"0.10";</t>
  </si>
  <si>
    <t>includedByModel:PBD_StdModelDES; hasDataItemType:DI_Utility;</t>
  </si>
  <si>
    <t>hasYear:"2004"; hasExpectedValue:"0.67"; hasSource:"Barton GR et al., 2004. Health-related quality of life in children with bilateral severe-profound hearing loss; Castilla I et al., 2021; HUI3"; hasDescription:"Valor de utilidad para sordera bilateral profunda en pacientes con deficiencia profunda de biotinidasa. Basado en HUI3 y revisiones NICE.";</t>
  </si>
  <si>
    <t>hasExpectedValue:"0.70"; hasSource:"Panagiotopoulos C et al., 2013; NICE 2021 review. Motor impairment utility values."; hasYear:"2013"; hasDescription:"Utilidad para discapacidad motora moderada asociada a hipotonía, basado en modelos NICE y literatura internacional.";</t>
  </si>
  <si>
    <t>hasDataItemType:DI_Utility; includedByModel:PBD_StdModelDES;</t>
  </si>
  <si>
    <t>hasExpectedValue:"0.65"; hasSource:"NICE TA232 (Epilepsy); Prosser LA et al., 2017. Utility values for epilepsy."; hasYear:"2017"; hasDescription:"Utilidad para epilepsia activa (no controlada), basado en revisiones NICE y Prosser 2017.";</t>
  </si>
  <si>
    <t>hasExpectedValue:"0.57"; hasSource:"Prosser LA et al., 2017; HUI3. Utility values for blindness."; hasDescription:"Utilidad para ceguera bilateral, basado en HUI3 y literatura internacional."; hasYear:"2017";</t>
  </si>
  <si>
    <t>hasUncertaintyCharacterization:PBD_Manif_MentalDelay_Incidence_L95CI; hasUncertaintyCharacterization:PBD_Manif_MentalDelay_Incidence_U95CI; includedByModel:PBD_StdModelDES; hasDataItemType:DI_Probability;</t>
  </si>
  <si>
    <t>hasSource:"Grünewald S et al., 2004"; hasDescription:"Probabilidad de retraso mental/desarrollo anormal en pacientes con deficiencia profunda de biotinidasa no tratados"; hasExpectedValue:"0.70"; hasYear:"2004";</t>
  </si>
  <si>
    <t>includedByModel:PBD_StdModelDES; hasUncertaintyCharacterization:PBD_Manif_Seizure_Incidence_U95CI; hasUncertaintyCharacterization:PBD_Manif_Seizure_Incidence_L95CI; hasDataItemType:DI_Probability;</t>
  </si>
  <si>
    <t>hasYear:"2004"; hasDescription:"Probabilidad de crisis epilépticas en pacientes con deficiencia profunda de biotinidasa no tratados"; hasSource:"Grünewald S et al., 2004"; hasExpectedValue:"0.80";</t>
  </si>
  <si>
    <t>hasExpectedValue:"0.75"; hasYear:"2004"; hasSource:"Grünewald S et al., 2004"; hasDescription:"Límite inferior del 95% para la incidencia de hipoacusia";</t>
  </si>
  <si>
    <t>PBD_Manif_Hypotonia_Incidence_L95CI</t>
  </si>
  <si>
    <t>hasDescription:"Límite inferior del 95% para la incidencia de hipotonía"; hasYear:"2004"; hasExpectedValue:"0.60"; hasSource:"Grünewald S et al., 2004";</t>
  </si>
  <si>
    <t>PBD_Manif_Hypotonia_Incidence_U95CI</t>
  </si>
  <si>
    <t>includedByModel:PBD_StdModelDES; hasDataItemType:DI_Upper95ConfidenceLimit;</t>
  </si>
  <si>
    <t>hasExpectedValue:"0.80"; hasYear:"2004"; hasDescription:"Límite superior del 95% para la incidencia de hipotonía"; hasSource:"Grünewald S et al., 2004";</t>
  </si>
  <si>
    <t>PBD_Manif_MentalDelay_Incidence_U95CI</t>
  </si>
  <si>
    <t>hasSource:"Grünewald S et al., 2004"; hasDescription:"Límite superior del 95% para la incidencia de retraso mental"; hasYear:"2004"; hasExpectedValue:"0.80";</t>
  </si>
  <si>
    <t>PBD_Manif_Seizure_Incidence_U95CI</t>
  </si>
  <si>
    <t>hasExpectedValue:"0.90"; hasYear:"2004"; hasSource:"Grünewald S et al., 2004"; hasDescription:"Límite superior del 95% para la incidencia de crisis epilépticas";</t>
  </si>
  <si>
    <t>PBD_Manif_SkinProblems_Incidence_L95CI</t>
  </si>
  <si>
    <t>hasExpectedValue:"0.50"; hasSource:"Grünewald S et al., 2004"; hasYear:"2004"; hasDescription:"Límite inferior del 95% para la incidencia de problemas cutáneos";</t>
  </si>
  <si>
    <t>PBD_Manif_SkinProblems_Incidence_U95CI</t>
  </si>
  <si>
    <t>hasYear:"2004"; hasSource:"Grünewald S et al., 2004"; hasDescription:"Límite superior del 95% para la incidencia de problemas cutáneos"; hasExpectedValue:"0.70";</t>
  </si>
  <si>
    <t>hasExpectedValue:"0.40"; hasSource:"Grünewald S et al., 2004"; hasYear:"2004"; hasDescription:"Límite superior del 95% para la incidencia de pérdida visual";</t>
  </si>
  <si>
    <t>hasUncertaintyCharacterization:PBD_Manif_HearingProblems_Incidence_U95CI; hasUncertaintyCharacterization:PBD_Manif_HearingProblems_Incidence_L95CI; includedByModel:PBD_StdModelDES; hasDataItemType:DI_Probability;</t>
  </si>
  <si>
    <t>hasExpectedValue:"0.85"; hasSource:"Grünewald S et al., 2004; Clinical and genetic findings in patients with biotinidase deficiency"; hasYear:"2004"; hasDescription:"Probabilidad de desarrollar hipoacusia neurosensorial en pacientes con deficiencia profunda de biotinidasa no tratados";</t>
  </si>
  <si>
    <t>includedByModel:PBD_StdModelDES; hasUncertaintyCharacterization:PBD_Manif_Hypotonia_Incidence_L95CI; hasUncertaintyCharacterization:PBD_Manif_Hypotonia_Incidence_U95CI; hasDataItemType:DI_Probability;</t>
  </si>
  <si>
    <t>hasDescription:"Probabilidad de presentar hipotonía en pacientes con deficiencia profunda de biotinidasa no tratados"; hasSource:"Grünewald S et al., 2004"; hasExpectedValue:"0.70"; hasYear:"2004";</t>
  </si>
  <si>
    <t>hasUncertaintyCharacterization:PBD_Manif_SkinProblems_Incidence_L95CI; hasUncertaintyCharacterization:PBD_Manif_SkinProblems_Incidence_U95CI; includedByModel:PBD_StdModelDES; hasDataItemType:DI_Probability;</t>
  </si>
  <si>
    <t>hasExpectedValue:"0.60"; hasYear:"2004"; hasSource:"Grünewald S et al., 2004"; hasDescription:"Probabilidad de problemas cutáneos (dermatitis, alopecia) en pacientes con deficiencia profunda de biotinidasa no tratados";</t>
  </si>
  <si>
    <t>hasUncertaintyCharacterization:PBD_Manif_VisionLoss_Incidence_L95CI; hasUncertaintyCharacterization:PBD_Manif_VisionLoss_Incidence_U95CI; hasDataItemType:DI_Probability; includedByModel:PBD_StdModelDES;</t>
  </si>
  <si>
    <t>hasExpectedValue:"0.25"; hasDescription:"Probabilidad de pérdida visual/atrofia óptica en pacientes con deficiencia profunda de biotinidasa no tratados"; hasSource:"Grünewald S et al., 2004"; hasYear:"2004";</t>
  </si>
  <si>
    <t>hasYear:"2017"; hasDescription:"Utilidad para discapacidad intelectual moderada-severa, basado en HUI3 y literatura internacional."; hasSource:"Prosser LA et al., 2017; NICE 2021. Utility values for intellectual disability."; hasExpectedValue:"0.60";</t>
  </si>
  <si>
    <t>hasDescription:"Utilidad para dermatitis crónica moderada, basado en EQ-5D y revisiones NICE."; hasSource:"Dolan P, 1997. Modeling valuations for EuroQol health states; NICE atopic dermatitis reviews."; hasExpectedValue:"0.85"; hasYear:"1997";</t>
  </si>
  <si>
    <t>UC3-F1-P1-S1-M1</t>
  </si>
  <si>
    <t>IRIBDManifSeizures</t>
  </si>
  <si>
    <t>IRIBDSeizuresProbDist</t>
  </si>
  <si>
    <t>BernoulliDistributionExpression</t>
  </si>
  <si>
    <t>hasProbabilityParameter:"0.5575";</t>
  </si>
  <si>
    <t>IRIBDScreeningCost</t>
  </si>
  <si>
    <t>hasValue:"1.85";</t>
  </si>
  <si>
    <t>Obj. properties used as data properties</t>
  </si>
  <si>
    <t>IRIBDDecisionModel</t>
  </si>
  <si>
    <t>includesModelItem:IRIBDDisease;</t>
  </si>
  <si>
    <t>IRIBDDisease</t>
  </si>
  <si>
    <t>hasManifestation:IRIBDManifSeizures;</t>
  </si>
  <si>
    <t>hasName:"Deficiencia de Biotinidasa"; hasRefToOMIM:"253260";</t>
  </si>
  <si>
    <t>IRIBDTotalPrevalence</t>
  </si>
  <si>
    <t>isParameterOfDisease:IRIBDDisease;</t>
  </si>
  <si>
    <t>hasValue:"1.48E-5";</t>
  </si>
  <si>
    <t>IRIBDPopulationSpain</t>
  </si>
  <si>
    <t>hasSize:"450000";</t>
  </si>
  <si>
    <t>IRIBDScreening</t>
  </si>
  <si>
    <t>hasCost:IRIBDScreeningCost;</t>
  </si>
  <si>
    <t>hasSpecificity:"0.99994"; hasSensitivity:"1.0";</t>
  </si>
  <si>
    <t>UC3-F1-P1-S1-M2</t>
  </si>
  <si>
    <t>DBD_Manif_Convulsiones</t>
  </si>
  <si>
    <t>IRIAcuteManifestation</t>
  </si>
  <si>
    <t>hasProbabilityOfDiagnosis:"0.5575"; hasDescription:"Convulsiones en pacientes con deficiencia de biotinidasa";</t>
  </si>
  <si>
    <t>Class 'IRIAcuteManifestation' undefined.</t>
  </si>
  <si>
    <t>DBD_Manif_Hipotonia</t>
  </si>
  <si>
    <t>hasProbabilityOfDiagnosis:"0.5000"; hasDescription:"Hipotonía en pacientes con deficiencia de biotinidasa total";</t>
  </si>
  <si>
    <t>DBD_Manif_Piel</t>
  </si>
  <si>
    <t>hasProbabilityOfDiagnosis:"0.3429"; hasDescription:"Problemas dermatológicos en pacientes con deficiencia de biotinidasa";</t>
  </si>
  <si>
    <t>DBD_Manif_AtrofiaOptica</t>
  </si>
  <si>
    <t>IRIChronicManifestation</t>
  </si>
  <si>
    <t>hasUtility:DBD_Manif_AtrofiaOptica_U;</t>
  </si>
  <si>
    <t>hasDescription:"Atrofia óptica en pacientes con deficiencia de biotinidasa total"; hasProbabilityOfDiagnosis:"0.1667";</t>
  </si>
  <si>
    <t>Class 'IRIChronicManifestation' undefined.</t>
  </si>
  <si>
    <t>DBD_Manif_PerdidaAuditiva</t>
  </si>
  <si>
    <t>hasUtility:DBD_Manif_PerdidaAuditiva_U;</t>
  </si>
  <si>
    <t>hasDescription:"Pérdida auditiva en pacientes con deficiencia de biotinidasa"; hasProbabilityOfDiagnosis:"0.6154";</t>
  </si>
  <si>
    <t>DBD_Manif_RetrasoMental</t>
  </si>
  <si>
    <t>hasUtility:DBD_Manif_RetrasoMental_U;</t>
  </si>
  <si>
    <t>hasDescription:"Retraso mental en pacientes con deficiencia de biotinidasa"; hasProbabilityOfDiagnosis:"0.3478";</t>
  </si>
  <si>
    <t>DBD_ManifAguda_Hospitalizacion_TC</t>
  </si>
  <si>
    <t>IRICost</t>
  </si>
  <si>
    <t>hasCurrency:IRICurrencyEuro;</t>
  </si>
  <si>
    <t>hasExpectedValue:"3665.56"; hasDescription:"Coste de hospitalización por manifestación aguda de DB"; hasSource:"Portal Estadístico MSSSI"; appliesOneTime:"true";</t>
  </si>
  <si>
    <t>Class 'IRICost' undefined.</t>
  </si>
  <si>
    <t>DBD_ScreeningTestCost</t>
  </si>
  <si>
    <t>hasDescription:"Coste de la prueba de cribado de la deficiencia de biotinidasa"; appliesOneTime:"true"; hasExpectedValue:"1.85";</t>
  </si>
  <si>
    <t>DBD_NaturalDevelopment</t>
  </si>
  <si>
    <t>IRIDevelopment</t>
  </si>
  <si>
    <t>hasManifestation:DBD_Manif_PerdidaAuditiva; hasManifestation:DBD_Manif_Hipotonia; hasManifestation:DBD_Manif_Piel; hasManifestation:DBD_Manif_AtrofiaOptica; hasManifestation:DBD_Manif_RetrasoMental; hasManifestation:DBD_Manif_Convulsiones;</t>
  </si>
  <si>
    <t>hasDescription:"Desarrollo natural de la deficiencia de biotinidasa sin tratamiento";</t>
  </si>
  <si>
    <t>Class 'IRIDevelopment' undefined.</t>
  </si>
  <si>
    <t>DBD_DiseaseProgression</t>
  </si>
  <si>
    <t>IRIDiseaseProgression</t>
  </si>
  <si>
    <t>hasDevelopment:DBD_NaturalDevelopment;</t>
  </si>
  <si>
    <t>hasDescription:"Progresión natural de la deficiencia de biotinidasa";</t>
  </si>
  <si>
    <t>Class 'IRIDiseaseProgression' undefined.</t>
  </si>
  <si>
    <t>DBD_BirthPrevalencePartial</t>
  </si>
  <si>
    <t>IRIEpidemiologicalParameter</t>
  </si>
  <si>
    <t>hasDataItemType:IRIDIBirthPrevalence;</t>
  </si>
  <si>
    <t>hasExpectedValue:"0.0000296"; hasDescription:"Prevalencia al nacimiento de la deficiencia parcial de biotinidasa"; hasSource:"Comunidad de Galicia";</t>
  </si>
  <si>
    <t>Class 'IRIEpidemiologicalParameter' undefined.</t>
  </si>
  <si>
    <t>DBD_BirthPrevalenceTotal</t>
  </si>
  <si>
    <t>hasExpectedValue:"0.0000148"; hasDescription:"Prevalencia al nacimiento de la deficiencia total de biotinidasa"; hasSource:"Comunidad de Galicia";</t>
  </si>
  <si>
    <t>DBD_DiscountRate</t>
  </si>
  <si>
    <t>IRIParameter</t>
  </si>
  <si>
    <t>hasDataItemType:IRIDIFactor;</t>
  </si>
  <si>
    <t>hasExpectedValue:"0.03"; hasDescription:"Tasa de descuento aplicada a costes y efectividad";</t>
  </si>
  <si>
    <t>Class 'IRIParameter' undefined;; individual not requested</t>
  </si>
  <si>
    <t>DBD_RepetitionRate</t>
  </si>
  <si>
    <t>hasDataItemType:IRIDIProportion;</t>
  </si>
  <si>
    <t>hasExpectedValue:"0.00441"; hasSource:"Comunidad de Galicia"; hasDescription:"Tasa de repetición tras la primera prueba de cribado";</t>
  </si>
  <si>
    <t>Class 'IRIParameter' undefined.</t>
  </si>
  <si>
    <t>DBD_PopulationNewborns</t>
  </si>
  <si>
    <t>IRIPopulation</t>
  </si>
  <si>
    <t>hasYear:"2012"; hasSize:"453637"; hasSource:"Instituto Nacional de Estadística"; hasDescription:"Recién nacidos en España durante un año natural";</t>
  </si>
  <si>
    <t>Class 'IRIPopulation' undefined.</t>
  </si>
  <si>
    <t>DBD_Disease</t>
  </si>
  <si>
    <t>IRIRareDisease</t>
  </si>
  <si>
    <t>hasRefToICD:"E53.8"; hasDescription:"Deficiencia de Biotinidasa"; hasRefToOMIM:"253260";</t>
  </si>
  <si>
    <t>Class 'IRIRareDisease' undefined.</t>
  </si>
  <si>
    <t>DBD_ScreeningTest</t>
  </si>
  <si>
    <t>hasCost:DBD_ScreeningTestCost;</t>
  </si>
  <si>
    <t>hasSensitivity:"1.0"; hasDescription:"Prueba de cribado de la deficiencia de biotinidasa mediante ensayo enzimático o fluorimétrico semicuantitativo"; hasSpecificity:"0.999935";</t>
  </si>
  <si>
    <t>Class 'IRIScreeningIntervention' undefined.</t>
  </si>
  <si>
    <t>DBD_ScreeningStrategy</t>
  </si>
  <si>
    <t>IRIScreeningStrategy</t>
  </si>
  <si>
    <t>hasScreeningStrategy:DBD_ScreeningTest;</t>
  </si>
  <si>
    <t>hasDescription:"Estrategia de cribado neonatal de la deficiencia de biotinidasa";</t>
  </si>
  <si>
    <t>Class 'IRIScreeningStrategy' undefined.</t>
  </si>
  <si>
    <t>DBD_ComplicationsFree_U</t>
  </si>
  <si>
    <t>IRIUtility</t>
  </si>
  <si>
    <t>hasDataItemType:IRIDIUtility;</t>
  </si>
  <si>
    <t>hasExpectedValue:"1.0"; hasDescription:"Utilidad para individuos sin complicaciones";</t>
  </si>
  <si>
    <t>Class 'IRIUtility' undefined.</t>
  </si>
  <si>
    <t>DBD_Manif_AtrofiaOptica_U</t>
  </si>
  <si>
    <t>hasDataItemType:IRIDIDisutility;</t>
  </si>
  <si>
    <t>hasDescription:"Desutilidad anual por atrofia óptica"; hasSource:"Carroll y Downs, 2009"; hasExpectedValue:"0.12";</t>
  </si>
  <si>
    <t>DBD_Manif_PerdidaAuditiva_U</t>
  </si>
  <si>
    <t>hasSource:"Carroll y Downs, 2009"; hasExpectedValue:"0.09"; hasDescription:"Desutilidad anual por pérdida auditiva";</t>
  </si>
  <si>
    <t>DBD_Manif_RetrasoMental_U</t>
  </si>
  <si>
    <t>hasSource:"Carroll y Downs, 2009"; hasExpectedValue:"0.20"; hasDescription:"Desutilidad anual por retraso mental";</t>
  </si>
  <si>
    <t>IRICurrencyEuro</t>
  </si>
  <si>
    <t>No Class assigned; individual not requested</t>
  </si>
  <si>
    <t>IRIDIFactor</t>
  </si>
  <si>
    <t>IRIDIProportion</t>
  </si>
  <si>
    <t>IRIDIUtility</t>
  </si>
  <si>
    <t>UC3-F1-P2-S1-M1</t>
  </si>
  <si>
    <t>IRIBTDManifHypotonia</t>
  </si>
  <si>
    <t>AcuteManifestation; NeuromuscularManifestation</t>
  </si>
  <si>
    <t>hasDuration:"P6M";</t>
  </si>
  <si>
    <t>Class 'NeuromuscularManifestation' undefined.</t>
  </si>
  <si>
    <t>IRIBTDConvulsionsAdj</t>
  </si>
  <si>
    <t>AdjustmentFactor</t>
  </si>
  <si>
    <t>hasFormula:"U_ajustada = U_base - (0.16 + n_convulsiones × 0.016)"; hasName:"Factor de ajuste por frecuencia convulsiva"; hasValue:"0.016";</t>
  </si>
  <si>
    <t>Class 'AdjustmentFactor' undefined.</t>
  </si>
  <si>
    <t>IRIBTDMortalityAdjustment</t>
  </si>
  <si>
    <t>hasValue:"1.32";</t>
  </si>
  <si>
    <t>IRIBTDTreatmentSideEffects</t>
  </si>
  <si>
    <t>AdverseEffect</t>
  </si>
  <si>
    <t>hasUtilityImpact:IRIBTDSideEffectUtilityDecrement;</t>
  </si>
  <si>
    <t>hasIncidence:"0.0002";</t>
  </si>
  <si>
    <t>Class 'AdverseEffect' undefined.</t>
  </si>
  <si>
    <t>IRIBTDTreatmentTotal</t>
  </si>
  <si>
    <t>ChronicTreatment; PharmacologicalTreatment</t>
  </si>
  <si>
    <t>reducesIncidenceOf:IRIBTDTotalManifConvulsionsIncidence;</t>
  </si>
  <si>
    <t>hasCost:"456.78"; hasDosage:"10 mg/día"; reducesProbabilityBy:"0.95";</t>
  </si>
  <si>
    <t>Class 'ChronicTreatment' undefined. Class 'PharmacologicalTreatment' undefined.</t>
  </si>
  <si>
    <t>IRIBTDInterventionClinical</t>
  </si>
  <si>
    <t>ClinicalDetectionPathway</t>
  </si>
  <si>
    <t>hasComponent:IRIBTDDelayedDiagnosis;</t>
  </si>
  <si>
    <t>hasName:"Detección clínica basada en sintomatología";</t>
  </si>
  <si>
    <t>Class 'ClinicalDetectionPathway' undefined.</t>
  </si>
  <si>
    <t>IRIBTDDermatologicalEval</t>
  </si>
  <si>
    <t>ClinicalEvaluation</t>
  </si>
  <si>
    <t>prevents:IRIBTDManifSkinProblems;</t>
  </si>
  <si>
    <t>hasFrequency:"P1Y"; hasCost:"120.00"; hasName:"Evaluación dermatológica anual"; hasDuration:"P18Y"; referencesSource:"Guía DERMAT-METAB 2024";</t>
  </si>
  <si>
    <t>Class 'ClinicalEvaluation' undefined; unsuitable source</t>
  </si>
  <si>
    <t>IRIBTDNeurologicalEvalTotal</t>
  </si>
  <si>
    <t>assesses:IRIBTDManifMentalRetardation;</t>
  </si>
  <si>
    <t>hasDuration:"P10Y"; hasName:"Evaluación neurológica semestral"; hasFrequency:"P6M"; hasCost:"200.00"; referencesSource:"Guía de Seguimiento Neurológico 2024";</t>
  </si>
  <si>
    <t>Class 'ClinicalEvaluation' undefined.</t>
  </si>
  <si>
    <t>IRIBTDFrequencyAdjustmentRule</t>
  </si>
  <si>
    <t>ClinicalRule</t>
  </si>
  <si>
    <t>hasCondition:"Estabilidad bioquímica ≥24 meses";</t>
  </si>
  <si>
    <t>Class 'ClinicalRule' undefined.</t>
  </si>
  <si>
    <t>IRIBTDUtilityCombinationRule</t>
  </si>
  <si>
    <t>CombinationRule</t>
  </si>
  <si>
    <t>hasFormula:"U_total = U_base × ∏(U_manif_i)"; referencesSource:"Guía de Modelado NICE para Enfermedades Multisistémicas"; hasName:"Regla multiplicativa para comorbilidades múltiples";</t>
  </si>
  <si>
    <t>Class 'CombinationRule' undefined.</t>
  </si>
  <si>
    <t>IRIBTDStageControlled</t>
  </si>
  <si>
    <t>ControlledStage</t>
  </si>
  <si>
    <t>hasUtility:"0.98";</t>
  </si>
  <si>
    <t>Class 'ControlledStage' undefined.</t>
  </si>
  <si>
    <t>IRIBTDBiotinCostHighDose</t>
  </si>
  <si>
    <t>hasValue:"456.78"; hasCurrency:"EUR";</t>
  </si>
  <si>
    <t>Class 'CostParameter' undefined.</t>
  </si>
  <si>
    <t>IRIBTDScreeningCost</t>
  </si>
  <si>
    <t>hasComponent:IRIBTDScreeningUnitCost;</t>
  </si>
  <si>
    <t>hasFormula:"N_recién_nacidos × (Coste_prueba + Coste_confirmación × Tasa_positivos)";</t>
  </si>
  <si>
    <t>IRIBTDManifSkinProblems</t>
  </si>
  <si>
    <t>DermatologicalManifestation</t>
  </si>
  <si>
    <t>hasIncidence:IRIBTDPartialManifSkinProblemsIncidence;</t>
  </si>
  <si>
    <t>Class 'DermatologicalManifestation' undefined.</t>
  </si>
  <si>
    <t>IRIBTDPartialManifSkinProblemsIncidence</t>
  </si>
  <si>
    <t>isParameterOfManifestation:IRIBTDManifSkinProblems;</t>
  </si>
  <si>
    <t>hasName:"Incidencia de problemas dérmicos en deficiencia parcial"; hasDataItemType:"DIIncidence"; hasConfidenceInterval:"[0.0985-0.2157]"; hasExpectedValue:"0.1571";</t>
  </si>
  <si>
    <t>Properties undefined</t>
  </si>
  <si>
    <t>IRIBTDPartialPrevalenceAtBirth</t>
  </si>
  <si>
    <t>isParameterOfDisease:IRIBTDDisease;</t>
  </si>
  <si>
    <t>hasDescription:"Frecuencia estimada de recién nacidos con actividad enzimática 10-30% en población española"; hasValue:"1/33810"; referencesSource:"Registro Nacional de Errores Congénitos del Metabolismo 2024"; hasConfidenceInterval:"[1/69450-1/19200]"; hasName:"Prevalencia al nacimiento de deficiencia parcial de biotinidasa"; hasNumericalValue:"0.000029577";</t>
  </si>
  <si>
    <t>IRIBTDTotalManifOpticAtrophyIncidence</t>
  </si>
  <si>
    <t>isParameterOfManifestation:IRIBTDManifOpticAtrophy;</t>
  </si>
  <si>
    <t>hasName:"Incidencia de atrofia óptica en deficiencia total"; hasName:"Incidencia puntual de atrofia óptica"; referencesSource:"Estudio RETICS-OFTALMO 2023"; hasExpectedValue:"0.1667"; hasTimeFrame:"P24M-P120M"; hasConfidenceInterval:"[0.0985-0.2349]"; hasDataItemType:"DIIncidence";</t>
  </si>
  <si>
    <t>Undefined properties. Properties duplicated</t>
  </si>
  <si>
    <t>IRIBTDTotalPrevalenceAtBirth</t>
  </si>
  <si>
    <t>hasValue:"1/67620"; hasName:"Prevalencia al nacimiento de deficiencia total de biotinidasa"; hasExpectedValue:"0.000014789"; hasDescription:"Frecuencia estimada de recién nacidos con actividad enzimática ≤10% en población española"; referencesSource:"Datos del Estudio Colaborativo Español de Enfermedades Minoritarias 2023"; hasNumericalValue:"0.000014789"; hasConfidenceInterval:"[1/138900-1/38400]";</t>
  </si>
  <si>
    <t>IRIBTDBaseUtility</t>
  </si>
  <si>
    <t>referencesSource:"EQ-5D-Y Normas Españolas 2024"; hasName:"Utilidad base para recién nacido sano"; hasExpectedValue:"1.000"; hasDataItemType:"DIUtility";</t>
  </si>
  <si>
    <t>Undefined properties</t>
  </si>
  <si>
    <t>IRIBTDAudiometricMonitoring</t>
  </si>
  <si>
    <t>DiagnosticTest</t>
  </si>
  <si>
    <t>earlyDetects:IRIBTDManifHearingLoss;</t>
  </si>
  <si>
    <t>hasCost:"85.00"; referencesSource:"Protocolo ORL para Errores Metabólicos"; hasName:"Audiometría anual"; hasFrequency:"P1Y"; hasDuration:"Lifelong";</t>
  </si>
  <si>
    <t>Class 'DiagnosticTest' undefined; unsuitable source</t>
  </si>
  <si>
    <t>IRIBTDBloodTest</t>
  </si>
  <si>
    <t>hasCost:"85.00";</t>
  </si>
  <si>
    <t>Class 'DiagnosticTest' undefined.</t>
  </si>
  <si>
    <t>IRIBTDConfirmatoryTest</t>
  </si>
  <si>
    <t>hasCost:IRIBTDConfirmatoryCost;</t>
  </si>
  <si>
    <t>hasSensitivity:"1.000"; hasSpecificity:"1.000"; referencesSource:"Algoritmo Diagnóstico Europeo v3.2"; hasName:"Confirmación por espectrometría de masas en tándem";</t>
  </si>
  <si>
    <t>IRIBTDScreeningTest</t>
  </si>
  <si>
    <t>hasTurnaroundTime:"P3D"; hasSpecificity:"0.9995"; hasSensitivity:"0.998";</t>
  </si>
  <si>
    <t>IRIBTDUrineTest</t>
  </si>
  <si>
    <t>hasCost:"120.00"; hasFrequency:"P1Y"; hasName:"Análisis de ácidos orgánicos en orina";</t>
  </si>
  <si>
    <t>IRIBTDDisease</t>
  </si>
  <si>
    <t>hasOMIM:"253260"; hasDescription:"Error congénito del metabolismo del reciclaje de la biotina de herencia autosómica recesiva"; hasName:"Deficiencia de Biotinidasa";</t>
  </si>
  <si>
    <t>IRIBTDEarlyTreatmentEffect</t>
  </si>
  <si>
    <t>DiseaseModifier</t>
  </si>
  <si>
    <t>affectsParameter:IRIBTDTotalManifConvulsionsIncidence;</t>
  </si>
  <si>
    <t>reducesProbabilityOf:"0.95";</t>
  </si>
  <si>
    <t>Class 'DiseaseModifier' undefined; the way effect is defined is unsuitable</t>
  </si>
  <si>
    <t>IRIBTDLateTreatmentEffect</t>
  </si>
  <si>
    <t>hasName:"Efecto limitado del tratamiento tardío"; hasNoEffectOn:"IRIBTDManifMentalRetardationLER"; reducesProbabilityOf:"0.45"; referencesSource:"Estudio de Intervención Tardía 2023";</t>
  </si>
  <si>
    <t>Class 'DiseaseModifier' undefined.</t>
  </si>
  <si>
    <t>IRIBTDTreatmentTotalEffect</t>
  </si>
  <si>
    <t>transformsStage:IRIBTDStageControlled;</t>
  </si>
  <si>
    <t>IRIBTDClinicalEffectiveness</t>
  </si>
  <si>
    <t>EffectivenessParameter</t>
  </si>
  <si>
    <t>hasOutcome:IRIBTDManifHearingLoss;</t>
  </si>
  <si>
    <t>referencesSource:"Estudio de Casos Clínicos Retrasados 2025"; hasName:"Efectividad detección clínica"; hasMeasure:"Tasa Diagnóstico Correcto"; hasValue:"0.654"; hasConfidenceInterval:"[0.589-0.719]";</t>
  </si>
  <si>
    <t>Class 'EffectivenessParameter' undefined; defines an effectiveness that is unsuitable</t>
  </si>
  <si>
    <t>IRIBTDFollowUpEffectivenessPartial</t>
  </si>
  <si>
    <t>hasValue:"0.92";</t>
  </si>
  <si>
    <t>Class 'EffectivenessParameter' undefined.</t>
  </si>
  <si>
    <t>IRIBTDFollowUpEffectivenessTotal</t>
  </si>
  <si>
    <t>hasValue:"0.78";</t>
  </si>
  <si>
    <t>IRIBTDScreeningEffectiveness</t>
  </si>
  <si>
    <t>hasOutcome:IRIBTDManifConvulsions;</t>
  </si>
  <si>
    <t>hasConfidenceInterval:"[0.812-0.934]"; hasValue:"0.873";</t>
  </si>
  <si>
    <t>Class 'EffectivenessParameter' undefined. Defines an effectiveness that is unsuitable</t>
  </si>
  <si>
    <t>IRIBTDPartialManifConvulsionsIncidence</t>
  </si>
  <si>
    <t>isParameterOfManifestation:IRIBTDManifConvulsions;</t>
  </si>
  <si>
    <t>hasName:"Incidencia acumulada de convulsiones en deficiencia parcial"; hasConfidenceInterval:"[0.0648-0.1400]"; hasDataItemType:"DIIncidence"; hasExpectedValue:"0.1024";</t>
  </si>
  <si>
    <t>IRIBTDPartialManifHearingLossIncidence</t>
  </si>
  <si>
    <t>isParameterOfManifestation:IRIBTDManifHearingLoss;</t>
  </si>
  <si>
    <t>hasDataItemType:"DIIncidence"; hasConfidenceInterval:"[0.2745-0.4113]"; hasName:"Incidencia acumulada de hipoacusia en deficiencia parcial"; hasExpectedValue:"0.3429";</t>
  </si>
  <si>
    <t>IRIBTDPartialManifMentalRetardationIncidence</t>
  </si>
  <si>
    <t>isParameterOfManifestation:IRIBTDManifMentalRetardation;</t>
  </si>
  <si>
    <t>hasExpectedValue:"0.1578"; hasConfidenceInterval:"[0.0954-0.2202]"; hasName:"Incidencia de retraso mental en deficiencia parcial"; hasDataItemType:"DIIncidence";</t>
  </si>
  <si>
    <t>IRIBTDTotalManifConvulsionsIncidence</t>
  </si>
  <si>
    <t>EpidemiologicalParameter; ProbabilisticParameter</t>
  </si>
  <si>
    <t>hasName:"Incidencia acumulada de crisis convulsivas en deficiencia total"; hasDataItemType:"DIIncidence"; hasAlpha:"55"; hasBeta:"44"; referencesSource:"Tabla 4.2 del Informe - Progresión Neurológica Aguda"; hasTimeFrame:"P3M-P24M"; hasExpectedValue:"0.5575"; hasProbabilityDistributionType:"DIBetaDistribution"; hasConfidenceInterval:"[0.4832-0.6318]";</t>
  </si>
  <si>
    <t>Class 'ProbabilisticParameter' undefined.</t>
  </si>
  <si>
    <t>IRIBTDTotalManifHearingLossIncidence</t>
  </si>
  <si>
    <t>hasDataItemType:"DIIncidence"; hasBeta:"50"; referencesSource:"Auditoría Otorrinolaringológica 2024 - Dataset BTD"; hasConfidenceInterval:"[0.5421-0.6887]"; hasExpectedValue:"0.6154"; hasAlpha:"80"; hasProbabilityDistributionType:"DIBetaDistribution"; hasName:"Riesgo acumulado de hipoacusia neurosensorial"; hasTimeFrame:"P12M-P60M";</t>
  </si>
  <si>
    <t>IRIBTDFollowUpPartial</t>
  </si>
  <si>
    <t>FollowUpProtocol</t>
  </si>
  <si>
    <t>hasComponent:IRIBTDMetabolicPanelPartial;</t>
  </si>
  <si>
    <t>Class 'FollowUpProtocol' undefined.</t>
  </si>
  <si>
    <t>IRIBTDFollowUpTotal</t>
  </si>
  <si>
    <t>hasComponent:IRIBTDMetabolicPanelTotal;</t>
  </si>
  <si>
    <t>hasFrequency:"P3M"; hasCost:"9850.00";</t>
  </si>
  <si>
    <t>IRIBTDInterventionScreening</t>
  </si>
  <si>
    <t>HealthcareProgram; ScreeningIntervention</t>
  </si>
  <si>
    <t>hasComponent:IRIBTDScreeningTest; hasCostParameter:IRIBTDScreeningCost;</t>
  </si>
  <si>
    <t>referencesSource:"Protocolo de Cribado Neonatal Español 2025"; hasDescription:"Programa sistemático de detección precoz mediante ensayo enzimático en sangre seca"; hasName:"Cribado neonatal de deficiencia de biotinidasa"; hasSpecificity:"0.9995"; hasSensitivity:"0.998";</t>
  </si>
  <si>
    <t>Class 'HealthcareProgram' undefined.</t>
  </si>
  <si>
    <t>IRIBTDTreatmentPartial</t>
  </si>
  <si>
    <t>IntermittentTreatment; PharmacologicalTreatment</t>
  </si>
  <si>
    <t>reducesIncidenceOf:IRIBTDPartialManifConvulsionsIncidence;</t>
  </si>
  <si>
    <t>reducesProbabilityBy:"0.85"; hasDosage:"5 mg/día";</t>
  </si>
  <si>
    <t>Class 'IntermittentTreatment' undefined. Class 'PharmacologicalTreatment' undefined.</t>
  </si>
  <si>
    <t>IRIBTDMetabolicPanelTotal</t>
  </si>
  <si>
    <t>LaboratoryTest</t>
  </si>
  <si>
    <t>hasFrequency:"P3M";</t>
  </si>
  <si>
    <t>Class 'LaboratoryTest' undefined.</t>
  </si>
  <si>
    <t>IRIBTDMonitoringProtocol</t>
  </si>
  <si>
    <t>MonitoringProcedure</t>
  </si>
  <si>
    <t>hasComponent:IRIBTDBloodTest;</t>
  </si>
  <si>
    <t>Class 'MonitoringProcedure' undefined.</t>
  </si>
  <si>
    <t>IRIBTDManifConvulsions</t>
  </si>
  <si>
    <t>NeurologicalManifestation; AcuteManifestation</t>
  </si>
  <si>
    <t>hasIncidence:IRIBTDTotalManifConvulsionsIncidence;</t>
  </si>
  <si>
    <t>hasOnsetAge:"P3M"; hasDescription:"Episodios paroxísticos de actividad neuronal sincrónica patológica..."; hasName:"Crisis convulsivas"; hasName:"Crisis convulsivas por deficiencia de biotinidasa"; referencesSource:"Protocolo de Epilepsias Metabólicas SEGHNP 2022";</t>
  </si>
  <si>
    <t>Class 'NeurologicalManifestation' undefined.</t>
  </si>
  <si>
    <t>IRIBTDManifOpticAtrophy</t>
  </si>
  <si>
    <t>OphthalmologicalManifestation; ChronicManifestation</t>
  </si>
  <si>
    <t>hasIncidence:IRIBTDTotalManifOpticAtrophyIncidence;</t>
  </si>
  <si>
    <t>hasOnsetAge:"P24M"; hasName:"Atrofia óptica postneurítica"; hasDescription:"Degeneración del nervio óptico secundaria a desmielinización..."; referencesSource:"Guía de Seguimiento Oftalmológico en Errores Innatos 2024";</t>
  </si>
  <si>
    <t>Class 'OphthalmologicalManifestation' undefined.</t>
  </si>
  <si>
    <t>IRIBTDLateTreatment</t>
  </si>
  <si>
    <t>hasCost:IRIBTDBiotinCost;</t>
  </si>
  <si>
    <t>hasDosage:"10 mg/día"; hasName:"Tratamiento tardío con biotina"; hasAdministration:"Oral"; referencesSource:"Análisis Comparativo de Eficacia Terapéutica"; hasEfficacyReduction:"0.34";</t>
  </si>
  <si>
    <t>Class 'PharmacologicalTreatment' undefined.</t>
  </si>
  <si>
    <t>IRIBTDTotalManifHypotoniaIncidence</t>
  </si>
  <si>
    <t>ProbabilisticParameter; DeterministicParameter; EpidemiologicalParameter</t>
  </si>
  <si>
    <t>isParameterOfManifestation:IRIBTDManifHypotonia;</t>
  </si>
  <si>
    <t>hasExpectedValue:"0.5000"; hasTimeFrame:"P0M-P6M"; hasProbabilityDistributionType:"DIBetaDistribution"; referencesSource:"Figura 3.7 del Anexo Metodológico"; hasDataItemType:"DIIncidence"; hasName:"Probabilidad acumulada de hipotonía neonatal en deficiencia total"; hasName:"Incidencia de hipotonía en deficiencia total"; hasConfidenceInterval:"[0.4231-0.5769]"; hasBeta:"50"; hasAlpha:"50";</t>
  </si>
  <si>
    <t>IRIBTDTotalManifMentalRetardationIncidence</t>
  </si>
  <si>
    <t>ProbabilisticParameter; EpidemiologicalParameter</t>
  </si>
  <si>
    <t>hasTimeFrame:"P36M-P216M"; referencesSource:"Evaluación Neuropsicológica Longitudinal - Capítulo 8"; hasName:"Riesgo de retraso mental severo"; hasMu:"-0.632"; hasConfidenceInterval:"[0.2834-0.4122]"; hasSigma:"0.189"; hasDataItemType:"DIIncidence"; hasProbabilityDistributionType:"DILogitNormalDistribution"; hasExpectedValue:"0.3478";</t>
  </si>
  <si>
    <t>IRIBTDTotalManifSkinProblemsIncidence</t>
  </si>
  <si>
    <t>referencesSource:"Registro Dermatológico Nacional - Caso 45A"; hasTimeFrame:"P2M-P12M"; hasName:"Incidencia de problemas dérmicos en deficiencia total"; hasName:"Riesgo acumulado de dermatitis alérgica grave"; hasProbabilityDistributionType:"DIBetaDistribution"; hasDataItemType:"DIIncidence"; hasBeta:"65"; hasAlpha:"34"; hasConfidenceInterval:"[0.2745-0.4113]"; hasExpectedValue:"0.3429";</t>
  </si>
  <si>
    <t>IRIBTDManifMentalRetardationLER</t>
  </si>
  <si>
    <t>ProbabilisticParameter; MortalityParameter</t>
  </si>
  <si>
    <t>hasAdjustmentFactor:IRIBTDMortalityAdjustment;</t>
  </si>
  <si>
    <t>hasDataItemType:"DILifeExpectancyReduction"; hasName:"Reducción de esperanza de vida por retraso mental"; referencesSource:"Estudio Longitudinal de Mortalidad en Discapacidad Intelectual 2024"; hasConfidenceInterval:"[7.23-11.91]"; hasValue:"9.57"; hasExpectedValue:"9.57"; hasUnit:"años";</t>
  </si>
  <si>
    <t>Class 'ProbabilisticParameter' undefined. Class 'MortalityParameter' undefined.</t>
  </si>
  <si>
    <t>IRIBTDManifConvulsionsOnset</t>
  </si>
  <si>
    <t>ProbabilisticParameter; TemporalParameter</t>
  </si>
  <si>
    <t>isTemporalParameterOf:IRIBTDManifConvulsions;</t>
  </si>
  <si>
    <t>hasName:"Tiempo hasta primera convulsión"; hasShapeParameter:"2.15"; hasProbabilityDistributionType:"DIWeibullDistribution"; hasScaleParameter:"8.43"; hasExpectedValue:"P3M"; hasConfidenceInterval:"[P6W-P5M]";</t>
  </si>
  <si>
    <t>Class 'ProbabilisticParameter' undefined. Class 'TemporalParameter' undefined.</t>
  </si>
  <si>
    <t>IRIBTDManifHearingLossOnset</t>
  </si>
  <si>
    <t>isTemporalParameterOf:IRIBTDManifHearingLoss;</t>
  </si>
  <si>
    <t>hasExpectedValue:"P18M"; hasShape:"3.8"; hasProbabilityDistributionType:"DIGammaDistribution"; hasRate:"0.15"; referencesSource:"Estudio Longitudinal Auditivo 2024"; hasConfidenceInterval:"[P12M-P24M]"; hasName:"Tiempo hasta hipoacusia diagnosticable";</t>
  </si>
  <si>
    <t>IRIBTDManifHearingLossU</t>
  </si>
  <si>
    <t>ProbabilisticParameter; Utility</t>
  </si>
  <si>
    <t>isParameterOfManifestation:IRIBTDManifHearingLoss; hasAgeAdjustment:IRIBTDHearingAgeAdj;</t>
  </si>
  <si>
    <t>hasName:"Desutilidad por hipoacusia bilateral"; hasConfidenceInterval:"[0.883-0.937]"; referencesSource:"Mapa de Hipoacusia a EQ-5D-5L 2024"; hasDataItemType:"DIUtility"; hasExpectedValue:"0.910";</t>
  </si>
  <si>
    <t>IRIBTDManifMentalRetardationU</t>
  </si>
  <si>
    <t>hasName:"Desutilidad por retraso mental severo"; hasExpectedValue:"0.790"; hasMultiplicativeEffect:"true"; referencesSource:"CHU9D Adaptación Española en Discapacidad Intelectual 2025"; hasCognitiveImpact:"IQ &lt;50"; hasConfidenceInterval:"[0.752-0.828]"; hasDataItemType:"DIUtility";</t>
  </si>
  <si>
    <t>IRIBTDManifOpticAtrophyU</t>
  </si>
  <si>
    <t>hasName:"Desutilidad por atrofia óptica"; hasExpectedValue:"0.850"; referencesSource:"Estudio VISQoL en Neuropatías Ópticas 2023"; hasVisualAcuityImpact:"&gt;0.3 logMAR"; hasDataItemType:"DIUtility"; hasConfidenceInterval:"[0.812-0.888]";</t>
  </si>
  <si>
    <t>IRIBTDManifSkinProblemsU</t>
  </si>
  <si>
    <t>hasConfidenceInterval:"[0.901-0.959]"; hasDataItemType:"DIUtility"; hasExpectedValue:"0.930"; hasAlpha:"93"; hasName:"Desutilidad por dermatitis alérgica grave"; hasBeta:"7"; referencesSource:"Estudio QUALIDERM-BTD 2025"; hasProbabilityDistributionType:"DIBetaDistribution";</t>
  </si>
  <si>
    <t>IRIBTDManifHearingLoss</t>
  </si>
  <si>
    <t>SensoryManifestation; ChronicManifestation</t>
  </si>
  <si>
    <t>hasIncidence:IRIBTDTotalManifHearingLossIncidence;</t>
  </si>
  <si>
    <t>hasName:"Hipoacusia neurosensorial bilateral progresiva"; hasUtility:"0.910"; hasOnsetAge:"P18M";</t>
  </si>
  <si>
    <t>Class 'SensoryManifestation' undefined.</t>
  </si>
  <si>
    <t>IRIBTDStagePartial</t>
  </si>
  <si>
    <t>hasName:"Deficiencia Parcial";</t>
  </si>
  <si>
    <t>IRIBTDStageTotal</t>
  </si>
  <si>
    <t>hasName:"Deficiencia Total"; hasName:"Deficiencia Total de Biotinidasa"; hasInitialProportion:"0.000014789";</t>
  </si>
  <si>
    <t>Obj. property used as data property</t>
  </si>
  <si>
    <t>IRIBTDTotalManifConvulsionsTimeDist</t>
  </si>
  <si>
    <t>TemporalDistribution</t>
  </si>
  <si>
    <t>isDistributionOf:IRIBTDTotalManifConvulsionsIncidence;</t>
  </si>
  <si>
    <t>hasDistributionType:"DIWeibullDistribution"; hasTimeUnit:"MESES"; hasScaleParameter:"8.43"; hasName:"Distribución temporal de aparición de convulsiones"; hasShapeParameter:"2.15";</t>
  </si>
  <si>
    <t>Class 'TemporalDistribution' undefined.</t>
  </si>
  <si>
    <t>IRIBTDTotalManifHearingLossTimeDist</t>
  </si>
  <si>
    <t>isDistributionOf:IRIBTDTotalManifHearingLossIncidence;</t>
  </si>
  <si>
    <t>hasName:"Distribución de tiempo hasta hipoacusia"; hasShapeParameter:"4.2"; hasRateParameter:"0.75"; hasDistributionType:"DIGammaDistribution"; hasTimeUnit:"MESES";</t>
  </si>
  <si>
    <t>IRIBTDAcuteOnsetModel</t>
  </si>
  <si>
    <t>TemporalModel</t>
  </si>
  <si>
    <t>appliesToStage:IRIBTDStageTotal; appliesToStage:IRIBTDStagePartial;</t>
  </si>
  <si>
    <t>hasDescription:"Distribuciones de tiempo para complicaciones de aparición temprana (&lt;12 meses)"; hasName:"Modelo de progresión temporal aguda";</t>
  </si>
  <si>
    <t>Class 'TemporalModel' undefined.</t>
  </si>
  <si>
    <t>IRIBTDChronicOnsetModel</t>
  </si>
  <si>
    <t>appliesToStage:IRIBTDStageTotal;</t>
  </si>
  <si>
    <t>hasName:"Modelo de progresión temporal crónica"; hasDescription:"Distribuciones para complicaciones de aparición tardía (&gt;12 meses)";</t>
  </si>
  <si>
    <t>IRIBTDTemporalProgressionFramework</t>
  </si>
  <si>
    <t>combinesModels:IRIBTDChronicOnsetModel; combinesModels:IRIBTDAcuteOnsetModel;</t>
  </si>
  <si>
    <t>hasCycleLength:"P1M"; hasName:"Marco integrado de progresión temporal"; referencesSource:"Anexo Metodológico - Modelo de Markov"; hasTemporalResolution:"P1M";</t>
  </si>
  <si>
    <t>IRIBTDManifHearingLossProgression</t>
  </si>
  <si>
    <t>hasExpectedValue:"0.25"; hasUnit:"dB/año"; hasName:"Tasa de progresión de hipoacusia";</t>
  </si>
  <si>
    <t>Class 'TemporalParameter' undefined.</t>
  </si>
  <si>
    <t>IRIBTDManifConvulsionsDuration</t>
  </si>
  <si>
    <t>TemporalParameter; DeterministicParameter</t>
  </si>
  <si>
    <t>hasDescription:"Periodo desde primera crisis hasta control con tratamiento"; hasName:"Duración promedio de fase convulsiva activa"; hasExpectedValue:"P2Y";</t>
  </si>
  <si>
    <t>IRIBTDManifHypotoniaOnset</t>
  </si>
  <si>
    <t>isTemporalParameterOf:IRIBTDManifHypotonia;</t>
  </si>
  <si>
    <t>referencesSource:"Revisión de Casos Neonatales - Anexo C"; hasDataItemType:"DITimeToEvent"; hasName:"Edad de inicio de hipotonía"; hasFixedValue:"true"; hasExpectedValue:"P1M";</t>
  </si>
  <si>
    <t>IRIBTDManifMentalRetardationDuration</t>
  </si>
  <si>
    <t>isTemporalParameterOf:IRIBTDManifMentalRetardation;</t>
  </si>
  <si>
    <t>hasExpectedValue:"P70Y"; referencesSource:"Tabla 9.3 - Esperanza de Vida Ajustada"; hasDescription:"Desde diagnóstico hasta expectativa de vida media"; hasName:"Duración del retraso mental";</t>
  </si>
  <si>
    <t>Class 'TemporalParameter' and propert 'referencesSource' undefined.</t>
  </si>
  <si>
    <t>IRIBTDManifHypotoniaDuration</t>
  </si>
  <si>
    <t>TemporalParameter; ProbabilisticParameter</t>
  </si>
  <si>
    <t>hasConfidenceInterval:"[P3M-P9M]"; hasRate:"0.75"; hasName:"Duración de hipotonía no tratada"; hasProbabilityDistributionType:"DIGammaDistribution"; referencesSource:"Modelo de Progresión Motora 2023"; hasShape:"4.2"; hasExpectedValue:"P6M";</t>
  </si>
  <si>
    <t>Class 'TemporalParameter' undefined. Class 'ProbabilisticParameter' undefined.</t>
  </si>
  <si>
    <t>IRIBTDManifMentalRetardationOnset</t>
  </si>
  <si>
    <t>referencesSource:"Escalas Bayley-III - Dataset Español"; hasName:"Edad de diagnóstico de retraso mental"; hasProbabilityDistributionType:"DILogNormalDistribution"; hasConfidenceInterval:"[P24M-P48M]"; hasExpectedValue:"P36M"; hasMu:"3.58"; hasSigma:"0.42";</t>
  </si>
  <si>
    <t>IRIBTDManifHypotoniaU</t>
  </si>
  <si>
    <t>hasDataItemType:"DIUtility"; hasName:"Desutilidad por hipotonía grave"; referencesSource:"Mapping SIP to EQ-5D en Parálisis Cerebral 2024"; hasExpectedValue:"0.930"; hasDescription:"Reducción por limitación motora y dependencia";</t>
  </si>
  <si>
    <t>Obj property used as data property</t>
  </si>
  <si>
    <t>IRIBTDManifConvulsionsU</t>
  </si>
  <si>
    <t>Utility; ProbabilisticParameter; UtilityParameter</t>
  </si>
  <si>
    <t>hasAdjustmentFactor:IRIBTDConvulsionsAdj; isParameterOfManifestation:IRIBTDManifConvulsions;</t>
  </si>
  <si>
    <t>hasName:"Desutilidad por crisis convulsivas recurrentes"; referencesSource:"Estudio de Preferencias en Epilepsia Infantil 2023"; hasUtilityDecrementFormula:"Base - 0.16 × (N_episodios/mes)"; hasExpectedValue:"0.840"; hasConfidenceInterval:"[0.795-0.885]"; hasDataItemType:"DIUtility";</t>
  </si>
  <si>
    <t>Class 'ProbabilisticParameter' undefined. Class 'UtilityParameter' undefined.</t>
  </si>
  <si>
    <t>IRIBTDSideEffectUtilityDecrement</t>
  </si>
  <si>
    <t>UtilityAdjustment</t>
  </si>
  <si>
    <t>appliesTo:IRIBTDTreatmentTotal;</t>
  </si>
  <si>
    <t>hasValue:"0.02";</t>
  </si>
  <si>
    <t>Class 'UtilityAdjustment' undefined.</t>
  </si>
  <si>
    <t>IRIBTDNoComplicationsU</t>
  </si>
  <si>
    <t>hasExpectedValue:"1.000";</t>
  </si>
  <si>
    <t>IRIBTDBiotinCost</t>
  </si>
  <si>
    <t>IRIBTDConfirmatoryCost</t>
  </si>
  <si>
    <t>IRIBTDDelayedDiagnosis</t>
  </si>
  <si>
    <t>IRIBTDHearingAgeAdj</t>
  </si>
  <si>
    <t>IRIBTDManifMentalRetardation</t>
  </si>
  <si>
    <t>IRIBTDMetabolicPanelPartial</t>
  </si>
  <si>
    <t>IRIBTDScreeningUnitCost</t>
  </si>
  <si>
    <t>UC3-F1-P2-S1-M2</t>
  </si>
  <si>
    <t>BiotinidaseConvulsions</t>
  </si>
  <si>
    <t>hasDescription:"Convulsiones agudas asociadas a la deficiencia de biotinidasa.";</t>
  </si>
  <si>
    <t>BiotinidaseHypotonia</t>
  </si>
  <si>
    <t>hasDescription:"Hipotonía aguda en lactantes con deficiencia de biotinidasa.";</t>
  </si>
  <si>
    <t>BiotinidaseSkinProblems</t>
  </si>
  <si>
    <t>hasDescription:"Problemas de piel: eccema, dermatitis, alopecia en DB sin tratar.";</t>
  </si>
  <si>
    <t>BiotinidaseHearingLoss</t>
  </si>
  <si>
    <t>hasDescription:"Pérdida auditiva neurosensorial permanente asociada a la deficiencia de biotinidasa.";</t>
  </si>
  <si>
    <t>BiotinidaseMentalRetardation</t>
  </si>
  <si>
    <t>hasDescription:"Retraso mental o del desarrollo psicomotor de carácter permanente.";</t>
  </si>
  <si>
    <t>BiotinidaseOpticAtrophy</t>
  </si>
  <si>
    <t>hasDescription:"Atrofia óptica irreversible secundaria a la deficiencia de biotinidasa.";</t>
  </si>
  <si>
    <t>BiotinidaseParcial_Convulsions_Probability</t>
  </si>
  <si>
    <t>hasExpectedValue:"0.5575";</t>
  </si>
  <si>
    <t>BiotinidaseParcial_HearingLoss_Probability</t>
  </si>
  <si>
    <t>hasExpectedValue:"0.3429";</t>
  </si>
  <si>
    <t>BiotinidaseParcial_Hypotonia_Probability</t>
  </si>
  <si>
    <t>hasExpectedValue:"0.0000";</t>
  </si>
  <si>
    <t>BiotinidaseParcial_MentalRetardation_Probability</t>
  </si>
  <si>
    <t>hasExpectedValue:"0.3478";</t>
  </si>
  <si>
    <t>BiotinidaseParcial_OpticAtrophy_Probability</t>
  </si>
  <si>
    <t>BiotinidaseParcial_SkinProblems_Probability</t>
  </si>
  <si>
    <t>BiotinidaseProfunda_Convulsions_Probability</t>
  </si>
  <si>
    <t>BiotinidaseProfunda_HearingLoss_Probability</t>
  </si>
  <si>
    <t>hasExpectedValue:"0.6154";</t>
  </si>
  <si>
    <t>BiotinidaseProfunda_Hypotonia_Probability</t>
  </si>
  <si>
    <t>hasExpectedValue:"0.5000";</t>
  </si>
  <si>
    <t>BiotinidaseProfunda_MentalRetardation_Probability</t>
  </si>
  <si>
    <t>BiotinidaseProfunda_OpticAtrophy_Probability</t>
  </si>
  <si>
    <t>hasExpectedValue:"0.1667";</t>
  </si>
  <si>
    <t>BiotinidaseProfunda_SkinProblems_Probability</t>
  </si>
  <si>
    <t>disease-simulationIRIBiotinidaseHearingLoss</t>
  </si>
  <si>
    <t>disease-simulationIRIChronicManifestation</t>
  </si>
  <si>
    <t>disease-simulationIRIhasDescription:"Pérdida auditiva neurosensorial permanente asociada a la deficiencia de biotinidasa no tratada, que puede requerir audífonos o implante coclear y genera discapacidad a largo plazo.";</t>
  </si>
  <si>
    <t>Class 'disease-simulationIRIChronicManifestation' undefined.</t>
  </si>
  <si>
    <t>disease-simulationIRIBiotinidaseMentalRetardation</t>
  </si>
  <si>
    <t>disease-simulationIRIhasDescription:"Retraso mental o del desarrollo psicomotor de carácter permanente, consecuencia de la deficiencia de biotinidasa sin tratamiento precoz.";</t>
  </si>
  <si>
    <t>disease-simulationIRIBiotinidaseOpticAtrophy</t>
  </si>
  <si>
    <t>disease-simulationIRIhasDescription:"Atrofia óptica irreversible secundaria a la deficiencia de biotinidasa, que conlleva pérdida permanente de visión y discapacidad visual.";</t>
  </si>
  <si>
    <t>disease-simulationIRIBiotinidaseClinicalDiagnosisIntervention</t>
  </si>
  <si>
    <t>disease-simulationIRIDiagnosisIntervention</t>
  </si>
  <si>
    <t>disease-simulationIRIhasDescription:"Diagnóstico clínico de la deficiencia de biotinidasa tras la aparición de signos o síntomas indicativos, seguido de pruebas confirmatorias.";</t>
  </si>
  <si>
    <t>Class 'disease-simulationIRIDiagnosisIntervention' undefined.</t>
  </si>
  <si>
    <t>disease-simulationIRIBiotinidaseConfirmatoryDiagnosisIntervention</t>
  </si>
  <si>
    <t>disease-simulationIRIhasDescription:"Diagnóstico confirmatorio mediante determinación enzimática cuantitativa en suero o plasma y, en algunos casos, análisis molecular del gen BTD.";</t>
  </si>
  <si>
    <t>Class 'disease-simulationIRIDiagnosisIntervention' undefined; should not be an intervention</t>
  </si>
  <si>
    <t>disease-simulationIRIBiotinidaseConvulsionsDisutility</t>
  </si>
  <si>
    <t>disease-simulationIRIDIDisutility</t>
  </si>
  <si>
    <t>disease-simulationIRIisParameterOfManifestation:disease-simulationIRIBiotinidaseConvulsions;</t>
  </si>
  <si>
    <t>disease-simulationIRIhasExpectedValue:"0.16"; disease-simulationIRIhasSource:"Carroll and Downs 2009, Informe SESCS 2013, Tabla 7";</t>
  </si>
  <si>
    <t>Class 'disease-simulationIRIDIDisutility' undefined.</t>
  </si>
  <si>
    <t>disease-simulationIRIBiotinidaseHearingLossDisutility</t>
  </si>
  <si>
    <t>disease-simulationIRIisParameterOfManifestation:disease-simulationIRIBiotinidaseHearingLoss;</t>
  </si>
  <si>
    <t>disease-simulationIRIhasExpectedValue:"0.09"; disease-simulationIRIhasSource:"Carroll and Downs 2009, Informe SESCS 2013, Tabla 7";</t>
  </si>
  <si>
    <t>disease-simulationIRIBiotinidaseHypotoniaDisutility</t>
  </si>
  <si>
    <t>disease-simulationIRIisParameterOfManifestation:disease-simulationIRIBiotinidaseHypotonia;</t>
  </si>
  <si>
    <t>disease-simulationIRIhasExpectedValue:"0.07"; disease-simulationIRIhasSource:"Carroll and Downs 2009, Informe SESCS 2013, Tabla 7";</t>
  </si>
  <si>
    <t>disease-simulationIRIBiotinidaseMentalRetardationDisutility</t>
  </si>
  <si>
    <t>disease-simulationIRIisParameterOfManifestation:disease-simulationIRIBiotinidaseMentalRetardation;</t>
  </si>
  <si>
    <t>disease-simulationIRIhasSource:"Carroll and Downs 2009, Informe SESCS 2013, Tabla 7"; disease-simulationIRIhasExpectedValue:"0.2";</t>
  </si>
  <si>
    <t>disease-simulationIRIBiotinidaseOpticAtrophyDisutility</t>
  </si>
  <si>
    <t>disease-simulationIRIisParameterOfManifestation:disease-simulationIRIBiotinidaseOpticAtrophy;</t>
  </si>
  <si>
    <t>disease-simulationIRIhasSource:"Carroll and Downs 2009, Informe SESCS 2013, Tabla 7"; disease-simulationIRIhasExpectedValue:"0.15";</t>
  </si>
  <si>
    <t>disease-simulationIRIBiotinidaseSkinProblemsDisutility</t>
  </si>
  <si>
    <t>disease-simulationIRIisParameterOfManifestation:disease-simulationIRIBiotinidaseSkinProblems;</t>
  </si>
  <si>
    <t>disease-simulationIRIBiotinidaseParcialConvulsionsProbability</t>
  </si>
  <si>
    <t>disease-simulationIRIDIProbability</t>
  </si>
  <si>
    <t>disease-simulationIRIhasManifestation:disease-simulationIRIBiotinidaseConvulsions;</t>
  </si>
  <si>
    <t>disease-simulationIRIhasExpectedValue:"0.5575"; disease-simulationIRIhasSource:"Informe SESCS 2013, Tabla 2";</t>
  </si>
  <si>
    <t>Class 'disease-simulationIRIDIProbability' undefined.</t>
  </si>
  <si>
    <t>disease-simulationIRIBiotinidaseParcialHearingLossProbability</t>
  </si>
  <si>
    <t>disease-simulationIRIhasManifestation:disease-simulationIRIBiotinidaseHearingLoss;</t>
  </si>
  <si>
    <t>disease-simulationIRIhasSource:"Informe SESCS 2013, Tabla 2"; disease-simulationIRIhasExpectedValue:"0.3429";</t>
  </si>
  <si>
    <t>disease-simulationIRIBiotinidaseParcialHypotoniaProbability</t>
  </si>
  <si>
    <t>disease-simulationIRIhasManifestation:disease-simulationIRIBiotinidaseHypotonia;</t>
  </si>
  <si>
    <t>disease-simulationIRIhasSource:"Informe SESCS 2013, Tabla 2"; disease-simulationIRIhasExpectedValue:"0.0";</t>
  </si>
  <si>
    <t>disease-simulationIRIBiotinidaseParcialMentalRetardationProbability</t>
  </si>
  <si>
    <t>disease-simulationIRIhasManifestation:disease-simulationIRIBiotinidaseMentalRetardation;</t>
  </si>
  <si>
    <t>disease-simulationIRIhasSource:"Informe SESCS 2013, Tabla 2"; disease-simulationIRIhasExpectedValue:"0.3478";</t>
  </si>
  <si>
    <t>disease-simulationIRIBiotinidaseParcialOpticAtrophyProbability</t>
  </si>
  <si>
    <t>disease-simulationIRIhasManifestation:disease-simulationIRIBiotinidaseOpticAtrophy;</t>
  </si>
  <si>
    <t>disease-simulationIRIhasExpectedValue:"0.0"; disease-simulationIRIhasSource:"Informe SESCS 2013, Tabla 2";</t>
  </si>
  <si>
    <t>disease-simulationIRIBiotinidaseParcialSkinProblemsProbability</t>
  </si>
  <si>
    <t>disease-simulationIRIhasManifestation:disease-simulationIRIBiotinidaseSkinProblems;</t>
  </si>
  <si>
    <t>disease-simulationIRIhasExpectedValue:"0.3429"; disease-simulationIRIhasSource:"Informe SESCS 2013, Tabla 2";</t>
  </si>
  <si>
    <t>disease-simulationIRIBiotinidaseProfundaConvulsionsProbability</t>
  </si>
  <si>
    <t>disease-simulationIRIBiotinidaseProfundaHearingLossProbability</t>
  </si>
  <si>
    <t>disease-simulationIRIhasSource:"Informe SESCS 2013, Tabla 2"; disease-simulationIRIhasExpectedValue:"0.6154";</t>
  </si>
  <si>
    <t>disease-simulationIRIBiotinidaseProfundaHypotoniaProbability</t>
  </si>
  <si>
    <t>disease-simulationIRIhasSource:"Informe SESCS 2013, Tabla 2"; disease-simulationIRIhasExpectedValue:"0.5";</t>
  </si>
  <si>
    <t>disease-simulationIRIBiotinidaseProfundaMentalRetardationProbability</t>
  </si>
  <si>
    <t>disease-simulationIRIBiotinidaseProfundaOpticAtrophyProbability</t>
  </si>
  <si>
    <t>disease-simulationIRIhasSource:"Informe SESCS 2013, Tabla 2"; disease-simulationIRIhasExpectedValue:"0.1667";</t>
  </si>
  <si>
    <t>disease-simulationIRIBiotinidaseProfundaSkinProblemsProbability</t>
  </si>
  <si>
    <t>disease-simulationIRIBiotinidaseConvulsionsTimeToEvent</t>
  </si>
  <si>
    <t>disease-simulationIRIDITimeToEvent</t>
  </si>
  <si>
    <t>disease-simulationIRIhasUnit:"años"; disease-simulationIRIhasDescription:"Tiempo medio hasta la aparición de convulsiones agudas en ausencia de tratamiento (media 3,5 meses; ocurre durante el primer año de vida)."; disease-simulationIRIhasSource:"Informe SESCS 2013, p. 31"; disease-simulationIRIhasExpectedValue:"0.29";</t>
  </si>
  <si>
    <t>Class 'disease-simulationIRIDITimeToEvent' undefined.</t>
  </si>
  <si>
    <t>disease-simulationIRIBiotinidaseHearingLossTimeToEvent</t>
  </si>
  <si>
    <t>disease-simulationIRIhasSource:"Informe SESCS 2013, p. 31"; disease-simulationIRIhasDescription:"Edad mínima de aparición de pérdida auditiva neurosensorial irreversible (se hace evidente a partir del segundo año de vida)."; disease-simulationIRIhasUnit:"años"; disease-simulationIRIhasExpectedValue:"2.0";</t>
  </si>
  <si>
    <t>disease-simulationIRIBiotinidaseHypotoniaTimeToEvent</t>
  </si>
  <si>
    <t>disease-simulationIRIhasDescription:"Tiempo medio hasta la aparición de hipotonía aguda en ausencia de tratamiento (media 3,5 meses; ocurre durante el primer año de vida)."; disease-simulationIRIhasExpectedValue:"0.29"; disease-simulationIRIhasSource:"Informe SESCS 2013, p. 31"; disease-simulationIRIhasUnit:"años";</t>
  </si>
  <si>
    <t>disease-simulationIRIBiotinidaseMentalRetardationTimeToEvent</t>
  </si>
  <si>
    <t>disease-simulationIRIhasUnit:"años"; disease-simulationIRIhasDescription:"Edad mínima de aparición del retraso mental (se hace evidente a partir del segundo año de vida)."; disease-simulationIRIhasSource:"Informe SESCS 2013, p. 31"; disease-simulationIRIhasExpectedValue:"2.0";</t>
  </si>
  <si>
    <t>disease-simulationIRIBiotinidaseOpticAtrophyTimeToEvent</t>
  </si>
  <si>
    <t>disease-simulationIRIhasSource:"Informe SESCS 2013, p. 31"; disease-simulationIRIhasDescription:"Edad mínima de aparición de atrofia óptica irreversible (se hace evidente a partir del segundo año de vida)."; disease-simulationIRIhasUnit:"años"; disease-simulationIRIhasExpectedValue:"2.0";</t>
  </si>
  <si>
    <t>disease-simulationIRIBiotinidaseSkinProblemsTimeToEvent</t>
  </si>
  <si>
    <t>disease-simulationIRIhasExpectedValue:"0.29"; disease-simulationIRIhasUnit:"años"; disease-simulationIRIhasSource:"Informe SESCS 2013, p. 31"; disease-simulationIRIhasDescription:"Tiempo medio hasta la aparición de problemas de piel agudos en ausencia de tratamiento (media 3,5 meses; ocurre durante el primer año de vida).";</t>
  </si>
  <si>
    <t>disease-simulationIRIBiotinidaseParcialBirthPrevalence</t>
  </si>
  <si>
    <t>disease-simulationIRIEpidemiologicalParameter</t>
  </si>
  <si>
    <t>disease-simulationIRIisParameterOfStage:disease-simulationIRIBiotinidaseDeficiencyStageAsymptomaticParcial;</t>
  </si>
  <si>
    <t>disease-simulationIRIhasDescription:"Prevalencia al nacimiento de la deficiencia de biotinidasa parcial"; disease-simulationIRIhasExpectedValue:"2.96E-5";</t>
  </si>
  <si>
    <t>Class 'disease-simulationIRIEpidemiologicalParameter' undefined.</t>
  </si>
  <si>
    <t>disease-simulationIRIBiotinidaseProfundaBirthPrevalence</t>
  </si>
  <si>
    <t>disease-simulationIRIisParameterOfStage:disease-simulationIRIBiotinidaseDeficiencyStageAsymptomaticProfunda;</t>
  </si>
  <si>
    <t>disease-simulationIRIhasExpectedValue:"1.48E-5"; disease-simulationIRIhasDescription:"Prevalencia al nacimiento de la deficiencia de biotinidasa profunda";</t>
  </si>
  <si>
    <t>disease-simulationIRIBiotinidaseFollowUpStrategy</t>
  </si>
  <si>
    <t>disease-simulationIRIFollowUpStrategy</t>
  </si>
  <si>
    <t>disease-simulationIRIhasDescription:"Seguimiento clínico periódico: consultas con especialista en enfermedades metabólicas, controles auditivos y oftalmológicos anuales en deficiencia total y bienales en parcial.";</t>
  </si>
  <si>
    <t>Class 'disease-simulationIRIFollowUpStrategy' undefined.</t>
  </si>
  <si>
    <t>disease-simulationIRIBiotinidasePartialFollowUpStrategy</t>
  </si>
  <si>
    <t>disease-simulationIRIhasUnit:"años"; disease-simulationIRIhasFrequency:"2"; disease-simulationIRIhasDescription:"Seguimiento bienal (cada dos años) con especialista en enfermedades metabólicas, audiometría, examen de agudeza visual y análisis de ácidos orgánicos y acilcarnitinas para pacientes con deficiencia parcial de biotinidasa."; disease-simulationIRIhasGuideline:"Recomendación nacional, práctica clínica habitual en España";</t>
  </si>
  <si>
    <t>disease-simulationIRIBiotinidaseTotalFollowUpStrategy</t>
  </si>
  <si>
    <t>disease-simulationIRIhasUnit:"años"; disease-simulationIRIhasFrequency:"1"; disease-simulationIRIhasDescription:"Seguimiento anual con especialista en enfermedades metabólicas, audiometría, examen de agudeza visual y análisis de ácidos orgánicos y acilcarnitinas para pacientes con deficiencia total de biotinidasa."; disease-simulationIRIhasGuideline:"Recomendación nacional, práctica clínica habitual en España";</t>
  </si>
  <si>
    <t>disease-simulationIRIBiotinidaseConvulsions</t>
  </si>
  <si>
    <t>disease-simulationIRIManifestation</t>
  </si>
  <si>
    <t>disease-simulationIRIhasDescription:"Convulsiones agudas asociadas a la deficiencia de biotinidasa, típicamente de aparición en los primeros meses de vida sin tratamiento.";</t>
  </si>
  <si>
    <t>Class 'disease-simulationIRIManifestation' undefined.</t>
  </si>
  <si>
    <t>disease-simulationIRIBiotinidaseHypotonia</t>
  </si>
  <si>
    <t>disease-simulationIRIhasDescription:"Hipotonía aguda (disminución del tono muscular) en lactantes con deficiencia de biotinidasa no tratada, de aparición temprana y resolución tras el inicio de tratamiento.";</t>
  </si>
  <si>
    <t>disease-simulationIRIBiotinidaseSkinProblems</t>
  </si>
  <si>
    <t>disease-simulationIRIhasDescription:"Manifestaciones dermatológicas agudas como eccema, dermatitis y alopecia en el contexto de la deficiencia de biotinidasa sin tratar.";</t>
  </si>
  <si>
    <t>disease-simulationIRIBiotinidaseScreeningIntervention</t>
  </si>
  <si>
    <t>disease-simulationIRIScreeningIntervention</t>
  </si>
  <si>
    <t>disease-simulationIRIhasDescription:"Cribado neonatal universal de la deficiencia de biotinidasa mediante la medida de la actividad enzimática en sangre en papel, utilizando ensayo enzimático o fluorimétrico semicuantitativo.";</t>
  </si>
  <si>
    <t>Class 'disease-simulationIRIScreeningIntervention' undefined.</t>
  </si>
  <si>
    <t>disease-simulationIRIBiotinidaseBiotinTreatment</t>
  </si>
  <si>
    <t>disease-simulationIRITherapeuticIntervention</t>
  </si>
  <si>
    <t>disease-simulationIRIhasDescription:"Tratamiento farmacológico con biotina oral: 10 mg/día para deficiencia total y 5 mg/semana para deficiencia parcial.";</t>
  </si>
  <si>
    <t>Class 'disease-simulationIRITherapeuticIntervention' undefined; should not be an intervention</t>
  </si>
  <si>
    <t>disease-simulationIRIBiotinidasePartialBiotinTreatment</t>
  </si>
  <si>
    <t>disease-simulationIRITreatment</t>
  </si>
  <si>
    <t>disease-simulationIRIhasDescription:"Tratamiento de la deficiencia parcial de biotinidasa con biotina oral, dosis estándar de 5 mg/semana de por vida."; disease-simulationIRIhasUnit:"mg/semana"; disease-simulationIRIhasGuideline:"Recomendación nacional, práctica clínica habitual en España"; disease-simulationIRIhasDose:"5";</t>
  </si>
  <si>
    <t>Class 'disease-simulationIRITreatment' undefined.</t>
  </si>
  <si>
    <t>disease-simulationIRIBiotinidaseTotalBiotinTreatment</t>
  </si>
  <si>
    <t>disease-simulationIRIhasDescription:"Tratamiento de la deficiencia total (profunda) de biotinidasa con biotina oral, dosis estándar de 10 mg/día de por vida."; disease-simulationIRIhasGuideline:"Recomendación nacional, práctica clínica habitual en España"; disease-simulationIRIhasUnit:"mg/día"; disease-simulationIRIhasDose:"10";</t>
  </si>
  <si>
    <t>BiotinidasePartialBirthPrevalence</t>
  </si>
  <si>
    <t>hasDescription:"Prevalencia al nacimiento de la deficiencia de biotinidasa parcial"; hasExpectedValue:"0.0000296";</t>
  </si>
  <si>
    <t>BiotinidaseTotalBirthPrevalence</t>
  </si>
  <si>
    <t>hasDescription:"Prevalencia al nacimiento de la deficiencia de biotinidasa profunda"; hasExpectedValue:"0.0000148";</t>
  </si>
  <si>
    <t>Biotinidase_Utility_Convulsions</t>
  </si>
  <si>
    <t>hasExpectedValue:"0.84"; hasDescription:"Utilidad asociada a convulsiones moderadas en deficiencia de biotinidasa"; hasSource:"Carroll and Downs 2009, Informe SESCS 2013, Tabla 7";</t>
  </si>
  <si>
    <t>Biotinidase_Utility_HearingLoss</t>
  </si>
  <si>
    <t>hasSource:"Carroll and Downs 2009, Informe SESCS 2013, Tabla 7"; hasDescription:"Utilidad asociada a pérdida auditiva moderada en deficiencia de biotinidasa"; hasExpectedValue:"0.91";</t>
  </si>
  <si>
    <t>Biotinidase_Utility_Hypotonia</t>
  </si>
  <si>
    <t>hasSource:"Carroll and Downs 2009, Informe SESCS 2013, Tabla 7"; hasDescription:"Utilidad asociada a hipotonía moderada en deficiencia de biotinidasa"; hasExpectedValue:"0.93";</t>
  </si>
  <si>
    <t>Biotinidase_Utility_MentalRetardation</t>
  </si>
  <si>
    <t>hasDescription:"Utilidad asociada a retraso mental moderado en deficiencia de biotinidasa"; hasSource:"Carroll and Downs 2009, Informe SESCS 2013, Tabla 7"; hasExpectedValue:"0.80";</t>
  </si>
  <si>
    <t>Biotinidase_Utility_OpticAtrophy</t>
  </si>
  <si>
    <t>hasSource:"Carroll and Downs 2009, Informe SESCS 2013, Tabla 7"; hasExpectedValue:"0.85"; hasDescription:"Utilidad asociada a atrofia óptica moderada en deficiencia de biotinidasa";</t>
  </si>
  <si>
    <t>Biotinidase_Utility_SkinProblems</t>
  </si>
  <si>
    <t>hasDescription:"Utilidad asociada a problemas de piel (reacción alérgica moderada) en deficiencia de biotinidasa"; hasExpectedValue:"0.93"; hasSource:"Carroll and Downs 2009, Informe SESCS 2013, Tabla 7";</t>
  </si>
  <si>
    <t>hasSource:"GARD, ORDO, OMIM"; hasDescription:"Deficiencia de biotinidasa (DB), error congénito del metabolismo con herencia autosómica recesiva, que afecta el reciclaje de la biotina.";</t>
  </si>
  <si>
    <t>Unsuitable values for properties</t>
  </si>
  <si>
    <t>BiotinidaseDeficiency_Parcial</t>
  </si>
  <si>
    <t>RareDiseaseSubtype</t>
  </si>
  <si>
    <t>isSubtypeOf:BiotinidaseDeficiency;</t>
  </si>
  <si>
    <t>Class 'RareDiseaseSubtype' undefined.</t>
  </si>
  <si>
    <t>BiotinidaseDeficiency_Profunda</t>
  </si>
  <si>
    <t>BiotinidaseDeficiencyStage_AcuteManifestation</t>
  </si>
  <si>
    <t>hasManifestation:BiotinidaseSkinProblems; hasManifestation:BiotinidaseConvulsions; hasManifestation:BiotinidaseHypotonia;</t>
  </si>
  <si>
    <t>hasDescription:"Estado con manifestaciones agudas (convulsiones, hipotonía, problemas de piel).";</t>
  </si>
  <si>
    <t>BiotinidaseDeficiencyStage_Asymptomatic</t>
  </si>
  <si>
    <t>hasDescription:"Estado asintomático tras el nacimiento, antes de la aparición de síntomas o intervención.";</t>
  </si>
  <si>
    <t>BiotinidaseDeficiencyStage_ChronicComplications</t>
  </si>
  <si>
    <t>hasManifestation:BiotinidaseMentalRetardation; hasManifestation:BiotinidaseHearingLoss; hasManifestation:BiotinidaseOpticAtrophy;</t>
  </si>
  <si>
    <t>hasDescription:"Estado con secuelas crónicas (pérdida auditiva, atrofia óptica, retraso mental).";</t>
  </si>
  <si>
    <t>BiotinidaseDeficiencyStage_UnderTreatment</t>
  </si>
  <si>
    <t>hasDescription:"Estado bajo tratamiento con biotina, sin manifestaciones clínicas.";</t>
  </si>
  <si>
    <t>BiotinidaseUtility_Convulsions</t>
  </si>
  <si>
    <t>hasExpectedValue:"0.84";</t>
  </si>
  <si>
    <t>BiotinidaseUtility_HearingLoss</t>
  </si>
  <si>
    <t>hasExpectedValue:"0.91";</t>
  </si>
  <si>
    <t>BiotinidaseUtility_Hypotonia</t>
  </si>
  <si>
    <t>hasExpectedValue:"0.93";</t>
  </si>
  <si>
    <t>BiotinidaseUtility_MentalRetardation</t>
  </si>
  <si>
    <t>hasExpectedValue:"0.80";</t>
  </si>
  <si>
    <t>BiotinidaseUtility_OpticAtrophy</t>
  </si>
  <si>
    <t>hasExpectedValue:"0.85";</t>
  </si>
  <si>
    <t>BiotinidaseUtility_SkinProblems</t>
  </si>
  <si>
    <t>disease-simulationIRIBiotinidaseDeficiencyStageAsymptomaticParcial</t>
  </si>
  <si>
    <t>disease-simulationIRIBiotinidaseDeficiencyStageAsymptomaticProfunda</t>
  </si>
  <si>
    <t>UC3-F2-P1-S1-M2</t>
  </si>
  <si>
    <t>BTD_Deep_Prevalence</t>
  </si>
  <si>
    <t>NamedIndividual</t>
  </si>
  <si>
    <t>Class 'NamedIndividual' undefined.</t>
  </si>
  <si>
    <t>BTD_Deep_Prob_Convulsions</t>
  </si>
  <si>
    <t>BTD_Deep_Prob_HearingLoss</t>
  </si>
  <si>
    <t>BTD_Deep_Prob_Hypotonia</t>
  </si>
  <si>
    <t>BTD_Deep_Prob_MentalRetardation</t>
  </si>
  <si>
    <t>BTD_Deep_Prob_OpticAtrophy</t>
  </si>
  <si>
    <t>BTD_Deep_Prob_SkinProblem</t>
  </si>
  <si>
    <t>BTD_Model_Spain</t>
  </si>
  <si>
    <t>BTD_U_Convulsions</t>
  </si>
  <si>
    <t>BTD_U_HearingLoss</t>
  </si>
  <si>
    <t>BTD_U_Hypotonia</t>
  </si>
  <si>
    <t>BTD_U_MentalRetardation</t>
  </si>
  <si>
    <t>BTD_U_OpticAtrophy</t>
  </si>
  <si>
    <t>BTD_U_SkinProblem</t>
  </si>
  <si>
    <t>UC3-F2-P2-S1-M2</t>
  </si>
  <si>
    <t>Biotinidase_Chronic_DevelopmentalDelay_U</t>
  </si>
  <si>
    <t>hasDataItemType:DI_Disutility; includedByModel:Biotinidase_Model_DES;</t>
  </si>
  <si>
    <t>hasYear:"2013"; hasDescription:"Desutilidad anual asociada a retraso del desarrollo psicomotor o discapacidad intelectual en deficiencia de biotinidasa."; hasExpectedValue:"-0.200"; appliesOneTime:"false"; hasSource:"Informe SESCS 2013, por analogía a discapacidad intelectual moderada en EQ-5D";</t>
  </si>
  <si>
    <t>Biotinidase_Chronic_HearingLoss_U</t>
  </si>
  <si>
    <t>hasDescription:"Desutilidad anual asociada a la presencia de pérdida auditiva neurosensorial crónica en deficiencia de biotinidasa."; hasSource:"Informe SESCS 2013, por analogía a discapacidad auditiva moderada en EQ-5D"; hasExpectedValue:"-0.050"; hasYear:"2013"; appliesOneTime:"false";</t>
  </si>
  <si>
    <t>Unsuitable value for preperty</t>
  </si>
  <si>
    <t>Biotinidase_Chronic_MotorDisorders_U</t>
  </si>
  <si>
    <t>appliesOneTime:"false"; hasDescription:"Desutilidad anual asociada a la presencia de ataxia, espasticidad o trastornos motores crónicos en deficiencia de biotinidasa."; hasSource:"Informe SESCS 2013, consenso de expertos"; hasYear:"2013"; hasExpectedValue:"-0.120";</t>
  </si>
  <si>
    <t>Biotinidase_EnzymeAssay</t>
  </si>
  <si>
    <t>DiagnosisIntervention; HealthTechnology</t>
  </si>
  <si>
    <t>hasDescription:"Técnica de cribado basada en la medición de la actividad de biotinidasa en sangre seca en papel, mediante métodos enzimáticos o fluorimétricos semicuantitativos."; hasName:"Ensayo enzimático/fluorimétrico de actividad biotinidasa"; hasSource:"Informe SESCS 2013"; hasYear:"2013";</t>
  </si>
  <si>
    <t>Treatment_Biotin_Partial</t>
  </si>
  <si>
    <t>Drug; Treatment</t>
  </si>
  <si>
    <t>includedByModel:Biotinidase_Model_DES;</t>
  </si>
  <si>
    <t>hasDescription:"Administración oral de biotina a dosis bajas (5 mg/día), recomendada de por vida en la deficiencia parcial de biotinidasa (10-30% actividad enzimática) para prevenir síntomas, especialmente bajo situaciones de estrés metabólico (infección, ayuno, etc)."; hasName:"Tratamiento con biotina para deficiencia parcial de biotinidasa"; hasSource:"Informe SESCS 2013, recomendaciones clínicas internacionales"; hasYear:"2013";</t>
  </si>
  <si>
    <t>hasDuration:""toda la vida (o al menos hasta la adolescencia)"^^xsd:string"; hasRoute:""oral"^^xsd:string"; hasDosage:""5 mg/día"^^xsd:string"; isTreatmentFor:"http://www.ull.es/iis/simulation/ontologies/disease-simulation#Biotinidase_Deficiency_Partial";</t>
  </si>
  <si>
    <t>Biotinidase_Treatment_Biotin</t>
  </si>
  <si>
    <t>Drug; Treatment; Intervention</t>
  </si>
  <si>
    <t>hasSource:"Informe SESCS 2013, recomendaciones clínicas internacionales"; hasYear:"2013"; hasDescription:"Administración oral de biotina a dosis farmacológicas como tratamiento de por vida para la deficiencia profunda o parcial de biotinidasa."; hasName:"Tratamiento con biotina";</t>
  </si>
  <si>
    <t>Biotinidase_Partial_BirthPrevalence</t>
  </si>
  <si>
    <t>includedByModel:Biotinidase_Model_DES; isParameterOfDisease:Biotinidase_Deficiency_Partial; hasDataItemType:DI_BirthPrevalence;</t>
  </si>
  <si>
    <t>hasExpectedValue:"0.0000296"; hasSource:"Programa de cribado neonatal de Galicia (1987-2013), Informe SESCS 2013"; hasDescription:"Prevalencia al nacimiento de la deficiencia parcial de biotinidasa (10-30% actividad)"; hasYear:"2013";</t>
  </si>
  <si>
    <t>Biotinidase_Profound_BirthPrevalence</t>
  </si>
  <si>
    <t>isParameterOfDisease:Biotinidase_Deficiency_Profound; hasDataItemType:DI_BirthPrevalence; includedByModel:Biotinidase_Model_DES;</t>
  </si>
  <si>
    <t>hasSource:"Programa de cribado neonatal de Galicia (1987-2013), Informe SESCS 2013"; hasExpectedValue:"0.0000148"; hasDescription:"Prevalencia al nacimiento de la deficiencia profunda de biotinidasa (&lt;10% actividad)"; hasYear:"2013";</t>
  </si>
  <si>
    <t>FollowUp_PartialBiotinidase</t>
  </si>
  <si>
    <t>HealthCareProcess; FollowUpStrategy</t>
  </si>
  <si>
    <t>hasComponent:FollowUp_Biotinidase_Common_Components;</t>
  </si>
  <si>
    <t>hasSource:"Informe SESCS 2013, protocolos clínicos"; hasYear:"2013"; hasDescription:"Visitas periódicas (anuales) en consulta especializada para revisar adherencia al tratamiento, valorar desarrollo, síntomas y adaptación de la dosis de biotina. Seguimiento menos intensivo que en la deficiencia profunda."; hasName:"Seguimiento clínico de la deficiencia parcial de biotinidasa";</t>
  </si>
  <si>
    <t>appliesTo:"http://www.ull.es/iis/simulation/ontologies/disease-simulation#Biotinidase_Deficiency_Partial"; hasFrequency:""Cada 12 meses"^^xsd:string";</t>
  </si>
  <si>
    <t>Class 'HealthCareProcess' undefined.</t>
  </si>
  <si>
    <t>FollowUp_ProfoundBiotinidase</t>
  </si>
  <si>
    <t>hasYear:"2013"; hasSource:"Informe SESCS 2013, protocolos clínicos"; hasName:"Seguimiento clínico de la deficiencia profunda de biotinidasa"; hasDescription:"Visitas periódicas (mínimo anual, recomendadas cada 6 meses en la infancia) en consulta de metabolopatías, valoración clínica y neurológica, control del desarrollo, función auditiva, función visual, revisión de adherencia al tratamiento y ajuste de dosis de biotina si es necesario.";</t>
  </si>
  <si>
    <t>appliesTo:"http://www.ull.es/iis/simulation/ontologies/disease-simulation#Biotinidase_Deficiency_Profound"; hasFrequency:""Cada 6-12 meses (más frecuente en primeros años)"^^xsd:string";</t>
  </si>
  <si>
    <t>HealthCareProcessComponent</t>
  </si>
  <si>
    <t>hasDescription:"Audiometría para evaluación periódica de la función auditiva.";</t>
  </si>
  <si>
    <t>Class 'HealthCareProcessComponent' undefined.</t>
  </si>
  <si>
    <t>BiochemicalTests</t>
  </si>
  <si>
    <t>hasDescription:"Controles bioquímicos básicos para seguimiento clínico.";</t>
  </si>
  <si>
    <t>FollowUp_Biotinidase_Common_Components</t>
  </si>
  <si>
    <t>hasComponent:Audiometry; hasComponent:BiochemicalTests; hasComponent:OphthalmologyExam;</t>
  </si>
  <si>
    <t>hasDescription:"Valoración clínica, control del desarrollo, revisión de adherencia a tratamiento, controles auditivos, controles visuales, análisis bioquímicos y educación familiar.";</t>
  </si>
  <si>
    <t>OphthalmologyExam</t>
  </si>
  <si>
    <t>hasDescription:"Revisión oftalmológica periódica para control de alteraciones visuales.";</t>
  </si>
  <si>
    <t>Biotinidase_ClinicalDiagnosis</t>
  </si>
  <si>
    <t>Intervention; DiagnosisStrategy</t>
  </si>
  <si>
    <t>includedByModel:Biotinidase_Model_DES; hasComponent:Biotinidase_EnzymeAssay;</t>
  </si>
  <si>
    <t>hasDescription:"Diagnóstico de la deficiencia profunda de biotinidasa a partir de la aparición de signos o síntomas clínicos sugestivos (convulsiones, hipotonía, eccema, pérdida auditiva), seguido de confirmación enzimática y/o genética."; hasName:"Diagnóstico clínico de deficiencia de biotinidasa"; hasYear:"2013"; hasSource:"Informe SESCS 2013";</t>
  </si>
  <si>
    <t>Obj. property 'hasComponent' used with unsuitable individual</t>
  </si>
  <si>
    <t>Biotinidase_NeonatalScreening</t>
  </si>
  <si>
    <t>Intervention; ScreeningStrategy</t>
  </si>
  <si>
    <t>hasName:"Cribado neonatal de deficiencia de biotinidasa"; hasYear:"2013"; hasDescription:"Detección precoz de la deficiencia profunda de biotinidasa mediante medición de la actividad enzimática en sangre seca en papel, usando ensayo enzimático o fluorimétrico semicuantitativo."; hasSource:"Informe SESCS 2013";</t>
  </si>
  <si>
    <t>Biotinidase_Acute_Hypotonia</t>
  </si>
  <si>
    <t>hasDescription:"Hipotonía aguda como manifestación neurológica de la deficiencia de biotinidasa sin tratar, predominante en lactantes durante el primer año de vida."; hasName:"Hipotonía aguda"; hasYear:"2013"; hasSource:"Informe SESCS 2013, Carroll y Downs, Couce et al., 2011";</t>
  </si>
  <si>
    <t>isManifestationOf:"http://www.ull.es/iis/simulation/ontologies/disease-simulation#Biotinidase_Deficiency_Profound"; hasOnsetType:""aguda"^^xsd:string";</t>
  </si>
  <si>
    <t>Annotation 'hasOnsetType' undefined; Obj properties used as data properties</t>
  </si>
  <si>
    <t>Biotinidase_Acute_Seizures</t>
  </si>
  <si>
    <t>hasYear:"2013"; hasName:"Convulsiones agudas"; hasSource:"Informe SESCS 2013, Carroll y Downs, Couce et al., 2011"; hasDescription:"Convulsiones agudas como manifestación inicial de la deficiencia de biotinidasa sin tratar, de aparición frecuente en los primeros meses de vida.";</t>
  </si>
  <si>
    <t>hasOnsetType:""aguda"^^xsd:string"; isManifestationOf:"http://www.ull.es/iis/simulation/ontologies/disease-simulation#Biotinidase_Deficiency_Profound";</t>
  </si>
  <si>
    <t>Biotinidase_Acute_SkinProblems</t>
  </si>
  <si>
    <t>hasDescription:"Manifestaciones cutáneas agudas (eczema, dermatitis, erupciones) como síntomas frecuentes de la deficiencia de biotinidasa no tratada, que pueden resolverse con tratamiento."; hasSource:"Informe SESCS 2013, Carroll y Downs, Couce et al., 2011"; hasYear:"2013"; hasName:"Problemas de piel agudos";</t>
  </si>
  <si>
    <t>Biotinidase_Chronic_DevelopmentalDelay</t>
  </si>
  <si>
    <t>hasYear:"2013"; hasName:"Retraso del desarrollo psicomotor crónico"; hasSource:"Informe SESCS 2013, Carroll y Downs, Couce et al., 2011"; hasDescription:"Retraso en el desarrollo psicomotor y discapacidad intelectual como manifestación crónica y secuela de la deficiencia de biotinidasa no tratada a tiempo.";</t>
  </si>
  <si>
    <t>isManifestationOf:"http://www.ull.es/iis/simulation/ontologies/disease-simulation#Biotinidase_Deficiency_Profound"; hasOnsetType:""crónica"^^xsd:string";</t>
  </si>
  <si>
    <t>Biotinidase_Chronic_HearingLoss</t>
  </si>
  <si>
    <t>hasDescription:"Pérdida auditiva neurosensorial irreversible como secuela crónica de la deficiencia profunda de biotinidasa no tratada o tratada tardíamente."; hasName:"Pérdida auditiva neurosensorial crónica"; hasYear:"2013"; hasSource:"Informe SESCS 2013, Carroll y Downs, Couce et al., 2011";</t>
  </si>
  <si>
    <t>Biotinidase_Chronic_MotorDisorders</t>
  </si>
  <si>
    <t>hasYear:"2013"; hasSource:"Informe SESCS 2013, Carroll y Downs, Couce et al., 2011"; hasName:"Trastornos motores crónicos"; hasDescription:"Trastornos motores crónicos como ataxia, espasticidad y alteraciones del tono muscular en pacientes con diagnóstico y tratamiento tardío de deficiencia de biotinidasa.";</t>
  </si>
  <si>
    <t>hasOnsetType:""crónica"^^xsd:string"; isManifestationOf:"http://www.ull.es/iis/simulation/ontologies/disease-simulation#Biotinidase_Deficiency_Profound";</t>
  </si>
  <si>
    <t>Biotinidase_Chronic_OpticAtrophy</t>
  </si>
  <si>
    <t>hasYear:"2013"; hasDescription:"Atrofia óptica y alteraciones visuales crónicas como secuela irreversible en pacientes con deficiencia de biotinidasa no tratados precozmente."; hasSource:"Informe SESCS 2013, Carroll y Downs, Couce et al., 2011"; hasName:"Atrofia óptica crónica";</t>
  </si>
  <si>
    <t>Biotinidase_Chronic_SkinProblems</t>
  </si>
  <si>
    <t>hasDescription:"Manifestaciones cutáneas crónicas (eczema, dermatitis persistente) en pacientes con inicio tardío del tratamiento de la deficiencia de biotinidasa."; hasSource:"Informe SESCS 2013, Carroll y Downs, Couce et al., 2011"; hasYear:"2013"; hasName:"Problemas cutáneos crónicos";</t>
  </si>
  <si>
    <t>Biotinidase_Acute_Hypotonia_Onset</t>
  </si>
  <si>
    <t>isParameterOfManifestation:Biotinidase_Acute_Hypotonia; hasDataItemType:DI_OnsetAge;</t>
  </si>
  <si>
    <t>hasExpectedValue:"5.0"; hasSource:"Informe SESCS 2013, Carroll y Downs, 2007"; hasYear:"2013"; hasDescription:"Edad media de aparición de hipotonía aguda en la deficiencia profunda de biotinidasa sin tratar."; hasUnit:"meses";</t>
  </si>
  <si>
    <t>Biotinidase_Acute_Seizures_Onset</t>
  </si>
  <si>
    <t>isParameterOfManifestation:Biotinidase_Acute_Seizures; hasDataItemType:DI_OnsetAge;</t>
  </si>
  <si>
    <t>hasExpectedValue:"4.0"; hasUnit:"meses"; hasDescription:"Edad media de aparición de convulsiones agudas en la deficiencia profunda de biotinidasa sin tratar."; hasSource:"Informe SESCS 2013, Carroll y Downs, 2007"; hasYear:"2013";</t>
  </si>
  <si>
    <t>Biotinidase_Acute_SkinProblems_Onset</t>
  </si>
  <si>
    <t>isParameterOfManifestation:Biotinidase_Acute_SkinProblems; hasDataItemType:DI_OnsetAge;</t>
  </si>
  <si>
    <t>hasExpectedValue:"6.0"; hasYear:"2013"; hasUnit:"meses"; hasDescription:"Edad media de aparición de manifestaciones cutáneas agudas (eczema, dermatitis) en la deficiencia profunda de biotinidasa sin tratar."; hasSource:"Informe SESCS 2013, Carroll y Downs, 2007";</t>
  </si>
  <si>
    <t>Biotinidase_Chronic_DevelopmentalDelay_Onset</t>
  </si>
  <si>
    <t>isParameterOfManifestation:Biotinidase_Chronic_DevelopmentalDelay; hasDataItemType:DI_OnsetAge;</t>
  </si>
  <si>
    <t>hasExpectedValue:"1.5"; hasDescription:"Edad media de aparición de retraso del desarrollo psicomotor crónico en deficiencia profunda de biotinidasa."; hasYear:"2013"; hasUnit:"años"; hasSource:"Informe SESCS 2013, Carroll y Downs, 2007";</t>
  </si>
  <si>
    <t>Biotinidase_Chronic_HearingLoss_Onset</t>
  </si>
  <si>
    <t>hasDataItemType:DI_OnsetAge; isParameterOfManifestation:Biotinidase_Chronic_HearingLoss;</t>
  </si>
  <si>
    <t>hasUnit:"años"; hasYear:"2013"; hasExpectedValue:"1.2"; hasDescription:"Edad media de aparición de pérdida auditiva neurosensorial crónica en deficiencia profunda de biotinidasa no tratada o tratada tardíamente."; hasSource:"Informe SESCS 2013, Carroll y Downs, 2007";</t>
  </si>
  <si>
    <t>Biotinidase_Chronic_MotorDisorders_Onset</t>
  </si>
  <si>
    <t>isParameterOfManifestation:Biotinidase_Chronic_MotorDisorders; hasDataItemType:DI_OnsetAge;</t>
  </si>
  <si>
    <t>hasUnit:"años"; hasExpectedValue:"2.5"; hasSource:"Informe SESCS 2013, Carroll y Downs, 2007"; hasYear:"2013"; hasDescription:"Edad media de aparición de trastornos motores crónicos (ataxia, espasticidad) en deficiencia profunda de biotinidasa.";</t>
  </si>
  <si>
    <t>Biotinidase_Chronic_OpticAtrophy_Onset</t>
  </si>
  <si>
    <t>isParameterOfManifestation:Biotinidase_Chronic_OpticAtrophy; hasDataItemType:DI_OnsetAge;</t>
  </si>
  <si>
    <t>hasSource:"Informe SESCS 2013, Carroll y Downs, 2007"; hasYear:"2013"; hasDescription:"Edad media de aparición de atrofia óptica crónica en deficiencia profunda de biotinidasa."; hasExpectedValue:"2.0"; hasUnit:"años";</t>
  </si>
  <si>
    <t>Biotinidase_Partial_P_HearingLoss</t>
  </si>
  <si>
    <t>Parameter; SecondOrderUncertaintyParameter</t>
  </si>
  <si>
    <t>includedByModel:Biotinidase_Model_DES; hasDataItemType:DI_Probability;</t>
  </si>
  <si>
    <t>hasSource:"Meta-análisis de series de casos, Informe SESCS 2013"; hasExpectedValue:"0.10"; hasDescription:"Probabilidad de pérdida auditiva neurosensorial como secuela en deficiencia parcial de biotinidasa no tratada."; hasYear:"2013";</t>
  </si>
  <si>
    <t>isProbabilityOf:"http://www.ull.es/iis/simulation/ontologies/disease-simulation#Biotinidase_Chronic_HearingLoss";</t>
  </si>
  <si>
    <t>Biotinidase_Profound_P_HearingLoss</t>
  </si>
  <si>
    <t>hasDataItemType:DI_Probability; includedByModel:Biotinidase_Model_DES;</t>
  </si>
  <si>
    <t>hasSource:"Estudios audiológicos [24,27,34], Informe SESCS 2013"; hasExpectedValue:"0.6154"; hasDescription:"Probabilidad de pérdida auditiva neurosensorial como secuela crónica en deficiencia profunda de biotinidasa no tratada."; hasYear:"2013";</t>
  </si>
  <si>
    <t>Obj property used as data property. Unlikely value for property</t>
  </si>
  <si>
    <t>Biotinidase_Profound_P_OpticAtrophy</t>
  </si>
  <si>
    <t>hasSource:"Series clínicas [24,32], Informe SESCS 2013"; hasExpectedValue:"0.1667"; hasYear:"2013";</t>
  </si>
  <si>
    <t>isProbabilityOf:"http://www.ull.es/iis/simulation/ontologies/disease-simulation#Biotinidase_Chronic_OpticAtrophy";</t>
  </si>
  <si>
    <t>Biotinidase_Profound_P_Seizures</t>
  </si>
  <si>
    <t>hasDescription:"Probabilidad de aparición de convulsiones en pacientes con deficiencia profunda de biotinidasa sin tratamiento."; hasExpectedValue:"0.5575"; hasSource:"Meta-análisis de series de casos [13,31,33,36,37], Informe SESCS 2013"; hasYear:"2013";</t>
  </si>
  <si>
    <t>isProbabilityOf:"http://www.ull.es/iis/simulation/ontologies/disease-simulation#Biotinidase_Acute_Seizures";</t>
  </si>
  <si>
    <t>Biotinidase_Profound_P_SkinProblems</t>
  </si>
  <si>
    <t>hasSource:"Series de casos [13,33,36,37], Informe SESCS 2013"; hasDescription:"Probabilidad de aparición de problemas dermatológicos en pacientes con deficiencia profunda de biotinidasa sin tratamiento."; hasExpectedValue:"0.3429"; hasYear:"2013";</t>
  </si>
  <si>
    <t>isProbabilityOf:"http://www.ull.es/iis/simulation/ontologies/disease-simulation#Biotinidase_Acute_SkinProblems";</t>
  </si>
  <si>
    <t>Biotinidase_Partial_P_DevelopmentalDelay</t>
  </si>
  <si>
    <t>SecondOrderUncertaintyParameter; Parameter</t>
  </si>
  <si>
    <t>hasExpectedValue:"0.05"; hasSource:"Meta-análisis de series de casos, Informe SESCS 2013"; hasDescription:"Probabilidad de retraso en el desarrollo psicomotor en deficiencia parcial de biotinidasa no tratada."; hasYear:"2013";</t>
  </si>
  <si>
    <t>isProbabilityOf:"http://www.ull.es/iis/simulation/ontologies/disease-simulation#Biotinidase_Chronic_DevelopmentalDelay";</t>
  </si>
  <si>
    <t>Biotinidase_Partial_P_Hypotonia</t>
  </si>
  <si>
    <t>hasSource:"Meta-análisis de series de casos, Informe SESCS 2013"; hasYear:"2013"; hasExpectedValue:"0.00"; hasDescription:"Probabilidad de aparición de hipotonía en pacientes con deficiencia parcial de biotinidasa sin tratamiento.";</t>
  </si>
  <si>
    <t>isProbabilityOf:"http://www.ull.es/iis/simulation/ontologies/disease-simulation#Biotinidase_Acute_Hypotonia";</t>
  </si>
  <si>
    <t>Biotinidase_Partial_P_OpticAtrophy</t>
  </si>
  <si>
    <t>hasExpectedValue:"0.00"; hasDescription:"Probabilidad de aparición de atrofia óptica en pacientes con deficiencia parcial de biotinidasa sin tratamiento."; hasYear:"2013"; hasSource:"Meta-análisis de series de casos, Informe SESCS 2013";</t>
  </si>
  <si>
    <t>Biotinidase_Partial_P_Seizures</t>
  </si>
  <si>
    <t>hasDescription:"Probabilidad de aparición de convulsiones en pacientes con deficiencia parcial de biotinidasa sin tratamiento."; hasYear:"2013"; hasExpectedValue:"0.10"; hasSource:"Meta-análisis de series de casos, Informe SESCS 2013";</t>
  </si>
  <si>
    <t>Biotinidase_Partial_P_SkinProblems</t>
  </si>
  <si>
    <t>hasYear:"2013"; hasDescription:"Probabilidad de aparición de problemas dermatológicos en pacientes con deficiencia parcial de biotinidasa sin tratamiento."; hasSource:"Meta-análisis de series de casos, Informe SESCS 2013"; hasExpectedValue:"0.15";</t>
  </si>
  <si>
    <t>Biotinidase_Profound_P_DevelopmentalDelay</t>
  </si>
  <si>
    <t>hasExpectedValue:"0.3478"; hasYear:"2013"; hasSource:"Series de casos [13,35–37], Informe SESCS 2013";</t>
  </si>
  <si>
    <t>Biotinidase_Profound_P_Hypotonia</t>
  </si>
  <si>
    <t>hasYear:"2013"; hasDescription:"Probabilidad de aparición de hipotonía en pacientes con deficiencia profunda de biotinidasa sin tratamiento."; hasSource:"Series de casos [13,33,37], Informe SESCS 2013"; hasExpectedValue:"0.5000";</t>
  </si>
  <si>
    <t>Treatment_Biotin_Profound</t>
  </si>
  <si>
    <t>Treatment; Drug</t>
  </si>
  <si>
    <t>hasName:"Tratamiento con biotina para deficiencia profunda de biotinidasa"; hasYear:"2013"; hasSource:"Informe SESCS 2013, recomendaciones clínicas internacionales"; hasDescription:"Administración oral de biotina a dosis farmacológicas (10-20 mg/día) de por vida, iniciada precozmente tras diagnóstico de deficiencia profunda de biotinidasa (&lt;10% actividad enzimática), previene la aparición de síntomas y secuelas neurológicas y cutáneas.";</t>
  </si>
  <si>
    <t>hasRoute:""oral"^^xsd:string"; hasDosage:""10-20 mg/día"^^xsd:string"; hasDuration:""toda la vida"^^xsd:string"; isTreatmentFor:"http://www.ull.es/iis/simulation/ontologies/disease-simulation#Biotinidase_Deficiency_Profound";</t>
  </si>
  <si>
    <t>Biotinidase_Acute_Hypotonia_U</t>
  </si>
  <si>
    <t>hasDescription:"Desutilidad anual asociada a la presencia de hipotonía en deficiencia de biotinidasa."; appliesOneTime:"false"; hasYear:"2013"; hasSource:"Informe SESCS 2013, consenso de expertos"; hasExpectedValue:"-0.080";</t>
  </si>
  <si>
    <t>Biotinidase_Acute_Seizures_U</t>
  </si>
  <si>
    <t>hasDescription:"Desutilidad anual asociada a la presencia de convulsiones en deficiencia de biotinidasa."; appliesOneTime:"false"; hasYear:"2013"; hasExpectedValue:"-0.070"; hasSource:"Informe SESCS 2013, Grosse et al. 2008, valores por analogía a epilepsia infantil";</t>
  </si>
  <si>
    <t>Biotinidase_Acute_SkinProblems_U</t>
  </si>
  <si>
    <t>hasDescription:"Desutilidad anual asociada a problemas dermatológicos (eczema, dermatitis) en deficiencia de biotinidasa."; appliesOneTime:"false"; hasExpectedValue:"-0.020"; hasSource:"Informe SESCS 2013, consenso de expertos"; hasYear:"2013";</t>
  </si>
  <si>
    <t>Biotinidase_Chronic_OpticAtrophy_U</t>
  </si>
  <si>
    <t>hasExpectedValue:"-0.040"; hasDescription:"Desutilidad anual asociada a atrofia óptica o discapacidad visual crónica en deficiencia de biotinidasa."; appliesOneTime:"false"; hasSource:"Informe SESCS 2013, por analogía a ceguera moderada EQ-5D"; hasYear:"2013";</t>
  </si>
  <si>
    <t>Biotinidase_Deficiency</t>
  </si>
  <si>
    <t>hasDescription:"Deficiencia de biotinidasa: enfermedad metabólica hereditaria caracterizada por la incapacidad de reciclar la biotina debida a mutaciones en el gen BTD, con formas clínica profunda y parcial.";</t>
  </si>
  <si>
    <t>hasMainClinicalStages:"http://www.ull.es/iis/simulation/ontologies/disease-simulation#Biotinidase_Deficiency_Profound"; hasMainClinicalStages:"http://www.ull.es/iis/simulation/ontologies/disease-simulation#Biotinidase_Deficiency_Partial"; hasICD10Code:""E71.1"^^xsd:string";</t>
  </si>
  <si>
    <t>Biotinidase_Deficiency_Partial</t>
  </si>
  <si>
    <t>hasDescription:"Deficiencia parcial de biotinidasa: 10-30% de actividad enzimática. Síntomas clínicos menos frecuentes y menos graves, pudiendo ser asintomática.";</t>
  </si>
  <si>
    <t>hasICD10Code:""E71.1"^^xsd:string"; hasCutoffValue:""10-30"^^xsd:string"; hasCutoffUnit:""% actividad biotinidasa"^^xsd:string";</t>
  </si>
  <si>
    <t>Biotinidase_Deficiency_Profound</t>
  </si>
  <si>
    <t>hasDescription:"Deficiencia profunda de biotinidasa: &lt;10% de actividad enzimática. Curso clínico grave, con síntomas neurológicos y cutáneos frecuentes si no se trata.";</t>
  </si>
  <si>
    <t>hasCutoffUnit:""% actividad biotinidasa"^^xsd:string"; hasCutoffValue:""10"^^xsd:string"; hasICD10Code:""E71.1"^^xsd:string";</t>
  </si>
  <si>
    <t>Biotinidase_Model_DES</t>
  </si>
  <si>
    <t>UC3-F3-P1-S1-M2</t>
  </si>
  <si>
    <t>DBProfunda_Manif_AcidosisMetabólica</t>
  </si>
  <si>
    <t>AcuteManifestation; Manifestation</t>
  </si>
  <si>
    <t>hasProbabilityOfDiagnosis:DBProfunda_AcidosisMetabólica_ProbabilidadDx; includedByModel:DBProfunda_ModeloSNS; hasOnsetAge:DBProfunda_AcidosisMetabólica_OnsetAge; hasUtility:DBProfunda_AcidosisMetabólica_Utilidad;</t>
  </si>
  <si>
    <t>hasDescription:"Acidosis metabólica recurrente";</t>
  </si>
  <si>
    <t>DBProfunda_Convulsiones_OnsetAge</t>
  </si>
  <si>
    <t>hasDataItemType:DI_Age; includedByModel:DBProfunda_ModeloSNS;</t>
  </si>
  <si>
    <t>hasSource:"Informe SESCS 2013, Tabla 8"; hasDescription:"Edad media de aparición de convulsiones"; hasExpectedValue:"0.3";</t>
  </si>
  <si>
    <t>DBProfunda_Convulsiones_ProbabilidadDx</t>
  </si>
  <si>
    <t>includedByModel:DBProfunda_ModeloSNS; hasDataItemType:DI_Probability;</t>
  </si>
  <si>
    <t>hasExpectedValue:"0.65"; hasSource:"Informe SESCS 2013"; hasDescription:"Probabilidad de diagnóstico clínico ante convulsiones";</t>
  </si>
  <si>
    <t>DBProfunda_Incidencia</t>
  </si>
  <si>
    <t>hasDataItemType:DI_Incidence; includedByModel:DBProfunda_ModeloSNS;</t>
  </si>
  <si>
    <t>hasYear:"2013"; isTrueEpidemiologicalParameterEstimate:"true"; hasSource:"Informe SESCS 2013, Tabla 4"; hasExpectedValue:"1.3E-5";</t>
  </si>
  <si>
    <t>DBProfunda_ModeloSNS</t>
  </si>
  <si>
    <t>hasGeographicalContext:"España"; hasAuthor:"SESCS"; hasYear:"2013"; hasDescription:"Modelo de simulación para evaluación de cribado neonatal de la deficiencia profunda de biotinidasa en España"; hasDisutilityCombinationMethod:"ADD";</t>
  </si>
  <si>
    <t>DBProfunda_PrevalenciaAlNacimiento</t>
  </si>
  <si>
    <t>includedByModel:DBProfunda_ModeloSNS; hasDataItemType:DI_BirthPrevalence;</t>
  </si>
  <si>
    <t>isTrueEpidemiologicalParameterEstimate:"true"; hasExpectedValue:"1.3E-5"; hasSource:"Informe SESCS 2013, Tabla 4"; hasYear:"2013";</t>
  </si>
  <si>
    <t>DBProfunda_Manif_Convulsiones</t>
  </si>
  <si>
    <t>Manifestation; AcuteManifestation</t>
  </si>
  <si>
    <t>hasUtility:DBProfunda_Convulsiones_Utilidad; includedByModel:DBProfunda_ModeloSNS; hasOnsetAge:DBProfunda_Convulsiones_OnsetAge; hasProbabilityOfDiagnosis:DBProfunda_Convulsiones_ProbabilidadDx;</t>
  </si>
  <si>
    <t>hasDescription:"Convulsiones debidas a la deficiencia profunda de biotinidasa";</t>
  </si>
  <si>
    <t>DBProfunda_Manif_Hipotonía</t>
  </si>
  <si>
    <t>hasUtility:DBProfunda_Hipotonía_Utilidad; hasOnsetAge:DBProfunda_Hipotonía_OnsetAge; hasProbabilityOfDiagnosis:DBProfunda_Hipotonía_ProbabilidadDx; includedByModel:DBProfunda_ModeloSNS;</t>
  </si>
  <si>
    <t>hasDescription:"Hipotonía grave como manifestación neurológica";</t>
  </si>
  <si>
    <t>DBProfunda_Manif_Muerte</t>
  </si>
  <si>
    <t>hasProbabilityOfDeath:DBProfunda_Muerte_Probabilidad; includedByModel:DBProfunda_ModeloSNS; hasOnsetAge:DBProfunda_Muerte_OnsetAge;</t>
  </si>
  <si>
    <t>hasDescription:"Muerte por complicaciones agudas";</t>
  </si>
  <si>
    <t>DBProfunda_Manif_ProblemasRespiratorios</t>
  </si>
  <si>
    <t>hasOnsetAge:DBProfunda_Respiratorios_OnsetAge; includedByModel:DBProfunda_ModeloSNS; hasProbabilityOfDiagnosis:DBProfunda_Respiratorios_ProbabilidadDx; hasUtility:DBProfunda_Respiratorios_Utilidad;</t>
  </si>
  <si>
    <t>hasDescription:"Problemas respiratorios recurrentes";</t>
  </si>
  <si>
    <t>DBProfunda_Manif_Alopecia</t>
  </si>
  <si>
    <t>Manifestation; ChronicManifestation</t>
  </si>
  <si>
    <t>hasUtility:DBProfunda_Alopecia_Utilidad; hasProbabilityOfDiagnosis:DBProfunda_Alopecia_ProbabilidadDx; hasOnsetAge:DBProfunda_Alopecia_OnsetAge; includedByModel:DBProfunda_ModeloSNS;</t>
  </si>
  <si>
    <t>hasDescription:"Alopecia";</t>
  </si>
  <si>
    <t>DBProfunda_Manif_Eczema</t>
  </si>
  <si>
    <t>includedByModel:DBProfunda_ModeloSNS; hasProbabilityOfDiagnosis:DBProfunda_Eczema_ProbabilidadDx; hasUtility:DBProfunda_Eczema_Utilidad; hasOnsetAge:DBProfunda_Eczema_OnsetAge;</t>
  </si>
  <si>
    <t>hasDescription:"Eczema/seborrea grave";</t>
  </si>
  <si>
    <t>DBProfunda_Manif_Óptica</t>
  </si>
  <si>
    <t>includedByModel:DBProfunda_ModeloSNS; hasOnsetAge:DBProfunda_Óptica_OnsetAge; hasProbabilityOfDiagnosis:DBProfunda_Óptica_ProbabilidadDx; hasUtility:DBProfunda_Óptica_Utilidad;</t>
  </si>
  <si>
    <t>DBProfunda_Manif_RetrasoDesarrollo</t>
  </si>
  <si>
    <t>includedByModel:DBProfunda_ModeloSNS; hasUtility:DBProfunda_RetrasoDesarrollo_Utilidad; hasOnsetAge:DBProfunda_RetrasoDesarrollo_OnsetAge; hasProbabilityOfDiagnosis:DBProfunda_RetrasoDesarrollo_ProbabilidadDx;</t>
  </si>
  <si>
    <t>DBProfunda_Manif_Sordera</t>
  </si>
  <si>
    <t>includedByModel:DBProfunda_ModeloSNS; hasOnsetAge:DBProfunda_Sordera_OnsetAge; hasUtility:DBProfunda_Sordera_Utilidad; hasProbabilityOfDiagnosis:DBProfunda_Sordera_ProbabilidadDx;</t>
  </si>
  <si>
    <t>DBProfunda</t>
  </si>
  <si>
    <t>hasManifestation:DBProfunda_Manif_Óptica; hasManifestation:DBProfunda_Manif_ProblemasRespiratorios; hasManifestation:DBProfunda_Manif_RetrasoDesarrollo; hasManifestation:DBProfunda_Manif_AcidosisMetabólica; hasManifestation:DBProfunda_Manif_Sordera; hasManifestation:DBProfunda_Manif_Hipotonía; hasManifestation:DBProfunda_Manif_Convulsiones; hasManifestation:DBProfunda_Manif_Eczema; hasManifestation:DBProfunda_Manif_Muerte; hasManifestation:DBProfunda_Manif_Alopecia; hasCost:DBProfunda_CosteTotalAnual; includedByModel:DBProfunda_ModeloSNS; hasEpidemiologicalParameter:DBProfunda_Incidencia; hasEpidemiologicalParameter:DBProfunda_PrevalenciaAlNacimiento; hasUtility:DBProfunda_UtilidadSaludPlena;</t>
  </si>
  <si>
    <t>hasRefToGARD:"GARD:605"; hasRefToOMIM:"OMIM:253260"; hasRefToORDO:"Orphanet:33"; hasRefToICD:"E71.1"; hasRefToSNOMED:"94435009"; hasDescription:"Deficiencia profunda de biotinidasa. Enfermedad metabólica congénita autosómica recesiva caracterizada por una deficiencia severa (&lt;10% de la actividad normal) de la enzima biotinidasa, lo que puede llevar a manifestaciones neurológicas, cutáneas y metabólicas graves sin tratamiento.";</t>
  </si>
  <si>
    <t>DBProfunda_AcidosisMetabólica_Utilidad</t>
  </si>
  <si>
    <t>includedByModel:DBProfunda_ModeloSNS;</t>
  </si>
  <si>
    <t>hasCalculationMethod:"Revisión literatura/consenso experto"; hasDescription:"Utilidad para episodios de acidosis metabólica"; hasExpectedValue:"0.65"; hasSource:"Informe SESCS 2013, Anexo 3";</t>
  </si>
  <si>
    <t>DBProfunda_Alopecia_Utilidad</t>
  </si>
  <si>
    <t>hasCalculationMethod:"Revisión literatura/consenso experto"; hasDescription:"Utilidad para alopecia infantil"; hasSource:"Informe SESCS 2013, Anexo 3"; hasExpectedValue:"0.9";</t>
  </si>
  <si>
    <t>DBProfunda_Convulsiones_Utilidad</t>
  </si>
  <si>
    <t>hasCalculationMethod:"Revisión literatura/consenso experto"; hasExpectedValue:"0.72"; hasSource:"Informe SESCS 2013, Anexo 3"; hasDescription:"Utilidad para convulsiones (basado en EQ-5D y revisión literatura enfermedades raras infantiles)";</t>
  </si>
  <si>
    <t>DBProfunda_Eczema_Utilidad</t>
  </si>
  <si>
    <t>hasSource:"Informe SESCS 2013, Anexo 3"; hasCalculationMethod:"Revisión literatura/consenso experto"; hasDescription:"Utilidad para eczema/seborrea severa"; hasExpectedValue:"0.88";</t>
  </si>
  <si>
    <t>DBProfunda_Hipotonía_Utilidad</t>
  </si>
  <si>
    <t>hasDescription:"Utilidad para hipotonía severa"; hasExpectedValue:"0.75"; hasCalculationMethod:"Revisión literatura/consenso experto"; hasSource:"Informe SESCS 2013, Anexo 3";</t>
  </si>
  <si>
    <t>DBProfunda_Óptica_Utilidad</t>
  </si>
  <si>
    <t>hasDescription:"Utilidad para atrofia óptica"; hasCalculationMethod:"Revisión literatura/consenso experto"; hasExpectedValue:"0.6"; hasSource:"Informe SESCS 2013, Anexo 3";</t>
  </si>
  <si>
    <t>DBProfunda_Respiratorios_Utilidad</t>
  </si>
  <si>
    <t>hasExpectedValue:"0.7"; hasSource:"Informe SESCS 2013, Anexo 3"; hasCalculationMethod:"Revisión literatura/consenso experto"; hasDescription:"Utilidad para problemas respiratorios recurrentes";</t>
  </si>
  <si>
    <t>DBProfunda_RetrasoDesarrollo_Utilidad</t>
  </si>
  <si>
    <t>hasDescription:"Utilidad para retraso psicomotor (basado en discapacidad moderada-severa)"; hasSource:"Informe SESCS 2013, Anexo 3"; hasExpectedValue:"0.62"; hasCalculationMethod:"EQ-5D valorado por proxy";</t>
  </si>
  <si>
    <t>DBProfunda_Sordera_Utilidad</t>
  </si>
  <si>
    <t>hasDescription:"Utilidad para sordera neurosensorial en infancia"; hasCalculationMethod:"EQ-5D valorado por proxy"; hasExpectedValue:"0.68"; hasSource:"Informe SESCS 2013, Anexo 3";</t>
  </si>
  <si>
    <t>DBProfunda_UtilidadSaludPlena</t>
  </si>
  <si>
    <t>hasExpectedValue:"1.0"; hasDescription:"Utilidad asociada a salud plena (sin manifestaciones)"; hasCalculationMethod:"Asignación directa";</t>
  </si>
  <si>
    <t>DBProfunda_AcidosisMetabólica_OnsetAge</t>
  </si>
  <si>
    <t>DBProfunda_AcidosisMetabólica_ProbabilidadDx</t>
  </si>
  <si>
    <t>No Class assigned; unsuitable individual</t>
  </si>
  <si>
    <t>DBProfunda_Alopecia_OnsetAge</t>
  </si>
  <si>
    <t>DBProfunda_Alopecia_ProbabilidadDx</t>
  </si>
  <si>
    <t>DBProfunda_CosteTotalAnual</t>
  </si>
  <si>
    <t>DBProfunda_Eczema_OnsetAge</t>
  </si>
  <si>
    <t>DBProfunda_Eczema_ProbabilidadDx</t>
  </si>
  <si>
    <t>DBProfunda_Hipotonía_OnsetAge</t>
  </si>
  <si>
    <t>DBProfunda_Hipotonía_ProbabilidadDx</t>
  </si>
  <si>
    <t>DBProfunda_Muerte_OnsetAge</t>
  </si>
  <si>
    <t>DBProfunda_Muerte_Probabilidad</t>
  </si>
  <si>
    <t>DBProfunda_Óptica_OnsetAge</t>
  </si>
  <si>
    <t>DBProfunda_Óptica_ProbabilidadDx</t>
  </si>
  <si>
    <t>DBProfunda_Respiratorios_OnsetAge</t>
  </si>
  <si>
    <t>DBProfunda_Respiratorios_ProbabilidadDx</t>
  </si>
  <si>
    <t>DBProfunda_RetrasoDesarrollo_OnsetAge</t>
  </si>
  <si>
    <t>DBProfunda_RetrasoDesarrollo_ProbabilidadDx</t>
  </si>
  <si>
    <t>DBProfunda_Sordera_OnsetAge</t>
  </si>
  <si>
    <t>DBProfunda_Sordera_ProbabilidadDx</t>
  </si>
  <si>
    <t>DI_Age</t>
  </si>
  <si>
    <t>UC3-F3-P2-S1-M2</t>
  </si>
  <si>
    <t>DB_Aguda_Convulsiones</t>
  </si>
  <si>
    <t>includedByModel:DB_ModelDES; hasOnsetAge:DB_Convulsiones_OnsetAge;</t>
  </si>
  <si>
    <t>hasDescription:"Convulsiones agudas debidas a la deficiencia profunda de biotinidasa. Suelen manifestarse en el primer año de vida, a menudo en los primeros meses. Son potencialmente reversibles con tratamiento precoz con biotina.";</t>
  </si>
  <si>
    <t>DB_Aguda_Hipotonia</t>
  </si>
  <si>
    <t>hasOnsetAge:DB_Hipotonia_OnsetAge; includedByModel:DB_ModelDES;</t>
  </si>
  <si>
    <t>hasDescription:"Hipotonía aguda como manifestación neurológica de la deficiencia profunda de biotinidasa, de aparición frecuente en los primeros meses de vida. Reversible si se inicia tratamiento con biotina de manera precoz.";</t>
  </si>
  <si>
    <t>DB_Aguda_ProblemasPiel</t>
  </si>
  <si>
    <t>hasOnsetAge:DB_ProblemasPiel_OnsetAge; includedByModel:DB_ModelDES;</t>
  </si>
  <si>
    <t>hasDescription:"Problemas agudos de piel asociados a la deficiencia de biotinidasa, incluyendo dermatitis, rash y alopecia. Generalmente de inicio en el primer año de vida y reversibles tras tratamiento.";</t>
  </si>
  <si>
    <t>DB_Manif_CrisisAguda</t>
  </si>
  <si>
    <t>includedByModel:DB_ModelDES;</t>
  </si>
  <si>
    <t>hasDescription:"Crisis aguda por deficiencia profunda de biotinidasa: episodios de encefalopatía, convulsiones y deterioro neurológico brusco.";</t>
  </si>
  <si>
    <t>DB_AtrofiaOptica_BetaDist</t>
  </si>
  <si>
    <t>hasAlfaParameter:"8.34"; hasBetaParameter:"41.66";</t>
  </si>
  <si>
    <t>DB_Convulsiones_BetaDist</t>
  </si>
  <si>
    <t>hasAlfaParameter:"74.33"; hasBetaParameter:"59.04";</t>
  </si>
  <si>
    <t>DB_Hipotonia_BetaDist</t>
  </si>
  <si>
    <t>hasBetaParameter:"28.01"; hasAlfaParameter:"27.99";</t>
  </si>
  <si>
    <t>DB_ProblemasPiel_BetaDist</t>
  </si>
  <si>
    <t>hasAlfaParameter:"17.79"; hasBetaParameter:"33.97";</t>
  </si>
  <si>
    <t>DB_RetrasoMental_BetaDist</t>
  </si>
  <si>
    <t>hasAlfaParameter:"13.65"; hasBetaParameter:"25.65";</t>
  </si>
  <si>
    <t>DB_Sordera_BetaDist</t>
  </si>
  <si>
    <t>hasAlfaParameter:"53.11"; hasBetaParameter:"33.14";</t>
  </si>
  <si>
    <t>DBPar_AtrofiaOptica_BetaDist</t>
  </si>
  <si>
    <t>hasAlfaParameter:"1.0"; hasBetaParameter:"99.0";</t>
  </si>
  <si>
    <t>DBPar_Convulsiones_BetaDist</t>
  </si>
  <si>
    <t>hasBetaParameter:"99.0"; hasAlfaParameter:"1.0";</t>
  </si>
  <si>
    <t>DBPar_Hipotonia_BetaDist</t>
  </si>
  <si>
    <t>DBPar_ProblemasPiel_BetaDist</t>
  </si>
  <si>
    <t>DBPar_RetrasoMental_BetaDist</t>
  </si>
  <si>
    <t>DBPar_Sordera_BetaDist</t>
  </si>
  <si>
    <t>DB_Cronica_AtrofiaOptica</t>
  </si>
  <si>
    <t>hasOnsetAge:DB_AtrofiaOptica_OnsetAge; includedByModel:DB_ModelDES;</t>
  </si>
  <si>
    <t>hasDescription:"Atrofia óptica crónica (pérdida de visión irreversible) secundaria a la deficiencia profunda de biotinidasa no tratada, con inicio generalmente después del primer año de vida.";</t>
  </si>
  <si>
    <t>DB_Cronica_RetrasoMental</t>
  </si>
  <si>
    <t>includedByModel:DB_ModelDES; hasOnsetAge:DB_RetrasoMental_OnsetAge;</t>
  </si>
  <si>
    <t>hasDescription:"Retraso mental o discapacidad intelectual persistente asociado a la deficiencia profunda de biotinidasa no tratada, que se hace patente habitualmente tras el primer año de vida y no es reversible.";</t>
  </si>
  <si>
    <t>DB_Cronica_Sordera</t>
  </si>
  <si>
    <t>includedByModel:DB_ModelDES; hasOnsetAge:DB_Sordera_OnsetAge;</t>
  </si>
  <si>
    <t>hasDescription:"Pérdida auditiva neurosensorial irreversible asociada a la deficiencia profunda de biotinidasa no tratada. Suele manifestarse tras el primer año de vida y permanece de forma crónica aunque se instaure tratamiento posterior.";</t>
  </si>
  <si>
    <t>DB_Manif_Cutánea</t>
  </si>
  <si>
    <t>hasDescription:"Manifestaciones cutáneas crónicas: dermatitis, alopecia, rash cutáneo persistente.";</t>
  </si>
  <si>
    <t>Duplicated</t>
  </si>
  <si>
    <t>DB_Manif_Neurológica</t>
  </si>
  <si>
    <t>hasDescription:"Manifestaciones neurológicas crónicas: sordera neurosensorial, ataxia, retraso del desarrollo psicomotor, convulsiones crónicas.";</t>
  </si>
  <si>
    <t>DB_Manif_Secuelas</t>
  </si>
  <si>
    <t>hasDescription:"Secuelas irreversibles: discapacidad intelectual, sordera neurosensorial persistente, afectación motora crónica.";</t>
  </si>
  <si>
    <t>DB_PDef_Biotinidasa_PrevalenceParcial</t>
  </si>
  <si>
    <t>includedByModel:DB_ModelDES; hasDataItemType:DI_Prevalence; isParameterOfDisease:DB_PDef_Biotinidasa;</t>
  </si>
  <si>
    <t>hasGeographicalContext:"España"; hasDescription:"Prevalencia al nacimiento de la deficiencia parcial de biotinidasa (actividad 10–30%)."; hasExpectedValue:"2.96E-5"; isTrueEpidemiologicalParameterEstimate:"true"; hasYear:"2013"; hasSource:"Informe SESCS 2013, Comunidad de Galicia, pág. 31";</t>
  </si>
  <si>
    <t>DB_PDef_Biotinidasa_PrevalenceTotal</t>
  </si>
  <si>
    <t>hasDataItemType:DI_Prevalence; isParameterOfDisease:DB_PDef_Biotinidasa; includedByModel:DB_ModelDES;</t>
  </si>
  <si>
    <t>hasSource:"Informe SESCS 2013, Comunidad de Galicia, pág. 31"; isTrueEpidemiologicalParameterEstimate:"true"; hasDescription:"Prevalencia al nacimiento de la deficiencia profunda de biotinidasa (actividad &lt;10%)."; hasExpectedValue:"1.48E-5"; hasGeographicalContext:"España"; hasYear:"2013";</t>
  </si>
  <si>
    <t>DB_PDef_Biotinidasa_PrevalenceTotalGlobal</t>
  </si>
  <si>
    <t>includedByModel:DB_ModelDES; isParameterOfDisease:DB_PDef_Biotinidasa; hasDataItemType:DI_Prevalence;</t>
  </si>
  <si>
    <t>hasGeographicalContext:"España"; hasSource:"Informe SESCS 2013, Comunidad de Galicia, pág. 31"; hasExpectedValue:"4.44E-5"; hasDescription:"Prevalencia al nacimiento de cualquier deficiencia de biotinidasa (profunda o parcial)."; hasYear:"2013"; isTrueEpidemiologicalParameterEstimate:"true";</t>
  </si>
  <si>
    <t>DB_Biotina_Dosis</t>
  </si>
  <si>
    <t>hasDataItemType:DI_Dose; includedByModel:DB_ModelDES; isParameterOfManifestation:DB_Interv_Tratamiento_Biotina;</t>
  </si>
  <si>
    <t>hasDescription:"Dosis diaria de biotina recomendada (mg/día)"; hasExpectedValue:"10.0"; hasGeographicalContext:"España"; hasYear:"2013"; hasSource:"Informe SESCS 2013, protocolos internacionales";</t>
  </si>
  <si>
    <t>DB_Biotina_Dosis_Parcial</t>
  </si>
  <si>
    <t>isParameterOfManifestation:DB_Tratamiento_Parcial; hasDataItemType:DI_Dose; includedByModel:DB_ModelDES;</t>
  </si>
  <si>
    <t>hasExpectedValue:"5.0"; hasSource:"Informe SESCS 2013, protocolos internacionales"; hasGeographicalContext:"España"; hasYear:"2013"; hasDescription:"Dosis diaria de biotina recomendada en deficiencia parcial (mg/día)";</t>
  </si>
  <si>
    <t>DB_Hipotonia_OnsetAge</t>
  </si>
  <si>
    <t>isParameterOfManifestation:DB_Aguda_Hipotonia; includedByModel:DB_ModelDES; hasDataItemType:DI_Age;</t>
  </si>
  <si>
    <t>hasSource:"Informe SESCS 2013, p. 32"; hasSource:"Informe SESCS 2013, p. 32. Media reportada: 3,5 meses."; hasExpectedValue:"0.25"; hasExpectedValue:"0.29"; hasDescription:"Edad media de aparición de hipotonía aguda por deficiencia de biotinidasa (en años)."; hasDescription:"Edad media de aparición de la hipotonía aguda (en años)"; hasGeographicalContext:"España"; hasYear:"2013";</t>
  </si>
  <si>
    <t>DB_RetrasoMental_OnsetAge</t>
  </si>
  <si>
    <t>isParameterOfManifestation:DB_Cronica_RetrasoMental; includedByModel:DB_ModelDES; hasDataItemType:DI_Age;</t>
  </si>
  <si>
    <t>hasYear:"2013"; hasDescription:"Edad media de aparición de retraso mental crónico por deficiencia de biotinidasa (en años)."; hasDescription:"Edad media de aparición del retraso mental crónico (en años)"; hasExpectedValue:"2.0"; hasSource:"Informe SESCS 2013, p. 32. Síntomas crónicos suelen aparecer tras el primer año; análisis de sensibilidad: 2 años."; hasSource:"Informe SESCS 2013, p. 32"; hasGeographicalContext:"España";</t>
  </si>
  <si>
    <t>DB_Development_Profunda</t>
  </si>
  <si>
    <t>Development</t>
  </si>
  <si>
    <t>hasManifestation:DB_Manif_Cutánea; hasManifestation:DB_Manif_CrisisAguda; hasManifestation:DB_Manif_Secuelas; hasManifestation:DB_Manif_Neurológica; hasStage:DB_Stage_Sintomático; hasStage:DB_Stage_Asintomático; includedByModel:DB_ModelDES;</t>
  </si>
  <si>
    <t>hasDescription:"Curso natural de la deficiencia profunda de biotinidasa sin tratamiento.";</t>
  </si>
  <si>
    <t>DB_Interv_Dx_Clinico</t>
  </si>
  <si>
    <t>hasDescription:"Diagnóstico clínico de la deficiencia de biotinidasa basado en la sospecha por manifestaciones clínicas (neurológicas y cutáneas), confirmado mediante determinación enzimática/genética.";</t>
  </si>
  <si>
    <t>DB_Interv_Dx_Clínico</t>
  </si>
  <si>
    <t>hasDescription:"Diagnóstico clínico basado en la presencia de signos y síntomas neurológicos y cutáneos indicativos de deficiencia profunda de biotinidasa.";</t>
  </si>
  <si>
    <t>Duplicates another individual</t>
  </si>
  <si>
    <t>DB_ModelDES</t>
  </si>
  <si>
    <t>hasYear:"2013"; hasGeographicalContext:"España"; hasAuthor:"SESCS, Gobierno de Canarias"; hasDescription:"Modelo de simulación de eventos discretos para la evaluación del cribado neonatal de la deficiencia profunda de biotinidasa en España.";</t>
  </si>
  <si>
    <t>DB_Probabilidad_AtrofiaOptica</t>
  </si>
  <si>
    <t>isParameterOfManifestation:DB_Cronica_AtrofiaOptica; hasDataItemType:DI_Probability; hasUncertaintyCharacterization:DB_AtrofiaOptica_BetaDist; includedByModel:DB_ModelDES;</t>
  </si>
  <si>
    <t>hasSource:"Informe SESCS 2013, Tabla 2, meta-análisis [24,32]"; hasYear:"2013"; hasGeographicalContext:"España"; hasExpectedValue:"0.1667"; hasDescription:"Probabilidad de aparición de atrofia óptica en pacientes con deficiencia total de biotinidasa sin tratamiento.";</t>
  </si>
  <si>
    <t>DBPar_Probabilidad_Convulsiones</t>
  </si>
  <si>
    <t>isParameterOfManifestation:DB_Aguda_Convulsiones; hasUncertaintyCharacterization:DBPar_Convulsiones_BetaDist; includedByModel:DB_ModelDES; hasDataItemType:DI_Probability;</t>
  </si>
  <si>
    <t>hasSource:"Informe SESCS 2013, Tabla 2, p. 33. Basado en revisión de la literatura [15,41–43]"; hasGeographicalContext:"España"; hasExpectedValue:"0.01"; hasYear:"2013"; hasDescription:"Probabilidad de aparición de convulsiones en pacientes con deficiencia parcial de biotinidasa. Datos muy limitados, solo 1 caso publicado en la literatura, se asume 1% como valor de referencia.";</t>
  </si>
  <si>
    <t>DBPar_Probabilidad_Hipotonia</t>
  </si>
  <si>
    <t>isParameterOfManifestation:DB_Aguda_Hipotonia; includedByModel:DB_ModelDES; hasUncertaintyCharacterization:DBPar_Hipotonia_BetaDist; hasDataItemType:DI_Probability;</t>
  </si>
  <si>
    <t>hasExpectedValue:"0.01"; hasYear:"2013"; hasSource:"Informe SESCS 2013, Tabla 2, p. 33."; hasDescription:"Probabilidad de aparición de hipotonía en pacientes con deficiencia parcial de biotinidasa. No se han reportado casos en la literatura, se asume 1% como valor conservador."; hasGeographicalContext:"España";</t>
  </si>
  <si>
    <t>DBPar_Probabilidad_RetrasoMental</t>
  </si>
  <si>
    <t>includedByModel:DB_ModelDES; isParameterOfManifestation:DB_Cronica_RetrasoMental; hasUncertaintyCharacterization:DBPar_RetrasoMental_BetaDist; hasDataItemType:DI_Probability;</t>
  </si>
  <si>
    <t>hasGeographicalContext:"España"; hasExpectedValue:"0.01"; hasYear:"2013"; hasSource:"Informe SESCS 2013, Tabla 2, p. 33."; hasDescription:"Probabilidad de aparición de retraso mental en pacientes con deficiencia parcial de biotinidasa. Solo 1 caso publicado, valor conservador del 1%.";</t>
  </si>
  <si>
    <t>DBPar_Probabilidad_Sordera</t>
  </si>
  <si>
    <t>hasDataItemType:DI_Probability; hasUncertaintyCharacterization:DBPar_Sordera_BetaDist; isParameterOfManifestation:DB_Cronica_Sordera; includedByModel:DB_ModelDES;</t>
  </si>
  <si>
    <t>hasSource:"Informe SESCS 2013, Tabla 2, p. 33."; hasDescription:"Probabilidad de aparición de pérdida auditiva en pacientes con deficiencia parcial de biotinidasa. No se han reportado casos en la literatura; valor conservador del 1%."; hasGeographicalContext:"España"; hasExpectedValue:"0.01"; hasYear:"2013";</t>
  </si>
  <si>
    <t>DB_Interv_Seguimiento</t>
  </si>
  <si>
    <t>hasDescription:"Seguimiento clínico multidisciplinar: incluye control del desarrollo psicomotor, evaluación auditiva y visual periódica, y apoyo familiar.";</t>
  </si>
  <si>
    <t>DB_Seguimiento_Parcial</t>
  </si>
  <si>
    <t>hasGuideline:DB_Guia_Seguimiento_Parcial; includedByModel:DB_ModelDES;</t>
  </si>
  <si>
    <t>hasDescription:"Seguimiento clínico para pacientes con deficiencia parcial de biotinidasa: controles del desarrollo y vigilancia de aparición de síntomas. Evaluación anual durante la infancia y adolescencia.";</t>
  </si>
  <si>
    <t>DB_Seguimiento_Profunda</t>
  </si>
  <si>
    <t>hasGuideline:DB_Guia_Seguimiento_Profunda; includedByModel:DB_ModelDES;</t>
  </si>
  <si>
    <t>hasDescription:"Seguimiento clínico multidisciplinar para pacientes con deficiencia profunda de biotinidasa: incluye control del desarrollo psicomotor, pruebas auditivas y oftalmológicas periódicas, y seguimiento analítico regular. Evaluación cada 3-6 meses durante la infancia y anual posteriormente.";</t>
  </si>
  <si>
    <t>DB_Guia_Biotina</t>
  </si>
  <si>
    <t>hasDose:DB_Biotina_Dosis; hasFrequency:DB_Biotina_Frecuencia;</t>
  </si>
  <si>
    <t>hasDescription:"Administrar biotina oral a dosis de 5-20 mg/día, iniciando lo antes posible tras diagnóstico, y mantener de por vida.";</t>
  </si>
  <si>
    <t>DB_Guia_Biotina_Parcial</t>
  </si>
  <si>
    <t>hasDose:DB_Biotina_Dosis_Parcial; hasFrequency:DB_Biotina_Frecuencia_Parcial;</t>
  </si>
  <si>
    <t>hasDescription:"Administrar biotina oral 5 mg/día (rango 1-10 mg/día) en pacientes con deficiencia parcial de biotinidasa, iniciar tras diagnóstico, mantener durante la infancia y adolescencia.";</t>
  </si>
  <si>
    <t>DB_Guia_Biotina_Profunda</t>
  </si>
  <si>
    <t>hasDose:DB_Biotina_Dosis_Profunda; hasFrequency:DB_Biotina_Frecuencia_Profunda;</t>
  </si>
  <si>
    <t>hasDescription:"Administrar biotina oral 10 mg/día (rango 5-20 mg/día) en pacientes con deficiencia profunda de biotinidasa, iniciar lo antes posible tras diagnóstico, mantener toda la vida.";</t>
  </si>
  <si>
    <t>DB_Guia_Seguimiento_Parcial</t>
  </si>
  <si>
    <t>hasFrequency:DB_Seguimiento_Frecuencia_Parcial;</t>
  </si>
  <si>
    <t>hasDescription:"Visitas clínicas anuales para monitorizar desarrollo psicomotor y aparición de síntomas en deficiencia parcial de biotinidasa.";</t>
  </si>
  <si>
    <t>DB_Guia_Seguimiento_Profunda</t>
  </si>
  <si>
    <t>hasFrequency:DB_Seguimiento_Frecuencia_Profunda;</t>
  </si>
  <si>
    <t>hasDescription:"Visitas clínicas cada 3-6 meses en infancia y anual en adolescencia-adultez. Pruebas auditivas y visuales periódicas; evaluación neurológica y del desarrollo psicomotor; analítica de control anual.";</t>
  </si>
  <si>
    <t>DB_Linea_Biotina</t>
  </si>
  <si>
    <t>hasGuideline:DB_Guia_Biotina;</t>
  </si>
  <si>
    <t>DB_AtrofiaOptica_OnsetAge</t>
  </si>
  <si>
    <t>includedByModel:DB_ModelDES; hasDataItemType:DI_Age; isParameterOfManifestation:DB_Cronica_AtrofiaOptica;</t>
  </si>
  <si>
    <t>hasDescription:"Edad media de aparición de la atrofia óptica crónica (en años)"; hasDescription:"Edad media de aparición de atrofia óptica crónica por deficiencia de biotinidasa (en años)."; hasSource:"Informe SESCS 2013, p. 32"; hasSource:"Informe SESCS 2013, p. 32. Síntomas crónicos suelen aparecer tras el primer año; análisis de sensibilidad: 2 años."; hasYear:"2013"; hasExpectedValue:"2.0"; hasGeographicalContext:"España";</t>
  </si>
  <si>
    <t>DB_Biotina_Dosis_Profunda</t>
  </si>
  <si>
    <t>isParameterOfManifestation:DB_Tratamiento_Profunda; includedByModel:DB_ModelDES; hasDataItemType:DI_Dose;</t>
  </si>
  <si>
    <t>hasGeographicalContext:"España"; hasDescription:"Dosis diaria de biotina recomendada en deficiencia profunda (mg/día)"; hasYear:"2013"; hasExpectedValue:"10.0"; hasSource:"Informe SESCS 2013, protocolos internacionales";</t>
  </si>
  <si>
    <t>DB_Biotina_Frecuencia</t>
  </si>
  <si>
    <t>includedByModel:DB_ModelDES; isParameterOfManifestation:DB_Interv_Tratamiento_Biotina; hasDataItemType:DI_Frequency;</t>
  </si>
  <si>
    <t>hasYear:"2013"; hasSource:"Informe SESCS 2013, protocolos internacionales"; hasGeographicalContext:"España"; hasDescription:"Frecuencia de administración: una vez al día"; hasExpectedValue:"1.0";</t>
  </si>
  <si>
    <t>DB_Biotina_Frecuencia_Parcial</t>
  </si>
  <si>
    <t>includedByModel:DB_ModelDES; hasDataItemType:DI_Frequency; isParameterOfManifestation:DB_Tratamiento_Parcial;</t>
  </si>
  <si>
    <t>hasSource:"Informe SESCS 2013"; hasDescription:"Frecuencia de administración: una vez al día en deficiencia parcial"; hasYear:"2013"; hasExpectedValue:"1.0"; hasGeographicalContext:"España";</t>
  </si>
  <si>
    <t>DB_Biotina_Frecuencia_Profunda</t>
  </si>
  <si>
    <t>includedByModel:DB_ModelDES; isParameterOfManifestation:DB_Tratamiento_Profunda; hasDataItemType:DI_Frequency;</t>
  </si>
  <si>
    <t>hasDescription:"Frecuencia de administración: una vez al día en deficiencia profunda"; hasSource:"Informe SESCS 2013"; hasExpectedValue:"1.0"; hasYear:"2013"; hasGeographicalContext:"España";</t>
  </si>
  <si>
    <t>DB_Convulsiones_OnsetAge</t>
  </si>
  <si>
    <t>isParameterOfManifestation:DB_Aguda_Convulsiones; includedByModel:DB_ModelDES; hasDataItemType:DI_Age;</t>
  </si>
  <si>
    <t>hasExpectedValue:"0.25"; hasExpectedValue:"0.29"; hasYear:"2013"; hasDescription:"Edad media de aparición de las convulsiones agudas (en años)"; hasDescription:"Edad media de aparición de convulsiones agudas por deficiencia de biotinidasa (en años)."; hasGeographicalContext:"España"; hasSource:"Informe SESCS 2013, p. 32. Media reportada: 3,5 meses."; hasSource:"Informe SESCS 2013, p. 32. Media reportada: 3,5 meses para síntomas agudos.";</t>
  </si>
  <si>
    <t>DB_ProblemasPiel_OnsetAge</t>
  </si>
  <si>
    <t>hasDataItemType:DI_Age; isParameterOfManifestation:DB_Aguda_ProblemasPiel; includedByModel:DB_ModelDES;</t>
  </si>
  <si>
    <t>hasSource:"Informe SESCS 2013, p. 32. Media reportada: 3,5 meses."; hasSource:"Informe SESCS 2013, p. 32"; hasDescription:"Edad media de aparición de problemas de piel agudos por deficiencia de biotinidasa (en años)."; hasDescription:"Edad media de aparición de los problemas de piel agudos (en años)"; hasGeographicalContext:"España"; hasYear:"2013"; hasExpectedValue:"0.29"; hasExpectedValue:"0.25";</t>
  </si>
  <si>
    <t>DB_Seguimiento_Frecuencia_Parcial</t>
  </si>
  <si>
    <t>isParameterOfManifestation:DB_Seguimiento_Parcial; hasDataItemType:DI_Frequency; includedByModel:DB_ModelDES;</t>
  </si>
  <si>
    <t>hasSource:"Informe SESCS 2013, protocolos internacionales."; hasGeographicalContext:"España"; hasYear:"2013"; hasDescription:"Frecuencia de las revisiones clínicas (veces/año) en deficiencia parcial."; hasExpectedValue:"1.0";</t>
  </si>
  <si>
    <t>DB_Seguimiento_Frecuencia_Profunda</t>
  </si>
  <si>
    <t>hasDataItemType:DI_Frequency; includedByModel:DB_ModelDES; isParameterOfManifestation:DB_Seguimiento_Profunda;</t>
  </si>
  <si>
    <t>hasExpectedValue:"3.0"; hasGeographicalContext:"España"; hasDescription:"Frecuencia media de las revisiones clínicas durante la infancia (veces/año)."; hasSource:"Informe SESCS 2013, protocolos internacionales."; hasYear:"2013";</t>
  </si>
  <si>
    <t>DB_Sordera_OnsetAge</t>
  </si>
  <si>
    <t>hasDataItemType:DI_Age; includedByModel:DB_ModelDES; isParameterOfManifestation:DB_Cronica_Sordera;</t>
  </si>
  <si>
    <t>hasGeographicalContext:"España"; hasDescription:"Edad media de aparición de la sordera crónica (en años)"; hasDescription:"Edad media de aparición de sordera crónica por deficiencia de biotinidasa (en años)."; hasSource:"Informe SESCS 2013, p. 32. Síntomas crónicos suelen aparecer tras el primer año; análisis de sensibilidad: 2 años."; hasSource:"Informe SESCS 2013, p. 32. Síntomas crónicos suelen aparecer tras el primer año de vida; análisis de sensibilidad entre 2 y 10 años."; hasYear:"2013"; hasExpectedValue:"2.0";</t>
  </si>
  <si>
    <t>DB_PDef_Biotinidasa</t>
  </si>
  <si>
    <t>hasIntervention:DB_Interv_Dx_Clínico; hasIntervention:DB_Interv_Cribado; hasManifestation:DB_Manif_Secuelas; hasManifestation:DB_Manif_Neurológica; hasManifestation:DB_Manif_CrisisAguda; hasManifestation:DB_Manif_Cutánea; hasStage:DB_Stage_Asintomático; hasStage:DB_Stage_Sintomático; includedByModel:DB_ModelDES; hasDevelopment:DB_Development_Profunda;</t>
  </si>
  <si>
    <t>hasYear:"2013"; hasDescription:"La deficiencia profunda de biotinidasa es un error congénito del metabolismo, autosómico recesivo, que conduce a manifestaciones neurológicas y cutáneas graves si no se trata. La actividad enzimática es inferior al 10% de lo normal."; hasRefToSNOMED:"SNOMED:86549004"; hasRefToORDO:"ORDO:98875"; hasName:"Deficiencia profunda de biotinidasa"; hasGeographicalContext:"España"; hasRefToOMIM:"OMIM:253260";</t>
  </si>
  <si>
    <t>DB_Interv_Cribado</t>
  </si>
  <si>
    <t>hasDescription:"Cribado neonatal universal mediante ensayo enzimático o fluorimétrico para la detección de deficiencia profunda de biotinidasa."; hasDescription:"Cribado neonatal universal mediante ensayo enzimático o fluorimétrico para detección precoz de la deficiencia de biotinidasa a partir de sangre seca en papel de filtro.";</t>
  </si>
  <si>
    <t>DB_Probabilidad_Convulsiones</t>
  </si>
  <si>
    <t>hasDataItemType:DI_Probability; hasUncertaintyCharacterization:DB_Convulsiones_BetaDist; includedByModel:DB_ModelDES; isParameterOfManifestation:DB_Aguda_Convulsiones;</t>
  </si>
  <si>
    <t>hasExpectedValue:"0.5575"; hasYear:"2013"; hasSource:"Informe SESCS 2013, Tabla 2, meta-análisis [13,31,33,36,37]"; hasDescription:"Probabilidad de aparición de convulsiones en pacientes con deficiencia total de biotinidasa sin tratamiento."; hasGeographicalContext:"España";</t>
  </si>
  <si>
    <t>DB_Probabilidad_Hipotonia</t>
  </si>
  <si>
    <t>hasDataItemType:DI_Probability; hasUncertaintyCharacterization:DB_Hipotonia_BetaDist; includedByModel:DB_ModelDES; isParameterOfManifestation:DB_Aguda_Hipotonia;</t>
  </si>
  <si>
    <t>hasGeographicalContext:"España"; hasDescription:"Probabilidad de aparición de hipotonía en pacientes con deficiencia total de biotinidasa sin tratamiento."; hasSource:"Informe SESCS 2013, Tabla 2, meta-análisis [13,33,37]"; hasExpectedValue:"0.5"; hasYear:"2013";</t>
  </si>
  <si>
    <t>DB_Probabilidad_ProblemasPiel</t>
  </si>
  <si>
    <t>hasDataItemType:DI_Probability; includedByModel:DB_ModelDES; hasUncertaintyCharacterization:DB_ProblemasPiel_BetaDist; isParameterOfManifestation:DB_Aguda_ProblemasPiel;</t>
  </si>
  <si>
    <t>hasSource:"Informe SESCS 2013, Tabla 2, meta-análisis [13,33,36,37]"; hasExpectedValue:"0.3429"; hasGeographicalContext:"España"; hasDescription:"Probabilidad de aparición de problemas de piel en pacientes con deficiencia total de biotinidasa sin tratamiento."; hasYear:"2013";</t>
  </si>
  <si>
    <t>DB_Probabilidad_RetrasoMental</t>
  </si>
  <si>
    <t>includedByModel:DB_ModelDES; hasUncertaintyCharacterization:DB_RetrasoMental_BetaDist; hasDataItemType:DI_Probability; isParameterOfManifestation:DB_Cronica_RetrasoMental;</t>
  </si>
  <si>
    <t>hasSource:"Informe SESCS 2013, Tabla 2, meta-análisis [13,35–37]"; hasYear:"2013"; hasDescription:"Probabilidad de aparición de retraso mental en pacientes con deficiencia total de biotinidasa sin tratamiento."; hasExpectedValue:"0.3478"; hasGeographicalContext:"España";</t>
  </si>
  <si>
    <t>DB_Probabilidad_Sordera</t>
  </si>
  <si>
    <t>includedByModel:DB_ModelDES; isParameterOfManifestation:DB_Cronica_Sordera; hasDataItemType:DI_Probability; hasUncertaintyCharacterization:DB_Sordera_BetaDist;</t>
  </si>
  <si>
    <t>hasSource:"Informe SESCS 2013, Tabla 2, meta-análisis [24,27,34]"; hasExpectedValue:"0.6154"; hasDescription:"Probabilidad de aparición de pérdida auditiva en pacientes con deficiencia total de biotinidasa sin tratamiento."; hasGeographicalContext:"España"; hasYear:"2013";</t>
  </si>
  <si>
    <t>DBPar_Probabilidad_AtrofiaOptica</t>
  </si>
  <si>
    <t>includedByModel:DB_ModelDES; hasDataItemType:DI_Probability; isParameterOfManifestation:DB_Cronica_AtrofiaOptica; hasUncertaintyCharacterization:DBPar_AtrofiaOptica_BetaDist;</t>
  </si>
  <si>
    <t>hasGeographicalContext:"España"; hasDescription:"Probabilidad de aparición de atrofia óptica en pacientes con deficiencia parcial de biotinidasa. No hay casos publicados, valor conservador del 1%."; hasYear:"2013"; hasExpectedValue:"0.01"; hasSource:"Informe SESCS 2013, Tabla 2, p. 33.";</t>
  </si>
  <si>
    <t>DBPar_Probabilidad_ProblemasPiel</t>
  </si>
  <si>
    <t>hasDataItemType:DI_Probability; isParameterOfManifestation:DB_Aguda_ProblemasPiel; includedByModel:DB_ModelDES; hasUncertaintyCharacterization:DBPar_ProblemasPiel_BetaDist;</t>
  </si>
  <si>
    <t>hasDescription:"Probabilidad de aparición de problemas de piel en pacientes con deficiencia parcial de biotinidasa. No hay casos publicados, valor conservador del 1%."; hasSource:"Informe SESCS 2013, Tabla 2, p. 33."; hasExpectedValue:"0.01"; hasYear:"2013"; hasGeographicalContext:"España";</t>
  </si>
  <si>
    <t>DB_Stage_Asintomático</t>
  </si>
  <si>
    <t>hasDescription:"Estadio asintomático: individuo con deficiencia profunda de biotinidasa, pero sin manifestaciones clínicas detectables.";</t>
  </si>
  <si>
    <t>DB_Stage_Sintomático</t>
  </si>
  <si>
    <t>hasManifestation:DB_Manif_Cutánea; hasManifestation:DB_Manif_Neurológica; hasManifestation:DB_Manif_Secuelas; hasManifestation:DB_Manif_CrisisAguda; includedByModel:DB_ModelDES;</t>
  </si>
  <si>
    <t>hasDescription:"Estadio sintomático: individuo con manifestaciones clínicas agudas o crónicas de la deficiencia profunda de biotinidasa.";</t>
  </si>
  <si>
    <t>DB_Interv_Tratamiento_Biotina</t>
  </si>
  <si>
    <t>includedByModel:DB_ModelDES; hasLineOfTherapy:DB_Linea_Biotina;</t>
  </si>
  <si>
    <t>hasDescription:"Tratamiento de la deficiencia de biotinidasa mediante administración oral de biotina a dosis farmacológicas de por vida.";</t>
  </si>
  <si>
    <t>DB_Tratamiento_Parcial</t>
  </si>
  <si>
    <t>hasGuideline:DB_Guia_Biotina_Parcial; includedByModel:DB_ModelDES;</t>
  </si>
  <si>
    <t>hasDescription:"Tratamiento estándar de la deficiencia parcial de biotinidasa: biotina oral, habitualmente 5 mg/día (rango 1-10 mg/día), administrada de por vida. Algunos expertos permiten suspender en edad adulta si nunca hubo síntomas.";</t>
  </si>
  <si>
    <t>DB_Tratamiento_Profunda</t>
  </si>
  <si>
    <t>includedByModel:DB_ModelDES; hasGuideline:DB_Guia_Biotina_Profunda;</t>
  </si>
  <si>
    <t>hasDescription:"Tratamiento estándar de la deficiencia profunda de biotinidasa: biotina oral a dosis farmacológicas (10 mg/día como valor central, rango 5-20 mg/día), administrada de por vida.";</t>
  </si>
  <si>
    <t>DB_Desutilidad_Aguda</t>
  </si>
  <si>
    <t>isParameterOfManifestation:DB_Aguda_Convulsiones; isParameterOfManifestation:DB_Aguda_ProblemasPiel; isParameterOfManifestation:DB_Aguda_Hipotonia; includedByModel:DB_ModelDES;</t>
  </si>
  <si>
    <t>appliesOneTime:"true"; hasGeographicalContext:"España"; hasSource:"Informe SESCS 2013, Anexo 8.3, Tabla 18; cálculo por diferencia respecto a utilidad basal"; hasExpectedValue:"-0.12"; hasDescription:"Desutilidad específica del episodio agudo (impacto negativo temporal sobre la calidad de vida durante el episodio agudo en deficiencia de biotinidasa, respecto a estado basal)."; hasYear:"2013";</t>
  </si>
  <si>
    <t>DB_Utilidad_Aguda</t>
  </si>
  <si>
    <t>isParameterOfManifestation:DB_Aguda_Convulsiones; isParameterOfManifestation:DB_Aguda_Hipotonia; isParameterOfManifestation:DB_Aguda_ProblemasPiel; includedByModel:DB_ModelDES;</t>
  </si>
  <si>
    <t>appliesOneTime:"false"; hasYear:"2013"; hasSource:"Informe SESCS 2013, Anexo 8.3, Tabla 18; ajustado de Bennett 2005, NICE, modelos encefalopatía aguda"; hasDescription:"Utilidad asociada al estado de manifestación aguda (convulsiones, hipotonía o problemas de piel) en deficiencia de biotinidasa, reversible tras tratamiento."; hasExpectedValue:"0.88"; hasGeographicalContext:"España";</t>
  </si>
  <si>
    <t>DB_Utilidad_AtrofiaOptica</t>
  </si>
  <si>
    <t>isParameterOfManifestation:DB_Cronica_AtrofiaOptica; includedByModel:DB_ModelDES;</t>
  </si>
  <si>
    <t>hasYear:"2013"; appliesOneTime:"false"; hasGeographicalContext:"España"; hasDescription:"Utilidad asociada a atrofia óptica permanente secundaria a deficiencia de biotinidasa."; hasSource:"Estimación basada en NICE, modelos de discapacidad visual grave; Informe SESCS 2013."; hasExpectedValue:"0.7";</t>
  </si>
  <si>
    <t>DB_Utilidad_Basal</t>
  </si>
  <si>
    <t>hasSource:"Informe SESCS 2013, Anexo 8.3, Tabla 18; EQ-5D general"; appliesOneTime:"false"; hasGeographicalContext:"España"; hasYear:"2013"; hasDescription:"Valor de utilidad para población infantil sana sin manifestaciones de deficiencia de biotinidasa."; hasExpectedValue:"1.0";</t>
  </si>
  <si>
    <t>DB_Utilidad_RetrasoMental</t>
  </si>
  <si>
    <t>isParameterOfManifestation:DB_Cronica_RetrasoMental; includedByModel:DB_ModelDES;</t>
  </si>
  <si>
    <t>hasExpectedValue:"0.64"; hasSource:"Informe SESCS 2013, Anexo 8.3, Tabla 18; Bennett 2005, NICE"; hasYear:"2013"; appliesOneTime:"false"; hasDescription:"Utilidad asociada a discapacidad intelectual permanente por deficiencia de biotinidasa."; hasGeographicalContext:"España";</t>
  </si>
  <si>
    <t>DB_Utilidad_Sordera</t>
  </si>
  <si>
    <t>isParameterOfManifestation:DB_Cronica_Sordera; includedByModel:DB_ModelDES;</t>
  </si>
  <si>
    <t>appliesOneTime:"false"; hasYear:"2013"; hasExpectedValue:"0.74"; hasSource:"Informe SESCS 2013, Anexo 8.3, Tabla 18; NICE"; hasDescription:"Utilidad asociada a sordera neurosensorial permanente secundaria a deficiencia de biotinidasa."; hasGeographicalContext:"España";</t>
  </si>
  <si>
    <t>Test ID</t>
  </si>
  <si>
    <t>URI</t>
  </si>
  <si>
    <t>Hallucination</t>
  </si>
  <si>
    <t>Error OWL</t>
  </si>
  <si>
    <t>Comments</t>
  </si>
  <si>
    <t>#BTD_BiotinTreatment_AnnualCost</t>
  </si>
  <si>
    <t>#hasDescription: Coste anual del tratamiento con biotina (5-10 mg/día); #hasUnit: EUR; #hasExpectedValue: 730;</t>
  </si>
  <si>
    <t>#BTD_DiagnosticTest_Cost</t>
  </si>
  <si>
    <t>#hasExpectedValue: 150; #hasDescription: Coste de la prueba diagnóstica confirmatoria;</t>
  </si>
  <si>
    <t>#BTD_Disease</t>
  </si>
  <si>
    <t>RareDisease, Disease</t>
  </si>
  <si>
    <t>#hasEpidemiologicalParameter: #BTD_Incidence; #hasDisutilityCombinationMethod: #AdditiveDisutility; #hasFollowUpStrategy: #BTD_FollowUp_AnnualMonitoring;</t>
  </si>
  <si>
    <t>#hasSource: Wolf B. Disorders of biotin metabolism. In: Scriver CR et al., eds. The metabolic and molecular bases of inherited disease, 7th ed. 2001; #hasDescription: Deficiencia de biotinidasa;</t>
  </si>
  <si>
    <t>#BTD_Disease_Partial</t>
  </si>
  <si>
    <t>#isSubtypeOf: #BTD_Disease;</t>
  </si>
  <si>
    <t>#hasDescription: Deficiencia parcial de biotinidasa (actividad enzimática 10-30% del valor normal);</t>
  </si>
  <si>
    <t>#BTD_Disease_Profound</t>
  </si>
  <si>
    <t>#hasFeature: #BTD_Manif_Hypotonia; #hasFeature: #BTD_Manif_DevelopmentalDelay; #hasFeature: #BTD_Manif_HearingLoss; #hasFeature: #BTD_Manif_SkinProblems; #isSubtypeOf: #BTD_Disease; #hasFeature: #BTD_Manif_OpticAtrophy; #hasFeature: #BTD_Manif_Seizures;</t>
  </si>
  <si>
    <t>#hasDescription: Deficiencia profunda de biotinidasa (actividad enzimática menor del 10% del valor normal);</t>
  </si>
  <si>
    <t>Debería haber usado el concepto de Development, pero es coherente. Se inventó el concepto "hasfeature"</t>
  </si>
  <si>
    <t>#BTD_FollowUp_AnnualMonitoring</t>
  </si>
  <si>
    <t>#BTD_Incidence</t>
  </si>
  <si>
    <t>#hasSource: Wolf B. Worldwide survey of neonatal screening for biotinidase deficiency. J Inherit Metab Dis 1991;14:923-927; #hasExpectedValue: 0.0000125; #hasDescription: Incidencia de la deficiencia profunda de biotinidasa;</t>
  </si>
  <si>
    <t>#BTD_Intervention_BiotinTreatment</t>
  </si>
  <si>
    <t>#hasTreatmentCost: #BTD_BiotinTreatment_AnnualCost;</t>
  </si>
  <si>
    <t>#hasDescription: Tratamiento con biotina oral (5-30 mg/día);</t>
  </si>
  <si>
    <t>Identificado erróneamente como intervención</t>
  </si>
  <si>
    <t>#BTD_Intervention_ClinicalDiagnosis</t>
  </si>
  <si>
    <t>#hasDescription: Detección clínica de la deficiencia de biotinidasa tras aparición de síntomas;</t>
  </si>
  <si>
    <t>#BTD_Intervention_Screening</t>
  </si>
  <si>
    <t>#modifies: #BTD_Manif_HearingLoss_Prob_WithoutTreatment;</t>
  </si>
  <si>
    <t>#hasDescription: Cribado neonatal de la deficiencia de biotinidasa mediante ensayo enzimático o fluorimétrico semicuantitativo;</t>
  </si>
  <si>
    <t>#BTD_Manif_Combined_U</t>
  </si>
  <si>
    <t>#hasDescription: Desutilidad anual para casos graves con múltiples síntomas; #appliesOneTime: false; #hasExpectedValue: 0.49;</t>
  </si>
  <si>
    <t>#BTD_Manif_DevelopmentalDelay</t>
  </si>
  <si>
    <t>#hasDescription: Retraso del desarrollo psicomotor;</t>
  </si>
  <si>
    <t>#BTD_Manif_DevelopmentalDelay_Prob_LateTraeatment</t>
  </si>
  <si>
    <t>#hasDescription: Probabilidad de retraso del desarrollo persistente con tratamiento tardío; #hasExpectedValue: 0.27; #hasSource: Moslinger D et al. Clinical and neuropsychological outcome in 33 patients with biotinidase deficiency ascertained by nationwide newborn screening and family studies in Austria. Eur J Pediatr 2001;160:277-282;</t>
  </si>
  <si>
    <t>No encuentro ese valor en la fuente</t>
  </si>
  <si>
    <t>#BTD_Manif_DevelopmentalDelay_Prob_WithoutTreatment</t>
  </si>
  <si>
    <t>#hasDescription: Probabilidad de desarrollar retraso del desarrollo sin tratamiento; #hasExpectedValue: 0.60; #hasSource: Moslinger D et al. Clinical and neuropsychological outcome in 33 patients with biotinidase deficiency ascertained by nationwide newborn screening and family studies in Austria. Eur J Pediatr 2001;160:277-282;</t>
  </si>
  <si>
    <t>#BTD_Manif_DevelopmentalDelay_U</t>
  </si>
  <si>
    <t>#hasDescription: Desutilidad anual asociada a retraso del desarrollo; #appliesOneTime: false; #hasExpectedValue: 0.29;</t>
  </si>
  <si>
    <t>Posible alucinación. Sin fuente</t>
  </si>
  <si>
    <t>#BTD_Manif_HearingLoss</t>
  </si>
  <si>
    <t>#hasDescription: Pérdida auditiva neurosensorial;</t>
  </si>
  <si>
    <t>#BTD_Manif_HearingLoss_Prob_LateTraeatment</t>
  </si>
  <si>
    <t>#hasDescription: Probabilidad de pérdida auditiva persistente con tratamiento tardío; #hasExpectedValue: 0.36; #hasSource: Weber P et al. Outcome in patients with profound biotinidase deficiency: relevance of newborn screening. Dev Med Child Neurol 2004;46:481-4;</t>
  </si>
  <si>
    <t>#BTD_Manif_HearingLoss_Prob_WithoutTreatment</t>
  </si>
  <si>
    <t>#hasSource: Wolf B, Spencer R, Gleason T. Hearing loss is a common feature of symptomatic children with profound biotinidase deficiency. J Pediatr 2002;140:242-246; #hasDescription: Probabilidad de desarrollar pérdida auditiva sin tratamiento; #hasSource: Wolf B et al. Hearing loss is a common feature... J Pediatr 2002;140:242-246; 
#hasExpectedValue: 0.55; #hasExpectedValue: 0.75;</t>
  </si>
  <si>
    <t>Incluye dos valores esperados. Uno de ellos parece coincidir con el de la fuente, pero no se podría usar así</t>
  </si>
  <si>
    <t>#BTD_Manif_HearingLoss_U</t>
  </si>
  <si>
    <t>#hasExpectedValue: 0.18; #hasDescription: Desutilidad anual asociada a pérdida auditiva neurosensorial; #appliesOneTime: false;</t>
  </si>
  <si>
    <t>#BTD_Manif_Hypotonia</t>
  </si>
  <si>
    <t>#hasDescription: Hipotonía muscular;</t>
  </si>
  <si>
    <t>#BTD_Manif_OpticAtrophy</t>
  </si>
  <si>
    <t>#hasDescription: Atrofia óptica;</t>
  </si>
  <si>
    <t>#BTD_Manif_OpticAtrophy_Prob_LateTraeatment</t>
  </si>
  <si>
    <t>#hasExpectedValue: 0.20; #hasSource: Salbert BA, Astruc J, Wolf B. Ophthalmologic findings in biotinidase deficiency. Ophthalmologica 1993;206:177-181; #hasDescription: Probabilidad de atrofia óptica persistente con tratamiento tardío;</t>
  </si>
  <si>
    <t>No se puede encontrar el valor en esas fuentes</t>
  </si>
  <si>
    <t>#BTD_Manif_OpticAtrophy_Prob_WithoutTreatment</t>
  </si>
  <si>
    <t>#hasSource: Salbert BA, Astruc J, Wolf B. Ophthalmologic findings in biotinidase deficiency. Ophthalmologica 1993;206:177-181; #hasDescription: Probabilidad de desarrollar atrofia óptica sin tratamiento; #hasExpectedValue: 0.30;</t>
  </si>
  <si>
    <t>#BTD_Manif_OpticAtrophy_U</t>
  </si>
  <si>
    <t>#hasExpectedValue: 0.23; #appliesOneTime: false; #hasDescription: Desutilidad anual asociada a atrofia óptica;</t>
  </si>
  <si>
    <t>#BTD_Manif_Seizures</t>
  </si>
  <si>
    <t>#hasDescription: Convulsiones refractarias a tratamiento anticonvulsivo;</t>
  </si>
  <si>
    <t>#BTD_Manif_Seizures_Prob_WithoutTreatment</t>
  </si>
  <si>
    <t>#hasDescription: Probabilidad de desarrollar convulsiones sin tratamiento; #hasSource: Weber P et al. Outcome in patients with profound biotinidase deficiency: relevance of newborn screening. Dev Med Child Neurol 2004;46:481-4; #hasExpectedValue: 0.70;</t>
  </si>
  <si>
    <t>#BTD_Manif_Seizures_U</t>
  </si>
  <si>
    <t>#hasDescription: Desutilidad anual asociada a convulsiones refractarias; #appliesOneTime: false; #hasExpectedValue: 0.32;</t>
  </si>
  <si>
    <t>#BTD_Manif_SkinProblems</t>
  </si>
  <si>
    <t>#hasDescription: Problemas cutáneos (erupciones, alopecia);</t>
  </si>
  <si>
    <t>#BTD_Normal_U</t>
  </si>
  <si>
    <t>#hasExpectedValue: 1.0; #hasDescription: Utilidad de vida normal sin síntomas;</t>
  </si>
  <si>
    <t>#BTD_Population_Newborns_ES</t>
  </si>
  <si>
    <t>#hasSubpopulation: #GeneralPopulation;</t>
  </si>
  <si>
    <t>#hasMinAge: 0; #hasGeographicalContext: España; #hasMaxAge: 1; #hasDescription: Recién nacidos en España durante un año natural;</t>
  </si>
  <si>
    <t>Se inventó una subpoblación que no existe en la ontología</t>
  </si>
  <si>
    <t>#BTD_Screening_Cost</t>
  </si>
  <si>
    <t>#hasDescription: Coste del cribado neonatal por recién nacido; #hasExpectedValue: 3.50; #hasUnit: EUR;</t>
  </si>
  <si>
    <t>#BTD_Screening_Sensitivity</t>
  </si>
  <si>
    <t>#hasExpectedValue: 0.99; #hasDescription: Sensibilidad del cribado neonatal para la deficiencia de biotinidasa;</t>
  </si>
  <si>
    <t>Posible alucinación: no puedo encontrar ese valor</t>
  </si>
  <si>
    <t>#BTD_Screening_Specificity</t>
  </si>
  <si>
    <t>#hasDescription: Especificidad del cribado neonatal para la deficiencia de biotinidasa; #hasExpectedValue: 0.998;</t>
  </si>
  <si>
    <t>#CribadoNeonatalBiotinidasa</t>
  </si>
  <si>
    <t>#hasSpecificity: #Param_EspecificidadCribado; #hasCost: #CosteCribadoUnitario; #hasSensitivity: #Param_SensibilidadCribado;</t>
  </si>
  <si>
    <t>#DeficienciaBiotinidasa</t>
  </si>
  <si>
    <t>#hasManifestation: #Manif_ErupcionCutanea; #hasManifestation: #Manif_Convulsiones; #hasDiagnosisCost: #CosteDiagnostico; #hasEpidemiologicalParameter: #Param_Prevalencia;</t>
  </si>
  <si>
    <t>#hasRefToSNOMED: 253260006;</t>
  </si>
  <si>
    <t>La referencia a SNOMED no existe</t>
  </si>
  <si>
    <t>#DeteccionClinicaBiotinidasa</t>
  </si>
  <si>
    <t>#Manif_Convulsiones</t>
  </si>
  <si>
    <t>#Manif_ErupcionCutanea</t>
  </si>
  <si>
    <t>#Param_EspecificidadCribado</t>
  </si>
  <si>
    <t>#hasExpectedValue: 0.995;</t>
  </si>
  <si>
    <t>#Param_Prevalencia</t>
  </si>
  <si>
    <t>#hasExpectedValue: 1.0E-4; #hasSource: Wolf B. (1991) J Inherit Metab Dis 14(4):513-26;</t>
  </si>
  <si>
    <t>#Param_SensibilidadCribado</t>
  </si>
  <si>
    <t>#hasExpectedValue: 0.998;</t>
  </si>
  <si>
    <t>#PoblacionRecienNacidosEspaña</t>
  </si>
  <si>
    <t>#hasGeographicalContext: España; #hasSize: 450000;</t>
  </si>
  <si>
    <t>#PrevalenciaBiotinidasa</t>
  </si>
  <si>
    <t>Aunque totalmente vacía</t>
  </si>
  <si>
    <t>#Utilidad_Convulsiones</t>
  </si>
  <si>
    <t>#hasExpectedValue: -0.35;</t>
  </si>
  <si>
    <t>#Utilidad_ErupcionCutanea</t>
  </si>
  <si>
    <t>#hasExpectedValue: -0.15;</t>
  </si>
  <si>
    <t>#BD_Enfermedad</t>
  </si>
  <si>
    <t>EnfermedadMetabolica, Enfermedad</t>
  </si>
  <si>
    <t>#hasDiseaseStage: #BD_Parcial_Enfermedad; #hasManifestation: #BD_Manif_AtrofiaOptica; #hasManifestation: #BD_Manif_Leucoencefalopatia; #hasManifestation: #BD_Manif_ConvulsionesMioclonicas; #hasManifestation: #BD_Manif_DermatitisExudativa; #hasManifestation: #BD_Manif_EstridorLaríngeo; #hasManifestation: #BD_Manif_Dermatitis; #hasManifestation: #BD_Manif_Hipotonia; #hasManifestation: #BD_Manif_Hipoacusia; #hasManifestation: #BD_Manif_ConvulsionesAgudas; #hasManifestation: #BD_Manif_RetrasoDesarrollo; #hasManifestation: #BD_Manif_Convulsiones; #hasManifestation: #BD_Manif_HipoacusiaCronica; #hasManifestation: #BD_Manif_HipoacusiaNeurosensorial;</t>
  </si>
  <si>
    <t>#hasInheritance: Autosómica recesiva; #hasOMIM: 253260; #hasDescription: Deficiencia profunda de biotinidasa (OMIM 253260), trastorno autosómico recesivo del metabolismo de la biotina;</t>
  </si>
  <si>
    <t>#BD_Epid_Incidencia</t>
  </si>
  <si>
    <t>#hasSource: Wolf 1995[4]; Baykal et al. 1998[3]; #hasExpectedValue: 1:60000;</t>
  </si>
  <si>
    <t>#BD_Epid_IncidenciaGlobal</t>
  </si>
  <si>
    <t>#hasSource: Couce et al. 2011[1]; Wolf 1995[4]; #hasExpectedValue: 1:60000;</t>
  </si>
  <si>
    <t>#BD_Estadio_NoTratado</t>
  </si>
  <si>
    <t>#hasEpidemiologicalParameter: #BD_Epid_IncidenciaGlobal;</t>
  </si>
  <si>
    <t>#hasDescription: Fase sintomática con afectación neurológica y metabólica activa; #hasDescription: Deficiencia profunda no tratada (actividad enzimática ≤10%) con manifestaciones neurológicas activas;</t>
  </si>
  <si>
    <t>#BD_Estadio_Parcial</t>
  </si>
  <si>
    <t>#BD_Estadio_Profundo</t>
  </si>
  <si>
    <t>#BD_EstadoSaludable_U</t>
  </si>
  <si>
    <t>#hasExpectedValue: 1.0;</t>
  </si>
  <si>
    <t>#BD_Eval_Audiologica</t>
  </si>
  <si>
    <t>#hasSource: Wolf et al. 2002[5]; Genc et al. 2007[4]; #hasDescription: Potenciales evocados auditivos brainstem (BAEP) anuales durante primeros 5 años;</t>
  </si>
  <si>
    <t>#BD_Intervencion_Biotina</t>
  </si>
  <si>
    <t>#trataManifestacion: #BD_Manif_Convulsiones;</t>
  </si>
  <si>
    <t>#hasDescription: Suplementación oral con biotina 10-30 mg/día; #hasEfectoBioquimico: Restauración de actividad carboxilasa en 48-72 horas; #hasDosis: 10-30 mg/día (Joshi et al. 1999[3]; Mslinger et al. 2003[2]);</t>
  </si>
  <si>
    <t>#BD_Intervencion_Biotina_Efectividad</t>
  </si>
  <si>
    <t>#hasExpectedValue: Resolución síntomas en 1-4 semanas (Genc et al. 2007[7]); #hasSource: Grünewald et al. 2003[6]; Wolf et al. 2002[5];</t>
  </si>
  <si>
    <t>#BD_Intervencion_Cribado</t>
  </si>
  <si>
    <t>Intervencion, IntervencionCribado</t>
  </si>
  <si>
    <t>#affectsDiseaseStage: #BD_Estadio_NoTratado;</t>
  </si>
  <si>
    <t>#hasCostoUnitario: 2150€ por caso detectado; #hasEficacia: Reducción del 95% en manifestaciones neurológicas con tratamiento temprano; #hasDescription: Cribado neonatal mediante ensayo enzimático fluorimétrico en papel; #hasEffect: Reducción del 95% en manifestaciones neurológicas cuando se trata antes de los 3 meses;</t>
  </si>
  <si>
    <t>#BD_Intervencion_CribadoNeonatal</t>
  </si>
  <si>
    <t>#previeneEstadio: #BD_Estadio_NoTratado;</t>
  </si>
  <si>
    <t>#hasEficacia: Reducción del 95% en manifestaciones neurológicas con tratamiento antes de los 3 meses; #hasCostoUnitario: 2150€ por caso detectado (Ye et al. 2009); #hasDescription: Ensayo enzimático fluorimétrico en sangre en papel para detección precoz; #hasSource: Couce et al. 2011[1]; Weber et al. 2004[5];</t>
  </si>
  <si>
    <t>#BD_Manif_AtrofiaOptica</t>
  </si>
  <si>
    <t>ManifestacionClinica, ChronicManifestation</t>
  </si>
  <si>
    <t>#affectsUtility: #BD_Manif_AtrofiaOptica_U;</t>
  </si>
  <si>
    <t>#hasDescription: Atrofia óptica progresiva con pérdida de agudeza visual; #hasProbability: 0.36; #hasSource: Salbert et al. 1993[5]; Weber et al. 2004[2]; #hasSource: Salbert et al. 1993[5]; Ye et al. 2009[7]; #hasSource: Salbert et al. 1993[5]; Ye et al. 2009[6]; #hasDescription: Atrofia óptica bilateral progresiva con pérdida aguda de visión;</t>
  </si>
  <si>
    <t>Se lio con las fuentes</t>
  </si>
  <si>
    <t>#BD_Manif_AtrofiaOpticaCronica</t>
  </si>
  <si>
    <t>#hasChronicOnset: 9;</t>
  </si>
  <si>
    <t>#BD_Manif_AtrofiaOptica_U</t>
  </si>
  <si>
    <t>#hasSource: Salbert et al. 1993[5]; Weber et al. 2004[2]; #hasExpectedValue: 0.55;</t>
  </si>
  <si>
    <t>El valor no aparece en la fuente</t>
  </si>
  <si>
    <t>#BD_Manif_Convulsiones</t>
  </si>
  <si>
    <t>#affectsUtility: #BD_Manif_Convulsiones_U;</t>
  </si>
  <si>
    <t>#hasSource: Weber et al. 2004[2]; Grünewald et al. 2003[3]; #hasSource: Couce et al. 2011[1]; Weber et al. 2004[2]; #hasDescription: Convulsiones mioclónicas o tónico-clónicas, frecuentes en pacientes no tratados; #hasProbability: 0.78;</t>
  </si>
  <si>
    <t>#BD_Manif_ConvulsionesAgudas</t>
  </si>
  <si>
    <t>#hasDescription: Convulsiones mioclónicas típicamente entre 2-4 meses no tratados; #hasOnsetTime: 2;</t>
  </si>
  <si>
    <t>#BD_Manif_ConvulsionesMioclonicas</t>
  </si>
  <si>
    <t>#hasDescription: Convulsiones mioclónicas refractarias, frecuentes en crisis agudas no tratadas; #hasSource: Couce et al. 2011[1]; Wolf et al. 2002[7];</t>
  </si>
  <si>
    <t>#BD_Manif_Convulsiones_U</t>
  </si>
  <si>
    <t>UtilityParameter, DisutilityParameter</t>
  </si>
  <si>
    <t>#hasSource: Grünewald et al. 2003[3]; Salbert et al. 1993[4]; #hasSource: Wolf et al. 2002[7]; Grünewald et al. 2003[3]; #hasSource: Grünewald et al. 2003[3]; Wolf et al. 2002[6]; #hasExpectedValue: 0.65; #hasSource: Wolf et al. 2002[5]; Ye et al. 2009[7];</t>
  </si>
  <si>
    <t>#BD_Manif_Dermatitis</t>
  </si>
  <si>
    <t>#affectsUtility: #BD_Manif_Dermatitis_U;</t>
  </si>
  <si>
    <t>#hasSource: Salbert et al. 1993[5]; Mslinger et al. 2003[6]; #hasProbability: 0.45;</t>
  </si>
  <si>
    <t>#BD_Manif_DermatitisAguda</t>
  </si>
  <si>
    <t>#hasOnsetTime: 3;</t>
  </si>
  <si>
    <t>#BD_Manif_DermatitisExudativa</t>
  </si>
  <si>
    <t>#hasDescription: Dermatitis exudativa perioral con sobreinfección por Candida; #hasSource: Salbert et al. 1993[5]; Wolf 2001[7];</t>
  </si>
  <si>
    <t>#BD_Manif_Dermatitis_U</t>
  </si>
  <si>
    <t>#hasSource: Salbert et al. 1993[5]; Wolf et al. 2002[6]; #hasExpectedValue: 0.30;</t>
  </si>
  <si>
    <t>#BD_Manif_EstridorLaríngeo</t>
  </si>
  <si>
    <t>#hasSource: Weber et al. 2004[2]; Dionisi-Vici et al. 1988[1]; #hasDescription: Estridor laríngeo y apnea central por hipoventilación;</t>
  </si>
  <si>
    <t>#BD_Manif_Hipoacusia</t>
  </si>
  <si>
    <t>#affectsUtility: #BD_Manif_Hipoacusia_U;</t>
  </si>
  <si>
    <t>#hasSource: Genc et al. 2007[4]; Wolf et al. 2002[7]; #hasPrevalencia: 55% en casos sintomáticos; #hasProbability: 0.55; #hasDescription: Hipoacusia neurosensorial bilateral, prevalente en 55% de casos sintomáticos; #hasSource: Genc et al. 2007[5]; Wolf et al. 2002[6]; #hasSource: Wolf et al. 2002[5]; Grünewald et al. 2003[3];</t>
  </si>
  <si>
    <t>#BD_Manif_HipoacusiaCronica</t>
  </si>
  <si>
    <t>#hasChronicOnset: 12; #hasSource: Genc et al. 2007[5]; Wolf et al. 2002[6]; #hasDescription: Hipoacusia neurosensorial bilateral progresiva tras 6-18 meses sin tratamiento;</t>
  </si>
  <si>
    <t>#BD_Manif_HipoacusiaNeurosensorial</t>
  </si>
  <si>
    <t>#hasSource: Genc et al. 2007[4]; Wolf et al. 2002[5]; Weber et al. 2004[2]; #hasDescription: Hipoacusia neurosensorial bilateral irreversible, presente en 55% de casos sintomáticos;</t>
  </si>
  <si>
    <t>#BD_Manif_Hipoacusia_Incidencia</t>
  </si>
  <si>
    <t>#hasSource: Genc et al. 2007[4]; Wolf et al. 2002[7]; #hasExpectedValue: 0.55;</t>
  </si>
  <si>
    <t>#BD_Manif_Hipoacusia_U</t>
  </si>
  <si>
    <t>#hasSource: Genc et al. 2007[4]; Wolf et al. 2002[5]; #hasSource: Genc et al. 2007[4]; Wolf et al. 2002[6]; #hasExpectedValue: 0.45;</t>
  </si>
  <si>
    <t>#BD_Manif_Hipotonia</t>
  </si>
  <si>
    <t>#hasSource: Grünewald et al. 2003[3]; Couce et al. 2011[1]; #hasProbability: 0.68;</t>
  </si>
  <si>
    <t>#BD_Manif_Leucoencefalopatia</t>
  </si>
  <si>
    <t>#hasDescription: Alteraciones difusas de la sustancia blanca en resonancia magnética; #hasSource: Grünewald et al. 2003[3]; Couce et al. 2011[1];</t>
  </si>
  <si>
    <t>#BD_Manif_RetrasoDesarrollo</t>
  </si>
  <si>
    <t>ChronicManifestation, ManifestacionClinica</t>
  </si>
  <si>
    <t>#affectsUtility: #BD_Manif_RetrasoDesarrollo_U;</t>
  </si>
  <si>
    <t>#hasProbability: 0.60; #hasSource: Mslinger et al. 2003[6]; Joshi et al. 1999[7]; #hasSource: Mslinger et al. 2003[6]; Wolf et al. 2002[7]; #hasDescription: Retraso motor y cognitivo persistente tras tratamiento tardío; #hasIncidence: 60% en diagnósticos posteriores a 6 meses; #hasSource: Weber et al. 2004[2]; Grünewald et al. 2003[3];</t>
  </si>
  <si>
    <t>#BD_Manif_RetrasoDesarrollo_U</t>
  </si>
  <si>
    <t>#hasSource: Joshi et al. 1999[7]; Couce et al. 2011[1]; #hasExpectedValue: 0.70;</t>
  </si>
  <si>
    <t>#BD_Mutacion_G98d7i3</t>
  </si>
  <si>
    <t>#hasEffectoBioquimico: Frameshift que genera terminación prematura (actividad 0%); #hasFrecuencia: 31.8% en casos sintomáticos;</t>
  </si>
  <si>
    <t>#BD_Param_FrecuenciaTrimestral</t>
  </si>
  <si>
    <t>#hasExpectedValue: 4 evaluaciones/año;</t>
  </si>
  <si>
    <t>#BD_Param_Tiempo_ManifAgudas</t>
  </si>
  <si>
    <t>#hasExpectedValue: 3.5; #hasSource: Couce et al. 2011[1]; Weber et al. 2004[2]; #hasDescription: Inicio promedio de manifestaciones agudas tras 2-5 meses sin tratamiento;</t>
  </si>
  <si>
    <t>#BD_Parcial_Alopecia</t>
  </si>
  <si>
    <t>#hasSource: Couce et al. 2011[1]; Grünewald et al. 2003[3]; #hasProbability: 0.20;</t>
  </si>
  <si>
    <t>#BD_Parcial_Convulsiones</t>
  </si>
  <si>
    <t>#hasSource: Couce et al. 2011[1]; Weber et al. 2004[2]; #hasProbability: 0.05;</t>
  </si>
  <si>
    <t>#BD_Parcial_Dermatitis</t>
  </si>
  <si>
    <t>#hasProbability: 0.15; #hasSource: Salbert et al. 1993[5]; Joshi et al. 1999[7];</t>
  </si>
  <si>
    <t>#BD_Parcial_Enfermedad</t>
  </si>
  <si>
    <t>#hasManifestation: #BD_Parcial_Alopecia; #hasManifestation: #BD_Parcial_Dermatitis; #hasManifestation: #BD_Parcial_Convulsiones; #hasManifestation: #BD_Parcial_Hipoacusia;</t>
  </si>
  <si>
    <t>#hasSource: Couce et al. 2011[1]; Mslinger et al. 2003[6]; #hasDescription: Deficiencia parcial de biotinidasa (actividad enzimática 10-30%);</t>
  </si>
  <si>
    <t>#BD_Parcial_Hipoacusia</t>
  </si>
  <si>
    <t>#hasProbability: 0.10; #hasSource: Genc et al. 2007[4]; Wolf et al. 2002[5];</t>
  </si>
  <si>
    <t>#BD_Parcial_Incidencia</t>
  </si>
  <si>
    <t>#hasSource: Couce et al. 2011[1]; #hasExpectedValue: 1:43,575;</t>
  </si>
  <si>
    <t>#BD_Profunda_Incidencia</t>
  </si>
  <si>
    <t>#hasSource: Couce et al. 2011[1]; Baykal et al. 1998[3]; #hasExpectedValue: 1:187500;</t>
  </si>
  <si>
    <t>#BD_Progresion_ManifAgudas</t>
  </si>
  <si>
    <t>#hasDescription: Aparición de síntomas neurológicos entre 2-5 meses sin tratamiento; #hasSource: Grünewald et al. 2003[3]; Wolf et al. 2002[6];</t>
  </si>
  <si>
    <t>#BD_Progresion_Temporal</t>
  </si>
  <si>
    <t>#hasChronicPhase: #BD_Manif_HipoacusiaCronica; #hasAcutePhase: #BD_Param_Tiempo_ManifAgudas;</t>
  </si>
  <si>
    <t>#BD_Protocolo_Emergencia</t>
  </si>
  <si>
    <t>#hasSource: Grünewald et al. 2003[3]; Salbert et al. 1993[5]; #hasDescription: Ajuste inmediato a 20 mg/día de biotina durante infecciones o estrés metabólico. Monitorización diaria de lactato;</t>
  </si>
  <si>
    <t>#BD_Seguimiento_Parcial</t>
  </si>
  <si>
    <t>#appliesToDiseaseStage: #BD_Estadio_Parcial;</t>
  </si>
  <si>
    <t>#hasSource: Ye et al. 2009[7]; Joshi et al. 1999[8]; #hasDescription: Evaluación semestral: control metabólico y ajuste dosis biotina en situaciones de estrés. Screening audiológico bianual hasta adolescencia;</t>
  </si>
  <si>
    <t>#BD_Seguimiento_Profundo</t>
  </si>
  <si>
    <t>#appliesToDiseaseStage: #BD_Estadio_Profundo;</t>
  </si>
  <si>
    <t>#hasSource: Couce et al. 2011[1]; Weber et al. 2004[2]; Mslinger et al. 2003[6]; #hasDescription: Monitorización trimestral: evaluación neurológica, auditiva y visual. Control bioquímico de metabolitos (3-HIA, MCC) y actividad enzimática cada 3 meses. EEG anual hasta estabilización;</t>
  </si>
  <si>
    <t>#BTD_ClinicalDetection_Delay</t>
  </si>
  <si>
    <t>#hasExpectedValue: 180; #hasSource: Retraso diagnóstico promedio de 6 meses[4][11];</t>
  </si>
  <si>
    <t>#BTD_Cost_BiotinTreatment_Annual</t>
  </si>
  <si>
    <t>#hasDescription: Annual cost of biotin treatment for biotinidase deficiency;</t>
  </si>
  <si>
    <t>#BTD_Cost_Diagnosis</t>
  </si>
  <si>
    <t>#hasDescription: Cost of diagnostic confirmation for biotinidase deficiency;</t>
  </si>
  <si>
    <t>#BTD_Cost_Screening</t>
  </si>
  <si>
    <t>#hasDescription: Cost of neonatal screening for biotinidase deficiency;</t>
  </si>
  <si>
    <t>#BTD_Cost_Untreated_Annual</t>
  </si>
  <si>
    <t>#hasDescription: Annual healthcare cost for untreated biotinidase deficiency;</t>
  </si>
  <si>
    <t>#BTD_CriticalWindow_Treatment</t>
  </si>
  <si>
    <t>#hasExpectedValue: 30; #hasSource: Máximo 30 días tras inicio de síntomas[8][10]; #hasDescription: Ventana terapéutica para prevenir secuelas;</t>
  </si>
  <si>
    <t>#hasEpidemiologicalParameter: #BTD_Epi_Prevalence_Total; #hasEpidemiologicalParameter: #BTD_Epi_Prevalence_Profound; #hasEpidemiologicalParameter: #BTD_Epi_Prevalence_Partial; #hasStage: #BTD_Stage_Profound; #hasFollowUpProtocol: #BTD_FU_GeneticCounseling; #hasStage: #BTD_Stage_Partial;</t>
  </si>
  <si>
    <t>#hasSource: Global incidence of approximately 1 in 60,000 births; #hasDescription: Biotinidase deficiency is an autosomal recessive metabolic disorder affecting biotin recycling;</t>
  </si>
  <si>
    <t>Pone como "Source" un comentario sobre la incidencia</t>
  </si>
  <si>
    <t>#BTD_Epi_Prevalence_Partial</t>
  </si>
  <si>
    <t>#hasSource: Wolf et al. 1990 (cribado neonatal internacional)[3]; #hasExpectedValue: 0.00000909; #hasDescription: Prevalencia al nacimiento de deficiencia parcial de biotinidasa (actividad 10.1-30%);</t>
  </si>
  <si>
    <t>#BTD_Epi_Prevalence_Profound</t>
  </si>
  <si>
    <t>#hasExpectedValue: 0.00000728; #hasDescription: Prevalencia al nacimiento de deficiencia profunda de biotinidasa (actividad enzimática ≤10%); #hasSource: Wolf et al. 1990 (cribado neonatal en 12 países)[3];</t>
  </si>
  <si>
    <t>El valor no coincide</t>
  </si>
  <si>
    <t>#BTD_Epi_Prevalence_Total</t>
  </si>
  <si>
    <t>#hasDescription: Prevalencia combinada al nacimiento (profunda + parcial); #hasExpectedValue: 0.00001637; #hasSource: Datos agregados de 29 programas de cribado neonatal[3][7];</t>
  </si>
  <si>
    <t>#BTD_FU_GeneticCounseling</t>
  </si>
  <si>
    <t>#hasDescription: Asesoramiento genético familiar cada 2 años; #hasExpectedValue: 24; #hasUnit: meses; #hasSource: Estudio turco con 259 pacientes[13];</t>
  </si>
  <si>
    <t>No se puede trazar la fuente</t>
  </si>
  <si>
    <t>#BTD_FU_Ophthalmic</t>
  </si>
  <si>
    <t>#hasUnit: meses; #hasDescription: Evaluación anual con OCT y potenciales visuales; #hasSource: Reporte de nuevos fenotipos oculares[5][9]; #hasExpectedValue: 12;</t>
  </si>
  <si>
    <t>#BTD_FU_Partial_Interval</t>
  </si>
  <si>
    <t>#appliesTo: #BTD_Stage_Partial;</t>
  </si>
  <si>
    <t>#hasSource: Protocolo de manejo controversial en formas parciales[9][15]; #hasExpectedValue: 12; #hasDescription: Evaluación anual con prueba de suspensión controlada de biotina; #hasUnit: meses;</t>
  </si>
  <si>
    <t>#BTD_FU_Profound_BiotinLevel</t>
  </si>
  <si>
    <t>#hasDescription: Monitorización semestral de niveles plasmáticos de biotina; #hasUnit: meses; #hasSource: Estudio pakistaní con seguimiento de 20 años[7][11]; #hasExpectedValue: 6;</t>
  </si>
  <si>
    <t>#BTD_FU_Profound_Clinical</t>
  </si>
  <si>
    <t>#appliesTo: #BTD_Stage_Profound;</t>
  </si>
  <si>
    <t>#hasSource: Protocolo italiano de seguimiento a largo plazo[9][13]; #hasDescription: Evaluación clínica trimestral con examen neurológico detallado; #hasExpectedValue: 3; #hasUnit: meses;</t>
  </si>
  <si>
    <t>#appliesTo: #BTD_Stage_Profound; #hasCriticalWindow: #BTD_CriticalWindow_Treatment;</t>
  </si>
  <si>
    <t>#hasDescription: Biotin supplementation treatment (5-20 mg/day) for biotinidase deficiency; #hasSource: Protocolos de tratamiento validados internacionalmente[4][13]; #hasSource: Treatment is simple, of low cost, and based on oral biotin replacement, lifelong; #hasDescription: Suplementación oral de biotina 5-20 mg/día de por vida;</t>
  </si>
  <si>
    <t>#BTD_Intervention_ClinicalDetection</t>
  </si>
  <si>
    <t>#appliesTo: #BTD_Disease; #hasTransitionParameter: #BTD_ClinicalDetection_Delay;</t>
  </si>
  <si>
    <t>#hasDescription: Clinical detection of biotinidase deficiency based on symptoms; #hasSource: Estándares técnicos de diagnóstico CLSI[13]; #hasDescription: Diagnóstico basado en manifestaciones sintomáticas y confirmación bioquímica;</t>
  </si>
  <si>
    <t>#hasEpidemiologicalParameter: #BTD_Screening_Specificity; #appliesTo: #BTD_Disease; #hasEpidemiologicalParameter: #BTD_Screening_Sensitivity;</t>
  </si>
  <si>
    <t>#hasDescription: Neonatal screening for biotinidase deficiency using enzymatic or fluorimetric assay; #hasSource: Protocolos estandarizados de cribado en programas nacionales[4][8]; #hasDescription: Detección mediante ensayo enzimático semicuantitativo en sangre seca en papel;</t>
  </si>
  <si>
    <t>#BTD_Manif_Acute_CornealOpacity</t>
  </si>
  <si>
    <t>#hasDescription: Opacidad corneal bilateral reversible con tratamiento; #hasSource: Manifestación reportada recientemente[5][9];</t>
  </si>
  <si>
    <t>No permite reconstruir las fuentes</t>
  </si>
  <si>
    <t>#BTD_Manif_Acute_EczemaFulminans</t>
  </si>
  <si>
    <t>#hasSource: Presente en el 78% de casos no tratados[11][15]; #hasDescription: Dermatitis exudativa severa con sobreinfección secundaria;</t>
  </si>
  <si>
    <t>#BTD_Manif_Acute_Encephalopathy</t>
  </si>
  <si>
    <t>#hasProgressionTime: #BTD_Progression_OpticAtrophy; #hasDisutilityValue: #BTD_Manif_Acute_Encephalopathy_DU;</t>
  </si>
  <si>
    <t>#hasDescription: Encefalopatía metabólica con alteración del estado mental; #hasSource: Complicación frecuente en crisis agudas[4][5];</t>
  </si>
  <si>
    <t>#BTD_Manif_Acute_Encephalopathy_DU</t>
  </si>
  <si>
    <t>#hasExpectedValue: 0.75; #hasDescription: Desutilidad por día de encefalopatía aguda;</t>
  </si>
  <si>
    <t>#BTD_Manif_Acute_FlaccidParalysis</t>
  </si>
  <si>
    <t>#hasSource: Presente en casos de crisis metabólica aguda[1][4]; #hasDescription: Parálisis flácida aguda con afectación de médula espinal;</t>
  </si>
  <si>
    <t>#BTD_Manif_Acute_HighAnionGap</t>
  </si>
  <si>
    <t>#hasProgressionTime: #BTD_Progression_Neuropathy;</t>
  </si>
  <si>
    <t>#hasDescription: Acidosis metabólica con brecha aniónica elevada (&gt;16 mmol/L); #hasSource: Hallazgo constante en descompensaciones agudas[4][15];</t>
  </si>
  <si>
    <t>#BTD_Manif_Alopecia_Incidence</t>
  </si>
  <si>
    <t>#hasExpectedValue: 0.90; #hasDescription: Frecuencia de alopecia en deficiencia profunda; #hasSource: Presente en 92% de casos sintomáticos[11][23][35];</t>
  </si>
  <si>
    <t>#BTD_Manif_Ataxia_Incidence</t>
  </si>
  <si>
    <t>#hasSource: Reportado en 60% de casos[2][11][27]; #hasDescription: Probabilidad de ataxia en deficiencia profunda; #hasExpectedValue: 0.60;</t>
  </si>
  <si>
    <t>#BTD_Manif_Chronic_Alopecia</t>
  </si>
  <si>
    <t>#hasDescription: Alopecia difusa con folículos destruidos; #hasSource: Presente en el 92% de casos no tratados[11][18];</t>
  </si>
  <si>
    <t>#BTD_Manif_Chronic_DevelopmentalDelay</t>
  </si>
  <si>
    <t>#hasDescription: Retraso global del desarrollo con QI menor que 70; #hasSource: Observado en el 100% de casos no tratados[13][17];</t>
  </si>
  <si>
    <t>#BTD_Manif_Chronic_DevelopmentalDelay_DU</t>
  </si>
  <si>
    <t>#hasDescription: Desutilidad anual por discapacidad intelectual; #hasExpectedValue: 0.50;</t>
  </si>
  <si>
    <t>#BTD_Manif_Chronic_Myelopathy</t>
  </si>
  <si>
    <t>#hasDescription: Mielopatía desmielinizante crónica con hiperintensidad T2 en médula; #hasSource: Observada en resonancia espinal[4][15];</t>
  </si>
  <si>
    <t>#BTD_Manif_Chronic_OpticAtrophy</t>
  </si>
  <si>
    <t>#hasManifestationProbability: #BTD_Manif_OpticAtrophy_Incidence; #hasDisutilityValue: #BTD_Manif_OpticAtrophy_DU; #hasDisutilityValue: #BTD_Manif_Chronic_OpticAtrophy_DU;</t>
  </si>
  <si>
    <t>#hasDescription: Atrofia óptica bilateral con pérdida axonal irreversible; #hasSource: Reportada en el 68% de casos no tratados[5][7];</t>
  </si>
  <si>
    <t>#BTD_Manif_Chronic_OpticAtrophy_DU</t>
  </si>
  <si>
    <t>#hasDescription: Desutilidad permanente por pérdida visual severa; #hasExpectedValue: 0.35;</t>
  </si>
  <si>
    <t>#BTD_Manif_Chronic_PeripheralNeuropathy</t>
  </si>
  <si>
    <t>#hasSource: Presente en el 80% de adultos no tratados[10][15]; #hasDescription: Neuropatía periférica sensitivo-motora progresiva;</t>
  </si>
  <si>
    <t>#BTD_Manif_Cutaneous_Alopecia</t>
  </si>
  <si>
    <t>#hasManifestationProbability: #BTD_Manif_Alopecia_Incidence; #hasDisutilityValue: #BTD_Manif_Cutaneous_Alopecia_DU; #hasManifestationProbability: #BTD_Partial_Manif_Alopecia_Incidence;</t>
  </si>
  <si>
    <t>#hasDescription: Alopecia associated with biotinidase deficiency;</t>
  </si>
  <si>
    <t>#BTD_Manif_Cutaneous_Alopecia_DU</t>
  </si>
  <si>
    <t>#hasDescription: Desutilidad anual por alopecia difusa; #hasSource: Estudios de calidad de vida en enfermedades dermatológicas crónicas[11][16]; #hasExpectedValue: 0.15;</t>
  </si>
  <si>
    <t>#BTD_Manif_Cutaneous_Dermatitis</t>
  </si>
  <si>
    <t>#hasManifestationProbability: #BTD_Partial_Manif_Dermatitis_Incidence;</t>
  </si>
  <si>
    <t>#hasDescription: Dermatitis associated with biotinidase deficiency;</t>
  </si>
  <si>
    <t>#BTD_Manif_DevDelay_Incidence</t>
  </si>
  <si>
    <t>#hasSource: Observado en 100% de pacientes sintomáticos[13][23][62]; #hasExpectedValue: 1.00; #hasDescription: Incidencia de retraso del desarrollo en casos no tratados;</t>
  </si>
  <si>
    <t>#BTD_Manif_Hypotonia_Incidence</t>
  </si>
  <si>
    <t>#hasDescription: Prevalencia de hipotonía muscular; #hasExpectedValue: 0.70; #hasSource: Presente en 70% de pacientes[6][23][35];</t>
  </si>
  <si>
    <t>#BTD_Manif_MetabolicAcidosis_Incidence</t>
  </si>
  <si>
    <t>#hasExpectedValue: 0.85; #hasDescription: Frecuencia de acidosis metabólica; #hasSource: Detectada en 85% de crisis agudas[3][7][15];</t>
  </si>
  <si>
    <t>#BTD_Manif_Metabolic_Acidosis</t>
  </si>
  <si>
    <t>#hasManifestationProbability: #BTD_Partial_Manif_MetabolicAcidosis_Incidence; #hasManifestationProbability: #BTD_Manif_MetabolicAcidosis_Incidence;</t>
  </si>
  <si>
    <t>#hasDescription: Metabolic acidosis associated with biotinidase deficiency;</t>
  </si>
  <si>
    <t>#BTD_Manif_Metabolic_Acidosis_DU</t>
  </si>
  <si>
    <t>#hasSource: Modelado basado en eventos agudos recurrentes[4][15]; #hasDescription: Desutilidad episódica por acidosis metabólica aguda; #hasExpectedValue: 0.20;</t>
  </si>
  <si>
    <t>#BTD_Manif_Neurological_Ataxia</t>
  </si>
  <si>
    <t>#hasDescription: Ataxia associated with biotinidase deficiency;</t>
  </si>
  <si>
    <t>#BTD_Manif_Neurological_DevDelay</t>
  </si>
  <si>
    <t>#hasManifestationProbability: #BTD_Manif_DevDelay_Incidence;</t>
  </si>
  <si>
    <t>#hasDescription: Developmental delay associated with biotinidase deficiency;</t>
  </si>
  <si>
    <t>#BTD_Manif_Neurological_DevDelay_DU</t>
  </si>
  <si>
    <t>#hasSource: Consenso de expertos en enfermedades metabólicas[13][17]; #hasExpectedValue: 0.50; #hasDescription: Desutilidad anual por retraso global del desarrollo (QI menor que 70);</t>
  </si>
  <si>
    <t>#BTD_Manif_Neurological_HearingLoss</t>
  </si>
  <si>
    <t>#hasDisutilityValue: #BTD_Manif_Neurological_HearingLoss_DU;</t>
  </si>
  <si>
    <t>#hasDescription: Sensorineural hearing loss associated with biotinidase deficiency;</t>
  </si>
  <si>
    <t>#BTD_Manif_Neurological_HearingLoss_DU</t>
  </si>
  <si>
    <t>#hasDescription: Disutility associated with sensorineural hearing loss in biotinidase deficiency;</t>
  </si>
  <si>
    <t>#BTD_Manif_Neurological_Hypotonia</t>
  </si>
  <si>
    <t>#hasDescription: Hypotonia associated with biotinidase deficiency;</t>
  </si>
  <si>
    <t>#BTD_Manif_Neurological_Seizures</t>
  </si>
  <si>
    <t>#hasManifestationProbability: #BTD_Manif_Seizures_Incidence; #hasManifestationProbability: #BTD_Partial_Manif_Seizures_Incidence; #hasDisutilityValue: #BTD_Manif_Neurological_Seizures_DU; #hasEpidemiologicalParameter: #BTD_Onset_Seizures_Acute;</t>
  </si>
  <si>
    <t>#hasDescription: Seizures associated with biotinidase deficiency; #hasSource: Reported in multiple studies of profound biotinidase deficiency;</t>
  </si>
  <si>
    <t>#BTD_Manif_Neurological_Seizures_DU</t>
  </si>
  <si>
    <t>#hasExpectedValue: 0.48; #hasSource: Estudio de utilidad en crisis epilépticas mediante método TTO[5]; #hasDescription: Disutility associated with seizures in biotinidase deficiency; #hasDescription: Desutilidad por crisis tónico-clónicas en deficiencia de biotinidasa;</t>
  </si>
  <si>
    <t>#BTD_Manif_Neurological_VisualProblems</t>
  </si>
  <si>
    <t>#hasDisutilityValue: #BTD_Manif_Neurological_VisualProblems_DU;</t>
  </si>
  <si>
    <t>#hasDescription: Visual problems including optic neuritis associated with biotinidase deficiency;</t>
  </si>
  <si>
    <t>#BTD_Manif_Neurological_VisualProblems_DU</t>
  </si>
  <si>
    <t>#hasDescription: Disutility associated with visual problems in biotinidase deficiency;</t>
  </si>
  <si>
    <t>#BTD_Manif_OpticAtrophy_DU</t>
  </si>
  <si>
    <t>#hasSource: Estudios OCT en pacientes con deficiencia parcial[18]; #hasDescription: Desutilidad permanente por atrofia óptica bilateral; #hasExpectedValue: 0.35;</t>
  </si>
  <si>
    <t>#BTD_Manif_OpticAtrophy_Incidence</t>
  </si>
  <si>
    <t>#hasSource: Reportado en 45% de casos[8][16][38]; #hasDescription: Incidencia de atrofia óptica en no tratados; #hasExpectedValue: 0.45;</t>
  </si>
  <si>
    <t>#BTD_Manif_RespiratoryDistress_Incidence</t>
  </si>
  <si>
    <t>#hasExpectedValue: 0.40; #hasDescription: Probabilidad de distress respiratorio; #hasSource: Observado en 40% de casos graves[6][15][42];</t>
  </si>
  <si>
    <t>#BTD_Manif_Seizures_Incidence</t>
  </si>
  <si>
    <t>#hasExpectedValue: 0.80; #hasDescription: Probabilidad de desarrollar convulsiones en deficiencia profunda no tratada; #hasSource: Estudios multicéntricos reportan convulsiones en 80% de casos no tratados[2][6][23];</t>
  </si>
  <si>
    <t>#BTD_Onset_Encephalopathy_Acute</t>
  </si>
  <si>
    <t>#hasDescription: Tiempo hasta encefalopatía metabólica tras estrés; #hasExpectedValue: 72; #hasSource: Horas tras desencadenante metabólico[4][15];</t>
  </si>
  <si>
    <t>#BTD_Onset_Seizures_Acute</t>
  </si>
  <si>
    <t>#hasDescription: Edad media de aparición de crisis epilépticas en no tratados; #hasSource: Edad media de presentación: 6 meses (rango 2-45.75)[3][6]; #hasExpectedValue: 3;</t>
  </si>
  <si>
    <t>#BTD_Partial_Manif_Alopecia_Incidence</t>
  </si>
  <si>
    <t>#hasDescription: Alopecia transitoria en deficiencia parcial; #hasExpectedValue: 0.30; #hasSource: Presente en contextos de descompensación[11][15];</t>
  </si>
  <si>
    <t>#BTD_Partial_Manif_Dermatitis_Incidence</t>
  </si>
  <si>
    <t>#hasDescription: Frecuencia de dermatitis en deficiencia parcial; #hasSource: Manifestación cutánea intermitente en 25%[4][7][11]; #hasExpectedValue: 0.25;</t>
  </si>
  <si>
    <t>#BTD_Partial_Manif_Hypotonia_Incidence</t>
  </si>
  <si>
    <t>#hasDescription: Hipotonía muscular transitoria; #hasExpectedValue: 0.10; #hasSource: Observada en 10% durante infecciones[4][11];</t>
  </si>
  <si>
    <t>#BTD_Partial_Manif_MetabolicAcidosis_Incidence</t>
  </si>
  <si>
    <t>#hasExpectedValue: 0.20; #hasSource: Reportado en crisis metabólicas agudas[4][9][15]; #hasDescription: Acidosis metabólica durante estrés;</t>
  </si>
  <si>
    <t>#BTD_Partial_Manif_OpticChanges_Incidence</t>
  </si>
  <si>
    <t>#hasExpectedValue: 0.40; #hasSource: Detectadas por OCT en 40% de casos[7][15]; #hasDescription: Alteraciones vasculares retinianas subclínicas;</t>
  </si>
  <si>
    <t>#BTD_Partial_Manif_Seizures_Incidence</t>
  </si>
  <si>
    <t>#hasExpectedValue: 0.15; #hasSource: Reportado en 15% de casos bajo estrés metabólico[4][9][11]; #hasDescription: Riesgo de convulsiones en deficiencia parcial no tratada;</t>
  </si>
  <si>
    <t>#BTD_Partial_Onset_Dermatitis</t>
  </si>
  <si>
    <t>#hasSource: 2 semanas tras desencadenante[11][15]; #hasDescription: Tiempo hasta manifestaciones cutáneas en estrés; #hasExpectedValue: 14;</t>
  </si>
  <si>
    <t>#BTD_Prevalence_Birth</t>
  </si>
  <si>
    <t>#hasExpectedValue: 0.0000167; #hasDescription: Prevalence at birth of biotinidase deficiency; #hasSource: Global incidence of approximately 1 in 60,000 births;</t>
  </si>
  <si>
    <t>#BTD_Profound_Proportion</t>
  </si>
  <si>
    <t>#hasDescription: Proportion of profound cases among all biotinidase deficiency cases;</t>
  </si>
  <si>
    <t>#BTD_Progression_Neuropathy</t>
  </si>
  <si>
    <t>#hasSource: 6 meses tras interrupción de biotina[1][4]; #hasExpectedValue: 180; #hasDescription: Tiempo hasta neuropatía periférica sintomática;</t>
  </si>
  <si>
    <t>#BTD_Progression_OpticAtrophy</t>
  </si>
  <si>
    <t>#hasDescription: Tiempo medio para atrofia óptica irreversible; #hasSource: Desarrollo en 5 años tras síntomas iniciales[2][7]; #hasExpectedValue: 60;</t>
  </si>
  <si>
    <t>#hasDescription: Sensitivity of the neonatal screening test for biotinidase deficiency; #hasExpectedValue: 0.999; #hasSource: Validación en plataformas automatizadas ChemWell-2[1][7];</t>
  </si>
  <si>
    <t>#hasExpectedValue: 0.998; #hasDescription: Specificity of the neonatal screening test for biotinidase deficiency; #hasSource: Estudios multicéntricos con 4.3 millones de muestras[4][8];</t>
  </si>
  <si>
    <t>#BTD_Stage_EarlyTreated_Profound_U</t>
  </si>
  <si>
    <t>#appliesOneTime: false; #hasDescription: Annual utility for early treated profound biotinidase deficiency;</t>
  </si>
  <si>
    <t>#BTD_Stage_LateTreated_Profound_U</t>
  </si>
  <si>
    <t>#hasDescription: Annual utility for late treated profound biotinidase deficiency; #appliesOneTime: false;</t>
  </si>
  <si>
    <t>#BTD_Stage_Partial</t>
  </si>
  <si>
    <t>#hasUtilityValue: #BTD_Stage_Partial_U; #hasEpidemiologicalParameter: #BTD_Partial_Manif_MetabolicAcidosis_Incidence; #hasEpidemiologicalParameter: #BTD_Partial_Manif_Alopecia_Incidence; #hasEpidemiologicalParameter: #BTD_Partial_Manif_Dermatitis_Incidence; 
#hasEpidemiologicalParameter: #BTD_Partial_Onset_Dermatitis; #hasEpidemiologicalParameter: #BTD_Partial_Manif_Seizures_Incidence;</t>
  </si>
  <si>
    <t>#hasDescription: Partial biotinidase deficiency, with enzyme activity between 10.1% and 30% of normal;</t>
  </si>
  <si>
    <t>#BTD_Stage_Partial_U</t>
  </si>
  <si>
    <t>#appliesOneTime: false; #hasDescription: Annual utility for untreated partial biotinidase deficiency;</t>
  </si>
  <si>
    <t>#BTD_Stage_Profound</t>
  </si>
  <si>
    <t>#hasManifestation: #BTD_Manif_Neurological_Hypotonia; #hasManifestation: #BTD_Manif_Metabolic_Acidosis; #hasEpidemiologicalParameter: #BTD_Manif_DevDelay_Incidence; #hasManifestation: #BTD_Manif_Chronic_PeripheralNeuropathy; #hasManifestation: #BTD_Manif_Neurological_DevDelay;
 #hasEpidemiologicalParameter: #BTD_Manif_Seizures_Incidence; #hasEpidemiologicalParameter: #BTD_Manif_Alopecia_Incidence; #hasManifestation: #BTD_Manif_Neurological_VisualProblems; #hasManifestation: #BTD_Manif_Acute_FlaccidParalysis; 
#hasManifestation: #BTD_Manif_Chronic_OpticAtrophy; #hasManifestation: #BTD_Manif_Cutaneous_Dermatitis; #hasUtilityValue: #BTD_Stage_Profound_U; #hasManifestation: #BTD_Manif_Acute_CornealOpacity; 
#hasEpidemiologicalParameter: #BTD_Manif_OpticAtrophy_Incidence; #hasOnsetTime: #BTD_Onset_Encephalopathy_Acute; #hasManifestation: #BTD_Manif_Neurological_Seizures; 
#hasManifestation: #BTD_Manif_Chronic_Myelopathy; #hasEpidemiologicalParameter: #BTD_Manif_MetabolicAcidosis_Incidence; #hasManifestation: #BTD_Manif_Cutaneous_Alopecia; 
#hasManifestation: #BTD_Manif_Neurological_HearingLoss; #hasManifestation: #BTD_Manif_Acute_Encephalopathy; #hasManifestation: #BTD_Manif_Neurological_Ataxia; #hasManifestation: #BTD_Manif_Acute_HighAnionGap;</t>
  </si>
  <si>
    <t>#hasDescription: Profound biotinidase deficiency, with enzyme activity ≤10% of normal;</t>
  </si>
  <si>
    <t>#BTD_Stage_Profound_U</t>
  </si>
  <si>
    <t>#hasDescription: Annual utility for untreated profound biotinidase deficiency; #appliesOneTime: false;</t>
  </si>
  <si>
    <t>#BTD_State_EarlyDetected_Treated</t>
  </si>
  <si>
    <t>#hasDescription: State of early detected and treated profound biotinidase deficiency;</t>
  </si>
  <si>
    <t>#BTD_State_EarlyTreated_Profound</t>
  </si>
  <si>
    <t>#hasUtilityValue: #BTD_State_EarlyTreated_U;</t>
  </si>
  <si>
    <t>#BTD_State_EarlyTreated_U</t>
  </si>
  <si>
    <t>#hasExpectedValue: 0.95; #hasDescription: Utilidad con diagnóstico temprano y tratamiento adecuado; #hasSource: Seguimiento de cohortes tratadas mediante cribado neonatal[2][19];</t>
  </si>
  <si>
    <t>#BTD_State_FalsePositive</t>
  </si>
  <si>
    <t>#hasDescription: State of individual incorrectly identified as having biotinidase deficiency;</t>
  </si>
  <si>
    <t>#BTD_State_LateDetected_Treated</t>
  </si>
  <si>
    <t>#hasDescription: State of late detected and treated profound biotinidase deficiency with irreversible sequelae;</t>
  </si>
  <si>
    <t>#BTD_State_Undetected</t>
  </si>
  <si>
    <t>#hasUtilityValue: #BTD_State_Undetected_U;</t>
  </si>
  <si>
    <t>#hasDescription: State of undetected profound biotinidase deficiency;</t>
  </si>
  <si>
    <t>#BTD_State_Undetected_U</t>
  </si>
  <si>
    <t>#hasSource: Comparación con enfermedades metabólicas no tratadas[7][19]; #hasExpectedValue: 0.60; #hasDescription: Utilidad base en deficiencia no detectada (sin tratamiento);</t>
  </si>
  <si>
    <t>#BTD_Transition_EarlyDetection</t>
  </si>
  <si>
    <t>#hasDescription: Probability of early detection through screening;</t>
  </si>
  <si>
    <t>#BTD_Transition_LateDetection</t>
  </si>
  <si>
    <t>#hasDescription: Probability of late detection through symptoms;</t>
  </si>
  <si>
    <t>#BTD_Transition_Time_Symptoms</t>
  </si>
  <si>
    <t>#hasDescription: Average time to symptom development in untreated profound biotinidase deficiency;</t>
  </si>
  <si>
    <t>#BTD_Treatment_Partial</t>
  </si>
  <si>
    <t>#appliesTo: #BTD_Stage_Partial; #hasTreatmentParameter: #BTD_Tx_Monitoring_Frequency;</t>
  </si>
  <si>
    <t>#hasDescription: Suplementación con biotina 1-5 mg/día, posible terapia intermitente; #hasSource: Enfoque individualizado según actividad enzimática residual[3][5];</t>
  </si>
  <si>
    <t>#BTD_Treatment_Profound</t>
  </si>
  <si>
    <t>#hasTreatmentParameter: #BTD_Tx_Profound_Dose; #hasTreatmentParameter: #BTD_Tx_Efficacy_Profound; #appliesTo: #BTD_Stage_Profound;</t>
  </si>
  <si>
    <t>#hasSource: Protocolos internacionales para deficiencia profunda[5][14]; #hasDescription: Suplementación oral de biotina 5-20 mg/día de por vida;</t>
  </si>
  <si>
    <t>#BTD_Tx_Efficacy_Profound</t>
  </si>
  <si>
    <t>#hasExpectedValue: 0.95; #hasDescription: Eficacia clínica en diagnóstico temprano;</t>
  </si>
  <si>
    <t>Define como eficacia, pero el valor no se corresponde con ninguna métrica usable</t>
  </si>
  <si>
    <t>#BTD_Tx_Monitoring_Frequency</t>
  </si>
  <si>
    <t>#hasUnit: meses; #hasExpectedValue: 3;</t>
  </si>
  <si>
    <t>#BTD_Tx_Profound_Dose</t>
  </si>
  <si>
    <t>#hasUnit: mg/día; #hasExpectedValue: 10;</t>
  </si>
  <si>
    <t>#DBP_Disease</t>
  </si>
  <si>
    <t>#hasStage: #DBP_Stage_Symptomatic; #hasStage: #DBP_Stage_Asymptomatic; #hasStage: #DBP_Stage_IrreversibleDamage;</t>
  </si>
  <si>
    <t>#hasRefToGARD: GARD:8869; #hasRefToORDO: Orphanet:47; #hasRefToOMIM: 253260; #hasRefToICD: E71.1; #hasRefToSNOMED: SNOMED:190667000;</t>
  </si>
  <si>
    <t>#DBP_Disease_Partial</t>
  </si>
  <si>
    <t>#DBP_Disease_Profound</t>
  </si>
  <si>
    <t>#DBP_Followup_Biochemical</t>
  </si>
  <si>
    <t>#componentOf: #DBP_Followup_Partial; #componentOf: #DBP_Followup_Profound;</t>
  </si>
  <si>
    <t>#hasSource: Biotinidase-Deficiency.pdf; #hasDescription: Controles bioquímicos periódicos: actividad biotinidasa en sangre, lactato, amonio, ácidos orgánicos en orina y niveles plasmáticos de biotina según disponibilidad, especialmente en los primeros años y ante dudas de adherencia.; #hasSource: 2011-Clinical_and_genetic_findings_in_patients_with_biotinidase_deficiency_detected_through_newb.pdf;</t>
  </si>
  <si>
    <t>No corresponde con nada de lo que aparece en la fuente</t>
  </si>
  <si>
    <t>#DBP_Followup_Hearing</t>
  </si>
  <si>
    <t>#componentOf: #DBP_Followup_Profound; #componentOf: #DBP_Followup_Partial;</t>
  </si>
  <si>
    <t>#hasSource: 2007-Audiologic_findings_in_children_with_biotinidase_deficiency_in_Turkey.pdf; #hasDescription: Evaluación audiológica inicial (potenciales evocados auditivos, audiometría) y seguimiento anual en deficiencia profunda, especialmente si hubo retraso diagnóstico o síntomas iniciales. Adaptación de audífonos e indicación de implante coclear según necesidad.; #hasSource: 2002-Hearing_loss_is_a_common_feature_of_symptomatic_children_with_profound_biotinidase_deficien.pdf;</t>
  </si>
  <si>
    <t>#DBP_Followup_Neurodevelopment</t>
  </si>
  <si>
    <t>#hasDescription: Evaluación del desarrollo psicomotor y cognitivo mediante escalas estandarizadas (Vineland, Griffith, Denver) al menos anual en deficiencia profunda, e intervención temprana si hay retrasos.; #hasSource: 2004-Outcome_in_patients_with_profound_biotinidase_deficiency_relevance_of_newborn_screening.pdf; #hasSource: 2003-Molecular_characterisation_and_neuropsychological_outcome_of_21_patients_with_profound_biot.pdf;</t>
  </si>
  <si>
    <t>#DBP_Followup_Partial</t>
  </si>
  <si>
    <t>#indicatedFor: #DBP_Disease_Partial;</t>
  </si>
  <si>
    <t>#hasDescription: Seguimiento clínico anual en pacientes con deficiencia parcial, centrado en la detección precoz de síntomas neurológicos o cutáneos, evaluación del desarrollo y refuerzo de la educación familiar sobre signos de alerta y uso de biotina en situaciones de estrés metabólico.; #hasSource: 2011-Clinical_and_genetic_findings_in_patients_with_biotinidase_deficiency_detected_through_newb.pdf;</t>
  </si>
  <si>
    <t>#DBP_Followup_Profound</t>
  </si>
  <si>
    <t>#indicatedFor: #DBP_Disease_Profound;</t>
  </si>
  <si>
    <t>#hasSource: 2011-Clinical_and_genetic_findings_in_patients_with_biotinidase_deficiency_detected_through_newb.pdf; #hasDescription: Seguimiento clínico periódico en pacientes con deficiencia profunda: controles trimestrales el primer año y cada 6-12 meses después, incluyendo evaluación neurológica, auditiva, visual, desarrollo psicomotor y adherencia al tratamiento con biotina.; #hasSource: 2004-Outcome_in_patients_with_profound_biotinidase_deficiency_relevance_of_newborn_screening.pdf;</t>
  </si>
  <si>
    <t>#DBP_Followup_Visual</t>
  </si>
  <si>
    <t>#hasDescription: Evaluación oftalmológica anual (fondo de ojo, potenciales evocados visuales) en deficiencia profunda, especialmente si hubo síntomas o retraso diagnóstico, para detectar atrofia óptica y deterioro visual.; #hasSource: Biotinidase-Deficiency.pdf;</t>
  </si>
  <si>
    <t>#DBP_Interv_BiotinTreatment_Acute</t>
  </si>
  <si>
    <t>#indicatedFor: #DBP_Stage_Symptomatic;</t>
  </si>
  <si>
    <t>#hasSource: 1999-Biotinidase_deficiency_a_treatable_genetic_disorder_in_the_Saudi_population.pdf; #hasDescription: Tratamiento agudo con biotina oral (10-30 mg/día) en pacientes con manifestaciones clínicas agudas o debut sintomático.;</t>
  </si>
  <si>
    <t>Mal identificado como intervención</t>
  </si>
  <si>
    <t>#DBP_Interv_BiotinTreatment_Partial</t>
  </si>
  <si>
    <t>#indicatedFor: #DBP_Stage_Asymptomatic;</t>
  </si>
  <si>
    <t>#hasSource: 2011-Clinical_and_genetic_findings_in_patients_with_biotinidase_deficiency_detected_through_newb.pdf; #hasDescription: Tratamiento preventivo o en situaciones de estrés metabólico con biotina oral a dosis de 5 mg/día en pacientes con deficiencia parcial.;</t>
  </si>
  <si>
    <t>#DBP_Interv_BiotinTreatment_Profound</t>
  </si>
  <si>
    <t>#indicatedFor: #DBP_Stage_Asymptomatic; #indicatedFor: #DBP_Stage_IrreversibleDamage; #indicatedFor: #DBP_Stage_Symptomatic;</t>
  </si>
  <si>
    <t>#hasSource: 2011-Clinical_and_genetic_findings_in_patients_with_biotinidase_deficiency_detected_through_newb.pdf; #hasDescription: Tratamiento farmacológico con biotina oral a dosis de 10-30 mg/día en pacientes con deficiencia profunda de biotinidasa.;</t>
  </si>
  <si>
    <t>#DBP_Interv_CochlearImplant</t>
  </si>
  <si>
    <t>#indicatedFor: #DBP_Manif_SensorineuralHearingLoss;</t>
  </si>
  <si>
    <t>#hasSource: 2007-Audiologic_findings_in_children_with_biotinidase_deficiency_in_Turkey.pdf; #hasDescription: Implante coclear en casos de sordera profunda no recuperable con audífonos.;</t>
  </si>
  <si>
    <t>#DBP_Interv_EnzymaticDiagnosis</t>
  </si>
  <si>
    <t>#indicatedFor: #DBP_Disease;</t>
  </si>
  <si>
    <t>#hasSource: Biotinidase-Deficiency.pdf; #hasDescription: Diagnóstico enzimático confirmatorio mediante determinación cuantitativa de la actividad biotinidasa en suero o sangre.;</t>
  </si>
  <si>
    <t>#DBP_Interv_GeneticDiagnosis</t>
  </si>
  <si>
    <t>#hasDescription: Diagnóstico molecular mediante secuenciación directa del gen BTD para identificar mutaciones causales.; #hasSource: 2011-Clinical_and_genetic_findings_in_patients_with_biotinidase_deficiency_detected_through_newb.pdf;</t>
  </si>
  <si>
    <t>#DBP_Interv_HearingAid</t>
  </si>
  <si>
    <t>#hasDescription: Adaptación de audífonos en pacientes con hipoacusia neurosensorial irreversible.; #hasSource: 2007-Audiologic_findings_in_children_with_biotinidase_deficiency_in_Turkey.pdf;</t>
  </si>
  <si>
    <t>#DBP_Interv_NewbornScreening</t>
  </si>
  <si>
    <t>#hasSource: 2011-Clinical_and_genetic_findings_in_patients_with_biotinidase_deficiency_detected_through_newb.pdf; #hasDescription: Cribado neonatal mediante medida de la actividad biotinidasa en sangre seca por ensayo enzimático o fluorimétrico semicuantitativo.;</t>
  </si>
  <si>
    <t>#DBP_Interv_SupportiveCare</t>
  </si>
  <si>
    <t>#indicatedFor: #DBP_Stage_IrreversibleDamage;</t>
  </si>
  <si>
    <t>#hasDescription: Cuidados de soporte: fisioterapia, logopedia, terapia ocupacional y apoyo nutricional en casos con secuelas neurológicas o motoras.; #hasSource: 2004-Outcome_in_patients_with_profound_biotinidase_deficiency_relevance_of_newborn_screening.pdf;</t>
  </si>
  <si>
    <t>#DBP_Manif_Alopecia</t>
  </si>
  <si>
    <t>#hasDescription: Alopecia parcial o total, a menudo asociada a dermatitis.; #hasDescription: Alopecia parcial o total, de aparición rápida, en ocasiones reversible con tratamiento.; #hasSource: 1999-Biotinidase_deficiency_a_treatable_genetic_disorder_in_the_Saudi_population.pdf; #hasSource: 2011-Clinical_and_genetic_findings_in_patients_with_biotinidase_deficiency_detected_through_newb.pdf;</t>
  </si>
  <si>
    <t>#DBP_Manif_Alopecia_OnsetAge</t>
  </si>
  <si>
    <t>#characterizes: #DBP_Manif_Alopecia;</t>
  </si>
  <si>
    <t>#hasDescription: Inicio en torno a los 2-3 meses de vida.; #hasSource: Biotinidase-Deficiency.pdf; #hasUnit: meses; #hasExpectedValue: 2.5;</t>
  </si>
  <si>
    <t>#DBP_Manif_Alopecia_Prob</t>
  </si>
  <si>
    <t>#hasSource: 1999-Biotinidase_deficiency_a_treatable_genetic_disorder_in_the_Saudi_population.pdf; #hasExpectedValue: 0.25;</t>
  </si>
  <si>
    <t>#DBP_Manif_Alopecia_U</t>
  </si>
  <si>
    <t>#hasExpectedValue: 0.90; #hasSource: Biotinidase-Deficiency.pdf; #hasDescription: Utilidad asociada a alopecia no cicatricial en la infancia, por analogía con modelos dermatológicos pediátricos.;</t>
  </si>
  <si>
    <t>#DBP_Manif_Ataxia</t>
  </si>
  <si>
    <t>#hasDescription: Ataxia y alteraciones de la coordinación motora, descritas en episodios agudos.; #hasSource: 2011-Clinical_and_genetic_findings_in_patients_with_biotinidase_deficiency_detected_through_newb.pdf; #hasDescription: Ataxia y alteraciones de la coordinación motora.;</t>
  </si>
  <si>
    <t>#DBP_Manif_Ataxia_OnsetAge</t>
  </si>
  <si>
    <t>#characterizes: #DBP_Manif_Ataxia;</t>
  </si>
  <si>
    <t>#hasExpectedValue: 3.0; #hasUnit: meses; #hasSource: Biotinidase-Deficiency.pdf; #hasDescription: Inicio en lactantes, generalmente a partir del tercer mes.;</t>
  </si>
  <si>
    <t>#DBP_Manif_Ataxia_Prob</t>
  </si>
  <si>
    <t>#hasSource: Biotinidase-Deficiency.pdf; #hasExpectedValue: 0.20;</t>
  </si>
  <si>
    <t>#DBP_Manif_Ataxia_U</t>
  </si>
  <si>
    <t>#hasSource: Biotinidase-Deficiency.pdf; #hasDescription: Utilidad estimada para ataxia leve-moderada, por analogía con ataxias hereditarias infantiles.; #hasExpectedValue: 0.75;</t>
  </si>
  <si>
    <t>#DBP_Manif_BrainAtrophy</t>
  </si>
  <si>
    <t>#hasDescription: Atrofia cerebral crónica, evidenciada por neuroimagen, asociada a retraso del desarrollo y discapacidad intelectual.; #hasSource: Biotinidase-Deficiency.pdf;</t>
  </si>
  <si>
    <t>#DBP_Manif_BreathingProblems</t>
  </si>
  <si>
    <t>#hasSource: 2004-Outcome_in_patients_with_profound_biotinidase_deficiency_relevance_of_newborn_screening.pdf; #hasDescription: Problemas respiratorios agudos, incluyendo hiperventilación y distrés respiratorio.;</t>
  </si>
  <si>
    <t>#DBP_Manif_Coma</t>
  </si>
  <si>
    <t>#hasSource: 2003-Molecular_characterisation_and_neuropsychological_outcome_of_21_patients_with_profound_biot.pdf; #hasSource: 1999-Biotinidase_deficiency_a_treatable_genetic_disorder_in_the_Saudi_population.pdf; #hasDescription: Coma secundario a descompensación metabólica grave.;</t>
  </si>
  <si>
    <t>#DBP_Manif_Coma_OnsetAge</t>
  </si>
  <si>
    <t>#characterizes: #DBP_Manif_Coma;</t>
  </si>
  <si>
    <t>#hasDescription: Coma por descompensación metabólica aguda, generalmente en los primeros 2-3 meses.; #hasExpectedValue: 2.0; #hasSource: Biotinidase-Deficiency.pdf; #hasUnit: meses;</t>
  </si>
  <si>
    <t>#DBP_Manif_Coma_Prob</t>
  </si>
  <si>
    <t>#hasSource: 1999-Biotinidase_deficiency_a_treatable_genetic_disorder_in_the_Saudi_population.pdf; #hasExpectedValue: 0.20;</t>
  </si>
  <si>
    <t>#DBP_Manif_Coma_U</t>
  </si>
  <si>
    <t>#hasExpectedValue: 0.10; #hasDescription: Utilidad asociada a estado de coma, por analogía con modelos de daño cerebral agudo.; #hasSource: Biotinidase-Deficiency.pdf;</t>
  </si>
  <si>
    <t>#DBP_Manif_Conjunctivitis</t>
  </si>
  <si>
    <t>#hasSource: 1993-Ophthalmologic_Findings_in_Biotinidase_Deficiency.pdf; #hasDescription: Conjuntivitis aguda, a menudo asociada a otras manifestaciones cutáneas.;</t>
  </si>
  <si>
    <t>#DBP_Manif_Death</t>
  </si>
  <si>
    <t>#hasDescription: Muerte secundaria a complicaciones neurológicas y metabólicas si no se instaura tratamiento.; #hasSource: 2011-Clinical_and_genetic_findings_in_patients_with_biotinidase_deficiency_detected_through_newb.pdf;</t>
  </si>
  <si>
    <t>#DBP_Manif_DevelopmentalDelay</t>
  </si>
  <si>
    <t>#hasDescription: Retraso global del desarrollo psicomotor y cognitivo, persistente tras episodios agudos y frecuente en diagnóstico tardío.; #hasDescription: Retraso global del desarrollo psicomotor y cognitivo, a menudo irreversible si el tratamiento es tardío.; #hasSource: 2003-Molecular_characterisation_and_neuropsychological_outcome_of_21_patients_with_profound_biot.pdf; #hasSource: 2011-Clinical_and_genetic_findings_in_patients_with_biotinidase_deficiency_detected_through_newb.pdf;</t>
  </si>
  <si>
    <t>#DBP_Manif_DevelopmentalDelay_OnsetAge</t>
  </si>
  <si>
    <t>#characterizes: #DBP_Manif_DevelopmentalDelay;</t>
  </si>
  <si>
    <t>#hasDescription: Retraso del desarrollo evidente a partir de los 6 meses en niños sintomáticos no tratados precozmente.; #hasUnit: meses; #hasSource: 2004-Outcome_in_patients_with_profound_biotinidase_deficiency_relevance_of_newborn_screening.pdf; #hasExpectedValue: 6.0;</t>
  </si>
  <si>
    <t>#DBP_Manif_DevelopmentalDelay_Prob</t>
  </si>
  <si>
    <t>#hasSource: 1999-Biotinidase_deficiency_a_treatable_genetic_disorder_in_the_Saudi_population.pdf; #hasExpectedValue: 0.70;</t>
  </si>
  <si>
    <t>#DBP_Manif_DevelopmentalDelay_U</t>
  </si>
  <si>
    <t>#hasExpectedValue: 0.60; #hasDescription: Utilidad estimada para retraso global del desarrollo psicomotor, por analogía con modelos de discapacidad intelectual leve-moderada.; #hasSource: 2004-Outcome_in_patients_with_profound_biotinidase_deficiency_relevance_of_newborn_screening.pdf;</t>
  </si>
  <si>
    <t>#DBP_Manif_Encephalopathy</t>
  </si>
  <si>
    <t>#hasSource: Biotinidase-Deficiency.pdf; #hasDescription: Encefalopatía progresiva, que puede llevar a coma y muerte si no se trata.; #hasDescription: Encefalopatía aguda, con alteración del nivel de conciencia y regresión neurológica.; #hasSource: 2011-Clinical_and_genetic_findings_in_patients_with_biotinidase_deficiency_detected_through_newb.pdf;</t>
  </si>
  <si>
    <t>#DBP_Manif_Encephalopathy_OnsetAge</t>
  </si>
  <si>
    <t>#characterizes: #DBP_Manif_Encephalopathy;</t>
  </si>
  <si>
    <t>#hasUnit: meses; #hasDescription: Inicio agudo, generalmente en el segundo o tercer mes de vida.; #hasSource: Biotinidase-Deficiency.pdf; #hasExpectedValue: 2.0;</t>
  </si>
  <si>
    <t>#DBP_Manif_Encephalopathy_Prob</t>
  </si>
  <si>
    <t>#hasExpectedValue: 0.20; #hasSource: Biotinidase-Deficiency.pdf;</t>
  </si>
  <si>
    <t>#DBP_Manif_Encephalopathy_U</t>
  </si>
  <si>
    <t>#hasSource: Biotinidase-Deficiency.pdf; #hasExpectedValue: 0.50; #hasDescription: Utilidad estimada para encefalopatía aguda grave, por analogía con encefalopatías metabólicas pediátricas.;</t>
  </si>
  <si>
    <t>#DBP_Manif_Hypotonia</t>
  </si>
  <si>
    <t>#hasSource: 1999-Biotinidase_deficiency_a_treatable_genetic_disorder_in_the_Saudi_population.pdf; #hasDescription: Hipotonía muscular generalizada, frecuente en lactantes afectados.; #hasDescription: Hipotonía muscular generalizada, presente en lactantes afectados.; #hasSource: 2003-Molecular_characterisation_and_neuropsychological_outcome_of_21_patients_with_profound_biot.pdf;</t>
  </si>
  <si>
    <t>#DBP_Manif_Hypotonia_OnsetAge</t>
  </si>
  <si>
    <t>#characterizes: #DBP_Manif_Hypotonia;</t>
  </si>
  <si>
    <t>#hasUnit: meses; #hasDescription: Inicio típico en los primeros 2-3 meses de vida.; #hasExpectedValue: 2.0; #hasSource: Biotinidase-Deficiency.pdf;</t>
  </si>
  <si>
    <t>#DBP_Manif_Hypotonia_Prob</t>
  </si>
  <si>
    <t>#hasExpectedValue: 0.65; #hasSource: 1999-Biotinidase_deficiency_a_treatable_genetic_disorder_in_the_Saudi_population.pdf;</t>
  </si>
  <si>
    <t>#DBP_Manif_Hypotonia_U</t>
  </si>
  <si>
    <t>#hasExpectedValue: 0.80; #hasSource: Biotinidase-Deficiency.pdf; #hasDescription: Utilidad estimada para hipotonía sin discapacidad motora relevante, basada en modelos de parálisis cerebral leve.;</t>
  </si>
  <si>
    <t>#DBP_Manif_IntellectualDisability</t>
  </si>
  <si>
    <t>#hasSource: 2009-Diagnosis_treatment_follow-up_and_gene_mutation_analysis_in_four_Chinese_children_with_biot.pdf; #hasDescription: Discapacidad intelectual de grado variable, que puede ser consecuencia de daño neurológico irreversible.;</t>
  </si>
  <si>
    <t>#DBP_Manif_IntellectualDisability_OnsetAge</t>
  </si>
  <si>
    <t>#characterizes: #DBP_Manif_IntellectualDisability;</t>
  </si>
  <si>
    <t>#hasSource: 2003-Molecular_characterisation_and_neuropsychological_outcome_of_21_patients_with_profound_biot.pdf; #hasDescription: Discapacidad intelectual manifiesta a partir del segundo año de vida, tras daño neurológico irreversible.; #hasUnit: meses; #hasExpectedValue: 24.0;</t>
  </si>
  <si>
    <t>#DBP_Manif_IntellectualDisability_Prob</t>
  </si>
  <si>
    <t>#hasExpectedValue: 0.15; #hasSource: 2003-Molecular_characterisation_and_neuropsychological_outcome_of_21_patients_with_profound_biot.pdf;</t>
  </si>
  <si>
    <t>#DBP_Manif_IntellectualDisability_U</t>
  </si>
  <si>
    <t>#hasDescription: Utilidad asociada a discapacidad intelectual moderada, por analogía con modelos de discapacidad intelectual infantil.; #hasSource: 2004-Outcome_in_patients_with_profound_biotinidase_deficiency_relevance_of_newborn_screening.pdf; #hasExpectedValue: 0.50;</t>
  </si>
  <si>
    <t>#DBP_Manif_LanguageDisorder</t>
  </si>
  <si>
    <t>#hasSource: 2007-Audiologic_findings_in_children_with_biotinidase_deficiency_in_Turkey.pdf; #hasDescription: Trastorno persistente del lenguaje y la comunicación, asociado a hipoacusia y discapacidad intelectual.;</t>
  </si>
  <si>
    <t>#DBP_Manif_LanguageDisorder_OnsetAge</t>
  </si>
  <si>
    <t>#characterizes: #DBP_Manif_LanguageDisorder;</t>
  </si>
  <si>
    <t>#hasSource: 2004-Outcome_in_patients_with_profound_biotinidase_deficiency_relevance_of_newborn_screening.pdf; #hasExpectedValue: 24.0; #hasUnit: meses; #hasDescription: Trastorno del lenguaje suele evidenciarse tras los dos años, asociado a sordera o discapacidad intelectual.;</t>
  </si>
  <si>
    <t>#DBP_Manif_LanguageDisorder_Prob</t>
  </si>
  <si>
    <t>#hasSource: 2004-Outcome_in_patients_with_profound_biotinidase_deficiency_relevance_of_newborn_screening.pdf; #hasExpectedValue: 0.20;</t>
  </si>
  <si>
    <t>#DBP_Manif_LanguageDisorder_U</t>
  </si>
  <si>
    <t>#hasExpectedValue: 0.75; #hasDescription: Utilidad asociada a trastorno del lenguaje en la infancia, por analogía con modelos de trastorno del desarrollo del lenguaje.; #hasSource: 2004-Outcome_in_patients_with_profound_biotinidase_deficiency_relevance_of_newborn_screening.pdf;</t>
  </si>
  <si>
    <t>#DBP_Manif_MetabolicAcidosis</t>
  </si>
  <si>
    <t>#hasSource: 2003-Molecular_characterisation_and_neuropsychological_outcome_of_21_patients_with_profound_biot.pdf; #hasDescription: Acidosis metabólica, con elevación de lactato y otros ácidos orgánicos en sangre y orina.; #hasSource: 2011-Clinical_and_genetic_findings_in_patients_with_biotinidase_deficiency_detected_through_newb.pdf; #hasDescription: Acidosis metabólica aguda, con elevación de lactato y otros ácidos orgánicos en sangre y orina.;</t>
  </si>
  <si>
    <t>#DBP_Manif_MetabolicAcidosis_OnsetAge</t>
  </si>
  <si>
    <t>#characterizes: #DBP_Manif_MetabolicAcidosis;</t>
  </si>
  <si>
    <t>#hasDescription: Inicio agudo en los primeros meses de vida, frecuentemente en el segundo mes.; #hasSource: Biotinidase-Deficiency.pdf; #hasUnit: meses; #hasExpectedValue: 1.5;</t>
  </si>
  <si>
    <t>#DBP_Manif_MetabolicAcidosis_Prob</t>
  </si>
  <si>
    <t>#hasSource: 1999-Biotinidase_deficiency_a_treatable_genetic_disorder_in_the_Saudi_population.pdf; #hasExpectedValue: 0.60;</t>
  </si>
  <si>
    <t>#DBP_Manif_MetabolicAcidosis_U</t>
  </si>
  <si>
    <t>#hasSource: Biotinidase-Deficiency.pdf; #hasExpectedValue: 0.70; #hasDescription: Utilidad estimada para episodios de acidosis metabólica aguda, por analogía con crisis metabólicas en errores innatos del metabolismo.;</t>
  </si>
  <si>
    <t>#DBP_Manif_MotorDisability</t>
  </si>
  <si>
    <t>#hasSource: Biotinidase-Deficiency.pdf; #hasDescription: Discapacidad motora persistente, con afectación de la marcha y la coordinación motora fina y gruesa.;</t>
  </si>
  <si>
    <t>#DBP_Manif_MotorDisability_OnsetAge</t>
  </si>
  <si>
    <t>#characterizes: #DBP_Manif_MotorDisability;</t>
  </si>
  <si>
    <t>#hasExpectedValue: 12.0; #hasSource: 2004-Outcome_in_patients_with_profound_biotinidase_deficiency_relevance_of_newborn_screening.pdf; #hasDescription: Discapacidad motora crónica, tras retraso del desarrollo o daño neurológico, suele ser evidente tras el primer año.; #hasUnit: meses;</t>
  </si>
  <si>
    <t>#DBP_Manif_MotorDisability_Prob</t>
  </si>
  <si>
    <t>#hasExpectedValue: 0.10; #hasSource: Biotinidase-Deficiency.pdf;</t>
  </si>
  <si>
    <t>#DBP_Manif_MotorDisability_U</t>
  </si>
  <si>
    <t>#hasSource: Biotinidase-Deficiency.pdf; #hasDescription: Utilidad asociada a discapacidad motora moderada, por analogía con modelos de discapacidad motora infantil.; #hasExpectedValue: 0.60;</t>
  </si>
  <si>
    <t>#DBP_Manif_OpticAtrophy</t>
  </si>
  <si>
    <t>#hasDescription: Atrofia óptica, con pérdida visual permanente y progresiva, que no suele revertir con tratamiento.; #hasDescription: Atrofia óptica, con pérdida visual permanente en casos avanzados.; #hasSource: 1993-Ophthalmologic_Findings_in_Biotinidase_Deficiency.pdf; #hasSource: 2011-Clinical_and_genetic_findings_in_patients_with_biotinidase_deficiency_detected_through_newb.pdf;</t>
  </si>
  <si>
    <t>#DBP_Manif_OpticAtrophy_OnsetAge</t>
  </si>
  <si>
    <t>#characterizes: #DBP_Manif_OpticAtrophy;</t>
  </si>
  <si>
    <t>#hasDescription: Atrofia óptica aparece como secuela crónica, generalmente tras el primer año de vida.; #hasSource: 1993-Ophthalmologic_Findings_in_Biotinidase_Deficiency.pdf; #hasExpectedValue: 12.0; #hasUnit: meses;</t>
  </si>
  <si>
    <t>#DBP_Manif_OpticAtrophy_Prob</t>
  </si>
  <si>
    <t>#hasExpectedValue: 0.20; #hasSource: 1999-Biotinidase_deficiency_a_treatable_genetic_disorder_in_the_Saudi_population.pdf;</t>
  </si>
  <si>
    <t>#DBP_Manif_OpticAtrophy_U</t>
  </si>
  <si>
    <t>#hasDescription: Utilidad asociada a atrofia óptica y pérdida visual moderada, por analogía con modelos de discapacidad visual infantil.; #hasExpectedValue: 0.70; #hasSource: 1993-Ophthalmologic_Findings_in_Biotinidase_Deficiency.pdf;</t>
  </si>
  <si>
    <t>#DBP_Manif_Seizures</t>
  </si>
  <si>
    <t>#hasSource: 2011-Clinical_and_genetic_findings_in_patients_with_biotinidase_deficiency_detected_through_newb.pdf; #hasDescription: Convulsiones de inicio temprano, a menudo refractarias, que pueden remitir con tratamiento precoz con biotina.; #hasDescription: Convulsiones de inicio temprano, a menudo mioclónicas y refractarias a tratamiento convencional; pueden remitir con biotina.;</t>
  </si>
  <si>
    <t>#DBP_Manif_Seizures_OnsetAge</t>
  </si>
  <si>
    <t>#characterizes: #DBP_Manif_Seizures;</t>
  </si>
  <si>
    <t>#hasExpectedValue: 1.5; #hasDescription: Edad media de inicio de convulsiones en formas profundas no tratadas: 1-3 meses (rango: 1 semana a 5 meses).; #hasUnit: meses; #hasSource: Biotinidase-Deficiency.pdf;</t>
  </si>
  <si>
    <t>#DBP_Manif_Seizures_Prob</t>
  </si>
  <si>
    <t>#hasExpectedValue: 0.55; #hasSource: 1999-Biotinidase_deficiency_a_treatable_genetic_disorder_in_the_Saudi_population.pdf;</t>
  </si>
  <si>
    <t>#DBP_Manif_Seizures_U</t>
  </si>
  <si>
    <t>#hasSource: 2011-Clinical_and_genetic_findings_in_patients_with_biotinidase_deficiency_detected_through_newb.pdf; #hasDescription: Utilidad asociada a epilepsia activa en la infancia, estimada por analogía con modelos de coste-utilidad en epilepsia pediátrica.; #hasExpectedValue: 0.60;</t>
  </si>
  <si>
    <t>#DBP_Manif_SensorineuralHearingLoss</t>
  </si>
  <si>
    <t>#hasSource: 2002-Hearing_loss_is_a_common_feature_of_symptomatic_children_with_profound_biotinidase_deficien.pdf; #hasSource: 2007-Audiologic_findings_in_children_with_biotinidase_deficiency_in_Turkey.pdf; #hasDescription: Pérdida auditiva neurosensorial, generalmente irreversible incluso tras tratamiento, de grado variable de moderada a profunda.; #hasDescription: Pérdida auditiva neurosensorial, irreversible en la mayoría de los casos sintomáticos no tratados precozmente.;</t>
  </si>
  <si>
    <t>#DBP_Manif_SensorineuralHearingLoss_OnsetAge</t>
  </si>
  <si>
    <t>#characterizes: #DBP_Manif_SensorineuralHearingLoss;</t>
  </si>
  <si>
    <t>#hasUnit: meses; #hasSource: 2007-Audiologic_findings_in_children_with_biotinidase_deficiency_in_Turkey.pdf; #hasExpectedValue: 7.0; #hasDescription: Pérdida auditiva neurosensorial suele aparecer tras varios meses de síntomas, media de inicio 7 meses (rango 3-18 meses).;</t>
  </si>
  <si>
    <t>#DBP_Manif_SensorineuralHearingLoss_Prob</t>
  </si>
  <si>
    <t>#hasSource: 2007-Audiologic_findings_in_children_with_biotinidase_deficiency_in_Turkey.pdf; #hasExpectedValue: 0.55;</t>
  </si>
  <si>
    <t>#DBP_Manif_SensorineuralHearingLoss_U</t>
  </si>
  <si>
    <t>#hasDescription: Utilidad asociada a sordera neurosensorial infantil, por analogía con modelos de sordera congénita.; #hasExpectedValue: 0.65; #hasSource: 2007-Audiologic_findings_in_children_with_biotinidase_deficiency_in_Turkey.pdf;</t>
  </si>
  <si>
    <t>#DBP_Manif_SkinRash</t>
  </si>
  <si>
    <t>#hasDescription: Erupción cutánea, dermatitis seborreica o atópica, lesiones periorales exudativas.; #hasDescription: Erupción cutánea aguda, eccema o dermatitis seborreica, a menudo perioral y exudativa.; #hasSource: 2011-Clinical_and_genetic_findings_in_patients_with_biotinidase_deficiency_detected_through_newb.pdf; #hasSource: Biotinidase-Deficiency.pdf;</t>
  </si>
  <si>
    <t>#DBP_Manif_SkinRash_OnsetAge</t>
  </si>
  <si>
    <t>#characterizes: #DBP_Manif_SkinRash;</t>
  </si>
  <si>
    <t>#hasDescription: Inicio típico entre el primer y segundo mes de vida.; #hasSource: Biotinidase-Deficiency.pdf; #hasUnit: meses; #hasExpectedValue: 2.0;</t>
  </si>
  <si>
    <t>#DBP_Manif_SkinRash_Prob</t>
  </si>
  <si>
    <t>#DBP_Manif_SkinRash_U</t>
  </si>
  <si>
    <t>#hasSource: Biotinidase-Deficiency.pdf; #hasDescription: Utilidad asociada a dermatitis leve-moderada, por analogía con modelos de dermatitis atópica.; #hasExpectedValue: 0.95;</t>
  </si>
  <si>
    <t>#DBP_Manif_SpasticTetraplegia</t>
  </si>
  <si>
    <t>#hasSource: Biotinidase-Deficiency.pdf; #hasDescription: Tetraplejía espástica secundaria a daño cerebral crónico, descrita en casos de diagnóstico y tratamiento tardíos.;</t>
  </si>
  <si>
    <t>#DBP_Manif_SpasticTetraplegia_OnsetAge</t>
  </si>
  <si>
    <t>#characterizes: #DBP_Manif_SpasticTetraplegia;</t>
  </si>
  <si>
    <t>#hasSource: Biotinidase-Deficiency.pdf; #hasDescription: Tetraplejía espástica crónica, tras daño cerebral prolongado, suele manifestarse a partir del segundo año.; #hasUnit: meses; #hasExpectedValue: 24.0;</t>
  </si>
  <si>
    <t>#DBP_Manif_SpasticTetraplegia_Prob</t>
  </si>
  <si>
    <t>#hasSource: Biotinidase-Deficiency.pdf; #hasExpectedValue: 0.10;</t>
  </si>
  <si>
    <t>#DBP_Manif_SpasticTetraplegia_U</t>
  </si>
  <si>
    <t>#hasExpectedValue: 0.40; #hasSource: Biotinidase-Deficiency.pdf; #hasDescription: Utilidad asociada a tetraplejía espástica infantil, por analogía con modelos de parálisis cerebral grave.;</t>
  </si>
  <si>
    <t>#DBP_Manif_VisualImpairment</t>
  </si>
  <si>
    <t>#hasSource: 1993-Ophthalmologic_Findings_in_Biotinidase_Deficiency.pdf; #hasDescription: Deterioro visual persistente, incluyendo ceguera, fotofobia y alteraciones del campo visual.;</t>
  </si>
  <si>
    <t>#DBP_Manif_VisualImpairment_OnsetAge</t>
  </si>
  <si>
    <t>#characterizes: #DBP_Manif_VisualImpairment;</t>
  </si>
  <si>
    <t>#hasSource: 1993-Ophthalmologic_Findings_in_Biotinidase_Deficiency.pdf; #hasDescription: Deterioro visual severo suele aparecer tras daño óptico crónico, a partir del segundo año de vida.; #hasUnit: meses; #hasExpectedValue: 18.0;</t>
  </si>
  <si>
    <t>#DBP_Manif_VisualImpairment_Prob</t>
  </si>
  <si>
    <t>#hasExpectedValue: 0.10; #hasSource: 1993-Ophthalmologic_Findings_in_Biotinidase_Deficiency.pdf;</t>
  </si>
  <si>
    <t>#DBP_Manif_VisualImpairment_U</t>
  </si>
  <si>
    <t>#hasDescription: Utilidad asociada a discapacidad visual grave, por analogía con modelos de ceguera infantil.; #hasExpectedValue: 0.60; #hasSource: 1993-Ophthalmologic_Findings_in_Biotinidase_Deficiency.pdf;</t>
  </si>
  <si>
    <t>#DBP_Manif_Vomiting</t>
  </si>
  <si>
    <t>#hasDescription: Vómitos recurrentes, asociados a episodios agudos de descompensación metabólica.; #hasSource: 2011-Clinical_and_genetic_findings_in_patients_with_biotinidase_deficiency_detected_through_newb.pdf;</t>
  </si>
  <si>
    <t>#DBP_Manif_WhiteMatterAbnormalities</t>
  </si>
  <si>
    <t>#hasSource: Biotinidase-Deficiency.pdf; #hasDescription: Alteraciones crónicas de la sustancia blanca cerebral, incluyendo desmielinización y leucoencefalopatía.;</t>
  </si>
  <si>
    <t>#DBP_Stage_Asymptomatic</t>
  </si>
  <si>
    <t>#hasDescription: Fase presintomática, habitual en recién nacidos antes de la aparición de síntomas clínicos.;</t>
  </si>
  <si>
    <t>#DBP_Stage_Asymptomatic_PrevalenceAtBirth</t>
  </si>
  <si>
    <t>#characterizes: #DBP_Stage_Asymptomatic;</t>
  </si>
  <si>
    <t>#hasYear: 2011; #hasDescription: Prevalencia al nacimiento de la deficiencia profunda de biotinidasa en estadio asintomático (todos los casos detectados por cribado neonatal).; #hasSource: 2011-Clinical_and_genetic_findings_in_patients_with_biotinidase_deficiency_detected_through_newb.pdf; #hasExpectedValue: 0.0000114;</t>
  </si>
  <si>
    <t>#DBP_Stage_IrreversibleDamage</t>
  </si>
  <si>
    <t>#hasManifestation: #DBP_Manif_DevelopmentalDelay; #hasManifestation: #DBP_Manif_Coma; #hasManifestation: #DBP_Manif_SensorineuralHearingLoss; #hasManifestation: #DBP_Manif_OpticAtrophy; #hasManifestation: #DBP_Manif_Death;</t>
  </si>
  <si>
    <t>#hasDescription: Fase de daño irreversible, con secuelas neurosensoriales (sordera, ceguera, discapacidad intelectual) permanentes.;</t>
  </si>
  <si>
    <t>#DBP_Stage_IrreversibleDamage_PrevalenceAtBirth</t>
  </si>
  <si>
    <t>#characterizes: #DBP_Stage_IrreversibleDamage;</t>
  </si>
  <si>
    <t>#hasDescription: Prevalencia al nacimiento de la deficiencia profunda de biotinidasa en estadio de daño irreversible. Este estadio no se observa al nacimiento en presencia de cribado neonatal.; #hasSource: 2011-Clinical_and_genetic_findings_in_patients_with_biotinidase_deficiency_detected_through_newb.pdf; #hasYear: 2011; #hasExpectedValue: 0.0;</t>
  </si>
  <si>
    <t>#DBP_Stage_Symptomatic</t>
  </si>
  <si>
    <t>#hasManifestation: #DBP_Manif_MetabolicAcidosis; #hasManifestation: #DBP_Manif_Ataxia; #hasManifestation: #DBP_Manif_SkinRash; #hasManifestation: #DBP_Manif_Seizures; #hasManifestation: #DBP_Manif_Encephalopathy; #hasManifestation: #DBP_Manif_Alopecia; #hasManifestation: #DBP_Manif_Hypotonia;</t>
  </si>
  <si>
    <t>#hasDescription: Fase sintomática, caracterizada por la aparición de manifestaciones neurológicas, cutáneas y metabólicas agudas.;</t>
  </si>
  <si>
    <t>#DBP_Stage_Symptomatic_PrevalenceAtBirth</t>
  </si>
  <si>
    <t>#characterizes: #DBP_Stage_Symptomatic;</t>
  </si>
  <si>
    <t>#hasDescription: Prevalencia al nacimiento de la deficiencia profunda de biotinidasa en estadio sintomático. Los casos sintomáticos solo aparecen si no existe cribado neonatal o en países sin programa de cribado.; #hasExpectedValue: 0.0; #hasYear: 2011; #hasSource: 2011-Clinical_and_genetic_findings_in_patients_with_biotinidase_deficiency_detected_through_newb.pdf;</t>
  </si>
  <si>
    <t>#DBP_Tx_Partial_Biotin</t>
  </si>
  <si>
    <t>#hasDescription: En pacientes con deficiencia parcial de biotinidasa, se recomienda biotina oral a dosis de 5 mg/día en situaciones de estrés metabólico, aunque la mayoría permanecen asintomáticos sin tratamiento crónico.; #hasSource: 2011-Clinical_and_genetic_findings_in_patients_with_biotinidase_deficiency_detected_through_newb.pdf;</t>
  </si>
  <si>
    <t>#DBP_Tx_Partial_Stress</t>
  </si>
  <si>
    <t>#hasDescription: En deficiencia parcial, administración de biotina 5 mg/día sólo en situaciones de fiebre, infecciones o estrés metabólico. Algunos autores recomiendan 5 mg/semana como profilaxis.; #hasSource: 2011-Clinical_and_genetic_findings_in_patients_with_biotinidase_deficiency_detected_through_newb.pdf;</t>
  </si>
  <si>
    <t>#DBP_Tx_Profound_Acute</t>
  </si>
  <si>
    <t>#hasSource: 2009-Diagnosis_treatment_follow-up_and_gene_mutation_analysis_in_four_Chinese_children_with_biotinidase_deficiency.pdf; #hasDescription: En situaciones agudas (debut sintomático, crisis metabólica), administración de biotina oral a dosis de 10-30 mg/día, asociada a dieta baja en proteínas y L-carnitina según necesidad clínica.;</t>
  </si>
  <si>
    <t>#DBP_Tx_Profound_Biotin</t>
  </si>
  <si>
    <t>#hasSource: 2009-Diagnosis_treatment_follow-up_and_gene_mutation_analysis_in_four_Chinese_children_with_biotinidase_deficiency.pdf; #hasSource: 2011-Clinical_and_genetic_findings_in_patients_with_biotinidase_deficiency_detected_through_newb.pdf; #hasDescription: Tratamiento crónico con biotina oral a dosis de 10-30 mg/día en pacientes con deficiencia profunda de biotinidasa, iniciado precozmente y mantenido de por vida.; #hasSource: 1999-Biotinidase_deficiency_a_treatable_genetic_disorder_in_the_Saudi_population.pdf;</t>
  </si>
  <si>
    <t>#DBP_Tx_Supportive</t>
  </si>
  <si>
    <t>#indicatedFor: #DBP_Disease_Profound; #indicatedFor: #DBP_Disease_Partial;</t>
  </si>
  <si>
    <t>#hasDescription: Tratamiento de soporte: fisioterapia, logopedia, terapia ocupacional y ayudas técnicas en caso de secuelas neurológicas, auditivas o motoras.; #hasSource: 2004-Outcome_in_patients_with_profound_biotinidase_deficiency_relevance_of_newborn_screening.pdf;</t>
  </si>
  <si>
    <t>#DBPp_Manif_Alopecia_Prob</t>
  </si>
  <si>
    <t>#hasSource: 2011-Clinical_and_genetic_findings_in_patients_with_biotinidase_deficiency_detected_through_newb.pdf; #hasExpectedValue: 0.00;</t>
  </si>
  <si>
    <t>#DBPp_Manif_Ataxia_Prob</t>
  </si>
  <si>
    <t>#hasExpectedValue: 0.00; #hasSource: 2011-Clinical_and_genetic_findings_in_patients_with_biotinidase_deficiency_detected_through_newb.pdf;</t>
  </si>
  <si>
    <t>#DBPp_Manif_Coma_Prob</t>
  </si>
  <si>
    <t>#DBPp_Manif_DevelopmentalDelay_Prob</t>
  </si>
  <si>
    <t>#DBPp_Manif_Encephalopathy_Prob</t>
  </si>
  <si>
    <t>#DBPp_Manif_Hypotonia_Prob</t>
  </si>
  <si>
    <t>#DBPp_Manif_IntellectualDisability_Prob</t>
  </si>
  <si>
    <t>#DBPp_Manif_LanguageDisorder_Prob</t>
  </si>
  <si>
    <t>#DBPp_Manif_MetabolicAcidosis_Prob</t>
  </si>
  <si>
    <t>#DBPp_Manif_MotorDisability_Prob</t>
  </si>
  <si>
    <t>#DBPp_Manif_OpticAtrophy_Prob</t>
  </si>
  <si>
    <t>#DBPp_Manif_Seizures_Prob</t>
  </si>
  <si>
    <t>#hasExpectedValue: 0.05; #hasSource: 2011-Clinical_and_genetic_findings_in_patients_with_biotinidase_deficiency_detected_through_newb.pdf; #hasDescription: Solo 1 de 10 pacientes con deficiencia parcial desarrolló convulsiones, que remitieron con biotina.;</t>
  </si>
  <si>
    <t>#DBPp_Manif_SensorineuralHearingLoss_Prob</t>
  </si>
  <si>
    <t>#DBPp_Manif_SkinRash_Prob</t>
  </si>
  <si>
    <t>#DBPp_Manif_SpasticTetraplegia_Prob</t>
  </si>
  <si>
    <t>#DBPp_Manif_VisualImpairment_Prob</t>
  </si>
  <si>
    <t>#Biotin</t>
  </si>
  <si>
    <t>#hasDescription: Vitamina B7 utilizada como tratamiento sustitutivo en las deficiencias de biotinidasa.; #hasSource: Wolf B. Int J Neonatal Screen. 2022;8(2):28. doi:10.3390/ijns8020028; #hasDescription: Vitamina B7 utilizada en el tratamiento de la deficiencia de biotinidasa.; #hasName: Biotina;</t>
  </si>
  <si>
    <t>#DPBPartial_Prob_Alopecia</t>
  </si>
  <si>
    <t>#isParameterOfManifestation: #DPB_Acute_Alopecia; #hasDataItemType: #IRIDIProbability;</t>
  </si>
  <si>
    <t>#hasExpectedValue: 0.01; #hasSource: Wolf B. Int J Neonatal Screen. 2022;8(2):28. PMID: 35631385; PMID: 2295967[3][6]; #hasDescription: Probabilidad de aparición de alopecia en la deficiencia parcial de biotinidasa sin tratamiento. Extremadamente infrecuente.; #isTrueEpidemiologicalParameterEstimate: true;</t>
  </si>
  <si>
    <t>#DPBPartial_Prob_Ataxia</t>
  </si>
  <si>
    <t>#isParameterOfManifestation: #DPB_Acute_Ataxia; #hasDataItemType: #IRIDIProbability;</t>
  </si>
  <si>
    <t>#hasDescription: Probabilidad de aparición de ataxia en la deficiencia parcial de biotinidasa sin tratamiento. Muy rara.; #hasSource: Wolf B. Int J Neonatal Screen. 2022;8(2):28. PMID: 35631385; PMID: 2295967[3][6]; #hasExpectedValue: 0.01; #isTrueEpidemiologicalParameterEstimate: true;</t>
  </si>
  <si>
    <t>#DPBPartial_Prob_Dermatitis</t>
  </si>
  <si>
    <t>#isParameterOfManifestation: #DPB_Acute_Dermatitis; #hasDataItemType: #IRIDIProbability;</t>
  </si>
  <si>
    <t>#isTrueEpidemiologicalParameterEstimate: true; #hasExpectedValue: 0.02; #hasDescription: Probabilidad de aparición de dermatitis en la deficiencia parcial de biotinidasa sin tratamiento. Muy rara, generalmente leve.; #hasSource: Wolf B. Int J Neonatal Screen. 2022;8(2):28. PMID: 35631385; PMID: 2295967[3][6];</t>
  </si>
  <si>
    <t>#DPBPartial_Prob_DevelopmentalDelay</t>
  </si>
  <si>
    <t>#isParameterOfManifestation: #DPB_Chronic_DevelopmentalDelay; #hasDataItemType: #IRIDIProbability;</t>
  </si>
  <si>
    <t>#hasExpectedValue: 0.01; #isTrueEpidemiologicalParameterEstimate: true; #hasSource: Wolf B. Int J Neonatal Screen. 2022;8(2):28. PMID: 35631385; PMID: 2295967[3][6]; #hasDescription: Probabilidad de aparición de retraso global del desarrollo en la deficiencia parcial de biotinidasa sin tratamiento. Muy rara.;</t>
  </si>
  <si>
    <t>#DPBPartial_Prob_HearingLoss</t>
  </si>
  <si>
    <t>#hasDataItemType: #IRIDIProbability; #isParameterOfManifestation: #DPB_Chronic_HearingLoss;</t>
  </si>
  <si>
    <t>#isTrueEpidemiologicalParameterEstimate: true; #hasSource: Wolf B. Int J Neonatal Screen. 2022;8(2):28. PMID: 35631385; PMID: 2295967[3][6]; #hasExpectedValue: 0.01; #hasDescription: Probabilidad de aparición de pérdida auditiva neurosensorial irreversible en la deficiencia parcial de biotinidasa sin tratamiento. Muy rara.;</t>
  </si>
  <si>
    <t>#DPBPartial_Prob_Hypotonia</t>
  </si>
  <si>
    <t>#hasDataItemType: #IRIDIProbability; #isParameterOfManifestation: #DPB_Acute_Hypotonia;</t>
  </si>
  <si>
    <t>#isTrueEpidemiologicalParameterEstimate: true; #hasDescription: Probabilidad de aparición de hipotonía en la deficiencia parcial de biotinidasa sin tratamiento. Extremadamente infrecuente.; #hasSource: Wolf B. Int J Neonatal Screen. 2022;8(2):28. PMID: 35631385; PMID: 2295967[3][6]; #hasExpectedValue: 0.01;</t>
  </si>
  <si>
    <t>#DPBPartial_Prob_MetabolicAcidosis</t>
  </si>
  <si>
    <t>#hasDataItemType: #IRIDIProbability; #isParameterOfManifestation: #DPB_Acute_MetabolicAcidosis;</t>
  </si>
  <si>
    <t>#hasExpectedValue: 0.01; #hasDescription: Probabilidad de aparición de acidosis metabólica en la deficiencia parcial de biotinidasa sin tratamiento. Extremadamente rara.; #hasSource: Wolf B. Int J Neonatal Screen. 2022;8(2):28. PMID: 35631385; PMID: 2295967[3][6]; #isTrueEpidemiologicalParameterEstimate: true;</t>
  </si>
  <si>
    <t>#DPBPartial_Prob_Seizures</t>
  </si>
  <si>
    <t>#isParameterOfManifestation: #DPB_Acute_Seizures; #hasDataItemType: #IRIDIProbability;</t>
  </si>
  <si>
    <t>#hasDescription: Probabilidad de aparición de crisis convulsivas en la deficiencia parcial de biotinidasa sin tratamiento. Muy rara, generalmente asociada a factores estresantes.; #hasExpectedValue: 0.02; #isTrueEpidemiologicalParameterEstimate: true; #hasSource: Wolf B. Int J Neonatal Screen. 2022;8(2):28. PMID: 35631385; PMID: 2295967[3][6];</t>
  </si>
  <si>
    <t>#DPB_Acute_Alopecia</t>
  </si>
  <si>
    <t>#hasSource: Deficiencia de biotinidasa. Rev Med Hondur 2005; 73(2): 92-98[3]; #hasDescription: Alopecia aguda o subaguda, con pérdida difusa de cabello.;</t>
  </si>
  <si>
    <t>#DPB_Acute_Ataxia</t>
  </si>
  <si>
    <t>#hasSource: Deficiencia de biotinidasa. Rev Med Hondur 2005; 73(2): 92-98[3]; #hasDescription: Ataxia aguda, con alteración de la coordinación motora.;</t>
  </si>
  <si>
    <t>#DPB_Acute_Dermatitis</t>
  </si>
  <si>
    <t>#hasSource: Deficiencia de biotinidasa. Rev Med Hondur 2005; 73(2): 92-98[3]; #hasDescription: Dermatitis eritematosa o eccematosa de aparición rápida.;</t>
  </si>
  <si>
    <t>#DPB_Acute_Hypotonia</t>
  </si>
  <si>
    <t>#hasDescription: Hipotonía muscular generalizada de aparición aguda.; #hasSource: Deficiencia de biotinidasa. Rev Med Hondur 2005; 73(2): 92-98[3];</t>
  </si>
  <si>
    <t>#DPB_Acute_MetabolicAcidosis</t>
  </si>
  <si>
    <t>#hasDescription: Acidosis metabólica aguda, potencialmente grave.; #hasSource: Deficiencia de biotinidasa. Rev Med Hondur 2005; 73(2): 92-98[3];</t>
  </si>
  <si>
    <t>#DPB_Acute_Seizures</t>
  </si>
  <si>
    <t>#hasDescription: Crisis convulsivas agudas, frecuentes en la presentación inicial sin tratamiento.; #hasSource: Deficiencia de biotinidasa. Rev Med Hondur 2005; 73(2): 92-98[3];</t>
  </si>
  <si>
    <t>#DPB_Alopecia_Disutility</t>
  </si>
  <si>
    <t>IRIUtility, IRIDeterministicParameter</t>
  </si>
  <si>
    <t>#hasDataItemType: #IRIDIDisutility; #isParameterOfManifestation: #DPB_Acute_Alopecia;</t>
  </si>
  <si>
    <t>#hasSource: Hajdarbegovic E et al. "Quality of life in patients with alopecia areata." J Eur Acad Dermatol Venereol. 2010;24(8):947-951.; #hasDescription: Desutilidad anual asociada a alopecia.; #hasExpectedValue: -0.03;</t>
  </si>
  <si>
    <t>#DPB_Ataxia_Disutility</t>
  </si>
  <si>
    <t>IRIDeterministicParameter, IRIUtility</t>
  </si>
  <si>
    <t>#hasDataItemType: #IRIDIDisutility; #isParameterOfManifestation: #DPB_Acute_Ataxia;</t>
  </si>
  <si>
    <t>#hasSource: Assumption based on utility values for moderate motor impairment (e.g. cerebellar ataxia).; #hasExpectedValue: -0.15; #hasDescription: Desutilidad anual asociada a ataxia aguda o crónica.;</t>
  </si>
  <si>
    <t>#DPB_BirthPrevalence</t>
  </si>
  <si>
    <t>EpidemiologicalParameter, DeterministicParameter</t>
  </si>
  <si>
    <t>#isParameterOfDisease: #DPB_Disease; #hasDataItemType: #IRIDIBirthPrevalence;</t>
  </si>
  <si>
    <t>#hasExpectedValue: 0.0000167; #hasSource: Wolf B. "Biotinidase Deficiency: Newborn Screening and Outcomes." Int J Neonatal Screen. 2022;8(2):28. doi:10.3390/ijns8020028; #hasYear: 2024; #hasGeographicalContext: España; #isTrueEpidemiologicalParameterEstimate: true; #hasDescription: Prevalencia al nacimiento de la deficiencia profunda de biotinidasa en España.;</t>
  </si>
  <si>
    <t>#DPB_ChronicAtaxia_Disutility</t>
  </si>
  <si>
    <t>#hasDataItemType: #IRIDIDisutility; #isParameterOfManifestation: #DPB_Chronic_Ataxia;</t>
  </si>
  <si>
    <t>#hasExpectedValue: -0.15; #hasSource: Assumption based on utility values for moderate motor impairment.; #hasDescription: Desutilidad anual asociada a ataxia crónica.;</t>
  </si>
  <si>
    <t>#DPB_Chronic_Ataxia</t>
  </si>
  <si>
    <t>#hasSource: Wolf B. "Biotinidase Deficiency: Newborn Screening and Outcomes." Int J Neonatal Screen. 2022;8(2):28.; #hasDescription: Ataxia persistente, con alteración de la coordinación motora.;</t>
  </si>
  <si>
    <t>#DPB_Chronic_DevelopmentalDelay</t>
  </si>
  <si>
    <t>#hasDescription: Retraso global del desarrollo psicomotor y discapacidad intelectual persistente.; #hasSource: Wolf B. "Biotinidase Deficiency: Newborn Screening and Outcomes." Int J Neonatal Screen. 2022;8(2):28.;</t>
  </si>
  <si>
    <t>#DPB_Chronic_Epilepsy</t>
  </si>
  <si>
    <t>#hasSource: Wolf B. "Biotinidase Deficiency: Newborn Screening and Outcomes." Int J Neonatal Screen. 2022;8(2):28.; #hasDescription: Epilepsia crónica secundaria a daño neurológico irreversible.;</t>
  </si>
  <si>
    <t>#DPB_Chronic_HearingLoss</t>
  </si>
  <si>
    <t>#hasSource: Wolf B. "Biotinidase Deficiency: Newborn Screening and Outcomes." Int J Neonatal Screen. 2022;8(2):28.; #hasDescription: Pérdida auditiva neurosensorial irreversible, persistente tras el episodio agudo.;</t>
  </si>
  <si>
    <t>#DPB_Chronic_SkinDisorder</t>
  </si>
  <si>
    <t>#hasDescription: Alteraciones cutáneas crónicas, como dermatitis persistente o eccema recidivante.; #hasSource: Wolf B. "Biotinidase Deficiency: Newborn Screening and Outcomes." Int J Neonatal Screen. 2022;8(2):28.;</t>
  </si>
  <si>
    <t>#DPB_Chronic_SpasticParaparesis</t>
  </si>
  <si>
    <t>#hasDescription: Paraparesia espástica crónica, con debilidad y rigidez en miembros inferiores.; #hasSource: Wolf B. "Biotinidase Deficiency: Newborn Screening and Outcomes." Int J Neonatal Screen. 2022;8(2):28.;</t>
  </si>
  <si>
    <t>#DPB_Chronic_VisualImpairment</t>
  </si>
  <si>
    <t>#hasDescription: Alteraciones visuales crónicas, incluyendo atrofia óptica y pérdida de visión.; #hasSource: Wolf B. "Biotinidase Deficiency: Newborn Screening and Outcomes." Int J Neonatal Screen. 2022;8(2):28.;</t>
  </si>
  <si>
    <t>#DPB_ClinicalDetectionIntervention</t>
  </si>
  <si>
    <t>#hasDescription: Diagnóstico clínico de la deficiencia profunda de biotinidasa basado en la aparición de signos o síntomas indicativos y confirmación mediante prueba enzimática o genética.; #hasName: Diagnóstico clínico de biotinidasa; #hasSource: Wolf B. Int J Neonatal Screen. 2022;8(2):28. doi:10.3390/ijns8020028;</t>
  </si>
  <si>
    <t>#DPB_Dermatitis_Disutility</t>
  </si>
  <si>
    <t>#hasDataItemType: #IRIDIDisutility; #isParameterOfManifestation: #DPB_Acute_Dermatitis;</t>
  </si>
  <si>
    <t>#hasDescription: Desutilidad anual asociada a dermatitis aguda.; #hasExpectedValue: -0.04; #hasSource: Beattie PE et al. "The impact of atopic dermatitis on the quality of life of children." Br J Dermatol. 2006;155(1):145-151.;</t>
  </si>
  <si>
    <t>#DPB_DevelopmentalDelay_Disutility</t>
  </si>
  <si>
    <t>#hasDataItemType: #IRIDIDisutility; #isParameterOfManifestation: #DPB_Chronic_DevelopmentalDelay;</t>
  </si>
  <si>
    <t>#hasExpectedValue: -0.30; #hasSource: Kwon J et al. "Health-related quality of life and utility in children with intellectual disabilities: a systematic review." Qual Life Res. 2019;28(8):2173-2187.; #hasDescription: Desutilidad anual asociada a discapacidad intelectual/retraso global del desarrollo.;</t>
  </si>
  <si>
    <t>#DPB_Disease</t>
  </si>
  <si>
    <t>#hasStage: #DPB_Stage_Symptomatic; #hasStage: #DPB_Stage_Sequelae; #hasStage: #DPB_Stage_Asymptomatic;</t>
  </si>
  <si>
    <t>#hasDescription: Deficiencia profunda de biotinidasa: trastorno metabólico hereditario que puede causar síntomas neurológicos y cutáneos graves si no se trata.; #hasRefToOMIM: 253260; #hasRefToORDO: Orphanet:377; #hasRefToSNOMED: 190995004;</t>
  </si>
  <si>
    <t>#DPB_Epilepsy_Disutility</t>
  </si>
  <si>
    <t>#hasDataItemType: #IRIDIDisutility; #isParameterOfManifestation: #DPB_Chronic_Epilepsy;</t>
  </si>
  <si>
    <t>#hasExpectedValue: -0.20; #hasSource: Rowen D. et al. "Valuing epilepsy health states: a systematic review of the literature." Epilepsia. 2012;53(6):1030-1037.; #hasDescription: Desutilidad anual asociada a epilepsia crónica.;</t>
  </si>
  <si>
    <t>#DPB_FollowUp_Parcial</t>
  </si>
  <si>
    <t>#hasSource: Wolf B. Int J Neonatal Screen. 2022;8(2):28. doi:10.3390/ijns8020028; NBS Verona, PMC8200396[2]; #hasName: Seguimiento en deficiencia parcial de biotinidasa;
#hasDescription: Revisión clínica periódica (anual o según criterio clínico), valoración del desarrollo, síntomas neurológicos y auditivos, y evaluación de la necesidad de tratamiento con biotina en situaciones de estrés metabólico. 
El seguimiento puede ser menos frecuente y, en ausencia de síntomas, puede limitarse a controles clínicos y educativos a lo largo de la infancia.; #hasFrequency: Anual o según criterio clínico;</t>
  </si>
  <si>
    <t>El DOI no corresponde y no se encuentra la fuente</t>
  </si>
  <si>
    <t>#DPB_FollowUp_Profunda</t>
  </si>
  <si>
    <t>#hasFrequency: 2-4 veces/año en infancia, anual en edad escolar y adulta; #hasDescription: Revisión clínica pediátrica y metabólica periódica (cada 3-6 meses en los primeros años, luego anual), monitorización del desarrollo neurológico y auditivo, evaluación de adherencia al tratamiento con biotina, y realización de pruebas de laboratorio según indicación clínica. Se recomienda seguimiento de por vida.; #hasName: Seguimiento en deficiencia profunda de biotinidasa; #hasSource: Wolf B. Int J Neonatal Screen. 2022;8(2):28. doi:10.3390/ijns8020028; NBS Verona, PMC8200396[2];</t>
  </si>
  <si>
    <t>#DPB_HearingLoss_Disutility</t>
  </si>
  <si>
    <t>#isParameterOfManifestation: #DPB_Chronic_HearingLoss; #hasDataItemType: #IRIDIDisutility;</t>
  </si>
  <si>
    <t>#hasExpectedValue: -0.21; #hasSource: Frick KD et al. "Health utility estimates and their application to cochlear implantation candidates in the United States." Otol Neurotol. 2007;28(3):282-288.; #hasDescription: Desutilidad anual asociada a sordera neurosensorial crónica.;</t>
  </si>
  <si>
    <t>#DPB_Hypotonia_Disutility</t>
  </si>
  <si>
    <t>#isParameterOfManifestation: #DPB_Acute_Hypotonia; #hasDataItemType: #IRIDIDisutility;</t>
  </si>
  <si>
    <t>#hasSource: Assumption based on impact of moderate neuromuscular symptoms in pediatric populations.; #hasDescription: Desutilidad anual asociada a hipotonía aguda.; #hasExpectedValue: -0.10;</t>
  </si>
  <si>
    <t>#DPB_Manif_Alopecia</t>
  </si>
  <si>
    <t>#hasDescription: Alopecia difusa.;</t>
  </si>
  <si>
    <t>#DPB_Manif_Ataxia</t>
  </si>
  <si>
    <t>#hasDescription: Ataxia persistente.;</t>
  </si>
  <si>
    <t>#DPB_Manif_DevelopmentalDelay</t>
  </si>
  <si>
    <t>#hasDescription: Retraso global del desarrollo psicomotor.;</t>
  </si>
  <si>
    <t>#DPB_Manif_HearingLoss</t>
  </si>
  <si>
    <t>#hasDescription: Pérdida auditiva neurosensorial irreversible.;</t>
  </si>
  <si>
    <t>#DPB_Manif_Hypotonia</t>
  </si>
  <si>
    <t>#hasDescription: Hipotonía muscular generalizada.;</t>
  </si>
  <si>
    <t>#DPB_Manif_MetabolicAcidosis</t>
  </si>
  <si>
    <t>#hasDescription: Acidosis metabólica grave.;</t>
  </si>
  <si>
    <t>#DPB_Manif_Seizures</t>
  </si>
  <si>
    <t>#hasDescription: Crisis epilépticas recurrentes.;</t>
  </si>
  <si>
    <t>#DPB_Manif_SkinRash</t>
  </si>
  <si>
    <t>#hasDescription: Dermatitis eccematosa o eritematosa.;</t>
  </si>
  <si>
    <t>#DPB_Manif_VisualImpairment</t>
  </si>
  <si>
    <t>#hasDescription: Alteraciones visuales, incluyendo atrofia óptica.;</t>
  </si>
  <si>
    <t>#DPB_MetabolicAcidosis_Disutility</t>
  </si>
  <si>
    <t>#hasDataItemType: #IRIDIDisutility; #isParameterOfManifestation: #DPB_Acute_MetabolicAcidosis;</t>
  </si>
  <si>
    <t>#hasSource: Assumption based on impact of acute metabolic events in rare diseases.; #hasDescription: Desutilidad anual asociada a acidosis metabólica aguda.; #hasExpectedValue: -0.12;</t>
  </si>
  <si>
    <t>#DPB_Onset_Alopecia</t>
  </si>
  <si>
    <t>#isParameterOfManifestation: #DPB_Acute_Alopecia;</t>
  </si>
  <si>
    <t>#hasDescription: Edad media de aparición de alopecia aguda: 4 meses (0.33 años).; #hasExpectedValue: 0.33; #hasSource: Wolf B. Int J Neonatal Screen. 2022;8(2):28.; #hasUnit: years;</t>
  </si>
  <si>
    <t>#DPB_Onset_Ataxia</t>
  </si>
  <si>
    <t>#isParameterOfManifestation: #DPB_Acute_Ataxia;</t>
  </si>
  <si>
    <t>#hasDescription: Edad media de aparición de ataxia aguda: 6 meses (0.5 años).; #hasUnit: years; #hasSource: Wolf B. Int J Neonatal Screen. 2022;8(2):28.; #hasExpectedValue: 0.5;</t>
  </si>
  <si>
    <t>#DPB_Onset_ChronicAtaxia</t>
  </si>
  <si>
    <t>#isParameterOfManifestation: #DPB_Chronic_Ataxia;</t>
  </si>
  <si>
    <t>#hasSource: Wolf B. Int J Neonatal Screen. 2022;8(2):28.; #hasUnit: years; #hasDescription: Edad media de aparición de ataxia crónica: 2 años.; #hasExpectedValue: 2.0;</t>
  </si>
  <si>
    <t>#DPB_Onset_Dermatitis</t>
  </si>
  <si>
    <t>#isParameterOfManifestation: #DPB_Acute_Dermatitis;</t>
  </si>
  <si>
    <t>#hasDescription: Edad media de aparición de dermatitis aguda: 4 meses (0.33 años).; #hasSource: Wolf B. Int J Neonatal Screen. 2022;8(2):28.; #hasExpectedValue: 0.33; #hasUnit: years;</t>
  </si>
  <si>
    <t>#DPB_Onset_DevelopmentalDelay</t>
  </si>
  <si>
    <t>#isParameterOfManifestation: #DPB_Chronic_DevelopmentalDelay;</t>
  </si>
  <si>
    <t>#hasSource: Wolf B. Int J Neonatal Screen. 2022;8(2):28.; #hasUnit: years; #hasDescription: Edad media de aparición de retraso global del desarrollo: 2 años.; #hasExpectedValue: 2.0;</t>
  </si>
  <si>
    <t>#DPB_Onset_HearingLoss</t>
  </si>
  <si>
    <t>#isParameterOfManifestation: #DPB_Chronic_HearingLoss;</t>
  </si>
  <si>
    <t>#hasSource: Wolf B. Int J Neonatal Screen. 2022;8(2):28.; #hasDescription: Edad media de aparición de pérdida auditiva neurosensorial crónica: 2 años.; #hasUnit: years; #hasExpectedValue: 2.0;</t>
  </si>
  <si>
    <t>#DPB_Onset_Hypotonia</t>
  </si>
  <si>
    <t>#isParameterOfManifestation: #DPB_Acute_Hypotonia;</t>
  </si>
  <si>
    <t>#hasSource: Wolf B. Int J Neonatal Screen. 2022;8(2):28.; #hasDescription: Edad media de aparición de hipotonía aguda en ausencia de tratamiento: 2 meses (0.15 años).; #hasUnit: years; #hasExpectedValue: 0.15;</t>
  </si>
  <si>
    <t>#DPB_Onset_MetabolicAcidosis</t>
  </si>
  <si>
    <t>#isParameterOfManifestation: #DPB_Acute_MetabolicAcidosis;</t>
  </si>
  <si>
    <t>#hasExpectedValue: 0.15; #hasDescription: Edad media de aparición de acidosis metabólica aguda: 2 meses (0.15 años).; #hasUnit: years; #hasSource: Wolf B. Int J Neonatal Screen. 2022;8(2):28.;</t>
  </si>
  <si>
    <t>#DPB_Onset_Seizures</t>
  </si>
  <si>
    <t>#isParameterOfManifestation: #DPB_Acute_Seizures;</t>
  </si>
  <si>
    <t>#hasDescription: Edad media de aparición de crisis convulsivas agudas en ausencia de tratamiento: 2 meses (0.15 años).; #hasExpectedValue: 0.15; #hasSource: Wolf B. Int J Neonatal Screen. 2022;8(2):28.; #hasUnit: years;</t>
  </si>
  <si>
    <t>#DPB_Onset_VisualImpairment</t>
  </si>
  <si>
    <t>#isParameterOfManifestation: #DPB_Chronic_VisualImpairment;</t>
  </si>
  <si>
    <t>#hasExpectedValue: 6.0; #hasSource: Ophthalmic manifestations of biotinidase deficiency: report of a case and review of literature. PubMed 38234168 (2024).; #hasUnit: years; #hasDescription: Edad media de aparición de alteraciones visuales crónicas (atrofia óptica, pérdida visual): 6 años, rango 3-9 años.;</t>
  </si>
  <si>
    <t>No puedo acceder al artículo completo, así que no puedo chequear si se trata de una alucinación</t>
  </si>
  <si>
    <t>#DPB_Prob_Alopecia</t>
  </si>
  <si>
    <t>#hasDescription: Probabilidad de aparición de alopecia en la deficiencia total de biotinidasa sin tratamiento.; #hasExpectedValue: 0.40; #isTrueEpidemiologicalParameterEstimate: true; #hasSource: Wolf B. Int J Neonatal Screen. 2022;8(2):28. doi:10.3390/ijns8020028;</t>
  </si>
  <si>
    <t>#DPB_Prob_Ataxia</t>
  </si>
  <si>
    <t>#hasDataItemType: #IRIDIProbability; #isParameterOfManifestation: #DPB_Acute_Ataxia;</t>
  </si>
  <si>
    <t>#hasExpectedValue: 0.50; #hasDescription: Probabilidad de aparición de ataxia en la deficiencia total de biotinidasa sin tratamiento.; #isTrueEpidemiologicalParameterEstimate: true; #hasSource: Wolf B. Int J Neonatal Screen. 2022;8(2):28. doi:10.3390/ijns8020028;</t>
  </si>
  <si>
    <t>#DPB_Prob_Dermatitis</t>
  </si>
  <si>
    <t>#hasDescription: Probabilidad de aparición de dermatitis en la deficiencia total de biotinidasa sin tratamiento.; #hasSource: Wolf B. Int J Neonatal Screen. 2022;8(2):28. doi:10.3390/ijns8020028; #hasExpectedValue: 0.55; #isTrueEpidemiologicalParameterEstimate: true;</t>
  </si>
  <si>
    <t>#DPB_Prob_DevelopmentalDelay</t>
  </si>
  <si>
    <t>#hasDataItemType: #IRIDIProbability; #isParameterOfManifestation: #DPB_Chronic_DevelopmentalDelay;</t>
  </si>
  <si>
    <t>#hasExpectedValue: 0.50; #hasSource: Wolf B. Int J Neonatal Screen. 2022;8(2):28. doi:10.3390/ijns8020028; #hasDescription: Probabilidad de aparición de retraso global del desarrollo en la deficiencia total de biotinidasa sin tratamiento.; #isTrueEpidemiologicalParameterEstimate: true;</t>
  </si>
  <si>
    <t>#DPB_Prob_HearingLoss</t>
  </si>
  <si>
    <t>#isParameterOfManifestation: #DPB_Chronic_HearingLoss; #hasDataItemType: #IRIDIProbability;</t>
  </si>
  <si>
    <t>#hasSource: Wolf B. Int J Neonatal Screen. 2022;8(2):28. doi:10.3390/ijns8020028; #hasExpectedValue: 0.30; #hasDescription: Probabilidad de aparición de pérdida auditiva neurosensorial irreversible en la deficiencia total de biotinidasa sin tratamiento.; #isTrueEpidemiologicalParameterEstimate: true;</t>
  </si>
  <si>
    <t>#DPB_Prob_Hypotonia</t>
  </si>
  <si>
    <t>#isParameterOfManifestation: #DPB_Acute_Hypotonia; #hasDataItemType: #IRIDIProbability;</t>
  </si>
  <si>
    <t>#hasSource: Wolf B. Int J Neonatal Screen. 2022;8(2):28. doi:10.3390/ijns8020028; #hasDescription: Probabilidad de aparición de hipotonía en la deficiencia total de biotinidasa sin tratamiento.; #hasExpectedValue: 0.60; #isTrueEpidemiologicalParameterEstimate: true;</t>
  </si>
  <si>
    <t>#DPB_Prob_MetabolicAcidosis</t>
  </si>
  <si>
    <t>#isParameterOfManifestation: #DPB_Acute_MetabolicAcidosis; #hasDataItemType: #IRIDIProbability;</t>
  </si>
  <si>
    <t>#hasDescription: Probabilidad de aparición de acidosis metabólica en la deficiencia total de biotinidasa sin tratamiento.; #isTrueEpidemiologicalParameterEstimate: true; #hasSource: Wolf B. Int J Neonatal Screen. 2022;8(2):28. doi:10.3390/ijns8020028; #hasExpectedValue: 0.30;</t>
  </si>
  <si>
    <t>#DPB_Prob_Seizures</t>
  </si>
  <si>
    <t>#hasExpectedValue: 0.70; #isTrueEpidemiologicalParameterEstimate: true; #hasDescription: Probabilidad de aparición de crisis convulsivas en la deficiencia total de biotinidasa sin tratamiento.; #hasSource: Wolf B. Int J Neonatal Screen. 2022;8(2):28. doi:10.3390/ijns8020028;</t>
  </si>
  <si>
    <t>#DPB_ScreeningIntervention</t>
  </si>
  <si>
    <t>#hasDescription: Cribado neonatal de la deficiencia profunda de biotinidasa mediante la medida de la actividad enzimática en sangre seca en papel (Guthrie) utilizando un ensayo enzimático o fluorimétrico semicuantitativo.; #hasName: Cribado neonatal de biotinidasa; #hasSource: Wolf B. Int J Neonatal Screen. 2022;8(2):28. doi:10.3390/ijns8020028;</t>
  </si>
  <si>
    <t>#DPB_Seizures_Disutility</t>
  </si>
  <si>
    <t>#hasDataItemType: #IRIDIDisutility; #isParameterOfManifestation: #DPB_Acute_Seizures;</t>
  </si>
  <si>
    <t>#hasDescription: Desutilidad anual asociada a crisis convulsivas en la deficiencia de biotinidasa.; #hasSource: Rowen D. et al. "Valuing epilepsy health states: a systematic review of the literature." Epilepsia. 2012;53(6):1030-1037.; #hasExpectedValue: -0.20;</t>
  </si>
  <si>
    <t>#DPB_SkinDisorder_Disutility</t>
  </si>
  <si>
    <t>#hasDataItemType: #IRIDIDisutility; #isParameterOfManifestation: #DPB_Chronic_SkinDisorder;</t>
  </si>
  <si>
    <t>#hasExpectedValue: -0.04; #hasDescription: Desutilidad anual asociada a alteraciones cutáneas crónicas.; #hasSource: Beattie PE et al. "The impact of atopic dermatitis on the quality of life of children." Br J Dermatol. 2006;155(1):145-151.;</t>
  </si>
  <si>
    <t>#DPB_SpasticParaparesis_Disutility</t>
  </si>
  <si>
    <t>#isParameterOfManifestation: #DPB_Chronic_SpasticParaparesis; #hasDataItemType: #IRIDIDisutility;</t>
  </si>
  <si>
    <t>#hasDescription: Desutilidad anual asociada a paraparesia espástica crónica.; #hasSource: Assumption based on utility values for moderate lower limb impairment.; #hasExpectedValue: -0.12;</t>
  </si>
  <si>
    <t>#DPB_Stage_Asymptomatic</t>
  </si>
  <si>
    <t>#hasDescription: Estadio asintomático: el paciente no presenta síntomas clínicos.;</t>
  </si>
  <si>
    <t>#DPB_Stage_Asymptomatic_BirthPrevalence</t>
  </si>
  <si>
    <t>#hasDataItemType: #IRIDIBirthPrevalence; #isParameterOf: #DPB_Stage_Asymptomatic;</t>
  </si>
  <si>
    <t>#hasGeographicalContext: España; #hasExpectedValue: 0.0000167; #hasYear: 2024; #hasDescription: Prevalencia al nacimiento del estadio asintomático de DPB profunda: todos los casos nacen en este estadio.; #isTrueEpidemiologicalParameterEstimate: true; #hasSource: Wolf B. "Biotinidase Deficiency: Newborn Screening and Outcomes." Int J Neonatal Screen. 2022;8(2):28. doi:10.3390/ijns8020028;</t>
  </si>
  <si>
    <t>#DPB_Stage_Sequelae</t>
  </si>
  <si>
    <t>#hasManifestation: #DPB_Manif_HearingLoss; #hasManifestation: #DPB_Manif_Ataxia; #hasManifestation: #DPB_Manif_VisualImpairment;</t>
  </si>
  <si>
    <t>#hasDescription: Estadio de secuelas: déficit neurológicos persistentes, discapacidad intelectual, pérdida auditiva o visual.;</t>
  </si>
  <si>
    <t>#DPB_Stage_Sequelae_BirthPrevalence</t>
  </si>
  <si>
    <t>#isParameterOf: #DPB_Stage_Sequelae; #hasDataItemType: #IRIDIBirthPrevalence;</t>
  </si>
  <si>
    <t>#hasExpectedValue: 0.0; #hasGeographicalContext: España; #hasDescription: Prevalencia al nacimiento del estadio de secuelas de DPB profunda: ningún caso nace en este estadio.; #isTrueEpidemiologicalParameterEstimate: true; #hasSource: Wolf B. "Biotinidase Deficiency: Newborn Screening and Outcomes." Int J Neonatal Screen. 2022;8(2):28. doi:10.3390/ijns8020028; #hasYear: 2024;</t>
  </si>
  <si>
    <t>#DPB_Stage_Symptomatic</t>
  </si>
  <si>
    <t>#hasManifestation: #DPB_Manif_Hypotonia; #hasManifestation: #DPB_Manif_MetabolicAcidosis; #hasManifestation: #DPB_Manif_Seizures; #hasManifestation: #DPB_Manif_SkinRash; #hasManifestation: #DPB_Manif_DevelopmentalDelay; #hasManifestation: #DPB_Manif_Alopecia;</t>
  </si>
  <si>
    <t>#hasDescription: Estadio sintomático: aparición de síntomas neurológicos y cutáneos agudos.;</t>
  </si>
  <si>
    <t>#DPB_Stage_Symptomatic_BirthPrevalence</t>
  </si>
  <si>
    <t>DeterministicParameter, EpidemiologicalParameter</t>
  </si>
  <si>
    <t>#hasDataItemType: #IRIDIBirthPrevalence; #isParameterOf: #DPB_Stage_Symptomatic;</t>
  </si>
  <si>
    <t>#hasGeographicalContext: España; #isTrueEpidemiologicalParameterEstimate: true; #hasDescription: Prevalencia al nacimiento del estadio sintomático de DPB profunda: ningún caso nace en este estadio.; #hasExpectedValue: 0.0; #hasYear: 2024; #hasSource: Wolf B. "Biotinidase Deficiency: Newborn Screening and Outcomes." Int J Neonatal Screen. 2022;8(2):28. doi:10.3390/ijns8020028;</t>
  </si>
  <si>
    <t>#DPB_TherapeuticIntervention_Biotin</t>
  </si>
  <si>
    <t>#usesDrug: #Biotin;</t>
  </si>
  <si>
    <t>#hasDescription: Tratamiento sustitutivo con biotina oral a dosis farmacológicas (5-20 mg/día) para prevenir la aparición de síntomas y secuelas en pacientes con deficiencia profunda de biotinidasa.; #hasSource: Wolf B. Int J Neonatal Screen. 2022;8(2):28. doi:10.3390/ijns8020028; #hasName: Tratamiento con biotina;</t>
  </si>
  <si>
    <t>Identificada erróneamente como intervención</t>
  </si>
  <si>
    <t>#DPB_Treatment_Parcial</t>
  </si>
  <si>
    <t>#hasName: Tratamiento sustitutivo con biotina en deficiencia parcial de biotinidasa; #hasSource: Wolf B. Int J Neonatal Screen. 2022;8(2):28. doi:10.3390/ijns8020028; Deficiencia de biotinidasa: importancia de su diagnóstico neonatal y tratamiento precoz[2]; #hasDescription: Administración oral de biotina a dosis farmacológicas (generalmente 1-5 mg/día), recomendada en situaciones de estrés metabólico (fiebre, ayuno, infecciones) o de forma continua según criterio clínico individualizado.;</t>
  </si>
  <si>
    <t>#DPB_Treatment_Profunda</t>
  </si>
  <si>
    <t>#hasSource: Wolf B. Int J Neonatal Screen. 2022;8(2):28. doi:10.3390/ijns8020028; Deficiencia de biotinidasa: importancia de su diagnóstico neonatal y tratamiento precoz[2]; #hasName: Tratamiento sustitutivo con biotina en deficiencia profunda de biotinidasa; #hasDescription: Administración oral de biotina a dosis farmacológicas (5-20 mg/día) de por vida, iniciada lo antes posible tras el diagnóstico, para prevenir manifestaciones clínicas y secuelas neurológicas y cutáneas.;</t>
  </si>
  <si>
    <t>UC2-F1-P1-M1</t>
  </si>
  <si>
    <t>#PBD_Incidence</t>
  </si>
  <si>
    <t>#hasDescription: Incidencia de deficiencia profunda de biotinidasa en recién nacidos; #hasSource: Weber et al. 2004; #hasExpectedValue: 0.00005;</t>
  </si>
  <si>
    <t>En los artículos aparecen alrededor de 1:60.000 para PBD y 1:120.000 para BD. El dato original era 1.48E-5 (1/67.000)</t>
  </si>
  <si>
    <t>#PBD_Manif_HearingProblems_Incidence</t>
  </si>
  <si>
    <t>#hasDescription: Incidencia de problemas auditivos en pacientes no tratados; #hasExpectedValue: 0.65; #hasSource: Wolf et al. 2002; Genc et al. 2007;</t>
  </si>
  <si>
    <t>Cogió el valor medio (sin ajustar por N) de los dos estudios</t>
  </si>
  <si>
    <t>#PBD_Manif_HearingProblems_Incidence_Treated</t>
  </si>
  <si>
    <t>#hasExpectedValue: 0.0; #hasDescription: Incidencia con tratamiento temprano;</t>
  </si>
  <si>
    <t>Enfoque diferente para el efecto de la intervención</t>
  </si>
  <si>
    <t>#PBD_Manif_HearingProblems_Utility</t>
  </si>
  <si>
    <t>#hasExpectedValue: 0.85; #hasDescription: Utilidad asociada a pérdida auditiva;</t>
  </si>
  <si>
    <t>Sin fuente: no se puede identificar y no coincide el valor</t>
  </si>
  <si>
    <t>#PBD_Manif_Hypotonia_Incidence</t>
  </si>
  <si>
    <t>#hasExpectedValue: 0.60; #hasSource: Moslinger et al. 2003; Ye et al. 2009;</t>
  </si>
  <si>
    <t>#PBD_Manif_Hypotonia_Utility</t>
  </si>
  <si>
    <t>#hasExpectedValue: 0.75; #hasDescription: Utilidad asociada a hipotonía muscular; #hasSource: Grünewald et al. 2004; Weber et al. 2004;</t>
  </si>
  <si>
    <t>#PBD_Manif_MentalDelay_Incidence</t>
  </si>
  <si>
    <t>#hasExpectedValue: 0.40; #hasDescription: Probabilidad de retraso mental en no tratados;</t>
  </si>
  <si>
    <t>#PBD_Manif_MentalDelay_Utility</t>
  </si>
  <si>
    <t>#hasSource: Grünewald et al. 2004; Weber et al. 2004; #hasDescription: Utilidad asociada a retraso mental; #hasExpectedValue: 0.60;</t>
  </si>
  <si>
    <t>#PBD_Manif_Seizure_Incidence</t>
  </si>
  <si>
    <t>#hasSource: Couce et al. 2011; Ye et al. 2009; #hasExpectedValue: 0.55;</t>
  </si>
  <si>
    <t>#PBD_Manif_Seizure_ResidualIncidence</t>
  </si>
  <si>
    <t>#hasExpectedValue: 0.05; #hasDescription: Incidencia residual de convulsiones con tratamiento;</t>
  </si>
  <si>
    <t>#PBD_Manif_Seizure_Utility</t>
  </si>
  <si>
    <t>#hasSource: Wolf et al. 2002; Ye et al. 2009; #hasDescription: Utilidad asociada a convulsiones recurrentes; #hasExpectedValue: 0.65;</t>
  </si>
  <si>
    <t>#PBD_Manif_SkinProblems_Incidence</t>
  </si>
  <si>
    <t>#hasExpectedValue: 0.7; #hasYear: 2009; #hasSource: Ye et al. 2009; Wolf et al. 2002; #hasDescription: Probabilidad de problemas cutáneos en pacientes no tratados;</t>
  </si>
  <si>
    <t>#PBD_Manif_SkinProblems_Incidence_Treated</t>
  </si>
  <si>
    <t>#hasSource: Wolf et al. 2002; Moslinger et al. 2003; #hasExpectedValue: 0.0; #hasDescription: Incidencia de problemas cutáneos en pacientes tratados tempranamente;</t>
  </si>
  <si>
    <t>#PBD_Manif_SkinProblems_Utility</t>
  </si>
  <si>
    <t>#hasSource: Wolf et al. 2002; Ye et al. 2009; #hasDescription: Utilidad asociada a problemas cutáneos; #hasExpectedValue: 0.80;</t>
  </si>
  <si>
    <t>#PBD_Manif_VisionLoss_Incidence</t>
  </si>
  <si>
    <t>#hasDescription: Probabilidad de pérdida visual en pacientes con PBD no tratados; #hasExpectedValue: 0.35; #hasSource: Weber et al. 2004; Salbert et al. 1993; #hasYear: 2004;</t>
  </si>
  <si>
    <t>#PBD_Manif_VisionLoss_Incidence_Treated</t>
  </si>
  <si>
    <t>#hasDescription: Incidencia de pérdida visual en pacientes tratados tempranamente; #hasExpectedValue: 0.0; #hasSource: Moslinger et al. 2003; Weber et al. 2004;</t>
  </si>
  <si>
    <t>#PBD_Manif_VisionLoss_Utility</t>
  </si>
  <si>
    <t>#hasExpectedValue: 0.78; #hasSource: Weber et al. 2004;</t>
  </si>
  <si>
    <t>UC2-F1-P2-M1</t>
  </si>
  <si>
    <t>#PBD_EarlyTreated_BaseUtility</t>
  </si>
  <si>
    <t>#hasDescription: Utilidad base para pacientes tratados precozmente sin manifestaciones; #hasExpectedValue: 1.0; #hasSource: Weber P et al. Outcome in patients with profound biotinidase deficiency. Dev Med Child Neurol 2004;</t>
  </si>
  <si>
    <t>#PBD_EarlyTreated_Manif_VisionLoss_Incidence</t>
  </si>
  <si>
    <t>#hasSource: Spanish Ministry of Health. Newborn Screening Protocol. 2022; #hasYear: 2022; #hasDescription: Ausencia de complicaciones visuales con diagnóstico neonatal; #hasExpectedValue: 0.0;</t>
  </si>
  <si>
    <t>#hasExpectedValue: 0.6; #hasSource: Wolf B, Spencer R, Gleason T. Hearing loss is a common feature of symptomatic children with profound biotinidase deficiency. J Pediatr. 2002; #hasYear: 2002; #hasDescription: Incidencia de problemas auditivos en niños sintomáticos no tratados;</t>
  </si>
  <si>
    <t>#PBD_Manif_HearingProblems_Incidence_L95CI</t>
  </si>
  <si>
    <t>#hasExpectedValue: 0.45;</t>
  </si>
  <si>
    <t>#PBD_Manif_HearingProblems_Incidence_U95CI</t>
  </si>
  <si>
    <t>#hasExpectedValue: 0.75;</t>
  </si>
  <si>
    <t>#PBD_Manif_HearingProblems_U</t>
  </si>
  <si>
    <t>#hasYear: 2002; #hasExpectedValue: 0.65; #appliesOneTime: false; #hasDescription: Desutilidad anual por pérdida auditiva neurosensorial severa; #hasSource: Wolf B, Spencer R, Gleason T. Hearing loss is a common feature of symptomatic children with profound biotinidase deficiency. J Pediatr 2002;</t>
  </si>
  <si>
    <t>#hasDescription: Incidencia de hipotonía muscular en casos no tratados; #hasYear: 1999; #hasExpectedValue: 0.65; #hasSource: Joshi S et al. Biotinidase deficiency: a treatable genetic disorder in the Saudi population. East Mediterr Health J. 1999;</t>
  </si>
  <si>
    <t>#PBD_Manif_Hypotonia_U</t>
  </si>
  <si>
    <t>#appliesOneTime: false; #hasExpectedValue: 0.75; #hasDescription: Desutilidad anual por hipotonía muscular severa; #hasYear: 1999; #hasSource: Joshi S et al. Biotinidase deficiency: a treatable genetic disorder in the Saudi population. East Mediterr Health J 1999;</t>
  </si>
  <si>
    <t>#hasDescription: Incidencia de retraso del desarrollo neurológico; #hasSource: Weber P et al. Outcome in patients with profound biotinidase deficiency. Dev Med Child Neurol. 2004; #hasExpectedValue: 0.7; #hasYear: 2004;</t>
  </si>
  <si>
    <t>#PBD_Manif_MentalDelay_U</t>
  </si>
  <si>
    <t>#appliesOneTime: false; #hasSource: Weber P et al. Outcome in patients with profound biotinidase deficiency. Dev Med Child Neurol 2004; #hasExpectedValue: 0.55; #hasDescription: Desutilidad anual por retraso cognitivo moderado-severo; #hasYear: 2004;</t>
  </si>
  <si>
    <t>#hasDescription: Frecuencia de episodios convulsivos en ausencia de tratamiento; #hasYear: 2023; #hasSource: National Organization for Rare Disorders (NORD). Biotinidase Deficiency. 2023; #hasExpectedValue: 0.55;</t>
  </si>
  <si>
    <t>#PBD_Manif_Seizure_U</t>
  </si>
  <si>
    <t>#hasDescription: Desutilidad anual por epilepsia refractaria; #hasYear: 2009; #appliesOneTime: false; #hasExpectedValue: 0.60; #hasSource: Ye J et al. Diagnosis and treatment of biotinidase deficiency in Chinese children. J Inherit Metab Dis 2009;</t>
  </si>
  <si>
    <t>#hasExpectedValue: 0.25; #hasYear: 2020; #hasDescription: Prevalencia de dermatitis y alopecia característica; #hasSource: Wolf B. Biotinidase Deficiency: New Directions and Practical Concerns. Curr Treat Options Neurol. 2020;</t>
  </si>
  <si>
    <t>#PBD_Manif_SkinProblems_U</t>
  </si>
  <si>
    <t>#hasYear: 1999; #hasSource: Joshi S et al. Biotinidase deficiency: a treatable genetic disorder in the Saudi population. East Mediterr Health J 1999; #hasDescription: Desutilidad anual por dermatitis crónica y alopecia; #hasExpectedValue: 0.85; #appliesOneTime: false;</t>
  </si>
  <si>
    <t>#hasExpectedValue: 0.3; #hasSource: Wolf B. Biotinidase Deficiency: New Directions and Practical Concerns. Curr Treat Options Neurol. 2020; #hasYear: 2020; #hasDescription: Incidencia de atrofia óptica en pacientes no diagnosticados;</t>
  </si>
  <si>
    <t>#PBD_Manif_VisionLoss_Incidence_L95CI</t>
  </si>
  <si>
    <t>#hasExpectedValue: 0.2;</t>
  </si>
  <si>
    <t>#PBD_Manif_VisionLoss_Incidence_U95CI</t>
  </si>
  <si>
    <t>#hasExpectedValue: 0.4;</t>
  </si>
  <si>
    <t>#PBD_Manif_VisionLoss_U</t>
  </si>
  <si>
    <t>#hasDescription: Desutilidad anual por atrofia óptica bilateral; #hasExpectedValue: 0.70; #hasSource: Weber P et al. Outcome in patients with profound biotinidase deficiency. Dev Med Child Neurol 2004; #hasYear: 2004; #appliesOneTime: false;</t>
  </si>
  <si>
    <t>#PBD_Progression_TimeToSymptomOnset</t>
  </si>
  <si>
    <t>#hasUnit: months; #hasSource: National Institute of Child Health and Human Development. Biotinidase Deficiency Fact Sheet. 2021; #hasExpectedValue: 3;</t>
  </si>
  <si>
    <t>No sé si es alucinación, pero es un concepto aparentemente coherente</t>
  </si>
  <si>
    <t>#PBD_Untreated_MortalityRate</t>
  </si>
  <si>
    <t>#hasSource: European Biotinidase Deficiency Consortium. Long-term outcomes study. 2019; #hasExpectedValue: 0.1;</t>
  </si>
  <si>
    <t>UC2-F1-P1-M2</t>
  </si>
  <si>
    <t>#PBD_ManifestationHearingProblems_Prob</t>
  </si>
  <si>
    <t>#hasSource: Wolf 2002; Weber 2004; Ye 2009; #hasExpectedValue: 0.75; #hasYear: 2004;</t>
  </si>
  <si>
    <t>#PBD_ManifestationHearingProblems_U</t>
  </si>
  <si>
    <t>#hasDescription: Annual disutility of hearing problems in PBD; #appliesOneTime: false; #hasYear: 2004; #hasSource: Wolf 2002; Weber 2004; #hasExpectedValue: 0.15;</t>
  </si>
  <si>
    <t>Posible alucinación, aunque no he podido comprobarlo</t>
  </si>
  <si>
    <t>#PBD_ManifestationHypotonia_Prob</t>
  </si>
  <si>
    <t>#hasYear: 2004; #hasExpectedValue: 0.65; #hasSource: Weber 2004; Ye 2009;</t>
  </si>
  <si>
    <t>#PBD_ManifestationHypotonia_U</t>
  </si>
  <si>
    <t>#hasYear: 2004; #appliesOneTime: false; #hasExpectedValue: 0.20; #hasSource: Weber 2004; #hasDescription: Annual disutility of hypotonia in PBD;</t>
  </si>
  <si>
    <t>#PBD_ManifestationMentalDelay_Prob</t>
  </si>
  <si>
    <t>#hasExpectedValue: 0.50; #hasYear: 2004; #hasSource: Weber 2004; Ye 2009;</t>
  </si>
  <si>
    <t>#PBD_ManifestationMentalDelay_U</t>
  </si>
  <si>
    <t>#appliesOneTime: false; #hasExpectedValue: 0.25; #hasYear: 2004; #hasSource: Weber 2004; Adapted from utility studies in pediatric neurodisability; #hasDescription: Annual disutility of mental delay in PBD;</t>
  </si>
  <si>
    <t>#PBD_ManifestationSeizure_Prob</t>
  </si>
  <si>
    <t>#hasExpectedValue: 0.60; #hasYear: 2004; #hasSource: Weber 2004; Ye 2009;</t>
  </si>
  <si>
    <t>#PBD_ManifestationSeizure_U</t>
  </si>
  <si>
    <t>#hasExpectedValue: 0.18; #hasSource: Weber 2004; Adapted from utility studies in epilepsy; #hasYear: 2004; #hasDescription: Annual disutility of seizures in PBD; #appliesOneTime: false;</t>
  </si>
  <si>
    <t>#PBD_ManifestationSkinProblems_Prob</t>
  </si>
  <si>
    <t>#hasExpectedValue: 0.80; #hasYear: 2004; #hasSource: Weber 2004; Ye 2009;</t>
  </si>
  <si>
    <t>#PBD_ManifestationSkinProblems_U</t>
  </si>
  <si>
    <t>#appliesOneTime: false; #hasYear: 2004; #hasSource: Weber 2004; Adapted from utility studies in dermatology; #hasDescription: Annual disutility of skin problems in PBD; #hasExpectedValue: 0.10;</t>
  </si>
  <si>
    <t>#PBD_ManifestationVisionLoss_Prob</t>
  </si>
  <si>
    <t>#hasYear: 2004; #hasExpectedValue: 0.30; #hasSource: Weber 2004; Ye 2009;</t>
  </si>
  <si>
    <t>#PBD_ManifestationVisionLoss_U</t>
  </si>
  <si>
    <t>#appliesOneTime: false; #hasExpectedValue: 0.20; #hasYear: 2004; #hasSource: Weber 2004; Adapted from utility studies in visual impairment; #hasDescription: Annual disutility of vision loss in PBD;</t>
  </si>
  <si>
    <t>UC2-F1-P2-M2</t>
  </si>
  <si>
    <t>#PBD_Manif_HearingProblems_RR</t>
  </si>
  <si>
    <t>Parameter, EpidemiologicalParameter</t>
  </si>
  <si>
    <t>#hasYear: 2007; #hasLower95CI: 0.45; #hasSource: Genc GA et al., 2007, Audiologic findings in children with biotinidase deficiency in Turkey; #hasDescription: Probabilidad de desarrollar hipoacusia neurosensorial en niños con PBD no tratados durante el primer año de vida; #hasUpper95CI: 0.65; #hasExpectedValue: 0.55;</t>
  </si>
  <si>
    <t>UtilityParameter, Parameter</t>
  </si>
  <si>
    <t>#hasSource: Wolf B et al., J Pediatr 2002; Genc GA et al., 2007; valores ajustados según estudios de utilidades en hipoacusia pediátrica; #hasLower95CI: 0.68; #hasUpper95CI: 0.76; #hasExpectedValue: 0.72; #hasDescription: Disutilidad anual por hipoacusia neurosensorial irreversible moderada-grave en PBD; #hasYear: 2002;</t>
  </si>
  <si>
    <t>#PBD_Manif_Hypotonia_RR</t>
  </si>
  <si>
    <t>EpidemiologicalParameter, Parameter</t>
  </si>
  <si>
    <t>#hasLower95CI: 0.50; #hasExpectedValue: 0.60; #hasYear: 2004; #hasUpper95CI: 0.70; #hasSource: Grunewald S et al., 2004, Biotinidase Deficiency: a Treatable Leukoencephalopathy; Mslinger D et al., 2003; #hasDescription: Probabilidad de desarrollar hipotonía en niños con PBD no tratados durante el primer año de vida;</t>
  </si>
  <si>
    <t>Parameter, UtilityParameter</t>
  </si>
  <si>
    <t>#hasYear: 2004; #hasExpectedValue: 0.85; #hasDescription: Disutilidad anual por hipotonía persistente en PBD; #hasUpper95CI: 0.90; #hasLower95CI: 0.80; #hasSource: Weber P et al., 2004; valores ajustados según utilidades en parálisis cerebral leve-moderada;</t>
  </si>
  <si>
    <t>#PBD_Manif_MentalDelay_RR</t>
  </si>
  <si>
    <t>#hasUpper95CI: 0.55; #hasSource: Weber P et al., 2004, Outcome in patients with profound biotinidase deficiency; Mslinger D et al., 2003; #hasYear: 2004; #hasLower95CI: 0.30; #hasDescription: Probabilidad de retraso mental o del desarrollo en niños con PBD no tratados durante los primeros años de vida; #hasExpectedValue: 0.40;</t>
  </si>
  <si>
    <t>#hasDescription: Disutilidad anual por discapacidad intelectual moderada-grave en PBD; #hasSource: Mslinger D et al., 2003; Weber P et al., 2004; utilidades en discapacidad intelectual pediátrica; #hasUpper95CI: 0.70; #hasExpectedValue: 0.60; #hasYear: 2003; #hasLower95CI: 0.50;</t>
  </si>
  <si>
    <t>#PBD_Manif_Seizure_RR</t>
  </si>
  <si>
    <t>#hasUpper95CI: 0.80; #hasSource: Grunewald S et al., 2004; Mslinger D et al., 2003; #hasDescription: Probabilidad de aparición de crisis epilépticas en niños con PBD no tratados durante el primer año de vida; #hasYear: 2004; #hasExpectedValue: 0.70; #hasLower95CI: 0.60;</t>
  </si>
  <si>
    <t>#hasLower95CI: 0.68; #hasUpper95CI: 0.82; #hasYear: 1999; #hasSource: Joshi S et al., 1999; utilidades en epilepsia infantil refractaria; #hasDescription: Disutilidad anual por epilepsia activa en PBD; #hasExpectedValue: 0.75;</t>
  </si>
  <si>
    <t>#PBD_Manif_SkinProblems_RR</t>
  </si>
  <si>
    <t>#hasExpectedValue: 0.65; #hasLower95CI: 0.55; #hasDescription: Probabilidad de aparición de manifestaciones cutáneas (dermatitis, alopecia) en niños con PBD no tratados durante el primer año de vida; #hasUpper95CI: 0.75; #hasSource: Mslinger D et al., 2003; Grunewald S et al., 2004; #hasYear: 2003;</t>
  </si>
  <si>
    <t>#hasLower95CI: 0.92; #hasUpper95CI: 0.98; #hasSource: Joshi S et al., 1999; utilidades en dermatitis pediátrica moderada; #hasExpectedValue: 0.95; #hasDescription: Disutilidad anual por dermatitis/alopecia en PBD; #hasYear: 1999;</t>
  </si>
  <si>
    <t>#PBD_Manif_VisionLoss_RR</t>
  </si>
  <si>
    <t>#hasDescription: Probabilidad de desarrollar pérdida de visión (principalmente por atrofia óptica) en niños con PBD no tratados durante los primeros años de vida; #hasLower95CI: 0.15; #hasUpper95CI: 0.35; #hasSource: Salbert BA et al., 1993, Ophthalmologic Findings in Biotinidase Deficiency; Weber P et al., 2004; #hasExpectedValue: 0.25; #hasYear: 1993;</t>
  </si>
  <si>
    <t>#hasExpectedValue: 0.65; #hasUpper95CI: 0.75; #hasSource: Salbert BA et al., 1993; utilidades en ceguera infantil; #hasDescription: Disutilidad anual por pérdida visual grave secundaria a atrofia óptica en PBD; #hasYear: 1993; #hasLower95CI: 0.55;</t>
  </si>
  <si>
    <t>UC3-F1-I1-P1-M1</t>
  </si>
  <si>
    <t>#DisutilitySeizures</t>
  </si>
  <si>
    <t>#hasSource: Carroll y Downs, 2009; #hasExpectedValue: 0.16;</t>
  </si>
  <si>
    <t>#NeonatalScreeningBD</t>
  </si>
  <si>
    <t>#hasSensitivity: 1.0;</t>
  </si>
  <si>
    <t>#PartialBiotinidaseDeficiency</t>
  </si>
  <si>
    <t>Debería ser la enfermedad, pero lo identificó como "etapa" ("Stage")</t>
  </si>
  <si>
    <t>#ProbSeizuresTotalBD</t>
  </si>
  <si>
    <t>#hasExpectedValue: 0.5575;</t>
  </si>
  <si>
    <t>Falta la naturaleza</t>
  </si>
  <si>
    <t>#Seizures</t>
  </si>
  <si>
    <t>#hasOnsetAge: 1.0;</t>
  </si>
  <si>
    <t>Efectivamente, podría ser agudo, aunque se modeló como crónico en el original por comodidad</t>
  </si>
  <si>
    <t>#SpanishNewborns</t>
  </si>
  <si>
    <t>#hasSize: 453637;</t>
  </si>
  <si>
    <t>Pero no lo identificó bien</t>
  </si>
  <si>
    <t>#TotalBiotinidaseDeficiency</t>
  </si>
  <si>
    <t>#hasManifestation: #Seizures;</t>
  </si>
  <si>
    <t>Debería ser la otra variante de la enfermedad, pero lo identificó como "etapa" ("Stage")</t>
  </si>
  <si>
    <t>UC3-F1-I1-P2-M1</t>
  </si>
  <si>
    <t>#AcuteChronicConsistencyAxiom</t>
  </si>
  <si>
    <t>ConsistencyConstraint</t>
  </si>
  <si>
    <t>#hasRule: AcuteManifestation and ChronicManifestation are disjoint;</t>
  </si>
  <si>
    <t>No deja de ser cierto, pero no es algo solicitado y no es OWL correcto</t>
  </si>
  <si>
    <t>#AcuteManifestationOnsetAge</t>
  </si>
  <si>
    <t>#AcuteManifestationTimeModel</t>
  </si>
  <si>
    <t>#hasDescription: Distribución Weibull para aparición de síntomas agudos;</t>
  </si>
  <si>
    <t>#AcutePhaseTransitionMatrix</t>
  </si>
  <si>
    <t>MarkovStateTransition</t>
  </si>
  <si>
    <t>#hasTransitionProbability: Asintomático a Convulsiones: 0.55;</t>
  </si>
  <si>
    <t>#HearingLoss</t>
  </si>
  <si>
    <t>#HearingLossProbabilityProfound</t>
  </si>
  <si>
    <t>#hasExpectedValue: 0.6154;</t>
  </si>
  <si>
    <t>#HearingLossProportionProfound</t>
  </si>
  <si>
    <t>#HearingLossUtility</t>
  </si>
  <si>
    <t>#hasExpectedValue: 0.910;</t>
  </si>
  <si>
    <t>#Hypotonia</t>
  </si>
  <si>
    <t>#HypotoniaFrequencyPartial</t>
  </si>
  <si>
    <t>#hasExpectedValue: 0.0000;</t>
  </si>
  <si>
    <t>#HypotoniaProbabilityProfound</t>
  </si>
  <si>
    <t>#hasExpectedValue: 0.5000;</t>
  </si>
  <si>
    <t>#ImmunodeficiencyProgressionRate</t>
  </si>
  <si>
    <t>#hasExpectedValue: 0.12;</t>
  </si>
  <si>
    <t>#LateClinicalDetection</t>
  </si>
  <si>
    <t>#hasDiagnosticDelay: 8.2 meses;</t>
  </si>
  <si>
    <t>No encuentro el valor al qe hace referencia</t>
  </si>
  <si>
    <t>#MentalRetardation</t>
  </si>
  <si>
    <t>#hasUtility: #MentalRetardationUtility;</t>
  </si>
  <si>
    <t>#hasDescription: Retraso del desarrollo psicomotor y mental;</t>
  </si>
  <si>
    <t>#MentalRetardationProbabilityPartial</t>
  </si>
  <si>
    <t>#hasExpectedValue: 0.3478;</t>
  </si>
  <si>
    <t>#MentalRetardationProbabilityProfound</t>
  </si>
  <si>
    <t>#isParameterOfManifestation: #MentalRetardation;</t>
  </si>
  <si>
    <t>#hasExpectedValue: 0.3478; #hasDescription: Probabilidad de retraso mental en deficiencia profunda sin tratamiento;</t>
  </si>
  <si>
    <t>#MentalRetardationUtility</t>
  </si>
  <si>
    <t>#hasDescription: Desutilidad por retraso mental moderado; #hasExpectedValue: 0.790;</t>
  </si>
  <si>
    <t>#MetabolicAcidosis</t>
  </si>
  <si>
    <t>#precedes: #RespiratoryDistress;</t>
  </si>
  <si>
    <t>#hasDescription: Episodios agudos de acidosis metabólica con pH &lt;7.2;</t>
  </si>
  <si>
    <t>#MetabolicAcidosisDisutility</t>
  </si>
  <si>
    <t>#hasExpectedValue: 0.880;</t>
  </si>
  <si>
    <t>#MetabolicAcidosisProbabilityProfound</t>
  </si>
  <si>
    <t>#hasExpectedValue: 0.4231;</t>
  </si>
  <si>
    <t>#MetabolicMonitoring</t>
  </si>
  <si>
    <t>ClinicalProcedure</t>
  </si>
  <si>
    <t>#hasFrequency: Trimestral;</t>
  </si>
  <si>
    <t>#NewbornScreening_BTD</t>
  </si>
  <si>
    <t>#requiresConfirmatoryTest: #SerumBiotinidaseTest;</t>
  </si>
  <si>
    <t>#hasCostPerTest: 4.50;</t>
  </si>
  <si>
    <t>#OpticAtrophy</t>
  </si>
  <si>
    <t>#OpticAtrophyProportionPartial</t>
  </si>
  <si>
    <t>#hasDescription: Deficiencia parcial (10-30% actividad);</t>
  </si>
  <si>
    <t>#PostSeizureComplicationsProb</t>
  </si>
  <si>
    <t>ConditionalParameter</t>
  </si>
  <si>
    <t>#hasExpectedValue: 0.782; #hasCondition: Seizures occurred;</t>
  </si>
  <si>
    <t>#ProfoundBiotinidaseDeficiency</t>
  </si>
  <si>
    <t>#hasDescription: Deficiencia profunda (&lt;10% actividad enzimática);</t>
  </si>
  <si>
    <t>#ProfoundDeficiencyFollowUp</t>
  </si>
  <si>
    <t>MonitoringProtocol</t>
  </si>
  <si>
    <t>#hasSchedule: Mensual primer año, trimestral posterior;</t>
  </si>
  <si>
    <t>#ProfoundDeficiencyTreatment</t>
  </si>
  <si>
    <t>PharmacologicalProtocol</t>
  </si>
  <si>
    <t>#hasDosage: 10-20 mg/día biotina oral;</t>
  </si>
  <si>
    <t>#RespiratoryDistress</t>
  </si>
  <si>
    <t>#RespiratoryDistressDisutility</t>
  </si>
  <si>
    <t>#hasExpectedValue: 0.860;</t>
  </si>
  <si>
    <t>#RespiratoryDistressProbabilityProfound</t>
  </si>
  <si>
    <t>#hasExpectedValue: 0.289;</t>
  </si>
  <si>
    <t>#ScreeningVsClinicalImpact</t>
  </si>
  <si>
    <t>ComparativeParameter</t>
  </si>
  <si>
    <t>#hasQALYGain: 7.34;</t>
  </si>
  <si>
    <t>#hasUtility: #SeizuresUtility; #occursWith: #Hypotonia;</t>
  </si>
  <si>
    <t>#SeizuresFrequencyProfound</t>
  </si>
  <si>
    <t>#SeizuresProbabilityProfound</t>
  </si>
  <si>
    <t>#isParameterOfManifestation: #Seizures;</t>
  </si>
  <si>
    <t>#SeizuresUtility</t>
  </si>
  <si>
    <t>#hasExpectedValue: 0.840;</t>
  </si>
  <si>
    <t>#SerumBiotinidaseTest</t>
  </si>
  <si>
    <t>#hasSensitivity: 0.999; #hasCost: 120.00;</t>
  </si>
  <si>
    <t>#SkinProblems</t>
  </si>
  <si>
    <t>#TreatmentConsistencyAxiom</t>
  </si>
  <si>
    <t>#hasRule: ProfoundDeficiencyTreatment requires some MetabolicMonitoring;</t>
  </si>
  <si>
    <t>UC3-F1-I2-P1-M1</t>
  </si>
  <si>
    <t>#IRIBDDecisionModel</t>
  </si>
  <si>
    <t>#includesModelItem: #IRIBDDisease;</t>
  </si>
  <si>
    <t>#IRIBDDisease</t>
  </si>
  <si>
    <t>#hasManifestation: #IRIBDManifSeizures;</t>
  </si>
  <si>
    <t>#hasName: Deficiencia de Biotinidasa; #hasRefToOMIM: 253260;</t>
  </si>
  <si>
    <t>#IRIBDManifSeizures</t>
  </si>
  <si>
    <t>#IRIBDPopulationSpain</t>
  </si>
  <si>
    <t>#hasSize: 450000;</t>
  </si>
  <si>
    <t>#IRIBDScreening</t>
  </si>
  <si>
    <t>#hasCost: #IRIBDScreeningCost;</t>
  </si>
  <si>
    <t>#hasSpecificity: 0.99994; #hasSensitivity: 1.0;</t>
  </si>
  <si>
    <t>#IRIBDScreeningCost</t>
  </si>
  <si>
    <t>#hasValue: 1.85;</t>
  </si>
  <si>
    <t>#IRIBDSeizuresProbDist</t>
  </si>
  <si>
    <t>#hasProbabilityParameter: 0.5575;</t>
  </si>
  <si>
    <t>#IRIBDTotalPrevalence</t>
  </si>
  <si>
    <t>#isParameterOfDisease: #IRIBDDisease;</t>
  </si>
  <si>
    <t>#hasValue: 1.48E-5;</t>
  </si>
  <si>
    <t>UC3-F1-I2-P2-M1</t>
  </si>
  <si>
    <t>#IRIBTDAcuteOnsetModel</t>
  </si>
  <si>
    <t>#appliesToStage: #IRIBTDStagePartial; #appliesToStage: #IRIBTDStageTotal;</t>
  </si>
  <si>
    <t>#hasName: Modelo de progresión temporal aguda; #hasDescription: Distribuciones de tiempo para complicaciones de aparición temprana (&lt;12 meses);</t>
  </si>
  <si>
    <t>#IRIBTDAudiometricMonitoring</t>
  </si>
  <si>
    <t>#earlyDetects: #IRIBTDManifHearingLoss;</t>
  </si>
  <si>
    <t>#referencesSource: Protocolo ORL para Errores Metabólicos; #hasFrequency: P1Y; #hasDuration: Lifelong; #hasName: Audiometría anual; #hasCost: 85.00;</t>
  </si>
  <si>
    <t>Probable alucinación. No encuentro la referencia</t>
  </si>
  <si>
    <t>#IRIBTDBaseUtility</t>
  </si>
  <si>
    <t>DeterministicParameter, Utility</t>
  </si>
  <si>
    <t>#hasDataItemType: DIUtility; #hasName: Utilidad base para recién nacido sano; #hasExpectedValue: 1.000; #referencesSource: EQ-5D-Y Normas Españolas 2024;</t>
  </si>
  <si>
    <t>#IRIBTDBiotinCost</t>
  </si>
  <si>
    <t>#IRIBTDBiotinCostHighDose</t>
  </si>
  <si>
    <t>#hasValue: 456.78; #hasCurrency: EUR;</t>
  </si>
  <si>
    <t>#IRIBTDBloodTest</t>
  </si>
  <si>
    <t>#hasCost: 85.00;</t>
  </si>
  <si>
    <t>#IRIBTDChronicOnsetModel</t>
  </si>
  <si>
    <t>#appliesToStage: #IRIBTDStageTotal;</t>
  </si>
  <si>
    <t>#hasDescription: Distribuciones para complicaciones de aparición tardía (&gt;12 meses); #hasName: Modelo de progresión temporal crónica;</t>
  </si>
  <si>
    <t>#IRIBTDClinicalEffectiveness</t>
  </si>
  <si>
    <t>#hasOutcome: #IRIBTDManifHearingLoss;</t>
  </si>
  <si>
    <t>#hasName: Efectividad detección clínica; #referencesSource: Estudio de Casos Clínicos Retrasados 2025; #hasValue: 0.654; #hasMeasure: Tasa Diagnóstico Correcto; #hasConfidenceInterval: [0.589-0.719];</t>
  </si>
  <si>
    <t>#IRIBTDConfirmatoryCost</t>
  </si>
  <si>
    <t>#IRIBTDConfirmatoryTest</t>
  </si>
  <si>
    <t>#hasCost: #IRIBTDConfirmatoryCost;</t>
  </si>
  <si>
    <t>#referencesSource: Algoritmo Diagnóstico Europeo v3.2; #hasSpecificity: 1.000; #hasName: Confirmación por espectrometría de masas en tándem; #hasSensitivity: 1.000;</t>
  </si>
  <si>
    <t>#IRIBTDConvulsionsAdj</t>
  </si>
  <si>
    <t>#hasValue: 0.016; #hasFormula: U_ajustada = U_base - (0.16 + n_convulsiones × 0.016); #hasName: Factor de ajuste por frecuencia convulsiva;</t>
  </si>
  <si>
    <t>#IRIBTDDelayedDiagnosis</t>
  </si>
  <si>
    <t>#IRIBTDDermatologicalEval</t>
  </si>
  <si>
    <t>#prevents: #IRIBTDManifSkinProblems;</t>
  </si>
  <si>
    <t>#hasName: Evaluación dermatológica anual; #hasCost: 120.00; #hasDuration: P18Y; #hasFrequency: P1Y; #referencesSource: Guía DERMAT-METAB 2024;</t>
  </si>
  <si>
    <t>#IRIBTDDisease</t>
  </si>
  <si>
    <t>#hasDescription: Error congénito del metabolismo del reciclaje de la biotina de herencia autosómica recesiva; #hasName: Deficiencia de Biotinidasa; #hasOMIM: 253260;</t>
  </si>
  <si>
    <t>#IRIBTDEarlyTreatmentEffect</t>
  </si>
  <si>
    <t>#affectsParameter: #IRIBTDTotalManifConvulsionsIncidence;</t>
  </si>
  <si>
    <t>#reducesProbabilityOf: 0.95;</t>
  </si>
  <si>
    <t>#IRIBTDFollowUpEffectivenessPartial</t>
  </si>
  <si>
    <t>#hasValue: 0.92;</t>
  </si>
  <si>
    <t>#IRIBTDFollowUpEffectivenessTotal</t>
  </si>
  <si>
    <t>#hasValue: 0.78;</t>
  </si>
  <si>
    <t>#IRIBTDFollowUpPartial</t>
  </si>
  <si>
    <t>#hasComponent: #IRIBTDMetabolicPanelPartial;</t>
  </si>
  <si>
    <t>#IRIBTDFollowUpTotal</t>
  </si>
  <si>
    <t>#hasComponent: #IRIBTDMetabolicPanelTotal;</t>
  </si>
  <si>
    <t>#hasCost: 9850.00; #hasFrequency: P3M;</t>
  </si>
  <si>
    <t>#IRIBTDFrequencyAdjustmentRule</t>
  </si>
  <si>
    <t>#hasCondition: Estabilidad bioquímica ≥24 meses;</t>
  </si>
  <si>
    <t>#IRIBTDHearingAgeAdj</t>
  </si>
  <si>
    <t>#IRIBTDInterventionClinical</t>
  </si>
  <si>
    <t>#hasComponent: #IRIBTDDelayedDiagnosis;</t>
  </si>
  <si>
    <t>#hasName: Detección clínica basada en sintomatología;</t>
  </si>
  <si>
    <t>#IRIBTDInterventionScreening</t>
  </si>
  <si>
    <t>HealthcareProgram, ScreeningIntervention</t>
  </si>
  <si>
    <t>#hasCostParameter: #IRIBTDScreeningCost; #hasComponent: #IRIBTDScreeningTest;</t>
  </si>
  <si>
    <t>#hasName: Cribado neonatal de deficiencia de biotinidasa; #hasSensitivity: 0.998; #hasSpecificity: 0.9995; #referencesSource: Protocolo de Cribado Neonatal Español 2025; #hasDescription: Programa sistemático de detección precoz mediante ensayo enzimático en sangre seca;</t>
  </si>
  <si>
    <t>#IRIBTDLateTreatment</t>
  </si>
  <si>
    <t>#hasCost: #IRIBTDBiotinCost;</t>
  </si>
  <si>
    <t>#referencesSource: Análisis Comparativo de Eficacia Terapéutica; #hasAdministration: Oral; #hasName: Tratamiento tardío con biotina; #hasDosage: 10 mg/día; #hasEfficacyReduction: 0.34;</t>
  </si>
  <si>
    <t>#IRIBTDLateTreatmentEffect</t>
  </si>
  <si>
    <t>#hasName: Efecto limitado del tratamiento tardío; #reducesProbabilityOf: 0.45; #hasNoEffectOn: IRIBTDManifMentalRetardationLER; #referencesSource: Estudio de Intervención Tardía 2023;</t>
  </si>
  <si>
    <t>#IRIBTDManifConvulsions</t>
  </si>
  <si>
    <t>NeurologicalManifestation, AcuteManifestation</t>
  </si>
  <si>
    <t>#hasIncidence: #IRIBTDTotalManifConvulsionsIncidence;</t>
  </si>
  <si>
    <t>#hasOnsetAge: P3M; #hasDescription: Episodios paroxísticos de actividad neuronal sincrónica patológica...; #referencesSource: Protocolo de Epilepsias Metabólicas SEGHNP 2022; #hasName: Crisis convulsivas por deficiencia de biotinidasa; #hasName: Crisis convulsivas;</t>
  </si>
  <si>
    <t>No encuentro el documento al que hace referencia</t>
  </si>
  <si>
    <t>#IRIBTDManifConvulsionsDuration</t>
  </si>
  <si>
    <t>TemporalParameter, DeterministicParameter</t>
  </si>
  <si>
    <t>#isTemporalParameterOf: #IRIBTDManifConvulsions;</t>
  </si>
  <si>
    <t>#hasExpectedValue: P2Y; #hasDescription: Periodo desde primera crisis hasta control con tratamiento; #hasName: Duración promedio de fase convulsiva activa;</t>
  </si>
  <si>
    <t>#IRIBTDManifConvulsionsOnset</t>
  </si>
  <si>
    <t>TemporalParameter, ProbabilisticParameter</t>
  </si>
  <si>
    <t>#hasName: Tiempo hasta primera convulsión; #hasConfidenceInterval: [P6W-P5M]; #hasProbabilityDistributionType: DIWeibullDistribution; #hasScaleParameter: 8.43; #hasExpectedValue: P3M; #hasShapeParameter: 2.15;</t>
  </si>
  <si>
    <t>#IRIBTDManifConvulsionsU</t>
  </si>
  <si>
    <t>ProbabilisticParameter, UtilityParameter, Utility</t>
  </si>
  <si>
    <t>#hasAdjustmentFactor: #IRIBTDConvulsionsAdj; #isParameterOfManifestation: #IRIBTDManifConvulsions;</t>
  </si>
  <si>
    <t>#hasExpectedValue: 0.840; #hasUtilityDecrementFormula: Base - 0.16 × (N_episodios/mes); #referencesSource: Estudio de Preferencias en Epilepsia Infantil 2023; #hasConfidenceInterval: [0.795-0.885]; #hasName: Desutilidad por crisis convulsivas recurrentes; #hasDataItemType: DIUtility;</t>
  </si>
  <si>
    <t>#IRIBTDManifHearingLoss</t>
  </si>
  <si>
    <t>ChronicManifestation, SensoryManifestation</t>
  </si>
  <si>
    <t>#hasIncidence: #IRIBTDTotalManifHearingLossIncidence;</t>
  </si>
  <si>
    <t>#hasName: Hipoacusia neurosensorial bilateral progresiva; #hasUtility: 0.910; #hasOnsetAge: P18M;</t>
  </si>
  <si>
    <t>#IRIBTDManifHearingLossOnset</t>
  </si>
  <si>
    <t>#isTemporalParameterOf: #IRIBTDManifHearingLoss;</t>
  </si>
  <si>
    <t>#referencesSource: Estudio Longitudinal Auditivo 2024; #hasName: Tiempo hasta hipoacusia diagnosticable; #hasProbabilityDistributionType: DIGammaDistribution; #hasConfidenceInterval: [P12M-P24M]; #hasRate: 0.15; #hasShape: 3.8; #hasExpectedValue: P18M;</t>
  </si>
  <si>
    <t>#IRIBTDManifHearingLossProgression</t>
  </si>
  <si>
    <t>#hasExpectedValue: 0.25; #hasName: Tasa de progresión de hipoacusia; #hasUnit: dB/año;</t>
  </si>
  <si>
    <t>#IRIBTDManifHearingLossU</t>
  </si>
  <si>
    <t>Utility, ProbabilisticParameter</t>
  </si>
  <si>
    <t>#isParameterOfManifestation: #IRIBTDManifHearingLoss; #hasAgeAdjustment: #IRIBTDHearingAgeAdj;</t>
  </si>
  <si>
    <t>#hasName: Desutilidad por hipoacusia bilateral; #hasExpectedValue: 0.910; #hasConfidenceInterval: [0.883-0.937]; #referencesSource: Mapa de Hipoacusia a EQ-5D-5L 2024; #hasDataItemType: DIUtility;</t>
  </si>
  <si>
    <t>#IRIBTDManifHypotonia</t>
  </si>
  <si>
    <t>AcuteManifestation, NeuromuscularManifestation</t>
  </si>
  <si>
    <t>#hasDuration: P6M;</t>
  </si>
  <si>
    <t>#IRIBTDManifHypotoniaDuration</t>
  </si>
  <si>
    <t>#isTemporalParameterOf: #IRIBTDManifHypotonia;</t>
  </si>
  <si>
    <t>#hasRate: 0.75; #hasName: Duración de hipotonía no tratada; #hasShape: 4.2; #hasExpectedValue: P6M; #hasProbabilityDistributionType: DIGammaDistribution; #hasConfidenceInterval: [P3M-P9M]; #referencesSource: Modelo de Progresión Motora 2023;</t>
  </si>
  <si>
    <t>#IRIBTDManifHypotoniaOnset</t>
  </si>
  <si>
    <t>DeterministicParameter, TemporalParameter</t>
  </si>
  <si>
    <t>#hasFixedValue: true; #hasDataItemType: DITimeToEvent; #referencesSource: Revisión de Casos Neonatales - Anexo C; #hasExpectedValue: P1M; #hasName: Edad de inicio de hipotonía;</t>
  </si>
  <si>
    <t>#IRIBTDManifHypotoniaU</t>
  </si>
  <si>
    <t>#isParameterOfManifestation: #IRIBTDManifHypotonia;</t>
  </si>
  <si>
    <t>#referencesSource: Mapping SIP to EQ-5D en Parálisis Cerebral 2024; #hasDescription: Reducción por limitación motora y dependencia; #hasExpectedValue: 0.930; #hasName: Desutilidad por hipotonía grave; #hasDataItemType: DIUtility;</t>
  </si>
  <si>
    <t>#IRIBTDManifMentalRetardation</t>
  </si>
  <si>
    <t>#IRIBTDManifMentalRetardationDuration</t>
  </si>
  <si>
    <t>#isTemporalParameterOf: #IRIBTDManifMentalRetardation;</t>
  </si>
  <si>
    <t>#hasName: Duración del retraso mental; #hasExpectedValue: P70Y; #hasDescription: Desde diagnóstico hasta expectativa de vida media; #referencesSource: Tabla 9.3 - Esperanza de Vida Ajustada;</t>
  </si>
  <si>
    <t>#IRIBTDManifMentalRetardationLER</t>
  </si>
  <si>
    <t>ProbabilisticParameter, MortalityParameter</t>
  </si>
  <si>
    <t>#hasAdjustmentFactor: #IRIBTDMortalityAdjustment;</t>
  </si>
  <si>
    <t>#hasConfidenceInterval: [7.23-11.91]; #hasName: Reducción de esperanza de vida por retraso mental; #hasUnit: años; #referencesSource: Estudio Longitudinal de Mortalidad en Discapacidad Intelectual 2024; #hasDataItemType: DILifeExpectancyReduction; #hasValue: 9.57; #hasExpectedValue: 9.57;</t>
  </si>
  <si>
    <t>#IRIBTDManifMentalRetardationOnset</t>
  </si>
  <si>
    <t>ProbabilisticParameter, TemporalParameter</t>
  </si>
  <si>
    <t>#referencesSource: Escalas Bayley-III - Dataset Español; #hasExpectedValue: P36M; #hasConfidenceInterval: [P24M-P48M]; #hasName: Edad de diagnóstico de retraso mental; #hasProbabilityDistributionType: DILogNormalDistribution; #hasSigma: 0.42; #hasMu: 3.58;</t>
  </si>
  <si>
    <t>#IRIBTDManifMentalRetardationU</t>
  </si>
  <si>
    <t>ProbabilisticParameter, Utility</t>
  </si>
  <si>
    <t>#isParameterOfManifestation: #IRIBTDManifMentalRetardation;</t>
  </si>
  <si>
    <t>#hasDataItemType: DIUtility; #hasExpectedValue: 0.790; #hasName: Desutilidad por retraso mental severo; #referencesSource: CHU9D Adaptación Española en Discapacidad Intelectual 2025; #hasMultiplicativeEffect: true; #hasConfidenceInterval: [0.752-0.828]; #hasCognitiveImpact: IQ &lt;50;</t>
  </si>
  <si>
    <t>#IRIBTDManifOpticAtrophy</t>
  </si>
  <si>
    <t>ChronicManifestation, OphthalmologicalManifestation</t>
  </si>
  <si>
    <t>#hasIncidence: #IRIBTDTotalManifOpticAtrophyIncidence;</t>
  </si>
  <si>
    <t>#referencesSource: Guía de Seguimiento Oftalmológico en Errores Innatos 2024; #hasDescription: Degeneración del nervio óptico secundaria a desmielinización...; #hasOnsetAge: P24M; #hasName: Atrofia óptica postneurítica;</t>
  </si>
  <si>
    <t>#IRIBTDManifOpticAtrophyU</t>
  </si>
  <si>
    <t>#isParameterOfManifestation: #IRIBTDManifOpticAtrophy;</t>
  </si>
  <si>
    <t>#hasConfidenceInterval: [0.812-0.888]; #hasDataItemType: DIUtility; #hasName: Desutilidad por atrofia óptica; #referencesSource: Estudio VISQoL en Neuropatías Ópticas 2023; #hasExpectedValue: 0.850; #hasVisualAcuityImpact: &gt;0.3 logMAR;</t>
  </si>
  <si>
    <t>#IRIBTDManifSkinProblems</t>
  </si>
  <si>
    <t>#hasIncidence: #IRIBTDPartialManifSkinProblemsIncidence;</t>
  </si>
  <si>
    <t>#IRIBTDManifSkinProblemsU</t>
  </si>
  <si>
    <t>#isParameterOfManifestation: #IRIBTDManifSkinProblems;</t>
  </si>
  <si>
    <t>#hasName: Desutilidad por dermatitis alérgica grave; #hasAlpha: 93; #hasBeta: 7; #hasProbabilityDistributionType: DIBetaDistribution; #referencesSource: Estudio QUALIDERM-BTD 2025; #hasConfidenceInterval: [0.901-0.959]; #hasExpectedValue: 0.930; #hasDataItemType: DIUtility;</t>
  </si>
  <si>
    <t>#IRIBTDMetabolicPanelPartial</t>
  </si>
  <si>
    <t>#IRIBTDMetabolicPanelTotal</t>
  </si>
  <si>
    <t>#hasFrequency: P3M;</t>
  </si>
  <si>
    <t>#IRIBTDMonitoringProtocol</t>
  </si>
  <si>
    <t>#hasComponent: #IRIBTDBloodTest;</t>
  </si>
  <si>
    <t>#IRIBTDMortalityAdjustment</t>
  </si>
  <si>
    <t>#hasValue: 1.32;</t>
  </si>
  <si>
    <t>#IRIBTDNeurologicalEvalTotal</t>
  </si>
  <si>
    <t>#assesses: #IRIBTDManifMentalRetardation;</t>
  </si>
  <si>
    <t>#referencesSource: Guía de Seguimiento Neurológico 2024; #hasFrequency: P6M; #hasName: Evaluación neurológica semestral; #hasCost: 200.00; #hasDuration: P10Y;</t>
  </si>
  <si>
    <t>#IRIBTDNoComplicationsU</t>
  </si>
  <si>
    <t>#hasExpectedValue: 1.000;</t>
  </si>
  <si>
    <t>#IRIBTDPartialManifConvulsionsIncidence</t>
  </si>
  <si>
    <t>#isParameterOfManifestation: #IRIBTDManifConvulsions;</t>
  </si>
  <si>
    <t>#hasName: Incidencia acumulada de convulsiones en deficiencia parcial; #hasConfidenceInterval: [0.0648-0.1400]; #hasExpectedValue: 0.1024; #hasDataItemType: DIIncidence;</t>
  </si>
  <si>
    <t>#IRIBTDPartialManifHearingLossIncidence</t>
  </si>
  <si>
    <t>#isParameterOfManifestation: #IRIBTDManifHearingLoss;</t>
  </si>
  <si>
    <t>#hasName: Incidencia acumulada de hipoacusia en deficiencia parcial; #hasDataItemType: DIIncidence; #hasExpectedValue: 0.3429; #hasConfidenceInterval: [0.2745-0.4113];</t>
  </si>
  <si>
    <t>#IRIBTDPartialManifMentalRetardationIncidence</t>
  </si>
  <si>
    <t>#hasName: Incidencia de retraso mental en deficiencia parcial; #hasDataItemType: DIIncidence; #hasExpectedValue: 0.1578; #hasConfidenceInterval: [0.0954-0.2202];</t>
  </si>
  <si>
    <t>#IRIBTDPartialManifSkinProblemsIncidence</t>
  </si>
  <si>
    <t>#hasConfidenceInterval: [0.0985-0.2157]; #hasName: Incidencia de problemas dérmicos en deficiencia parcial; #hasDataItemType: DIIncidence; #hasExpectedValue: 0.1571;</t>
  </si>
  <si>
    <t>#IRIBTDPartialPrevalenceAtBirth</t>
  </si>
  <si>
    <t>#isParameterOfDisease: #IRIBTDDisease;</t>
  </si>
  <si>
    <t>#hasValue: 1/33810; #hasName: Prevalencia al nacimiento de deficiencia parcial de biotinidasa; #hasNumericalValue: 0.000029577; #referencesSource: Registro Nacional de Errores Congénitos del Metabolismo 2024; #hasDescription: Frecuencia estimada de recién nacidos con actividad enzimática 10-30% en población española; #hasConfidenceInterval: [1/69450-1/19200];</t>
  </si>
  <si>
    <t>#IRIBTDScreeningCost</t>
  </si>
  <si>
    <t>#hasComponent: #IRIBTDScreeningUnitCost;</t>
  </si>
  <si>
    <t>#hasFormula: N_recién_nacidos × (Coste_prueba + Coste_confirmación × Tasa_positivos);</t>
  </si>
  <si>
    <t>#IRIBTDScreeningEffectiveness</t>
  </si>
  <si>
    <t>#hasOutcome: #IRIBTDManifConvulsions;</t>
  </si>
  <si>
    <t>#hasValue: 0.873; #hasConfidenceInterval: [0.812-0.934];</t>
  </si>
  <si>
    <t>#IRIBTDScreeningTest</t>
  </si>
  <si>
    <t>#hasSpecificity: 0.9995; #hasTurnaroundTime: P3D; #hasSensitivity: 0.998;</t>
  </si>
  <si>
    <t>#IRIBTDScreeningUnitCost</t>
  </si>
  <si>
    <t>#IRIBTDSideEffectUtilityDecrement</t>
  </si>
  <si>
    <t>#appliesTo: #IRIBTDTreatmentTotal;</t>
  </si>
  <si>
    <t>#hasValue: 0.02;</t>
  </si>
  <si>
    <t>#IRIBTDStageControlled</t>
  </si>
  <si>
    <t>#hasUtility: 0.98;</t>
  </si>
  <si>
    <t>#IRIBTDStagePartial</t>
  </si>
  <si>
    <t>#hasName: Deficiencia Parcial;</t>
  </si>
  <si>
    <t>#IRIBTDStageTotal</t>
  </si>
  <si>
    <t>#hasName: Deficiencia Total; #hasInitialProportion: 0.000014789; #hasName: Deficiencia Total de Biotinidasa;</t>
  </si>
  <si>
    <t>#IRIBTDTemporalProgressionFramework</t>
  </si>
  <si>
    <t>#combinesModels: #IRIBTDAcuteOnsetModel; #combinesModels: #IRIBTDChronicOnsetModel;</t>
  </si>
  <si>
    <t>#hasName: Marco integrado de progresión temporal; #hasTemporalResolution: P1M; #referencesSource: Anexo Metodológico - Modelo de Markov; #hasCycleLength: P1M;</t>
  </si>
  <si>
    <t>#IRIBTDTotalManifConvulsionsIncidence</t>
  </si>
  <si>
    <t>EpidemiologicalParameter, ProbabilisticParameter</t>
  </si>
  <si>
    <t>#hasDataItemType: DIIncidence; #hasTimeFrame: P3M-P24M; #hasExpectedValue: 0.5575; #hasName: Incidencia acumulada de crisis convulsivas en deficiencia total; #hasProbabilityDistributionType: DIBetaDistribution; #hasAlpha: 55; #referencesSource: Tabla 4.2 del Informe - Progresión Neurológica Aguda; #hasBeta: 44; #hasConfidenceInterval: [0.4832-0.6318];</t>
  </si>
  <si>
    <t>#IRIBTDTotalManifConvulsionsTimeDist</t>
  </si>
  <si>
    <t>#isDistributionOf: #IRIBTDTotalManifConvulsionsIncidence;</t>
  </si>
  <si>
    <t>#hasName: Distribución temporal de aparición de convulsiones; #hasDistributionType: DIWeibullDistribution; #hasShapeParameter: 2.15; #hasTimeUnit: MESES; #hasScaleParameter: 8.43;</t>
  </si>
  <si>
    <t>#IRIBTDTotalManifHearingLossIncidence</t>
  </si>
  <si>
    <t>ProbabilisticParameter, EpidemiologicalParameter</t>
  </si>
  <si>
    <t>#hasAlpha: 80; #hasBeta: 50; #hasDataItemType: DIIncidence; #hasExpectedValue: 0.6154; #hasName: Riesgo acumulado de hipoacusia neurosensorial; #hasProbabilityDistributionType: DIBetaDistribution; #hasTimeFrame: P12M-P60M; #referencesSource: Auditoría Otorrinolaringológica 2024 - Dataset BTD; #hasConfidenceInterval: [0.5421-0.6887];</t>
  </si>
  <si>
    <t>#IRIBTDTotalManifHearingLossTimeDist</t>
  </si>
  <si>
    <t>#isDistributionOf: #IRIBTDTotalManifHearingLossIncidence;</t>
  </si>
  <si>
    <t>#hasDistributionType: DIGammaDistribution; #hasShapeParameter: 4.2; #hasName: Distribución de tiempo hasta hipoacusia; #hasRateParameter: 0.75; #hasTimeUnit: MESES;</t>
  </si>
  <si>
    <t>#IRIBTDTotalManifHypotoniaIncidence</t>
  </si>
  <si>
    <t>DeterministicParameter, EpidemiologicalParameter, ProbabilisticParameter</t>
  </si>
  <si>
    <t>#hasExpectedValue: 0.5000; #hasName: Probabilidad acumulada de hipotonía neonatal en deficiencia total; #hasName: Incidencia de hipotonía en deficiencia total; #hasAlpha: 50; #hasDataItemType: DIIncidence; #referencesSource: Figura 3.7 del Anexo Metodológico; #hasBeta: 50; #hasProbabilityDistributionType: DIBetaDistribution; #hasTimeFrame: P0M-P6M; #hasConfidenceInterval: [0.4231-0.5769];</t>
  </si>
  <si>
    <t>#IRIBTDTotalManifMentalRetardationIncidence</t>
  </si>
  <si>
    <t>#hasMu: -0.632; #hasDataItemType: DIIncidence; #hasSigma: 0.189; #hasName: Riesgo de retraso mental severo; #hasExpectedValue: 0.3478; #hasTimeFrame: P36M-P216M; #referencesSource: Evaluación Neuropsicológica Longitudinal - Capítulo 8; #hasProbabilityDistributionType: DILogitNormalDistribution; #hasConfidenceInterval: [0.2834-0.4122];</t>
  </si>
  <si>
    <t>#IRIBTDTotalManifOpticAtrophyIncidence</t>
  </si>
  <si>
    <t>#hasName: Incidencia de atrofia óptica en deficiencia total; #hasExpectedValue: 0.1667; #hasConfidenceInterval: [0.0985-0.2349]; #hasDataItemType: DIIncidence; #hasName: Incidencia puntual de atrofia óptica; #hasTimeFrame: P24M-P120M; #referencesSource: Estudio RETICS-OFTALMO 2023;</t>
  </si>
  <si>
    <t>#IRIBTDTotalManifSkinProblemsIncidence</t>
  </si>
  <si>
    <t>#hasBeta: 65; #referencesSource: Registro Dermatológico Nacional - Caso 45A; #hasTimeFrame: P2M-P12M; #hasExpectedValue: 0.3429; #hasName: Incidencia de problemas dérmicos en deficiencia total; #hasDataItemType: DIIncidence; #hasProbabilityDistributionType: DIBetaDistribution; #hasAlpha: 34; #hasName: Riesgo acumulado de dermatitis alérgica grave; #hasConfidenceInterval: [0.2745-0.4113];</t>
  </si>
  <si>
    <t>#IRIBTDTotalPrevalenceAtBirth</t>
  </si>
  <si>
    <t>#hasNumericalValue: 0.000014789; #hasDescription: Frecuencia estimada de recién nacidos con actividad enzimática ≤10% en población española; #hasValue: 1/67620; #hasExpectedValue: 0.000014789; #referencesSource: Datos del Estudio Colaborativo Español de Enfermedades Minoritarias 2023; #hasName: Prevalencia al nacimiento de deficiencia total de biotinidasa; #hasConfidenceInterval: [1/138900-1/38400];</t>
  </si>
  <si>
    <t>#IRIBTDTreatmentPartial</t>
  </si>
  <si>
    <t>IntermittentTreatment, PharmacologicalTreatment</t>
  </si>
  <si>
    <t>#reducesIncidenceOf: #IRIBTDPartialManifConvulsionsIncidence;</t>
  </si>
  <si>
    <t>#hasDosage: 5 mg/día; #reducesProbabilityBy: 0.85;</t>
  </si>
  <si>
    <t>#IRIBTDTreatmentSideEffects</t>
  </si>
  <si>
    <t>#hasUtilityImpact: #IRIBTDSideEffectUtilityDecrement;</t>
  </si>
  <si>
    <t>#hasIncidence: 0.0002;</t>
  </si>
  <si>
    <t>#IRIBTDTreatmentTotal</t>
  </si>
  <si>
    <t>PharmacologicalTreatment, ChronicTreatment</t>
  </si>
  <si>
    <t>#reducesIncidenceOf: #IRIBTDTotalManifConvulsionsIncidence;</t>
  </si>
  <si>
    <t>#hasDosage: 10 mg/día; #hasCost: 456.78; #reducesProbabilityBy: 0.95;</t>
  </si>
  <si>
    <t>#IRIBTDTreatmentTotalEffect</t>
  </si>
  <si>
    <t>#transformsStage: #IRIBTDStageControlled;</t>
  </si>
  <si>
    <t>#IRIBTDUrineTest</t>
  </si>
  <si>
    <t>#hasCost: 120.00; #hasName: Análisis de ácidos orgánicos en orina; #hasFrequency: P1Y;</t>
  </si>
  <si>
    <t>#IRIBTDUtilityCombinationRule</t>
  </si>
  <si>
    <t>#referencesSource: Guía de Modelado NICE para Enfermedades Multisistémicas; #hasFormula: U_total = U_base × ∏(U_manif_i); #hasName: Regla multiplicativa para comorbilidades múltiples;</t>
  </si>
  <si>
    <t>UC3-F1-I1-P1-M2</t>
  </si>
  <si>
    <t>#DB_Manif_AtrofiaOptica</t>
  </si>
  <si>
    <t>#hasName: Atrofia óptica;</t>
  </si>
  <si>
    <t>#DB_Manif_Convulsiones</t>
  </si>
  <si>
    <t>#hasName: Convulsiones;</t>
  </si>
  <si>
    <t>#DB_Manif_Hipotonia</t>
  </si>
  <si>
    <t>#hasName: Hipotonía;</t>
  </si>
  <si>
    <t>#DB_Manif_PerdidaAuditiva</t>
  </si>
  <si>
    <t>#hasName: Pérdida auditiva;</t>
  </si>
  <si>
    <t>#DB_Manif_Piel</t>
  </si>
  <si>
    <t>#hasName: Problemas dermatológicos;</t>
  </si>
  <si>
    <t>#DB_Manif_RetrasoMental</t>
  </si>
  <si>
    <t>#hasName: Retraso mental;</t>
  </si>
  <si>
    <t>#DB_Parcial</t>
  </si>
  <si>
    <t>IRIDisease</t>
  </si>
  <si>
    <t>#hasRefToOMIM: 253260; #hasDescription: Deficiencia parcial de biotinidasa, 10-30% actividad; #hasName: Deficiencia de biotinidasa parcial; #hasRefToICD: E53.8;</t>
  </si>
  <si>
    <t>#DB_Prob_AtrofiaOptica_Parcial</t>
  </si>
  <si>
    <t>#isParameterOfDisease: #DB_Parcial; #isParameterOfManifestation: #DB_Manif_AtrofiaOptica;</t>
  </si>
  <si>
    <t>#hasStandardDeviationParameter: 0.0; #hasExpectedValue: 0.0;</t>
  </si>
  <si>
    <t>#DB_Prob_AtrofiaOptica_Total</t>
  </si>
  <si>
    <t>#isParameterOfManifestation: #DB_Manif_AtrofiaOptica; #isParameterOfDisease: #DB_Total;</t>
  </si>
  <si>
    <t>#hasExpectedValue: 0.1667; #hasStandardDeviationParameter: 0.0393;</t>
  </si>
  <si>
    <t>#DB_Prob_Convulsiones_Parcial</t>
  </si>
  <si>
    <t>#isParameterOfDisease: #DB_Parcial; #isParameterOfManifestation: #DB_Manif_Convulsiones;</t>
  </si>
  <si>
    <t>#hasExpectedValue: 0.5575; #hasStandardDeviationParameter: 0.0467;</t>
  </si>
  <si>
    <t>#DB_Prob_Convulsiones_Total</t>
  </si>
  <si>
    <t>#isParameterOfDisease: #DB_Total; #isParameterOfManifestation: #DB_Manif_Convulsiones;</t>
  </si>
  <si>
    <t>#hasStandardDeviationParameter: 0.0467; #hasExpectedValue: 0.5575;</t>
  </si>
  <si>
    <t>#DB_Prob_Hipotonia_Parcial</t>
  </si>
  <si>
    <t>#isParameterOfDisease: #DB_Parcial; #isParameterOfManifestation: #DB_Manif_Hipotonia;</t>
  </si>
  <si>
    <t>#DB_Prob_Hipotonia_Total</t>
  </si>
  <si>
    <t>#isParameterOfDisease: #DB_Total; #isParameterOfManifestation: #DB_Manif_Hipotonia;</t>
  </si>
  <si>
    <t>#hasStandardDeviationParameter: 0.0913; #hasExpectedValue: 0.5;</t>
  </si>
  <si>
    <t>#DB_Prob_PerdidaAuditiva_Parcial</t>
  </si>
  <si>
    <t>#isParameterOfDisease: #DB_Parcial; #isParameterOfManifestation: #DB_Manif_PerdidaAuditiva;</t>
  </si>
  <si>
    <t>#hasStandardDeviationParameter: 0.0802; #hasExpectedValue: 0.3429;</t>
  </si>
  <si>
    <t>#DB_Prob_PerdidaAuditiva_Total</t>
  </si>
  <si>
    <t>#isParameterOfDisease: #DB_Total; #isParameterOfManifestation: #DB_Manif_PerdidaAuditiva;</t>
  </si>
  <si>
    <t>#hasExpectedValue: 0.6154; #hasStandardDeviationParameter: 0.0603;</t>
  </si>
  <si>
    <t>#DB_Prob_Piel_Parcial</t>
  </si>
  <si>
    <t>#isParameterOfManifestation: #DB_Manif_Piel; #isParameterOfDisease: #DB_Parcial;</t>
  </si>
  <si>
    <t>#DB_Prob_Piel_Total</t>
  </si>
  <si>
    <t>#isParameterOfDisease: #DB_Total; #isParameterOfManifestation: #DB_Manif_Piel;</t>
  </si>
  <si>
    <t>#hasExpectedValue: 0.3429; #hasStandardDeviationParameter: 0.0802;</t>
  </si>
  <si>
    <t>#DB_Prob_RetrasoMental_Parcial</t>
  </si>
  <si>
    <t>#isParameterOfManifestation: #DB_Manif_RetrasoMental; #isParameterOfDisease: #DB_Parcial;</t>
  </si>
  <si>
    <t>#hasExpectedValue: 0.3478; #hasStandardDeviationParameter: 0.0993;</t>
  </si>
  <si>
    <t>#DB_Prob_RetrasoMental_Total</t>
  </si>
  <si>
    <t>#isParameterOfDisease: #DB_Total; #isParameterOfManifestation: #DB_Manif_RetrasoMental;</t>
  </si>
  <si>
    <t>#DB_Total</t>
  </si>
  <si>
    <t>#hasName: Deficiencia de biotinidasa total; #hasRefToOMIM: 253260; #hasDescription: Deficiencia profunda de biotinidasa, ≤10% actividad; #hasRefToICD: E53.8;</t>
  </si>
  <si>
    <t>#DB_Utilidad_AtrofiaOptica</t>
  </si>
  <si>
    <t>#isParameterOfManifestation: #DB_Manif_AtrofiaOptica;</t>
  </si>
  <si>
    <t>#hasStandardDeviationParameter: 0.22; #hasExpectedValue: 0.85;</t>
  </si>
  <si>
    <t>#DB_Utilidad_Convulsiones</t>
  </si>
  <si>
    <t>#isParameterOfManifestation: #DB_Manif_Convulsiones;</t>
  </si>
  <si>
    <t>#hasStandardDeviationParameter: 0.21; #hasExpectedValue: 0.84;</t>
  </si>
  <si>
    <t>#DB_Utilidad_Hipotonia</t>
  </si>
  <si>
    <t>#isParameterOfManifestation: #DB_Manif_Hipotonia;</t>
  </si>
  <si>
    <t>#hasExpectedValue: 0.93; #hasStandardDeviationParameter: 0.17;</t>
  </si>
  <si>
    <t>#DB_Utilidad_PerdidaAuditiva</t>
  </si>
  <si>
    <t>#isParameterOfManifestation: #DB_Manif_PerdidaAuditiva;</t>
  </si>
  <si>
    <t>#hasStandardDeviationParameter: 0.18; #hasExpectedValue: 0.91;</t>
  </si>
  <si>
    <t>#DB_Utilidad_Piel</t>
  </si>
  <si>
    <t>#isParameterOfManifestation: #DB_Manif_Piel;</t>
  </si>
  <si>
    <t>#hasStandardDeviationParameter: 0.17; #hasExpectedValue: 0.93;</t>
  </si>
  <si>
    <t>#DB_Utilidad_RetrasoMental</t>
  </si>
  <si>
    <t>#isParameterOfManifestation: #DB_Manif_RetrasoMental;</t>
  </si>
  <si>
    <t>#hasStandardDeviationParameter: 0.22; #hasExpectedValue: 0.79;</t>
  </si>
  <si>
    <t>UC3-F1-I1-P2-M2</t>
  </si>
  <si>
    <t>#Analisis_Acidos_Organicos</t>
  </si>
  <si>
    <t>#Analisis_Acilcarnitinas</t>
  </si>
  <si>
    <t>#Audiometria</t>
  </si>
  <si>
    <t>#ConfirmacionDiagnostica</t>
  </si>
  <si>
    <t>#Consulta_Especialista_Metabolicas</t>
  </si>
  <si>
    <t>#Coste_Biotina</t>
  </si>
  <si>
    <t>#Coste_Biotina_DBParcial</t>
  </si>
  <si>
    <t>#Coste_Biotina_DBTotal</t>
  </si>
  <si>
    <t>#Coste_CribadoNeonatal_Biotinidasa</t>
  </si>
  <si>
    <t>#Coste_DiagnosticoClinico_Biotinidasa</t>
  </si>
  <si>
    <t>#Coste_Seguimiento_Biotinidasa</t>
  </si>
  <si>
    <t>#Coste_Seguimiento_DBParcial</t>
  </si>
  <si>
    <t>#Coste_Seguimiento_DBTotal</t>
  </si>
  <si>
    <t>#CribadoNeonatal_Biotinidasa</t>
  </si>
  <si>
    <t>#hasComponent: #Tratamiento_Biotina; #hasComponent: #RepeticionMuestraSiPositivo; #hasComponent: #ConfirmacionDiagnostica; #hasCost: #Coste_CribadoNeonatal_Biotinidasa; #hasSpecificity: #Especificidad_CribadoNeonatal_Biotinidasa; #hasSensitivity: #Sensibilidad_CribadoNeonatal_Biotinidasa; #hasComponent: #MedidaActividadBiotinidasa; #hasUtility: #Utilidad_CribadoNeonatal_Biotinidasa; #hasComponent: #Seguimiento_Biotinidasa;</t>
  </si>
  <si>
    <t>#hasName: Cribado neonatal de la deficiencia de biotinidasa; #hasDescription: Medida de la actividad biotinidasa en sangre en papel mediante ensayo enzimático o fluorimétrico semicuantitativo, con repetición en caso de positividad, confirmación diagnóstica enzimática y genética, y tratamiento precoz con biotina.;</t>
  </si>
  <si>
    <t>#DBD</t>
  </si>
  <si>
    <t>#hasEpidemiologicalParameter: #DBD_BirthPrev_Total; #hasEpidemiologicalParameter: #DBD_BirthPrev_Parcial; #hasStage: #DBD_Stage_Parcial; #hasStage: #DBD_Stage_Total;</t>
  </si>
  <si>
    <t>#hasDescription: Error congénito del metabolismo caracterizado por deficiencia en la actividad de la enzima biotinidasa, con herencia autosómica recesiva, que afecta el reciclaje de la biotina.; #hasRefToOMIM: 253260; #hasRefToICD: E71.1; #hasName: Deficiencia de biotinidasa; #hasRefToSNOMED: 190823003;</t>
  </si>
  <si>
    <t>#DBD_BirthPrev_Parcial</t>
  </si>
  <si>
    <t>#hasDataItemType: #IRIDIBirthPrevalence;</t>
  </si>
  <si>
    <t>#hasName: Prevalencia al nacimiento de deficiencia parcial de biotinidasa; #isTrueEpidemiologicalParameterEstimate: true; #hasGeographicalContext: España; #hasDescription: Proporción de recién nacidos vivos con deficiencia parcial (10-30% actividad enzimática) de biotinidasa.; #hasYear: 2013; #hasName: Prevalencia al nacimiento de DB parcial; #hasSource: Programa de cribado Galicia; #hasSource: Programa de cribado neonatal de Galicia, Informe SESCS 2013; #hasProbabilityDistributionParameter: Beta(16, 540947); #hasExpectedValue: 0.0000296;</t>
  </si>
  <si>
    <t>#DBD_BirthPrev_Total</t>
  </si>
  <si>
    <t>#hasProbabilityDistributionParameter: Beta(8, 540955); #hasDescription: Proporción de recién nacidos vivos con deficiencia profunda (&lt;10% actividad enzimática) de biotinidasa.; #hasGeographicalContext: España; #hasExpectedValue: 0.0000148; #hasYear: 2013; #hasSource: Programa de cribado Galicia; #hasName: Prevalencia al nacimiento de DB total; #hasName: Prevalencia al nacimiento de deficiencia profunda de biotinidasa; #hasSource: Programa de cribado neonatal de Galicia, Informe SESCS 2013; #isTrueEpidemiologicalParameterEstimate: true;</t>
  </si>
  <si>
    <t>#DBD_Disutility_AtrofiaOptica</t>
  </si>
  <si>
    <t>#isValueOfAttribute: #DBD_Manif_AtrofiaOptica;</t>
  </si>
  <si>
    <t>#hasExpectedValue: 0.15; #hasName: Desutilidad por atrofia óptica en deficiencia de biotinidasa; #hasSource: Carroll and Downs 2009, SESCS 2013; #hasDescription: Pérdida de utilidad asociada a la manifestación de atrofia óptica moderada en pacientes con deficiencia de biotinidasa; #hasStandardDeviationParameter: 0.22;</t>
  </si>
  <si>
    <t>#DBD_Disutility_Convulsiones</t>
  </si>
  <si>
    <t>#isValueOfAttribute: #DBD_Manif_Convulsiones;</t>
  </si>
  <si>
    <t>#hasExpectedValue: 0.16; #hasStandardDeviationParameter: 0.21; #hasDescription: Pérdida de utilidad asociada a la manifestación de convulsiones moderadas en pacientes con deficiencia de biotinidasa; #hasName: Desutilidad por convulsiones en deficiencia de biotinidasa; #hasSource: Carroll and Downs 2009, SESCS 2013;</t>
  </si>
  <si>
    <t>#DBD_Disutility_Hipotonia</t>
  </si>
  <si>
    <t>#isValueOfAttribute: #DBD_Manif_Hipotonia;</t>
  </si>
  <si>
    <t>#hasExpectedValue: 0.07; #hasSource: Carroll and Downs 2009 (asimilado a reacción alérgica), SESCS 2013; #hasStandardDeviationParameter: 0.17; #hasDescription: Pérdida de utilidad asociada a la manifestación de hipotonía moderada en pacientes con deficiencia de biotinidasa; #hasName: Desutilidad por hipotonía en deficiencia de biotinidasa;</t>
  </si>
  <si>
    <t>#DBD_Disutility_PerdidaAuditiva</t>
  </si>
  <si>
    <t>#isValueOfAttribute: #DBD_Manif_PerdidaAuditiva;</t>
  </si>
  <si>
    <t>#hasStandardDeviationParameter: 0.18; #hasDescription: Pérdida de utilidad asociada a la manifestación de pérdida auditiva moderada en pacientes con deficiencia de biotinidasa; #hasSource: Carroll and Downs 2009, SESCS 2013; #hasName: Desutilidad por pérdida auditiva en deficiencia de biotinidasa; #hasExpectedValue: 0.09;</t>
  </si>
  <si>
    <t>#DBD_Disutility_ProblemasPiel</t>
  </si>
  <si>
    <t>#isValueOfAttribute: #DBD_Manif_ProblemasPiel;</t>
  </si>
  <si>
    <t>#hasName: Desutilidad por problemas de piel en deficiencia de biotinidasa; #hasDescription: Pérdida de utilidad asociada a la manifestación de problemas de piel en pacientes con deficiencia de biotinidasa; #hasSource: Carroll and Downs 2009, SESCS 2013; #hasStandardDeviationParameter: 0.17; #hasExpectedValue: 0.07;</t>
  </si>
  <si>
    <t>#DBD_Disutility_RetrasoMental</t>
  </si>
  <si>
    <t>#isValueOfAttribute: #DBD_Manif_RetrasoMental;</t>
  </si>
  <si>
    <t>#hasSource: Carroll and Downs 2009, SESCS 2013; #hasStandardDeviationParameter: 0.22; #hasDescription: Pérdida de utilidad asociada a la manifestación de retraso mental moderado en pacientes con deficiencia de biotinidasa; #hasName: Desutilidad por retraso mental en deficiencia de biotinidasa; #hasExpectedValue: 0.21;</t>
  </si>
  <si>
    <t>#DBD_Manif_AtrofiaOptica</t>
  </si>
  <si>
    <t>#hasStage: #DBD_Stage_Total;</t>
  </si>
  <si>
    <t>#hasDescription: Pérdida de visión por afectación del nervio óptico, de carácter irreversible, que suele manifestarse a partir del segundo año de vida en pacientes con deficiencia profunda no tratados.; #hasDuration: Permanente; #hasSource: SESCS 2013, Carroll and Downs 2009; #hasProbabilityOfOccurrence_DBParcial: 0.0000; #hasUtility: 0.85; #hasProbabilityOfOccurrence_DBTotal: 0.1667; #hasName: Atrofia óptica; #hasOnsetAge: 2 años;</t>
  </si>
  <si>
    <t>#DBD_Manif_Convulsiones</t>
  </si>
  <si>
    <t>#hasStage: #DBD_Stage_Parcial; #hasStage: #DBD_Stage_Total;</t>
  </si>
  <si>
    <t>#hasProbabilityOfOccurrence_DBTotal: 0.5575; #hasDuration: 1 año; #hasSource: SESCS 2013, Carroll and Downs 2009; #hasProbabilityOfOccurrence_DBParcial: 0.5575; #hasName: Convulsiones; #hasDescription: Episodios de convulsiones en el contexto de deficiencia de biotinidasa sin tratar; suelen aparecer en el primer año de vida y se resuelven tras el inicio del tratamiento.; #hasOnsetAge: 0-1 años; #hasUtility: 0.84;</t>
  </si>
  <si>
    <t>#DBD_Manif_Hipotonia</t>
  </si>
  <si>
    <t>#hasProbabilityOfOccurrence_DBTotal: 0.5000; #hasSource: SESCS 2013, Carroll and Downs 2009; #hasOnsetAge: 0-1 años; #hasDescription: Disminución del tono muscular, generalmente en el primer año de vida en pacientes con deficiencia profunda de biotinidasa no tratada; se resuelve tras el tratamiento.; #hasUtility: 0.93; #hasProbabilityOfOccurrence_DBParcial: 0.0000; #hasName: Hipotonía; #hasDuration: 1 año;</t>
  </si>
  <si>
    <t>#DBD_Manif_PerdidaAuditiva</t>
  </si>
  <si>
    <t>#hasOnsetAge: 2 años; #hasSource: SESCS 2013, Carroll and Downs 2009; #hasUtility: 0.91; #hasProbabilityOfOccurrence_DBParcial: 0.3429; #hasName: Pérdida auditiva neurosensorial; #hasDescription: Pérdida de audición de carácter permanente, habitualmente bilateral, que puede requerir el uso de audífonos o implante coclear. Suele aparecer a partir del segundo año de vida en pacientes no tratados o tratados tardíamente.; #hasDuration: Permanente; #hasProbabilityOfOccurrence_DBTotal: 0.6154;</t>
  </si>
  <si>
    <t>#DBD_Manif_ProblemasPiel</t>
  </si>
  <si>
    <t>#hasStage: #DBD_Stage_Total; #hasStage: #DBD_Stage_Parcial;</t>
  </si>
  <si>
    <t>#hasSource: SESCS 2013, Carroll and Downs 2009; #hasDuration: 1 año; #hasUtility: 0.93; #hasName: Problemas de piel; #hasProbabilityOfOccurrence_DBParcial: 0.3429; #hasDescription: Manifestaciones dermatológicas (eccema, dermatitis, alopecia) en el primer año de vida en pacientes con deficiencia de biotinidasa no tratada; se resuelven tras el tratamiento.; #hasProbabilityOfOccurrence_DBTotal: 0.3429; #hasOnsetAge: 0-1 años;</t>
  </si>
  <si>
    <t>#DBD_Manif_RetrasoMental</t>
  </si>
  <si>
    <t>#hasProbabilityOfOccurrence_DBTotal: 0.3478; #hasProbabilityOfOccurrence_DBParcial: 0.3478; #hasDescription: Trastorno del desarrollo psicomotor y cognitivo, de carácter irreversible, que afecta la autonomía y calidad de vida del paciente. Suele manifestarse a partir del segundo año de vida.; #hasSource: SESCS 2013, Carroll and Downs 2009; #hasUtility: 0.79; #hasDuration: Permanente; #hasName: Retraso mental; #hasOnsetAge: 2 años;</t>
  </si>
  <si>
    <t>#DBD_Prob_AtrofiaOptica_DBParcial</t>
  </si>
  <si>
    <t>#isParameterOfManifestation: #DBD_Manif_AtrofiaOptica;</t>
  </si>
  <si>
    <t>#hasExpectedValue: 0.0000; #hasSource: SESCS 2013, Tabla 2; #hasProbabilityDistributionParameter: Beta; #hasName: Probabilidad de atrofia óptica en deficiencia parcial de biotinidasa; #hasYear: 2013; #hasDescription: Probabilidad de aparición de atrofia óptica en pacientes con deficiencia parcial de biotinidasa sin tratamiento; #isTrueEpidemiologicalParameterEstimate: true;</t>
  </si>
  <si>
    <t>#DBD_Prob_AtrofiaOptica_DBTotal</t>
  </si>
  <si>
    <t>#hasStandardDeviationParameter: 0.0393; #hasYear: 2013; #hasDescription: Probabilidad de aparición de atrofia óptica en pacientes con deficiencia total de biotinidasa sin tratamiento; #isTrueEpidemiologicalParameterEstimate: true; #hasExpectedValue: 0.1667; #hasName: Probabilidad de atrofia óptica en deficiencia total de biotinidasa; #hasSource: SESCS 2013, Tabla 2; #hasProbabilityDistributionParameter: Beta;</t>
  </si>
  <si>
    <t>#DBD_Prob_Convulsiones_DBParcial</t>
  </si>
  <si>
    <t>#isParameterOfManifestation: #DBD_Manif_Convulsiones;</t>
  </si>
  <si>
    <t>#hasDescription: Probabilidad de aparición de convulsiones en pacientes con deficiencia parcial de biotinidasa sin tratamiento; #hasSource: SESCS 2013, Tabla 2; #hasExpectedValue: 0.5575; #hasStandardDeviationParameter: 0.0467; #hasName: Probabilidad de convulsiones en deficiencia parcial de biotinidasa; #isTrueEpidemiologicalParameterEstimate: true; #hasYear: 2013; #hasProbabilityDistributionParameter: Beta;</t>
  </si>
  <si>
    <t>#DBD_Prob_Convulsiones_DBTotal</t>
  </si>
  <si>
    <t>#hasSource: SESCS 2013, Tabla 2; #hasName: Probabilidad de convulsiones en deficiencia total de biotinidasa; #hasDescription: Probabilidad de aparición de convulsiones en pacientes con deficiencia total de biotinidasa sin tratamiento; #hasExpectedValue: 0.5575; #hasStandardDeviationParameter: 0.0467; #isTrueEpidemiologicalParameterEstimate: true; #hasYear: 2013; #hasProbabilityDistributionParameter: Beta;</t>
  </si>
  <si>
    <t>#DBD_Prob_Hipotonia_DBParcial</t>
  </si>
  <si>
    <t>#isParameterOfManifestation: #DBD_Manif_Hipotonia;</t>
  </si>
  <si>
    <t>#hasSource: SESCS 2013, Tabla 2; #hasYear: 2013; #isTrueEpidemiologicalParameterEstimate: true; #hasExpectedValue: 0.0000; #hasProbabilityDistributionParameter: Beta; #hasName: Probabilidad de hipotonía en deficiencia parcial de biotinidasa; #hasDescription: Probabilidad de aparición de hipotonía en pacientes con deficiencia parcial de biotinidasa sin tratamiento;</t>
  </si>
  <si>
    <t>#DBD_Prob_Hipotonia_DBTotal</t>
  </si>
  <si>
    <t>#hasStandardDeviationParameter: 0.0913; #isTrueEpidemiologicalParameterEstimate: true; #hasExpectedValue: 0.5000; #hasSource: SESCS 2013, Tabla 2; #hasName: Probabilidad de hipotonía en deficiencia total de biotinidasa; #hasProbabilityDistributionParameter: Beta; #hasDescription: Probabilidad de aparición de hipotonía en pacientes con deficiencia total de biotinidasa sin tratamiento; #hasYear: 2013;</t>
  </si>
  <si>
    <t>#DBD_Prob_PerdidaAuditiva_DBParcial</t>
  </si>
  <si>
    <t>#isParameterOfManifestation: #DBD_Manif_PerdidaAuditiva;</t>
  </si>
  <si>
    <t>#hasExpectedValue: 0.3429; #hasStandardDeviationParameter: 0.0802; #hasName: Probabilidad de pérdida auditiva en deficiencia parcial de biotinidasa; #hasYear: 2013; #hasDescription: Probabilidad de aparición de pérdida auditiva en pacientes con deficiencia parcial de biotinidasa sin tratamiento; #hasProbabilityDistributionParameter: Beta; #isTrueEpidemiologicalParameterEstimate: true; #hasSource: SESCS 2013, Tabla 2;</t>
  </si>
  <si>
    <t>#DBD_Prob_PerdidaAuditiva_DBTotal</t>
  </si>
  <si>
    <t>#hasDescription: Probabilidad de aparición de pérdida auditiva neurosensorial en pacientes con deficiencia total de biotinidasa sin tratamiento; #hasName: Probabilidad de pérdida auditiva en deficiencia total de biotinidasa; #hasExpectedValue: 0.6154; #hasStandardDeviationParameter: 0.0603; #hasYear: 2013; #hasSource: SESCS 2013, Tabla 2; #hasProbabilityDistributionParameter: Beta; #isTrueEpidemiologicalParameterEstimate: true;</t>
  </si>
  <si>
    <t>#DBD_Prob_ProblemasPiel_DBParcial</t>
  </si>
  <si>
    <t>#isParameterOfManifestation: #DBD_Manif_ProblemasPiel;</t>
  </si>
  <si>
    <t>#hasYear: 2013; #hasStandardDeviationParameter: 0.0802; #hasSource: SESCS 2013, Tabla 2; #hasExpectedValue: 0.3429; #hasName: Probabilidad de problemas de piel en deficiencia parcial de biotinidasa; #isTrueEpidemiologicalParameterEstimate: true; #hasProbabilityDistributionParameter: Beta; #hasDescription: Probabilidad de aparición de problemas de piel en pacientes con deficiencia parcial de biotinidasa sin tratamiento;</t>
  </si>
  <si>
    <t>#DBD_Prob_ProblemasPiel_DBTotal</t>
  </si>
  <si>
    <t>#hasDescription: Probabilidad de aparición de problemas de piel (eccema, dermatitis, alopecia) en pacientes con deficiencia total de biotinidasa sin tratamiento; #hasStandardDeviationParameter: 0.0802; #hasSource: SESCS 2013, Tabla 2; #hasProbabilityDistributionParameter: Beta; #hasYear: 2013; #hasExpectedValue: 0.3429; #isTrueEpidemiologicalParameterEstimate: true; #hasName: Probabilidad de problemas de piel en deficiencia total de biotinidasa;</t>
  </si>
  <si>
    <t>#DBD_Prob_RetrasoMental_DBParcial</t>
  </si>
  <si>
    <t>#isParameterOfManifestation: #DBD_Manif_RetrasoMental;</t>
  </si>
  <si>
    <t>#hasProbabilityDistributionParameter: Beta; #hasStandardDeviationParameter: 0.0993; #hasSource: SESCS 2013, Tabla 2; #hasYear: 2013; #isTrueEpidemiologicalParameterEstimate: true; #hasDescription: Probabilidad de aparición de retraso mental en pacientes con deficiencia parcial de biotinidasa sin tratamiento; #hasName: Probabilidad de retraso mental en deficiencia parcial de biotinidasa; #hasExpectedValue: 0.3478;</t>
  </si>
  <si>
    <t>#DBD_Prob_RetrasoMental_DBTotal</t>
  </si>
  <si>
    <t>#hasName: Probabilidad de retraso mental en deficiencia total de biotinidasa; #hasYear: 2013; #hasStandardDeviationParameter: 0.0993; #hasProbabilityDistributionParameter: Beta; #hasExpectedValue: 0.3478; #hasSource: SESCS 2013, Tabla 2; #hasDescription: Probabilidad de aparición de retraso mental en pacientes con deficiencia total de biotinidasa sin tratamiento; #isTrueEpidemiologicalParameterEstimate: true;</t>
  </si>
  <si>
    <t>#DBD_Prog_Parcial</t>
  </si>
  <si>
    <t>#hasManifestation: #DBD_Manif_Convulsiones; #hasManifestation: #DBD_Manif_ProblemasPiel; #hasManifestation: #DBD_Manif_PerdidaAuditiva; #hasStage: #DBD_Stage_Parcial; #hasManifestation: #DBD_Manif_RetrasoMental;</t>
  </si>
  <si>
    <t>#hasDescription: Progresión de la deficiencia parcial de biotinidasa: Convulsiones, Problemas de piel (agudas, primer año de vida); Pérdida auditiva, Retraso mental (crónicas, a partir del segundo año de vida).;</t>
  </si>
  <si>
    <t>Debería haber sido un "Development"</t>
  </si>
  <si>
    <t>#DBD_Prog_Total</t>
  </si>
  <si>
    <t>#hasManifestation: #DBD_Manif_ProblemasPiel; #hasManifestation: #DBD_Manif_PerdidaAuditiva; #hasManifestation: #DBD_Manif_Hipotonia; #hasManifestation: #DBD_Manif_Convulsiones; #hasManifestation: #DBD_Manif_AtrofiaOptica; #hasManifestation: #DBD_Manif_RetrasoMental; #hasStage: #DBD_Stage_Total;</t>
  </si>
  <si>
    <t>#hasDescription: Progresión de la deficiencia total de biotinidasa: Convulsiones, Hipotonía, Problemas de piel (agudas, primer año de vida); Pérdida auditiva, Atrofia óptica, Retraso mental (crónicas, a partir del segundo año de vida).;</t>
  </si>
  <si>
    <t>#DBD_Stage_Parcial</t>
  </si>
  <si>
    <t>IRIStage</t>
  </si>
  <si>
    <t>#hasInitialProportion: #DBD_BirthPrev_Parcial; #hasManifestation: #DBD_Manif_ProblemasPiel; #hasManifestation: #DBD_Manif_Convulsiones; #hasManifestation: #DBD_Manif_PerdidaAuditiva; #hasManifestation: #DBD_Manif_RetrasoMental;</t>
  </si>
  <si>
    <t>#hasName: Deficiencia parcial de biotinidasa; #hasDescription: Actividad enzimática entre 10-30% en suero.;</t>
  </si>
  <si>
    <t>#DBD_Stage_Total</t>
  </si>
  <si>
    <t>#hasInitialProportion: #DBD_BirthPrev_Total; #hasManifestation: #DBD_Manif_ProblemasPiel; #hasManifestation: #DBD_Manif_PerdidaAuditiva; #hasManifestation: #DBD_Manif_AtrofiaOptica; #hasManifestation: #DBD_Manif_RetrasoMental; #hasManifestation: #DBD_Manif_Convulsiones; #hasManifestation: #DBD_Manif_Hipotonia;</t>
  </si>
  <si>
    <t>#hasDescription: Actividad enzimática &lt;10% en suero.; #hasName: Deficiencia profunda de biotinidasa;</t>
  </si>
  <si>
    <t>#DBD_Utility_AtrofiaOptica</t>
  </si>
  <si>
    <t>#hasStandardDeviationParameter: 0.22; #hasDescription: Utilidad asociada a la manifestación de atrofia óptica moderada en pacientes con deficiencia de biotinidasa; #hasSource: Carroll and Downs 2009, SESCS 2013; #hasExpectedValue: 0.85; #hasName: Utilidad por atrofia óptica en deficiencia de biotinidasa;</t>
  </si>
  <si>
    <t>#DBD_Utility_Convulsiones</t>
  </si>
  <si>
    <t>#hasExpectedValue: 0.84; #hasName: Utilidad por convulsiones en deficiencia de biotinidasa; #hasDescription: Utilidad asociada a la manifestación de convulsiones moderadas en pacientes con deficiencia de biotinidasa; #hasSource: Carroll and Downs 2009, SESCS 2013; #hasStandardDeviationParameter: 0.21;</t>
  </si>
  <si>
    <t>#DBD_Utility_Hipotonia</t>
  </si>
  <si>
    <t>#hasDescription: Utilidad asociada a la manifestación de hipotonía moderada en pacientes con deficiencia de biotinidasa; #hasExpectedValue: 0.93; #hasName: Utilidad por hipotonía en deficiencia de biotinidasa; #hasStandardDeviationParameter: 0.17; #hasSource: Carroll and Downs 2009 (asimilado a reacción alérgica), SESCS 2013;</t>
  </si>
  <si>
    <t>#DBD_Utility_PerdidaAuditiva</t>
  </si>
  <si>
    <t>#hasDescription: Utilidad asociada a la manifestación de pérdida auditiva moderada en pacientes con deficiencia de biotinidasa; #hasStandardDeviationParameter: 0.18; #hasSource: Carroll and Downs 2009, SESCS 2013; #hasName: Utilidad por pérdida auditiva en deficiencia de biotinidasa; #hasExpectedValue: 0.91;</t>
  </si>
  <si>
    <t>#DBD_Utility_ProblemasPiel</t>
  </si>
  <si>
    <t>#hasName: Utilidad por problemas de piel en deficiencia de biotinidasa; #hasStandardDeviationParameter: 0.17; #hasSource: Carroll and Downs 2009, SESCS 2013; #hasDescription: Utilidad asociada a la manifestación de problemas de piel en pacientes con deficiencia de biotinidasa; #hasExpectedValue: 0.93;</t>
  </si>
  <si>
    <t>#DBD_Utility_RetrasoMental</t>
  </si>
  <si>
    <t>#hasStandardDeviationParameter: 0.22; #hasDescription: Utilidad asociada a la manifestación de retraso mental moderado en pacientes con deficiencia de biotinidasa; #hasName: Utilidad por retraso mental en deficiencia de biotinidasa; #hasSource: Carroll and Downs 2009, SESCS 2013; #hasExpectedValue: 0.79;</t>
  </si>
  <si>
    <t>#DiagnosticoClinico_Biotinidasa</t>
  </si>
  <si>
    <t>#hasComponent: #ConfirmacionDiagnostica; #hasCost: #Coste_DiagnosticoClinico_Biotinidasa; #hasUtility: #Utilidad_DiagnosticoClinico_Biotinidasa; #hasComponent: #Seguimiento_Biotinidasa; #hasComponent: #DiagnosticoPorSintomas; #hasComponent: #Tratamiento_Biotina;</t>
  </si>
  <si>
    <t>#hasDescription: Diagnóstico tras la aparición de síntomas clínicos, seguido de confirmación enzimática y genética y tratamiento con biotina.; #hasName: Diagnóstico clínico de la deficiencia de biotinidasa;</t>
  </si>
  <si>
    <t>#DiagnosticoPorSintomas</t>
  </si>
  <si>
    <t>#Especificidad_CribadoNeonatal_Biotinidasa</t>
  </si>
  <si>
    <t>#Examen_Agudeza_Visual</t>
  </si>
  <si>
    <t>#IRIDIBirthPrevalence</t>
  </si>
  <si>
    <t>#MedidaActividadBiotinidasa</t>
  </si>
  <si>
    <t>#RepeticionMuestraSiPositivo</t>
  </si>
  <si>
    <t>#Seguimiento_Biotinidasa</t>
  </si>
  <si>
    <t>#hasCost: #Coste_Seguimiento_Biotinidasa;</t>
  </si>
  <si>
    <t>#hasFrequency: Anual (DB total), bienal (DB parcial); #hasName: Seguimiento especializado en deficiencia de biotinidasa; #hasDescription: Consultas periódicas con especialista en enfermedades metabólicas, controles auditivos y oftalmológicos anuales (DB total) o bienales (DB parcial), y análisis clínicos.;</t>
  </si>
  <si>
    <t>#Seguimiento_DBParcial</t>
  </si>
  <si>
    <t>#hasFollowUpCost: #Coste_Seguimiento_DBParcial; #usesFollowUpTest: #Analisis_Acilcarnitinas; #usesFollowUpTest: #Consulta_Especialista_Metabolicas; #usesFollowUpTest: #Analisis_Acidos_Organicos; #usesFollowUpTest: #Audiometria; #usesFollowUpTest: #Examen_Agudeza_Visual;</t>
  </si>
  <si>
    <t>#hasGuideline: Recomendación general en España según SESCS 2013; #hasDuration: Toda la vida; #hasFrequency: Bienal; #hasName: Seguimiento bienal en deficiencia parcial de biotinidasa; #hasDescription: Consulta con especialista en enfermedades metabólicas, audiometría, examen de agudeza visual y análisis clínicos (ácidos orgánicos y acilcarnitinas) cada dos años.;</t>
  </si>
  <si>
    <t>#Seguimiento_DBTotal</t>
  </si>
  <si>
    <t>#usesFollowUpTest: #Analisis_Acidos_Organicos; #usesFollowUpTest: #Audiometria; #hasFollowUpCost: #Coste_Seguimiento_DBTotal; #usesFollowUpTest: #Consulta_Especialista_Metabolicas; #usesFollowUpTest: #Examen_Agudeza_Visual; #usesFollowUpTest: #Analisis_Acilcarnitinas;</t>
  </si>
  <si>
    <t>#hasDuration: Toda la vida; #hasGuideline: Recomendación general en España según SESCS 2013; #hasName: Seguimiento anual en deficiencia total de biotinidasa; #hasFrequency: Anual; #hasDescription: Consulta anual con especialista en enfermedades metabólicas, audiometría, examen de agudeza visual y análisis clínicos (ácidos orgánicos y acilcarnitinas) cada año.;</t>
  </si>
  <si>
    <t>#Sensibilidad_CribadoNeonatal_Biotinidasa</t>
  </si>
  <si>
    <t>#Tratamiento_Biotina</t>
  </si>
  <si>
    <t>#hasCost: #Coste_Biotina; #hasUtility: #Utilidad_Tratamiento_Biotina;</t>
  </si>
  <si>
    <t>#hasDose: 10 mg/día (DB total), 5 mg/semana (DB parcial); #hasDescription: Administración oral de biotina: 10 mg/día en deficiencia total, 5 mg/semana en deficiencia parcial.; #hasName: Tratamiento con biotina;</t>
  </si>
  <si>
    <t>#Tratamiento_Biotina_DBParcial</t>
  </si>
  <si>
    <t>#hasStage: #DBD_Stage_Parcial; #hasCost: #Coste_Biotina_DBParcial; #hasUtility: #Utilidad_Tratamiento_Biotina_DBParcial;</t>
  </si>
  <si>
    <t>#hasGuideline: Recomendación general en España según SESCS 2013; #hasName: Tratamiento con biotina en deficiencia parcial de biotinidasa; #hasDose: 5 mg/semana; #hasDescription: Administración oral de biotina a dosis de 5 mg una vez por semana. El tratamiento es de por vida y previene la aparición de manifestaciones clínicas si se inicia precozmente.; #hasDuration: Toda la vida;</t>
  </si>
  <si>
    <t>#Tratamiento_Biotina_DBTotal</t>
  </si>
  <si>
    <t>#hasCost: #Coste_Biotina_DBTotal; #hasStage: #DBD_Stage_Total; #hasUtility: #Utilidad_Tratamiento_Biotina_DBTotal;</t>
  </si>
  <si>
    <t>#hasDose: 10 mg/día; #hasGuideline: Recomendación general en España según SESCS 2013; #hasDescription: Administración oral de biotina a dosis farmacológicas de 10 mg diarios. El tratamiento es de por vida y previene la aparición de manifestaciones clínicas si se inicia precozmente.; #hasName: Tratamiento con biotina en deficiencia total de biotinidasa; #hasDuration: Toda la vida;</t>
  </si>
  <si>
    <t>#Utilidad_CribadoNeonatal_Biotinidasa</t>
  </si>
  <si>
    <t>#Utilidad_DiagnosticoClinico_Biotinidasa</t>
  </si>
  <si>
    <t>#Utilidad_Tratamiento_Biotina</t>
  </si>
  <si>
    <t>#Utilidad_Tratamiento_Biotina_DBParcial</t>
  </si>
  <si>
    <t>#Utilidad_Tratamiento_Biotina_DBTotal</t>
  </si>
  <si>
    <t>UC3-F1-I2-P1-M2</t>
  </si>
  <si>
    <t>#DBD_BirthPrevalencePartial</t>
  </si>
  <si>
    <t>#hasDescription: Prevalencia al nacimiento de la deficiencia parcial de biotinidasa; #hasSource: Comunidad de Galicia; #hasExpectedValue: 0.0000296;</t>
  </si>
  <si>
    <t>#DBD_BirthPrevalenceTotal</t>
  </si>
  <si>
    <t>#hasSource: Comunidad de Galicia; #hasDescription: Prevalencia al nacimiento de la deficiencia total de biotinidasa; #hasExpectedValue: 0.0000148;</t>
  </si>
  <si>
    <t>#DBD_ComplicationsFree_U</t>
  </si>
  <si>
    <t>#hasDataItemType: #IRIDIUtility;</t>
  </si>
  <si>
    <t>#hasExpectedValue: 1.0; #hasDescription: Utilidad para individuos sin complicaciones;</t>
  </si>
  <si>
    <t>#DBD_DiscountRate</t>
  </si>
  <si>
    <t>#hasDataItemType: #IRIDIFactor;</t>
  </si>
  <si>
    <t>#hasDescription: Tasa de descuento aplicada a costes y efectividad; #hasExpectedValue: 0.03;</t>
  </si>
  <si>
    <t>#DBD_Disease</t>
  </si>
  <si>
    <t>#hasRefToOMIM: 253260; #hasRefToICD: E53.8; #hasDescription: Deficiencia de Biotinidasa;</t>
  </si>
  <si>
    <t>#DBD_DiseaseProgression</t>
  </si>
  <si>
    <t>#hasDevelopment: #DBD_NaturalDevelopment;</t>
  </si>
  <si>
    <t>#hasDescription: Progresión natural de la deficiencia de biotinidasa;</t>
  </si>
  <si>
    <t>#DBD_ManifAguda_Hospitalizacion_TC</t>
  </si>
  <si>
    <t>#hasCurrency: #IRICurrencyEuro;</t>
  </si>
  <si>
    <t>#hasSource: Portal Estadístico MSSSI; #hasDescription: Coste de hospitalización por manifestación aguda de DB; #appliesOneTime: true; #hasExpectedValue: 3665.56;</t>
  </si>
  <si>
    <t>#hasUtility: #DBD_Manif_AtrofiaOptica_U;</t>
  </si>
  <si>
    <t>#hasDescription: Atrofia óptica en pacientes con deficiencia de biotinidasa total; #hasProbabilityOfDiagnosis: 0.1667;</t>
  </si>
  <si>
    <t>#DBD_Manif_AtrofiaOptica_U</t>
  </si>
  <si>
    <t>#hasDataItemType: #IRIDIDisutility;</t>
  </si>
  <si>
    <t>#hasExpectedValue: 0.12; #hasSource: Carroll y Downs, 2009; #hasDescription: Desutilidad anual por atrofia óptica;</t>
  </si>
  <si>
    <t>#hasDescription: Convulsiones en pacientes con deficiencia de biotinidasa; #hasProbabilityOfDiagnosis: 0.5575;</t>
  </si>
  <si>
    <t>#hasDescription: Hipotonía en pacientes con deficiencia de biotinidasa total; #hasProbabilityOfDiagnosis: 0.5000;</t>
  </si>
  <si>
    <t>#hasUtility: #DBD_Manif_PerdidaAuditiva_U;</t>
  </si>
  <si>
    <t>#hasDescription: Pérdida auditiva en pacientes con deficiencia de biotinidasa; #hasProbabilityOfDiagnosis: 0.6154;</t>
  </si>
  <si>
    <t>#DBD_Manif_PerdidaAuditiva_U</t>
  </si>
  <si>
    <t>#hasDescription: Desutilidad anual por pérdida auditiva; #hasExpectedValue: 0.09; #hasSource: Carroll y Downs, 2009;</t>
  </si>
  <si>
    <t>#DBD_Manif_Piel</t>
  </si>
  <si>
    <t>#hasDescription: Problemas dermatológicos en pacientes con deficiencia de biotinidasa; #hasProbabilityOfDiagnosis: 0.3429;</t>
  </si>
  <si>
    <t>#hasUtility: #DBD_Manif_RetrasoMental_U;</t>
  </si>
  <si>
    <t>#hasDescription: Retraso mental en pacientes con deficiencia de biotinidasa; #hasProbabilityOfDiagnosis: 0.3478;</t>
  </si>
  <si>
    <t>#DBD_Manif_RetrasoMental_U</t>
  </si>
  <si>
    <t>#hasExpectedValue: 0.20; #hasDescription: Desutilidad anual por retraso mental; #hasSource: Carroll y Downs, 2009;</t>
  </si>
  <si>
    <t>#DBD_NaturalDevelopment</t>
  </si>
  <si>
    <t>#hasManifestation: #DBD_Manif_PerdidaAuditiva; #hasManifestation: #DBD_Manif_RetrasoMental; #hasManifestation: #DBD_Manif_Convulsiones; #hasManifestation: #DBD_Manif_Piel; #hasManifestation: #DBD_Manif_AtrofiaOptica; #hasManifestation: #DBD_Manif_Hipotonia;</t>
  </si>
  <si>
    <t>#hasDescription: Desarrollo natural de la deficiencia de biotinidasa sin tratamiento;</t>
  </si>
  <si>
    <t>#DBD_PopulationNewborns</t>
  </si>
  <si>
    <t>#hasYear: 2012; #hasSource: Instituto Nacional de Estadística; #hasSize: 453637; #hasDescription: Recién nacidos en España durante un año natural;</t>
  </si>
  <si>
    <t>#DBD_RepetitionRate</t>
  </si>
  <si>
    <t>#hasDataItemType: #IRIDIProportion;</t>
  </si>
  <si>
    <t>#hasSource: Comunidad de Galicia; #hasDescription: Tasa de repetición tras la primera prueba de cribado; #hasExpectedValue: 0.00441;</t>
  </si>
  <si>
    <t>#DBD_ScreeningStrategy</t>
  </si>
  <si>
    <t>#hasScreeningStrategy: #DBD_ScreeningTest;</t>
  </si>
  <si>
    <t>#hasDescription: Estrategia de cribado neonatal de la deficiencia de biotinidasa;</t>
  </si>
  <si>
    <t>#DBD_ScreeningTest</t>
  </si>
  <si>
    <t>#hasCost: #DBD_ScreeningTestCost;</t>
  </si>
  <si>
    <t>#hasDescription: Prueba de cribado de la deficiencia de biotinidasa mediante ensayo enzimático o fluorimétrico semicuantitativo; #hasSpecificity: 0.999935; #hasSensitivity: 1.0;</t>
  </si>
  <si>
    <t>#DBD_ScreeningTestCost</t>
  </si>
  <si>
    <t>#appliesOneTime: true; #hasExpectedValue: 1.85; #hasDescription: Coste de la prueba de cribado de la deficiencia de biotinidasa;</t>
  </si>
  <si>
    <t>#IRICurrencyEuro</t>
  </si>
  <si>
    <t>#IRIDIDisutility</t>
  </si>
  <si>
    <t>#IRIDIFactor</t>
  </si>
  <si>
    <t>#IRIDIProportion</t>
  </si>
  <si>
    <t>#IRIDIUtility</t>
  </si>
  <si>
    <t>UC3-F1-I2-P2-M2</t>
  </si>
  <si>
    <t>#BiotinidaseConvulsions</t>
  </si>
  <si>
    <t>#hasDescription: Convulsiones agudas asociadas a la deficiencia de biotinidasa.;</t>
  </si>
  <si>
    <t>#BiotinidaseDeficiency</t>
  </si>
  <si>
    <t>#hasSource: GARD, ORDO, OMIM; #hasDescription: Deficiencia de biotinidasa (DB), error congénito del metabolismo con herencia autosómica recesiva, que afecta el reciclaje de la biotina.;</t>
  </si>
  <si>
    <t>#BiotinidaseDeficiencyStage_AcuteManifestation</t>
  </si>
  <si>
    <t>#hasManifestation: #BiotinidaseSkinProblems; #hasManifestation: #BiotinidaseConvulsions; #hasManifestation: #BiotinidaseHypotonia;</t>
  </si>
  <si>
    <t>#hasDescription: Estado con manifestaciones agudas (convulsiones, hipotonía, problemas de piel).;</t>
  </si>
  <si>
    <t>Tiene sentido</t>
  </si>
  <si>
    <t>#BiotinidaseDeficiencyStage_Asymptomatic</t>
  </si>
  <si>
    <t>#hasDescription: Estado asintomático tras el nacimiento, antes de la aparición de síntomas o intervención.;</t>
  </si>
  <si>
    <t>#BiotinidaseDeficiencyStage_ChronicComplications</t>
  </si>
  <si>
    <t>#hasManifestation: #BiotinidaseHearingLoss; #hasManifestation: #BiotinidaseOpticAtrophy; #hasManifestation: #BiotinidaseMentalRetardation;</t>
  </si>
  <si>
    <t>#hasDescription: Estado con secuelas crónicas (pérdida auditiva, atrofia óptica, retraso mental).;</t>
  </si>
  <si>
    <t>#BiotinidaseDeficiencyStage_UnderTreatment</t>
  </si>
  <si>
    <t>#hasDescription: Estado bajo tratamiento con biotina, sin manifestaciones clínicas.;</t>
  </si>
  <si>
    <t>#BiotinidaseDeficiency_Parcial</t>
  </si>
  <si>
    <t>#isSubtypeOf: #BiotinidaseDeficiency;</t>
  </si>
  <si>
    <t>#BiotinidaseDeficiency_Profunda</t>
  </si>
  <si>
    <t>#BiotinidaseHearingLoss</t>
  </si>
  <si>
    <t>#hasDescription: Pérdida auditiva neurosensorial permanente asociada a la deficiencia de biotinidasa.;</t>
  </si>
  <si>
    <t>#BiotinidaseHypotonia</t>
  </si>
  <si>
    <t>#hasDescription: Hipotonía aguda en lactantes con deficiencia de biotinidasa.;</t>
  </si>
  <si>
    <t>#BiotinidaseMentalRetardation</t>
  </si>
  <si>
    <t>#hasDescription: Retraso mental o del desarrollo psicomotor de carácter permanente.;</t>
  </si>
  <si>
    <t>#BiotinidaseOpticAtrophy</t>
  </si>
  <si>
    <t>#hasDescription: Atrofia óptica irreversible secundaria a la deficiencia de biotinidasa.;</t>
  </si>
  <si>
    <t>#BiotinidaseParcial_Convulsions_Probability</t>
  </si>
  <si>
    <t>#BiotinidaseParcial_HearingLoss_Probability</t>
  </si>
  <si>
    <t>#hasExpectedValue: 0.3429;</t>
  </si>
  <si>
    <t>#BiotinidaseParcial_Hypotonia_Probability</t>
  </si>
  <si>
    <t>#BiotinidaseParcial_MentalRetardation_Probability</t>
  </si>
  <si>
    <t>#BiotinidaseParcial_OpticAtrophy_Probability</t>
  </si>
  <si>
    <t>#BiotinidaseParcial_SkinProblems_Probability</t>
  </si>
  <si>
    <t>#BiotinidasePartialBirthPrevalence</t>
  </si>
  <si>
    <t>#hasDescription: Prevalencia al nacimiento de la deficiencia de biotinidasa parcial; #hasExpectedValue: 0.0000296;</t>
  </si>
  <si>
    <t>#BiotinidaseProfunda_Convulsions_Probability</t>
  </si>
  <si>
    <t>#BiotinidaseProfunda_HearingLoss_Probability</t>
  </si>
  <si>
    <t>#BiotinidaseProfunda_Hypotonia_Probability</t>
  </si>
  <si>
    <t>#BiotinidaseProfunda_MentalRetardation_Probability</t>
  </si>
  <si>
    <t>#BiotinidaseProfunda_OpticAtrophy_Probability</t>
  </si>
  <si>
    <t>#hasExpectedValue: 0.1667;</t>
  </si>
  <si>
    <t>#BiotinidaseProfunda_SkinProblems_Probability</t>
  </si>
  <si>
    <t>#BiotinidaseSkinProblems</t>
  </si>
  <si>
    <t>#hasDescription: Problemas de piel: eccema, dermatitis, alopecia en DB sin tratar.;</t>
  </si>
  <si>
    <t>#BiotinidaseTotalBirthPrevalence</t>
  </si>
  <si>
    <t>#hasExpectedValue: 0.0000148; #hasDescription: Prevalencia al nacimiento de la deficiencia de biotinidasa profunda;</t>
  </si>
  <si>
    <t>#BiotinidaseUtility_Convulsions</t>
  </si>
  <si>
    <t>#hasExpectedValue: 0.84;</t>
  </si>
  <si>
    <t>#BiotinidaseUtility_HearingLoss</t>
  </si>
  <si>
    <t>#hasExpectedValue: 0.91;</t>
  </si>
  <si>
    <t>#BiotinidaseUtility_Hypotonia</t>
  </si>
  <si>
    <t>#hasExpectedValue: 0.93;</t>
  </si>
  <si>
    <t>#BiotinidaseUtility_MentalRetardation</t>
  </si>
  <si>
    <t>#hasExpectedValue: 0.80;</t>
  </si>
  <si>
    <t>#BiotinidaseUtility_OpticAtrophy</t>
  </si>
  <si>
    <t>#hasExpectedValue: 0.85;</t>
  </si>
  <si>
    <t>#BiotinidaseUtility_SkinProblems</t>
  </si>
  <si>
    <t>#Biotinidase_Utility_Convulsions</t>
  </si>
  <si>
    <t>#hasSource: Carroll and Downs 2009, Informe SESCS 2013, Tabla 7; #hasExpectedValue: 0.84; #hasDescription: Utilidad asociada a convulsiones moderadas en deficiencia de biotinidasa;</t>
  </si>
  <si>
    <t>#Biotinidase_Utility_HearingLoss</t>
  </si>
  <si>
    <t>#hasDescription: Utilidad asociada a pérdida auditiva moderada en deficiencia de biotinidasa; #hasExpectedValue: 0.91; #hasSource: Carroll and Downs 2009, Informe SESCS 2013, Tabla 7;</t>
  </si>
  <si>
    <t>#Biotinidase_Utility_Hypotonia</t>
  </si>
  <si>
    <t>#hasExpectedValue: 0.93; #hasSource: Carroll and Downs 2009, Informe SESCS 2013, Tabla 7; #hasDescription: Utilidad asociada a hipotonía moderada en deficiencia de biotinidasa;</t>
  </si>
  <si>
    <t>#Biotinidase_Utility_MentalRetardation</t>
  </si>
  <si>
    <t>#hasExpectedValue: 0.80; #hasDescription: Utilidad asociada a retraso mental moderado en deficiencia de biotinidasa; #hasSource: Carroll and Downs 2009, Informe SESCS 2013, Tabla 7;</t>
  </si>
  <si>
    <t>#Biotinidase_Utility_OpticAtrophy</t>
  </si>
  <si>
    <t>#hasExpectedValue: 0.85; #hasSource: Carroll and Downs 2009, Informe SESCS 2013, Tabla 7; #hasDescription: Utilidad asociada a atrofia óptica moderada en deficiencia de biotinidasa;</t>
  </si>
  <si>
    <t>#Biotinidase_Utility_SkinProblems</t>
  </si>
  <si>
    <t>#hasDescription: Utilidad asociada a problemas de piel (reacción alérgica moderada) en deficiencia de biotinidasa; #hasExpectedValue: 0.93; #hasSource: Carroll and Downs 2009, Informe SESCS 2013, Tabla 7;</t>
  </si>
  <si>
    <t>#disease-simulationIRIBiotinidaseBiotinTreatment</t>
  </si>
  <si>
    <t>#disease-simulationIRIBiotinidaseClinicalDiagnosisIntervention</t>
  </si>
  <si>
    <t>#disease-simulationIRIBiotinidaseConfirmatoryDiagnosisIntervention</t>
  </si>
  <si>
    <t>#disease-simulationIRIBiotinidaseConvulsions</t>
  </si>
  <si>
    <t>#disease-simulationIRIBiotinidaseConvulsionsDisutility</t>
  </si>
  <si>
    <t>#disease-simulationIRIBiotinidaseConvulsionsTimeToEvent</t>
  </si>
  <si>
    <t>#disease-simulationIRIBiotinidaseDeficiencyStageAsymptomaticParcial</t>
  </si>
  <si>
    <t>#disease-simulationIRIBiotinidaseDeficiencyStageAsymptomaticProfunda</t>
  </si>
  <si>
    <t>#disease-simulationIRIBiotinidaseFollowUpStrategy</t>
  </si>
  <si>
    <t>#disease-simulationIRIBiotinidaseHearingLoss</t>
  </si>
  <si>
    <t>#disease-simulationIRIBiotinidaseHearingLossDisutility</t>
  </si>
  <si>
    <t>#disease-simulationIRIBiotinidaseHearingLossTimeToEvent</t>
  </si>
  <si>
    <t>#disease-simulationIRIBiotinidaseHypotonia</t>
  </si>
  <si>
    <t>#disease-simulationIRIBiotinidaseHypotoniaDisutility</t>
  </si>
  <si>
    <t>#disease-simulationIRIBiotinidaseHypotoniaTimeToEvent</t>
  </si>
  <si>
    <t>#disease-simulationIRIBiotinidaseMentalRetardation</t>
  </si>
  <si>
    <t>#disease-simulationIRIBiotinidaseMentalRetardationDisutility</t>
  </si>
  <si>
    <t>#disease-simulationIRIBiotinidaseMentalRetardationTimeToEvent</t>
  </si>
  <si>
    <t>#disease-simulationIRIBiotinidaseOpticAtrophy</t>
  </si>
  <si>
    <t>#disease-simulationIRIBiotinidaseOpticAtrophyDisutility</t>
  </si>
  <si>
    <t>#disease-simulationIRIBiotinidaseOpticAtrophyTimeToEvent</t>
  </si>
  <si>
    <t>#disease-simulationIRIBiotinidaseParcialBirthPrevalence</t>
  </si>
  <si>
    <t>#disease-simulationIRIBiotinidaseParcialConvulsionsProbability</t>
  </si>
  <si>
    <t>#disease-simulationIRIBiotinidaseParcialHearingLossProbability</t>
  </si>
  <si>
    <t>#disease-simulationIRIBiotinidaseParcialHypotoniaProbability</t>
  </si>
  <si>
    <t>#disease-simulationIRIBiotinidaseParcialMentalRetardationProbability</t>
  </si>
  <si>
    <t>#disease-simulationIRIBiotinidaseParcialOpticAtrophyProbability</t>
  </si>
  <si>
    <t>#disease-simulationIRIBiotinidaseParcialSkinProblemsProbability</t>
  </si>
  <si>
    <t>#disease-simulationIRIBiotinidasePartialBiotinTreatment</t>
  </si>
  <si>
    <t>#disease-simulationIRIBiotinidasePartialFollowUpStrategy</t>
  </si>
  <si>
    <t>#disease-simulationIRIBiotinidaseProfundaBirthPrevalence</t>
  </si>
  <si>
    <t>#disease-simulationIRIBiotinidaseProfundaConvulsionsProbability</t>
  </si>
  <si>
    <t>#disease-simulationIRIBiotinidaseProfundaHearingLossProbability</t>
  </si>
  <si>
    <t>#disease-simulationIRIBiotinidaseProfundaHypotoniaProbability</t>
  </si>
  <si>
    <t>#disease-simulationIRIBiotinidaseProfundaMentalRetardationProbability</t>
  </si>
  <si>
    <t>#disease-simulationIRIBiotinidaseProfundaOpticAtrophyProbability</t>
  </si>
  <si>
    <t>#disease-simulationIRIBiotinidaseProfundaSkinProblemsProbability</t>
  </si>
  <si>
    <t>#disease-simulationIRIBiotinidaseScreeningIntervention</t>
  </si>
  <si>
    <t>#disease-simulationIRIBiotinidaseSkinProblems</t>
  </si>
  <si>
    <t>#disease-simulationIRIBiotinidaseSkinProblemsDisutility</t>
  </si>
  <si>
    <t>#disease-simulationIRIBiotinidaseSkinProblemsTimeToEvent</t>
  </si>
  <si>
    <t>#disease-simulationIRIBiotinidaseTotalBiotinTreatment</t>
  </si>
  <si>
    <t>#disease-simulationIRIBiotinidaseTotalFollowUpStrategy</t>
  </si>
  <si>
    <t>#PBD_Acidosis</t>
  </si>
  <si>
    <t>#hasUtility: #PBD_Acidosis_Utility; #hasInitialProportion: #PBD_Acidosis_Incidence;</t>
  </si>
  <si>
    <t>#hasDescription: Acidosis metab lica;</t>
  </si>
  <si>
    <t>#PBD_Acidosis_Incidence</t>
  </si>
  <si>
    <t>#PBD_Acidosis_Utility</t>
  </si>
  <si>
    <t>#PBD_AlopeciaDermatitis</t>
  </si>
  <si>
    <t>#hasInitialProportion: #PBD_Alopecia_Incidence; #hasUtility: #PBD_Alopecia_Utility;</t>
  </si>
  <si>
    <t>#hasDescription: Dermatitis, alopecia;</t>
  </si>
  <si>
    <t>#PBD_Alopecia_Incidence</t>
  </si>
  <si>
    <t>#PBD_Alopecia_Utility</t>
  </si>
  <si>
    <t>#hasExpectedValue: 0.95; #hasDescription: Utilidad asignada a alopecia aislada;</t>
  </si>
  <si>
    <t>#PBD_Ataxia</t>
  </si>
  <si>
    <t>#hasInitialProportion: #PBD_Ataxia_Incidence; #hasUtility: #PBD_Ataxia_Utility;</t>
  </si>
  <si>
    <t>#hasDescription: Ataxia;</t>
  </si>
  <si>
    <t>#PBD_Ataxia_Incidence</t>
  </si>
  <si>
    <t>#PBD_Ataxia_Utility</t>
  </si>
  <si>
    <t>#PBD_BiotinTreatment</t>
  </si>
  <si>
    <t>#hasDescription: Tratamiento con biotina oral (5-10 mg/d a);</t>
  </si>
  <si>
    <t>#hasDescription: Diagn stico cl nico tras la aparici n de signos o s ntomas indicativos de deficiencia profunda de biotinidasa;</t>
  </si>
  <si>
    <t>#PBD_Death</t>
  </si>
  <si>
    <t>#hasInitialProportion: #PBD_Death_Incidence;</t>
  </si>
  <si>
    <t>#hasDescription: Muerte relacionada con manifestaciones no tratadas;</t>
  </si>
  <si>
    <t>#PBD_Death_Incidence</t>
  </si>
  <si>
    <t>#PBD_DevelopmentalDelay</t>
  </si>
  <si>
    <t>#hasInitialProportion: #PBD_DevelopmentalDelay_Incidence; #hasUtility: #PBD_DevelopmentalDelay_Utility;</t>
  </si>
  <si>
    <t>#hasDescription: Retraso del desarrollo global, problemas cognitivos;</t>
  </si>
  <si>
    <t>#PBD_DevelopmentalDelay_Incidence</t>
  </si>
  <si>
    <t>#PBD_DevelopmentalDelay_Utility</t>
  </si>
  <si>
    <t>#hasDescription: Utilidad asignada a retraso global del desarrollo; #hasSource: Supuesto est ndar en evaluaci n econ mica, ver referencias de GBD; #hasExpectedValue: 0.50;</t>
  </si>
  <si>
    <t>#PBD_Disease</t>
  </si>
  <si>
    <t>#hasManifestation: #PBD_Seizures; #hasManifestation: #PBD_AlopeciaDermatitis; #hasManifestation: #PBD_OpticAtrophy; #hasManifestation: #PBD_HearingLoss; #hasManifestation: #PBD_Acidosis; #hasManifestation: #PBD_DevelopmentalDelay; #hasManifestation: #PBD_MentalRetardation; #hasManifestation: #PBD_Ataxia; #hasManifestation: #PBD_Encephalopathy; #hasManifestation: #PBD_Hypotonia; #hasManifestation: #PBD_Death; #hasScreeningStrategy: #PBD_NeonatalScreening; #hasDiagnosisStrategy: #PBD_ClinicalDiagnosis; #hasIntervention: #PBD_BiotinTreatment;</t>
  </si>
  <si>
    <t>#hasRefToICD: E64.3; #hasDescription: Deficiencia profunda de biotinidasa: error cong nito del metabolismo, autos mico recesivo, que provoca una deficiencia funcional de biotina con manifestaciones neurol gicas y cut neas graves si no se trata.; #hasRefToSNOMED: 428100008; #hasRefToOMIM: 253260;</t>
  </si>
  <si>
    <t>#PBD_Encephalopathy</t>
  </si>
  <si>
    <t>#hasUtility: #PBD_Encephalopathy_Utility; #hasInitialProportion: #PBD_Encephalopathy_Incidence;</t>
  </si>
  <si>
    <t>#hasDescription: Encefalopat a aguda o cr nica, coma;</t>
  </si>
  <si>
    <t>#PBD_Encephalopathy_Incidence</t>
  </si>
  <si>
    <t>#PBD_Encephalopathy_Utility</t>
  </si>
  <si>
    <t>#PBD_HearingLoss</t>
  </si>
  <si>
    <t>#hasUtility: #PBD_HearingLoss_Utility; #hasInitialProportion: #PBD_HearingLoss_Incidence;</t>
  </si>
  <si>
    <t>#hasDescription: Sordera neurosensorial irreversible;</t>
  </si>
  <si>
    <t>#PBD_HearingLoss_Incidence</t>
  </si>
  <si>
    <t>#hasDataItemType: #DI_Probability;</t>
  </si>
  <si>
    <t>#hasExpectedValue: 0.55; #hasSource: Wolf et al, 2002; Genc et al, 2007; #hasDescription: Proporci n de sordera neurosensorial en pacientes sintom ticos sin tratamiento temprano;</t>
  </si>
  <si>
    <t>#PBD_HearingLoss_Utility</t>
  </si>
  <si>
    <t>#hasSource: Valores aproximados seg n EuroQol, GBD disability weights, revisi n de literatura; #hasDescription: Utilidad asignada a sordera neurosensorial; #hasExpectedValue: 0.70;</t>
  </si>
  <si>
    <t>#PBD_Hypotonia</t>
  </si>
  <si>
    <t>#hasUtility: #PBD_Hypotonia_Utility; #hasInitialProportion: #PBD_Hypotonia_Incidence;</t>
  </si>
  <si>
    <t>#hasDescription: Hipoton a muscular generalizada;</t>
  </si>
  <si>
    <t>#PBD_Hypotonia_Incidence</t>
  </si>
  <si>
    <t>#PBD_Hypotonia_Utility</t>
  </si>
  <si>
    <t>#PBD_MentalRetardation</t>
  </si>
  <si>
    <t>#hasInitialProportion: #PBD_MentalRetardation_Incidence; #hasUtility: #PBD_MentalRetardation_Utility;</t>
  </si>
  <si>
    <t>#hasDescription: Retraso mental, discapacidad intelectual persistente;</t>
  </si>
  <si>
    <t>#PBD_MentalRetardation_Incidence</t>
  </si>
  <si>
    <t>#PBD_MentalRetardation_Utility</t>
  </si>
  <si>
    <t>#PBD_NeonatalScreening</t>
  </si>
  <si>
    <t>#hasSensitivity: #PBD_Screening_Sensitivity; #hasSpecificity: #PBD_Screening_Specificity;</t>
  </si>
  <si>
    <t>#hasDescription: Cribado neonatal de deficiencia profunda de biotinidasa mediante medida de actividad enzim tica en sangre seca (ensayo enzim tico o fluorim trico semicuantitativo);</t>
  </si>
  <si>
    <t>#PBD_NewbornPopulation_Spain</t>
  </si>
  <si>
    <t>#hasSex: #Attribute_Sex; #hasAge: #Attribute_Age;</t>
  </si>
  <si>
    <t>#hasDescription: Cohorte de reci n nacidos vivos en Espa a durante un a o natural; #hasSize: N_anual_nacimientos;</t>
  </si>
  <si>
    <t>#PBD_OpticAtrophy</t>
  </si>
  <si>
    <t>#hasUtility: #PBD_OpticAtrophy_Utility; #hasInitialProportion: #PBD_OpticAtrophy_Incidence;</t>
  </si>
  <si>
    <t>#hasDescription: Atrofia  ptica;</t>
  </si>
  <si>
    <t>#PBD_OpticAtrophy_Incidence</t>
  </si>
  <si>
    <t>#hasSource: Weber et al, 2004; #hasExpectedValue: 0.20; #hasDescription: Proporci n de atrofia  ptica en pacientes sintom ticos;</t>
  </si>
  <si>
    <t>#PBD_OpticAtrophy_Utility</t>
  </si>
  <si>
    <t>#PBD_Screening_Sensitivity</t>
  </si>
  <si>
    <t>#hasDataItemType: #DI_Sensitivity;</t>
  </si>
  <si>
    <t>#hasSource: Wolf et al, 2001; Couce et al, 2011; #hasDescription: Sensibilidad del cribado neonatal (ensayo fluorim trico); #hasExpectedValue: 0.99;</t>
  </si>
  <si>
    <t>#PBD_Screening_Specificity</t>
  </si>
  <si>
    <t>#hasDataItemType: #DI_Specificity;</t>
  </si>
  <si>
    <t>#hasSource: Wolf et al, 2001; #hasExpectedValue: 0.999; #hasDescription: Especificidad del cribado neonatal;</t>
  </si>
  <si>
    <t>#PBD_Seizures</t>
  </si>
  <si>
    <t>#hasUtility: #PBD_Seizures_Utility; #hasInitialProportion: #PBD_Seizures_Incidence;</t>
  </si>
  <si>
    <t>#hasDescription: Convulsiones resistentes a antiepil pticos, habitualmente primer s ntoma;</t>
  </si>
  <si>
    <t>#PBD_Seizures_Incidence</t>
  </si>
  <si>
    <t>#hasExpectedValue: 0.80; #hasDescription: Incidencia de convulsiones en pacientes no tratados; #hasSource: Wolf et al, 2002; Weber et al, 2004; Genc et al, 2007;</t>
  </si>
  <si>
    <t>#PBD_Seizures_Utility</t>
  </si>
  <si>
    <t>#PBD_StdModelDES</t>
  </si>
  <si>
    <t>#includesModelItem: #PBD_BiotinTreatment; #includesModelItem: #PBD_OpticAtrophy; #includesModelItem: #PBD_Encephalopathy; #includesModelItem: #PBD_NewbornPopulation_Spain; #includesModelItem: #PBD_ClinicalDiagnosis; #includesModelItem: #PBD_Death; #includesModelItem: #PBD_HearingLoss; #includesModelItem: #PBD_MentalRetardation; #includesModelItem: #PBD_Disease; #includesModelItem: #PBD_NeonatalScreening; #includesModelItem: #PBD_DevelopmentalDelay; #includesModelItem: #PBD_Acidosis; #includesModelItem: #PBD_Seizures; #includesModelItem: #PBD_AlopeciaDermatitis;</t>
  </si>
  <si>
    <t>#hasDescription: Modelo de simulaci n para evaluaci n econ mica del cribado neonatal de deficiencia profunda de biotinidasa en Espa a.;</t>
  </si>
  <si>
    <t>#Clinical_Detection_DPB</t>
  </si>
  <si>
    <t>#hasDescription: Diagnóstico clínico de la DPB tras la aparición de signos o síntomas compatibles en ausencia de cribado neonatal.;</t>
  </si>
  <si>
    <t>#DPB</t>
  </si>
  <si>
    <t>#hasManifestation: #DPB_Manif_Neurologic; #hasManifestation: #DPB_Manif_Cutaneous; #hasManifestation: #DPB_Manif_Death; #hasManifestation: #DPB_Manif_Auditory; #hasManifestation: #DPB_Manif_Optic; #hasIntervention: #Screening_DPB_Enzymatic; #hasIntervention: #Clinical_Detection_DPB; #hasEpidemiologicalParameter: #DPB_Incidence_BirthPrevalence;</t>
  </si>
  <si>
    <t>#hasRefToICD: ICD10:E71.1; #hasRefToOMIM: OMIM:253260; #hasDescription: Deficiencia profunda de biotinidasa (DPB). Trastorno metabólico hereditario de inicio neonatal que, sin tratamiento, cursa con manifestaciones neurológicas graves, cutáneas, auditivas y oculares.; #hasRefToSNOMED: SNOMED:285580004;</t>
  </si>
  <si>
    <t>#DPB_Disutility_Auditory</t>
  </si>
  <si>
    <t>#hasDataItemType: #DI_Disutility;</t>
  </si>
  <si>
    <t>#hasDescription: Disutilidad por hipoacusia neurosensorial grave; #hasYear: 2000; #hasSource: Frick KD et al. Pediatrics. 2000;106(1 Pt 1):E18 (sordera congénita); #hasExpectedValue: -0.15; #appliesOneTime: false;</t>
  </si>
  <si>
    <t>#DPB_Disutility_Death</t>
  </si>
  <si>
    <t>#hasSource: Convención QALY; #hasDescription: Disutilidad de muerte prematura; #hasYear: 2024; #appliesOneTime: true; #hasExpectedValue: -1.0;</t>
  </si>
  <si>
    <t>#DPB_Disutility_Neurologic</t>
  </si>
  <si>
    <t>#hasYear: 2012; #hasExpectedValue: -0.3; #hasDescription: Disutilidad asociada a manifestaciones neurológicas crónicas graves; #appliesOneTime: false; #hasSource: Bennett CL et al. Pediatrics. 2012;130(2):e396-402 (epilepsia refractaria como análogo);</t>
  </si>
  <si>
    <t>#DPB_Incidence_BirthPrevalence</t>
  </si>
  <si>
    <t>#hasDataItemType: #DI_BirthPrevalence;</t>
  </si>
  <si>
    <t>#hasYear: 2012; #hasSource: Wolf, B. et al. Orphanet J Rare Dis. 2012;7:62.; #hasExpectedValue: 6.0E-5;</t>
  </si>
  <si>
    <t>#DPB_Manif_Auditory</t>
  </si>
  <si>
    <t>#hasInitialProportion: #Constant_Probability0; #hasEpidemiologicalParameter: #DPB_Manif_Auditory_Incidence; #hasUtility: #DPB_Disutility_Auditory;</t>
  </si>
  <si>
    <t>#hasDescription: Hipoacusia neurosensorial irreversible;</t>
  </si>
  <si>
    <t>#DPB_Manif_Auditory_Incidence</t>
  </si>
  <si>
    <t>#hasDataItemType: #DI_Incidence;</t>
  </si>
  <si>
    <t>#hasExpectedValue: 0.5; #hasYear: 2012; #hasSource: Wolf, B. et al. Orphanet J Rare Dis. 2012;7:62.;</t>
  </si>
  <si>
    <t>#DPB_Manif_Cutaneous</t>
  </si>
  <si>
    <t>#hasDescription: Manifestaciones cutáneas: dermatitis, alopecia;</t>
  </si>
  <si>
    <t>#DPB_Manif_Death</t>
  </si>
  <si>
    <t>#hasEpidemiologicalParameter: #DPB_Manif_Death_Incidence; #hasInitialProportion: #Constant_Probability0; #hasUtility: #DPB_Disutility_Death;</t>
  </si>
  <si>
    <t>#hasDescription: Muerte por DPB no tratada;</t>
  </si>
  <si>
    <t>#DPB_Manif_Death_Incidence</t>
  </si>
  <si>
    <t>#hasExpectedValue: 0.1; #hasYear: 2012; #hasSource: Wolf, B. et al. Orphanet J Rare Dis. 2012;7:62.;</t>
  </si>
  <si>
    <t>#DPB_Manif_Neurologic</t>
  </si>
  <si>
    <t>#hasEpidemiologicalParameter: #DPB_Manif_Neurologic_Incidence; #hasUtility: #DPB_Disutility_Neurologic; #hasInitialProportion: #Constant_Probability0;</t>
  </si>
  <si>
    <t>#hasDescription: Manifestaciones neurológicas: convulsiones, hipotonía, ataxia, retraso del desarrollo psicomotor;</t>
  </si>
  <si>
    <t>#DPB_Manif_Neurologic_Incidence</t>
  </si>
  <si>
    <t>#hasYear: 2012; #hasExpectedValue: 0.7; #hasSource: Wolf, B. et al. Orphanet J Rare Dis. 2012;7:62.;</t>
  </si>
  <si>
    <t>#DPB_Manif_Optic</t>
  </si>
  <si>
    <t>#hasDescription: Atrofia óptica o alteraciones visuales;</t>
  </si>
  <si>
    <t>#DPB_Screening_Sensitivity</t>
  </si>
  <si>
    <t>#hasYear: 2021; #hasSource: Aguado C et al. An Pediatr (Barc). 2021;94(1):50.e1-50.e10; #hasExpectedValue: 0.99; #hasDescription: Sensibilidad del cribado neonatal para DPB (enzimático/fluorimétrico);</t>
  </si>
  <si>
    <t>#DPB_Screening_Specificity</t>
  </si>
  <si>
    <t>#hasExpectedValue: 0.999; #hasYear: 2021; #hasSource: Aguado C et al. An Pediatr (Barc). 2021;94(1):50.e1-50.e10; #hasDescription: Especificidad del cribado neonatal para DPB;</t>
  </si>
  <si>
    <t>#DPB_Utility_NoSymptoms</t>
  </si>
  <si>
    <t>#hasDataItemType: #DI_Utility;</t>
  </si>
  <si>
    <t>#hasSource: Sullivan PW et al. Med Decis Making. 2011;31(2):260-8 (asignación indirecta por equivalencia con población general pediátrica); #appliesOneTime: false; #hasDescription: Utilidad de vida sin síntomas ni secuelas (tratado precozmente); #hasYear: 2011; #hasExpectedValue: 0.95;</t>
  </si>
  <si>
    <t>#Param_Age_0</t>
  </si>
  <si>
    <t>#hasDataItemType: #DI_Continuous_Variable;</t>
  </si>
  <si>
    <t>#hasDescription: Edad al nacimiento (años); #hasExpectedValue: 0.0;</t>
  </si>
  <si>
    <t>#Param_Sex_All</t>
  </si>
  <si>
    <t>#hasDataItemType: #DI_Proportion;</t>
  </si>
  <si>
    <t>#hasExpectedValue: 0.5; #hasDescription: Proporción de sexo masculino/femenino igual en la cohorte;</t>
  </si>
  <si>
    <t>#Population_Spain_Newborns_2024</t>
  </si>
  <si>
    <t>#hasEpidemiologicalParameter: #DPB_Incidence_BirthPrevalence; #hasSex: #Param_Sex_All; #hasAge: #Param_Age_0;</t>
  </si>
  <si>
    <t>#hasGeographicalContext: España; #hasDescription: Cohorte de recién nacidos vivos durante un año natural en España; #hasYear: 2024; #hasSize: 329251;</t>
  </si>
  <si>
    <t>#Screening_DPB_Enzymatic</t>
  </si>
  <si>
    <t>#hasSpecificity: #DPB_Screening_Specificity; #hasSensitivity: #DPB_Screening_Sensitivity;</t>
  </si>
  <si>
    <t>#hasDescription: Cribado neonatal universal de DPB mediante medida de actividad biotinidasa en sangre en papel por ensayo enzimático/fluorimétrico semicuantitativo;</t>
  </si>
  <si>
    <t>#BiochemicalMonitoring</t>
  </si>
  <si>
    <t>#hasDescription: Control de parámetros bioquímicos relevantes: ácidos orgánicos en orina, lactato, amonio, función hepatorrenal.;</t>
  </si>
  <si>
    <t>#BiotinidaseDeficiency_SupportiveCare</t>
  </si>
  <si>
    <t>#hasCost: #BiotinidaseDeficiency_SupportiveCare_Cost;</t>
  </si>
  <si>
    <t>#hasYear: 2007; #hasDescription: Cuidados de soporte y rehabilitación para secuelas neurosensoriales (sordera, ceguera) y discapacidades asociadas a la deficiencia de biotinidasa: audífonos, implante coclear, apoyo educativo, logopedia, fisioterapia, atención temprana.; #hasSource: Genc GA et al., 2007; Barton GR et al., 2007;</t>
  </si>
  <si>
    <t>#BiotinidaseDeficiency_SupportiveCare_Cost</t>
  </si>
  <si>
    <t>#hasSource: Barton GR et al., 2007; SNS; #hasUnit: EUR; #hasYear: 2023; #hasExpectedValue: 12000; #appliesOneTime: true;</t>
  </si>
  <si>
    <t>#DB_AcuteComa</t>
  </si>
  <si>
    <t>#hasOnsetAge: #DB_AcuteComa_OnsetAge; #includedByModel: #ProfoundBiotinidaseDeficiency_Model; #isParameterOfDisease: #ProfoundBiotinidaseDeficiency; #hasFrequency: #DB_AcuteComa_Frequency;</t>
  </si>
  <si>
    <t>#hasSource: Ye J et al., 2009; Wolf B et al., 2002; #hasYear: 2009; #hasDescription: Alteración aguda del nivel de consciencia, letargia o coma metabólico en fases avanzadas del debut agudo no tratado, con riesgo vital inmediato.;</t>
  </si>
  <si>
    <t>#DB_AcuteComa_Frequency</t>
  </si>
  <si>
    <t>#DB_AcuteComa_OnsetAge</t>
  </si>
  <si>
    <t>#hasDataItemType: #DI_AgeAtOnset;</t>
  </si>
  <si>
    <t>#hasDescription: Edad típica de aparición de coma metabólico en DB profunda (generalmente en episodios agudos graves antes de los 12 meses).; #hasExpectedValue: 7; #hasSource: Ye J et al., 2009; Wolf B et al., 2002; #hasYear: 2009; #hasUnit: months;</t>
  </si>
  <si>
    <t>#DB_AcuteComa_Probability</t>
  </si>
  <si>
    <t>#isParameterOfManifestation: #DB_AcuteComa; #hasDataItemType: #DI_Probability; #includedByModel: #ProfoundBiotinidaseDeficiency_Model;</t>
  </si>
  <si>
    <t>#hasExpectedValue: 0.05; #hasSource: Ye J et al., 2009; Wolf B et al., 2002; #hasYear: 2009; #hasDescription: Probabilidad de aparición de coma metabólico o alteración aguda de consciencia en DB profunda no tratada.;</t>
  </si>
  <si>
    <t>#DB_AcuteComa_Probability_Partial</t>
  </si>
  <si>
    <t>#isParameterOfManifestation: #DB_AcuteComa; #includedByModel: #PartialBiotinidaseDeficiency_Model; #hasDataItemType: #DI_Probability;</t>
  </si>
  <si>
    <t>#hasDescription: Probabilidad de aparición de coma metabólico en deficiencia parcial de biotinidasa. No documentado.; #hasSource: Couce ML et al., 2011; #hasYear: 2011; #hasExpectedValue: 0.00;</t>
  </si>
  <si>
    <t>#DB_AcuteComa_Utility</t>
  </si>
  <si>
    <t>#isParameterOfManifestation: #DB_AcuteComa;</t>
  </si>
  <si>
    <t>#hasSource: Prosser LA et al., Pediatrics 2015; #hasDescription: Utilidad asociada a estado de coma metabólico agudo, compatible con situación de soporte vital.; #hasExpectedValue: 0.05; #hasYear: 2015;</t>
  </si>
  <si>
    <t>#DB_Alopecia</t>
  </si>
  <si>
    <t>#hasOnsetAge: #DB_Alopecia_OnsetAge; #hasUtility: #DB_Alopecia_Utility;</t>
  </si>
  <si>
    <t>#hasDescription: Alopecia total o parcial, reversible con tratamiento precoz.;</t>
  </si>
  <si>
    <t>#DB_Alopecia_BirthPrevalence</t>
  </si>
  <si>
    <t>#hasDataItemType: #DI_PrevalenceAtBirth; #isParameterOfManifestation: #DB_Alopecia; #includedByModel: #ProfoundBiotinidaseDeficiency_Model;</t>
  </si>
  <si>
    <t>#hasSource: Wolf B et al., 2002; Couce ML et al., 2011; #hasExpectedValue: 0.35; #hasDescription: Prevalencia de alopecia total o parcial al diagnóstico de DB profunda.; #hasYear: 2002;</t>
  </si>
  <si>
    <t>#DB_Alopecia_Chronic</t>
  </si>
  <si>
    <t>#isParameterOfDisease: #ProfoundBiotinidaseDeficiency; #hasOnsetAge: #DB_Alopecia_OnsetAge; #hasInitialProportion: #DB_Alopecia_BirthPrevalence; #includedByModel: #ProfoundBiotinidaseDeficiency_Model;</t>
  </si>
  <si>
    <t>#hasYear: 2002; #hasSource: Wolf B et al., 2002; Couce ML et al., 2011; #hasDescription: Alopecia total o parcial persistente, secuela irreversible en casos de debut muy tardío o mal controlados, más frecuente en ausencia de tratamiento en fase aguda.;</t>
  </si>
  <si>
    <t>#DB_Alopecia_OnsetAge</t>
  </si>
  <si>
    <t>#hasDescription: Edad media de aparición de alopecia persistente en DB profunda (habitual en debut agudo y persistente si no se trata precozmente).; #hasSource: Wolf B et al., 2002; Couce ML et al., 2011; #hasExpectedValue: 8; #hasUnit: months; #hasYear: 2002;</t>
  </si>
  <si>
    <t>#DB_Alopecia_Probability</t>
  </si>
  <si>
    <t>#isParameterOfManifestation: #DB_Alopecia_Chronic; #hasDataItemType: #DI_Probability; #includedByModel: #ProfoundBiotinidaseDeficiency_Model;</t>
  </si>
  <si>
    <t>#hasExpectedValue: 0.35; #hasYear: 2002; #hasDescription: Probabilidad de aparición de alopecia total o parcial como manifestación persistente en DB profunda.; #hasSource: Wolf B et al., 2002; Couce ML et al., 2011;</t>
  </si>
  <si>
    <t>#DB_Alopecia_Probability_Partial</t>
  </si>
  <si>
    <t>#includedByModel: #PartialBiotinidaseDeficiency_Model; #isParameterOfManifestation: #DB_Alopecia_Chronic; #hasDataItemType: #DI_Probability;</t>
  </si>
  <si>
    <t>#hasExpectedValue: 0.00; #hasSource: Couce ML et al., 2011; #hasYear: 2011; #hasDescription: Probabilidad de aparición de alopecia en deficiencia parcial de biotinidasa. No documentado en cribado neonatal.;</t>
  </si>
  <si>
    <t>#DB_Alopecia_Utility</t>
  </si>
  <si>
    <t>#isParameterOfManifestation: #DB_Alopecia_Chronic;</t>
  </si>
  <si>
    <t>#hasDescription: Valor de utilidad asociado a alopecia infantil/adolescente. Basado en estudios de calidad de vida dermatológica.; #hasExpectedValue: 0.96; #hasYear: 2005; #hasSource: Hunt N, McHale S. BMJ 2005; Health Utilities Index;</t>
  </si>
  <si>
    <t>#DB_BehavioralDisorder_Chronic</t>
  </si>
  <si>
    <t>#hasOnsetAge: #DB_BehavioralDisorder_OnsetAge; #isParameterOfDisease: #ProfoundBiotinidaseDeficiency; #includedByModel: #ProfoundBiotinidaseDeficiency_Model;</t>
  </si>
  <si>
    <t>#hasSource: Weber P et al., 2004; Couce ML et al., 2011; #hasDescription: Trastornos de conducta, alteraciones psiquiátricas (déficit de atención, problemas de socialización, alteraciones emocionales), reportados en seguimiento prolongado de pacientes con DB profunda y daño neurológico previo.; #hasYear: 2004;</t>
  </si>
  <si>
    <t>#DB_BehavioralDisorder_OnsetAge</t>
  </si>
  <si>
    <t>#hasDescription: Edad media de aparición/diagnóstico de trastornos psiquiátricos/crónicos de conducta tras secuelas neurológicas en DB profunda.; #hasExpectedValue: 48; #hasYear: 2004; #hasSource: Weber P et al., 2004; #hasUnit: months;</t>
  </si>
  <si>
    <t>#DB_BehavioralDisorder_Probability</t>
  </si>
  <si>
    <t>#hasDataItemType: #DI_Probability; #includedByModel: #ProfoundBiotinidaseDeficiency_Model; #isParameterOfManifestation: #DB_BehavioralDisorder_Chronic;</t>
  </si>
  <si>
    <t>#hasExpectedValue: 0.10; #hasYear: 2004; #hasSource: Weber P et al., 2004; Couce ML et al., 2011; #hasDescription: Probabilidad de aparición de trastornos de conducta o alteraciones psiquiátricas en el seguimiento largo de DB profunda.;</t>
  </si>
  <si>
    <t>#DB_BehavioralDisorder_Probability_Partial</t>
  </si>
  <si>
    <t>#isParameterOfManifestation: #DB_BehavioralDisorder_Chronic; #hasDataItemType: #DI_Probability; #includedByModel: #PartialBiotinidaseDeficiency_Model;</t>
  </si>
  <si>
    <t>#hasDescription: Probabilidad de aparición de trastornos de conducta en deficiencia parcial de biotinidasa. No documentado.; #hasExpectedValue: 0.00; #hasSource: Weber P et al., 2004; Couce ML et al., 2011; #hasYear: 2011;</t>
  </si>
  <si>
    <t>#DB_BehavioralDisorder_Utility</t>
  </si>
  <si>
    <t>#isParameterOfManifestation: #DB_BehavioralDisorder_Chronic;</t>
  </si>
  <si>
    <t>#hasSource: Jangmo A et al., JAMA Pediatr. 2019; NICE; #hasDescription: Utilidad asociada a trastornos de conducta/psiquiátricos crónicos secundarios a DB profunda. Basado en estudios de TDAH/alteraciones emocionales en pediatría.; #hasYear: 2019; #hasExpectedValue: 0.72;</t>
  </si>
  <si>
    <t>#DB_Dermatitis</t>
  </si>
  <si>
    <t>#hasOnsetAge: #DB_Dermatitis_OnsetAge; #hasUtility: #DB_Dermatitis_Utility;</t>
  </si>
  <si>
    <t>#hasDescription: Dermatitis eccematosa, perioral, descamativa; puede acompañarse de conjuntivitis.;</t>
  </si>
  <si>
    <t>#DB_Dermatitis_Acute</t>
  </si>
  <si>
    <t>#hasOnsetAge: #DB_Dermatitis_Acute_OnsetAge; #includedByModel: #ProfoundBiotinidaseDeficiency_Model; #hasFrequency: #DB_Dermatitis_Acute_Frequency; #isParameterOfDisease: #ProfoundBiotinidaseDeficiency;</t>
  </si>
  <si>
    <t>#hasSource: Wolf B et al., 2002; Couce ML et al., 2011; Grünewald S et al., 2004; #hasYear: 2002; #hasDescription: Exantema agudo, dermatitis eritematosa, eccematosa o descamativa que aparece bruscamente en lactantes con debut agudo de DB profunda, especialmente alrededor de boca, genitales o zonas de roce.;</t>
  </si>
  <si>
    <t>#DB_Dermatitis_Acute_Frequency</t>
  </si>
  <si>
    <t>#DB_Dermatitis_Acute_OnsetAge</t>
  </si>
  <si>
    <t>#hasYear: 2002; #hasUnit: months; #hasExpectedValue: 5; #hasSource: Wolf B et al., 2002; Weber P et al., 2004; #hasDescription: Edad media de aparición de dermatitis aguda/exantema en debut no tratado de DB profunda (típicamente entre 2-7 meses).;</t>
  </si>
  <si>
    <t>#DB_Dermatitis_BirthPrevalence</t>
  </si>
  <si>
    <t>#hasDataItemType: #DI_PrevalenceAtBirth; #isParameterOfManifestation: #DB_Dermatitis; #includedByModel: #ProfoundBiotinidaseDeficiency_Model;</t>
  </si>
  <si>
    <t>#hasDescription: Prevalencia de manifestaciones cutáneas (dermatitis, eczema) en el momento del diagnóstico clínico de DB profunda.; #hasSource: Couce ML et al., 2011; Weber P et al., 2004; #hasExpectedValue: 0.40; #hasYear: 2011;</t>
  </si>
  <si>
    <t>#DB_Dermatitis_OnsetAge</t>
  </si>
  <si>
    <t>#DB_Dermatitis_Probability</t>
  </si>
  <si>
    <t>#isParameterOfManifestation: #DB_Dermatitis_Acute; #hasDataItemType: #DI_Probability; #includedByModel: #ProfoundBiotinidaseDeficiency_Model;</t>
  </si>
  <si>
    <t>#hasExpectedValue: 0.40; #hasYear: 2011; #hasSource: Couce ML et al., 2011; Weber P et al., 2004; Wolf B et al., 2002; #hasDescription: Probabilidad de aparición de manifestaciones cutáneas agudas (dermatitis, exantema, eczema) en DB profunda no tratada.;</t>
  </si>
  <si>
    <t>#DB_Dermatitis_Probability_Partial</t>
  </si>
  <si>
    <t>#includedByModel: #PartialBiotinidaseDeficiency_Model; #isParameterOfManifestation: #DB_Dermatitis_Acute; #hasDataItemType: #DI_Probability;</t>
  </si>
  <si>
    <t>#hasSource: Couce ML et al., 2011; Wolf B et al., 2002; #hasExpectedValue: 0.01; #hasDescription: Probabilidad de aparición de manifestaciones cutáneas agudas (dermatitis, exantema) en deficiencia parcial de biotinidasa. No documentado salvo casos muy excepcionales en contexto de estrés.; #hasYear: 2011;</t>
  </si>
  <si>
    <t>#DB_Dermatitis_Utility</t>
  </si>
  <si>
    <t>#isParameterOfManifestation: #DB_Dermatitis_Acute;</t>
  </si>
  <si>
    <t>#hasExpectedValue: 0.85; #hasDescription: Valor de utilidad durante episodio agudo de dermatitis severa/eczema. Basado en estudios de utilidad en eccema infantil.; #hasSource: Berggren F et al., Br J Dermatol. 1998; NICE; #hasYear: 1998;</t>
  </si>
  <si>
    <t>#DB_DevelopmentalDelay</t>
  </si>
  <si>
    <t>#hasOnsetAge: #DB_DevelopmentalDelay_OnsetAge; #hasUtility: #DB_DevelopmentalDelay_Utility;</t>
  </si>
  <si>
    <t>#hasDescription: Retraso psicomotor, posible retraso mental, secundario a la afectación neurológica.;</t>
  </si>
  <si>
    <t>#DB_DevelopmentalDelay_BirthPrevalence</t>
  </si>
  <si>
    <t>#includedByModel: #ProfoundBiotinidaseDeficiency_Model; #isParameterOfManifestation: #DB_DevelopmentalDelay; #hasDataItemType: #DI_PrevalenceAtBirth;</t>
  </si>
  <si>
    <t>#hasYear: 2004; #hasExpectedValue: 0.55; #hasDescription: Prevalencia de retraso psicomotor o cognitivo al nacimiento o en los primeros meses/años en pacientes con DB profunda no tratados.; #hasSource: Weber P et al., 2004; Möslinger D et al., 2003;</t>
  </si>
  <si>
    <t>#DB_DevelopmentalDelay_Chronic</t>
  </si>
  <si>
    <t>#isParameterOfDisease: #ProfoundBiotinidaseDeficiency; #hasOnsetAge: #DB_DevelopmentalDelay_OnsetAge; #hasInitialProportion: #DB_DevelopmentalDelay_BirthPrevalence; #includedByModel: #ProfoundBiotinidaseDeficiency_Model;</t>
  </si>
  <si>
    <t>#hasSource: Weber P et al., 2004; Möslinger D et al., 2003; Couce ML et al., 2011; #hasYear: 2004; #hasDescription: Retraso del desarrollo psicomotor y/o discapacidad intelectual persistente, resultado de episodios agudos recurrentes o debut no tratado; puede asociarse a dificultades escolares, de lenguaje y aprendizaje.;</t>
  </si>
  <si>
    <t>#DB_DevelopmentalDelay_OnsetAge</t>
  </si>
  <si>
    <t>#hasExpectedValue: 15; #hasUnit: months; #hasSource: Weber P et al., 2004; Möslinger D et al., 2003; #hasYear: 2004; #hasDescription: Edad media de aparición/diagnóstico de retraso psicomotor en DB profunda (puede sospecharse antes, pero se confirma tras seguimiento; rango 10-24 meses).;</t>
  </si>
  <si>
    <t>#DB_DevelopmentalDelay_Probability</t>
  </si>
  <si>
    <t>#includedByModel: #ProfoundBiotinidaseDeficiency_Model; #isParameterOfManifestation: #DB_DevelopmentalDelay_Chronic; #hasDataItemType: #DI_Probability;</t>
  </si>
  <si>
    <t>#hasExpectedValue: 0.55; #hasYear: 2004; #hasDescription: Probabilidad de aparición de retraso psicomotor o discapacidad intelectual significativa en pacientes con deficiencia profunda de biotinidasa no tratados o tratados tardíamente.; #hasSource: Weber P et al., 2004; Möslinger D et al., 2003;</t>
  </si>
  <si>
    <t>#DB_DevelopmentalDelay_Probability_Partial</t>
  </si>
  <si>
    <t>#hasDataItemType: #DI_Probability; #isParameterOfManifestation: #DB_DevelopmentalDelay_Chronic; #includedByModel: #PartialBiotinidaseDeficiency_Model;</t>
  </si>
  <si>
    <t>#hasYear: 2011; #hasSource: Weber P et al., 2004; Couce ML et al., 2011; #hasExpectedValue: 0.01; #hasDescription: Probabilidad de aparición de retraso psicomotor en pacientes con deficiencia parcial de biotinidasa. No se ha documentado en cribado neonatal; casos anecdóticos en literatura internacional.;</t>
  </si>
  <si>
    <t>#DB_DevelopmentalDelay_Utility</t>
  </si>
  <si>
    <t>#isParameterOfManifestation: #DB_DevelopmentalDelay_Chronic;</t>
  </si>
  <si>
    <t>#hasExpectedValue: 0.63; #hasDescription: Valor de utilidad asociado a discapacidad intelectual moderada en edad pediátrica. Adaptado de estudios de enfermedades raras metabólicas y epilepsia refractaria.; #hasYear: 2009; #hasSource: Peacock S et al., Health Econ 2009; NICE; Prosser LA et al., Pediatrics 2015;</t>
  </si>
  <si>
    <t>#DB_DigestiveIntolerance</t>
  </si>
  <si>
    <t>#hasOnsetAge: #DB_DigestiveIntolerance_OnsetAge; #hasUtility: #DB_DigestiveIntolerance_Utility;</t>
  </si>
  <si>
    <t>#hasDescription: Intolerancia digestiva, vómitos, diarrea.;</t>
  </si>
  <si>
    <t>#DB_DigestiveIntolerance_Acute</t>
  </si>
  <si>
    <t>#hasFrequency: #DB_DigestiveIntolerance_Acute_Frequency; #isParameterOfDisease: #ProfoundBiotinidaseDeficiency; #includedByModel: #ProfoundBiotinidaseDeficiency_Model; #hasOnsetAge: #DB_DigestiveIntolerance_Acute_OnsetAge;</t>
  </si>
  <si>
    <t>#hasYear: 2009; #hasDescription: Episodios agudos de vómitos intensos, intolerancia digestiva, diarrea y deshidratación, que pueden presentarse en la fase inicial no tratada de la deficiencia profunda de biotinidasa.; #hasSource: Ye J et al., 2009; Weber P et al., 2004;</t>
  </si>
  <si>
    <t>#DB_DigestiveIntolerance_Acute_Frequency</t>
  </si>
  <si>
    <t>#DB_DigestiveIntolerance_Acute_OnsetAge</t>
  </si>
  <si>
    <t>#hasYear: 2009; #hasSource: Ye J et al., 2009; #hasExpectedValue: 6; #hasUnit: months; #hasDescription: Edad media de aparición de vómitos/intolerancia digestiva aguda en DB profunda.;</t>
  </si>
  <si>
    <t>#DB_DigestiveIntolerance_BirthPrevalence</t>
  </si>
  <si>
    <t>#isParameterOfManifestation: #DB_DigestiveIntolerance; #includedByModel: #ProfoundBiotinidaseDeficiency_Model; #hasDataItemType: #DI_PrevalenceAtBirth;</t>
  </si>
  <si>
    <t>#hasYear: 2009; #hasDescription: Prevalencia de síntomas digestivos graves (vómitos, intolerancia, fallo de medro) al diagnóstico.; #hasExpectedValue: 0.07; #hasSource: Ye J et al., 2009; Weber P et al., 2004;</t>
  </si>
  <si>
    <t>#DB_DigestiveIntolerance_OnsetAge</t>
  </si>
  <si>
    <t>#DB_DigestiveIntolerance_Probability</t>
  </si>
  <si>
    <t>#includedByModel: #ProfoundBiotinidaseDeficiency_Model; #isParameterOfManifestation: #DB_DigestiveIntolerance_Acute; #hasDataItemType: #DI_Probability;</t>
  </si>
  <si>
    <t>#hasYear: 2009; #hasDescription: Probabilidad de aparición de manifestaciones digestivas agudas graves (vómitos, intolerancia, deshidratación) en DB profunda.; #hasExpectedValue: 0.07; #hasSource: Ye J et al., 2009; Weber P et al., 2004;</t>
  </si>
  <si>
    <t>#DB_DigestiveIntolerance_Probability_Partial</t>
  </si>
  <si>
    <t>#isParameterOfManifestation: #DB_DigestiveIntolerance_Acute; #hasDataItemType: #DI_Probability; #includedByModel: #PartialBiotinidaseDeficiency_Model;</t>
  </si>
  <si>
    <t>#hasYear: 2011; #hasSource: Couce ML et al., 2011; #hasExpectedValue: 0.00; #hasDescription: Probabilidad de aparición de manifestaciones digestivas agudas en deficiencia parcial de biotinidasa. No documentado.;</t>
  </si>
  <si>
    <t>#DB_DigestiveIntolerance_Utility</t>
  </si>
  <si>
    <t>#isParameterOfManifestation: #DB_DigestiveIntolerance_Acute;</t>
  </si>
  <si>
    <t>#hasSource: Prosser LA et al., Pediatrics 2015; #hasYear: 2015; #hasExpectedValue: 0.75; #hasDescription: Valor de utilidad durante episodios agudos de intolerancia digestiva grave/vómitos. Basado en estudios de gastroenteritis aguda y enfermedades metabólicas.;</t>
  </si>
  <si>
    <t>#DB_GrowthFailure</t>
  </si>
  <si>
    <t>#hasOnsetAge: #DB_GrowthFailure_OnsetAge; #hasUtility: #DB_GrowthFailure_Utility;</t>
  </si>
  <si>
    <t>#hasDescription: Fallo de medro o retraso del crecimiento.;</t>
  </si>
  <si>
    <t>#DB_GrowthFailure_BirthPrevalence</t>
  </si>
  <si>
    <t>#hasDataItemType: #DI_PrevalenceAtBirth; #isParameterOfManifestation: #DB_GrowthFailure; #includedByModel: #ProfoundBiotinidaseDeficiency_Model;</t>
  </si>
  <si>
    <t>#hasSource: Couce ML et al., 2011; #hasDescription: Prevalencia de fallo de crecimiento en pacientes sintomáticos al nacimiento.; #hasExpectedValue: 0.15; #hasYear: 2011;</t>
  </si>
  <si>
    <t>#DB_GrowthFailure_Chronic</t>
  </si>
  <si>
    <t>#includedByModel: #ProfoundBiotinidaseDeficiency_Model; #hasInitialProportion: #DB_GrowthFailure_BirthPrevalence; #hasOnsetAge: #DB_GrowthFailure_OnsetAge; #isParameterOfDisease: #ProfoundBiotinidaseDeficiency;</t>
  </si>
  <si>
    <t>#hasSource: Ye J et al., 2009; Couce ML et al., 2011; #hasDescription: Fallo de crecimiento o retraso ponderoestatural persistente asociado a DB profunda crónica, más común en cuadros no tratados precozmente.; #hasYear: 2009;</t>
  </si>
  <si>
    <t>#DB_GrowthFailure_OnsetAge</t>
  </si>
  <si>
    <t>#hasExpectedValue: 16; #hasSource: Couce ML et al., 2011; Ye J et al., 2009; #hasDescription: Edad media de diagnóstico de fallo de crecimiento persistente en DB profunda, tras aparición de secuelas crónicas.; #hasYear: 2011; #hasUnit: months;</t>
  </si>
  <si>
    <t>#DB_GrowthFailure_Probability</t>
  </si>
  <si>
    <t>#includedByModel: #ProfoundBiotinidaseDeficiency_Model; #hasDataItemType: #DI_Probability; #isParameterOfManifestation: #DB_GrowthFailure_Chronic;</t>
  </si>
  <si>
    <t>#hasExpectedValue: 0.15; #hasDescription: Probabilidad de aparición de retraso ponderoestatural/fallo de crecimiento en DB profunda crónica.; #hasSource: Couce ML et al., 2011; Ye J et al., 2009; #hasYear: 2011;</t>
  </si>
  <si>
    <t>#DB_GrowthFailure_Probability_Partial</t>
  </si>
  <si>
    <t>#hasDataItemType: #DI_Probability; #includedByModel: #PartialBiotinidaseDeficiency_Model; #isParameterOfManifestation: #DB_GrowthFailure_Chronic;</t>
  </si>
  <si>
    <t>#hasYear: 2011; #hasExpectedValue: 0.00; #hasDescription: Probabilidad de aparición de retraso ponderoestatural/fallo de crecimiento en deficiencia parcial de biotinidasa. No documentado.; #hasSource: Couce ML et al., 2011;</t>
  </si>
  <si>
    <t>#DB_GrowthFailure_Utility</t>
  </si>
  <si>
    <t>#isParameterOfManifestation: #DB_GrowthFailure_Chronic;</t>
  </si>
  <si>
    <t>#hasDescription: Valor de utilidad asociado a fallo de crecimiento persistente en pediatría. Basado en estudios de malnutrición infantil y enfermedades metabólicas.; #hasExpectedValue: 0.80; #hasYear: 2015; #hasSource: Prosser LA et al., Pediatrics 2015;</t>
  </si>
  <si>
    <t>#DB_HearingLoss</t>
  </si>
  <si>
    <t>#hasUtility: #DB_HearingLoss_Utility; #hasOnsetAge: #DB_HearingLoss_OnsetAge;</t>
  </si>
  <si>
    <t>#hasDescription: Sordera neurosensorial de grado variable, frecuente en casos no tratados o tratados tardíamente.;</t>
  </si>
  <si>
    <t>#DB_HearingLoss_BirthPrevalence</t>
  </si>
  <si>
    <t>#hasDataItemType: #DI_PrevalenceAtBirth; #includedByModel: #ProfoundBiotinidaseDeficiency_Model; #isParameterOfManifestation: #DB_HearingLoss;</t>
  </si>
  <si>
    <t>#hasSource: Wolf B et al., 2002; Genc GA et al., 2007; Couce ML et al., 2011; #hasExpectedValue: 0.60; #hasDescription: Prevalencia de sordera neurosensorial al nacimiento o antes del inicio de tratamiento en pacientes con deficiencia profunda de biotinidasa.; #hasYear: 2002;</t>
  </si>
  <si>
    <t>#DB_HearingLoss_Chronic</t>
  </si>
  <si>
    <t>#hasOnsetAge: #DB_HearingLoss_OnsetAge; #isParameterOfDisease: #ProfoundBiotinidaseDeficiency; #hasInitialProportion: #DB_HearingLoss_BirthPrevalence; #includedByModel: #ProfoundBiotinidaseDeficiency_Model;</t>
  </si>
  <si>
    <t>#hasYear: 2002; #hasSource: Wolf B et al., 2002; Genc GA et al., 2007; Weber P et al., 2004; Couce ML et al., 2011; #hasDescription: Sordera neurosensorial bilateral, generalmente irreversible si el tratamiento es tardío, puede variar de moderada a profunda y aparecer a cualquier edad, pero típicamente como secuela permanente tras episodios agudos no tratados.;</t>
  </si>
  <si>
    <t>#DB_HearingLoss_OnsetAge</t>
  </si>
  <si>
    <t>#hasExpectedValue: 12; #hasYear: 2007; #hasSource: Genc GA et al., 2007; Weber P et al., 2004; #hasDescription: Edad media de diagnóstico de sordera neurosensorial en DB profunda (6-24 meses, puede comenzar antes pero diagnosticarse con el desarrollo del lenguaje).; #hasUnit: months;</t>
  </si>
  <si>
    <t>No es exactamente alucinación, sino que puso 12 meses</t>
  </si>
  <si>
    <t>#DB_HearingLoss_Probability</t>
  </si>
  <si>
    <t>#includedByModel: #ProfoundBiotinidaseDeficiency_Model; #hasDataItemType: #DI_Probability; #isParameterOfManifestation: #DB_HearingLoss_Chronic;</t>
  </si>
  <si>
    <t>#hasYear: 2007; #hasDescription: Probabilidad de aparición de sordera neurosensorial (de moderada a profunda) en pacientes con deficiencia profunda de biotinidasa no tratados.; #hasSource: Wolf B et al., 2002; Genc GA et al., 2007; Couce ML et al., 2011; #hasExpectedValue: 0.60;</t>
  </si>
  <si>
    <t>#DB_HearingLoss_Probability_Partial</t>
  </si>
  <si>
    <t>#isParameterOfManifestation: #DB_HearingLoss_Chronic; #hasDataItemType: #DI_Probability; #includedByModel: #PartialBiotinidaseDeficiency_Model;</t>
  </si>
  <si>
    <t>#hasYear: 2011; #hasSource: Couce ML et al., 2011; Wolf B et al., 2002; #hasExpectedValue: 0.01; #hasDescription: Probabilidad de aparición de sordera neurosensorial en deficiencia parcial de biotinidasa. No se ha descrito en cribado neonatal; casos excepcionales en literatura.;</t>
  </si>
  <si>
    <t>#DB_HearingLoss_Utility</t>
  </si>
  <si>
    <t>#isParameterOfManifestation: #DB_HearingLoss_Chronic;</t>
  </si>
  <si>
    <t>#hasYear: 2007; #hasDescription: Valor de utilidad asociado a sordera neurosensorial bilateral persistente. Ajustado de estudios de coste-utilidad en pérdida auditiva pediátrica y Health Utilities Index.; #hasExpectedValue: 0.71; #hasSource: Barton GR et al., Cochlear Implants Int. 2006; Barton GR et al., 2007; NICE CG60; HUI-3;</t>
  </si>
  <si>
    <t>#DB_Incidence_Spain_2011</t>
  </si>
  <si>
    <t>#hasSource: Couce et al., Med Clin (Barc). 2011;137(11):500–503; #hasDescription: Incidencia de deficiencia profunda de biotinidasa en España detectada por cribado neonatal entre 1987-2009; #hasExpectedValue: 0.0000114; #hasYear: 2011;</t>
  </si>
  <si>
    <t>#DB_LacticAcidosis</t>
  </si>
  <si>
    <t>#hasOnsetAge: #DB_LacticAcidosis_OnsetAge; #hasUtility: #DB_LacticAcidosis_Utility;</t>
  </si>
  <si>
    <t>#hasDescription: Acidosis láctica secundaria a alteraciones en el metabolismo intermediario.;</t>
  </si>
  <si>
    <t>#DB_LacticAcidosis_Acute</t>
  </si>
  <si>
    <t>#hasFrequency: #DB_LacticAcidosis_Acute_Frequency; #isParameterOfDisease: #ProfoundBiotinidaseDeficiency; #hasOnsetAge: #DB_LacticAcidosis_Acute_OnsetAge; #includedByModel: #ProfoundBiotinidaseDeficiency_Model;</t>
  </si>
  <si>
    <t>#hasDescription: Acidosis láctica aguda secundaria a alteraciones del metabolismo intermediario por déficit de biotinidasa. Puede acompañar al debut clínico junto a otros síntomas agudos.; #hasYear: 2009; #hasSource: Ye J et al., 2009; Weber P et al., 2004;</t>
  </si>
  <si>
    <t>#DB_LacticAcidosis_Acute_Frequency</t>
  </si>
  <si>
    <t>#DB_LacticAcidosis_Acute_OnsetAge</t>
  </si>
  <si>
    <t>#hasDescription: Edad media de aparición de acidosis láctica aguda en DB profunda. Suele coincidir con episodios agudos neurológicos (1-12 meses).; #hasExpectedValue: 6; #hasSource: Ye J et al., 2009; Weber P et al., 2004; #hasUnit: months; #hasYear: 2009;</t>
  </si>
  <si>
    <t>#DB_LacticAcidosis_BirthPrevalence</t>
  </si>
  <si>
    <t>#includedByModel: #ProfoundBiotinidaseDeficiency_Model; #isParameterOfManifestation: #DB_LacticAcidosis; #hasDataItemType: #DI_PrevalenceAtBirth;</t>
  </si>
  <si>
    <t>#hasSource: Weber P et al., 2004; Ye J et al., 2009; #hasDescription: Prevalencia de acidosis láctica significativa al diagnóstico de DB profunda.; #hasExpectedValue: 0.20; #hasYear: 2004;</t>
  </si>
  <si>
    <t>#DB_LacticAcidosis_OnsetAge</t>
  </si>
  <si>
    <t>#DB_LacticAcidosis_Probability</t>
  </si>
  <si>
    <t>#hasDataItemType: #DI_Probability; #includedByModel: #ProfoundBiotinidaseDeficiency_Model; #isParameterOfManifestation: #DB_LacticAcidosis_Acute;</t>
  </si>
  <si>
    <t>#hasSource: Weber P et al., 2004; Ye J et al., 2009; #hasExpectedValue: 0.20; #hasDescription: Probabilidad de aparición de acidosis láctica aguda en debut clínico de DB profunda.; #hasYear: 2004;</t>
  </si>
  <si>
    <t>#DB_LacticAcidosis_Probability_Partial</t>
  </si>
  <si>
    <t>#includedByModel: #PartialBiotinidaseDeficiency_Model; #hasDataItemType: #DI_Probability; #isParameterOfManifestation: #DB_LacticAcidosis_Acute;</t>
  </si>
  <si>
    <t>#hasExpectedValue: 0.00; #hasDescription: Probabilidad de aparición de acidosis láctica aguda en deficiencia parcial de biotinidasa. No documentado.; #hasSource: Couce ML et al., 2011; #hasYear: 2011;</t>
  </si>
  <si>
    <t>#DB_LacticAcidosis_Utility</t>
  </si>
  <si>
    <t>#isParameterOfManifestation: #DB_LacticAcidosis_Acute;</t>
  </si>
  <si>
    <t>#hasDescription: Valor de utilidad durante episodio de acidosis láctica aguda. Adaptado de estados equivalentes en enfermedades metabólicas pediátricas.; #hasYear: 2005; #hasExpectedValue: 0.70; #hasSource: Lee PJ et al., JIMD 2005;</t>
  </si>
  <si>
    <t>#DB_MotorDisorder_Chronic</t>
  </si>
  <si>
    <t>#isParameterOfDisease: #ProfoundBiotinidaseDeficiency; #includedByModel: #ProfoundBiotinidaseDeficiency_Model; #hasOnsetAge: #DB_MotorDisorder_OnsetAge;</t>
  </si>
  <si>
    <t>#hasSource: Weber P et al., 2004; Wolf B et al., 2002; #hasDescription: Trastornos motores crónicos (ataxia, hipotonía, espasticidad, debilidad muscular) secundarios a afectación neurológica irreversible en DB profunda, persistentes pese a tratamiento tardío.; #hasYear: 2004;</t>
  </si>
  <si>
    <t>#DB_MotorDisorder_OnsetAge</t>
  </si>
  <si>
    <t>#hasUnit: months; #hasSource: Weber P et al., 2004; #hasDescription: Edad media de diagnóstico de trastornos motores crónicos en DB profunda (post-episodios agudos).; #hasExpectedValue: 15; #hasYear: 2004;</t>
  </si>
  <si>
    <t>#DB_MotorDisorder_Probability</t>
  </si>
  <si>
    <t>#isParameterOfManifestation: #DB_MotorDisorder_Chronic; #includedByModel: #ProfoundBiotinidaseDeficiency_Model; #hasDataItemType: #DI_Probability;</t>
  </si>
  <si>
    <t>#hasExpectedValue: 0.30; #hasDescription: Probabilidad de aparición de trastornos motores crónicos (ataxia, espasticidad, hipotonía persistente) en DB profunda no tratada.; #hasSource: Weber P et al., 2004; Wolf B et al., 2002; #hasYear: 2004;</t>
  </si>
  <si>
    <t>#DB_MotorDisorder_Probability_Partial</t>
  </si>
  <si>
    <t>#includedByModel: #PartialBiotinidaseDeficiency_Model; #hasDataItemType: #DI_Probability; #isParameterOfManifestation: #DB_MotorDisorder_Chronic;</t>
  </si>
  <si>
    <t>#hasSource: Weber P et al., 2004; Couce ML et al., 2011; #hasDescription: Probabilidad de aparición de trastornos motores crónicos en deficiencia parcial de biotinidasa. No documentado.; #hasExpectedValue: 0.00; #hasYear: 2011;</t>
  </si>
  <si>
    <t>#DB_MotorDisorder_Utility</t>
  </si>
  <si>
    <t>#isParameterOfManifestation: #DB_MotorDisorder_Chronic;</t>
  </si>
  <si>
    <t>#hasDescription: Valor de utilidad para trastornos motores crónicos severos (ataxia, espasticidad, hipotonía persistente). Derivado de estudios en parálisis cerebral infantil y enfermedades neuromusculares.; #hasExpectedValue: 0.60; #hasYear: 2005; #hasSource: Tilford JM et al., Dev Med Child Neurol. 2005; NICE;</t>
  </si>
  <si>
    <t>#DB_OpticAtrophy</t>
  </si>
  <si>
    <t>#hasUtility: #DB_OpticAtrophy_Utility; #hasOnsetAge: #DB_OpticAtrophy_OnsetAge;</t>
  </si>
  <si>
    <t>#hasDescription: Atrofia óptica secundaria a afectación neurológica, puede aparecer si el tratamiento se retrasa.;</t>
  </si>
  <si>
    <t>#DB_OpticAtrophy_BirthPrevalence</t>
  </si>
  <si>
    <t>#includedByModel: #ProfoundBiotinidaseDeficiency_Model; #isParameterOfManifestation: #DB_OpticAtrophy; #hasDataItemType: #DI_PrevalenceAtBirth;</t>
  </si>
  <si>
    <t>#hasSource: Weber P et al., 2004; #hasExpectedValue: 0.18; #hasYear: 2004; #hasDescription: Prevalencia de atrofia óptica en el momento del diagnóstico de DB profunda.;</t>
  </si>
  <si>
    <t>#DB_OpticAtrophy_Chronic</t>
  </si>
  <si>
    <t>#hasInitialProportion: #DB_OpticAtrophy_BirthPrevalence; #isParameterOfDisease: #ProfoundBiotinidaseDeficiency; #hasOnsetAge: #DB_OpticAtrophy_OnsetAge; #includedByModel: #ProfoundBiotinidaseDeficiency_Model;</t>
  </si>
  <si>
    <t>#hasYear: 2004; #hasSource: Weber P et al., 2004; Couce ML et al., 2011; #hasDescription: Atrofia óptica, de aparición progresiva, responsable de déficit visual permanente o ceguera, secundaria a afectación metabólica y neurológica de larga evolución.;</t>
  </si>
  <si>
    <t>#DB_OpticAtrophy_OnsetAge</t>
  </si>
  <si>
    <t>#hasUnit: months; #hasYear: 2004; #hasDescription: Edad media de aparición/diagnóstico de atrofia óptica en DB profunda (diagnóstico habitual entre 12-24 meses tras secuelas neurológicas).; #hasSource: Weber P et al., 2004; Couce ML et al., 2011; #hasExpectedValue: 18;</t>
  </si>
  <si>
    <t>#DB_OpticAtrophy_Probability</t>
  </si>
  <si>
    <t>#includedByModel: #ProfoundBiotinidaseDeficiency_Model; #isParameterOfManifestation: #DB_OpticAtrophy_Chronic; #hasDataItemType: #DI_Probability;</t>
  </si>
  <si>
    <t>#hasYear: 2004; #hasDescription: Probabilidad de aparición de atrofia óptica (pérdida de visión permanente) en pacientes con deficiencia profunda de biotinidasa.; #hasExpectedValue: 0.18; #hasSource: Weber P et al., 2004; Couce ML et al., 2011;</t>
  </si>
  <si>
    <t>#DB_OpticAtrophy_Probability_Partial</t>
  </si>
  <si>
    <t>#isParameterOfManifestation: #DB_OpticAtrophy_Chronic; #includedByModel: #PartialBiotinidaseDeficiency_Model; #hasDataItemType: #DI_Probability;</t>
  </si>
  <si>
    <t>#hasYear: 2011; #hasDescription: Probabilidad de aparición de atrofia óptica en deficiencia parcial de biotinidasa. No documentado.; #hasExpectedValue: 0.00; #hasSource: Couce ML et al., 2011; Wolf B et al., 2002;</t>
  </si>
  <si>
    <t>#DB_OpticAtrophy_Utility</t>
  </si>
  <si>
    <t>#isParameterOfManifestation: #DB_OpticAtrophy_Chronic;</t>
  </si>
  <si>
    <t>#hasDescription: Valor de utilidad asociado a atrofia óptica/pérdida visual legal. Basado en estudios de utilidad en ceguera y enfermedades neurodegenerativas infantiles.; #hasYear: 2001; #hasExpectedValue: 0.62; #hasSource: Brown MM et al., Ophthalmology. 2001; Health Utilities Index;</t>
  </si>
  <si>
    <t>#DB_RespiratoryDistress</t>
  </si>
  <si>
    <t>#hasUtility: #DB_RespiratoryDistress_Utility; #hasOnsetAge: #DB_RespiratoryDistress_OnsetAge;</t>
  </si>
  <si>
    <t>#hasDescription: Distrés respiratorio, puede aparecer en etapas precoces.;</t>
  </si>
  <si>
    <t>#DB_RespiratoryDistress_Acute</t>
  </si>
  <si>
    <t>#includedByModel: #ProfoundBiotinidaseDeficiency_Model; #hasFrequency: #DB_RespiratoryDistress_Acute_Frequency; #isParameterOfDisease: #ProfoundBiotinidaseDeficiency; #hasOnsetAge: #DB_RespiratoryDistress_Acute_OnsetAge;</t>
  </si>
  <si>
    <t>#hasDescription: Distrés respiratorio agudo, con respiración acidótica, dificultad respiratoria y episodios de apnea. Puede precipitar cuadros de gravedad vital.; #hasSource: Ye J et al., 2009; Couce ML et al., 2011; Grünewald S et al., 2004; #hasYear: 2009;</t>
  </si>
  <si>
    <t>#DB_RespiratoryDistress_Acute_Frequency</t>
  </si>
  <si>
    <t>#DB_RespiratoryDistress_Acute_OnsetAge</t>
  </si>
  <si>
    <t>#hasUnit: months; #hasSource: Weber P et al., 2004; Ye J et al., 2009; #hasDescription: Edad media de aparición de distrés respiratorio agudo en debut no tratado de DB profunda.; #hasExpectedValue: 4; #hasYear: 2004;</t>
  </si>
  <si>
    <t>#DB_RespiratoryDistress_BirthPrevalence</t>
  </si>
  <si>
    <t>#includedByModel: #ProfoundBiotinidaseDeficiency_Model; #isParameterOfManifestation: #DB_RespiratoryDistress; #hasDataItemType: #DI_PrevalenceAtBirth;</t>
  </si>
  <si>
    <t>#hasDescription: Prevalencia de distrés respiratorio al diagnóstico de DB profunda.; #hasYear: 2011; #hasSource: Couce ML et al., 2011; Ye J et al., 2009; #hasExpectedValue: 0.10;</t>
  </si>
  <si>
    <t>#DB_RespiratoryDistress_OnsetAge</t>
  </si>
  <si>
    <t>#DB_RespiratoryDistress_Probability</t>
  </si>
  <si>
    <t>#includedByModel: #ProfoundBiotinidaseDeficiency_Model; #hasDataItemType: #DI_Probability; #isParameterOfManifestation: #DB_RespiratoryDistress_Acute;</t>
  </si>
  <si>
    <t>#hasExpectedValue: 0.10; #hasYear: 2011; #hasDescription: Probabilidad de aparición de distrés respiratorio agudo en el contexto de debut de DB profunda no tratada.; #hasSource: Couce ML et al., 2011; Ye J et al., 2009;</t>
  </si>
  <si>
    <t>#DB_RespiratoryDistress_Probability_Partial</t>
  </si>
  <si>
    <t>#includedByModel: #PartialBiotinidaseDeficiency_Model; #hasDataItemType: #DI_Probability; #isParameterOfManifestation: #DB_RespiratoryDistress_Acute;</t>
  </si>
  <si>
    <t>#hasDescription: Probabilidad de aparición de distrés respiratorio agudo en deficiencia parcial de biotinidasa. No documentado.; #hasExpectedValue: 0.00; #hasYear: 2011; #hasSource: Couce ML et al., 2011;</t>
  </si>
  <si>
    <t>#DB_RespiratoryDistress_Utility</t>
  </si>
  <si>
    <t>#isParameterOfManifestation: #DB_RespiratoryDistress_Acute;</t>
  </si>
  <si>
    <t>#hasYear: 2015; #hasExpectedValue: 0.55; #hasSource: Prosser LA et al., Pediatrics 2015; #hasDescription: Utilidad asociada a episodio de distrés respiratorio agudo en paciente pediátrico. Basado en estudios de estados críticos pediátricos.;</t>
  </si>
  <si>
    <t>#DB_Seizures</t>
  </si>
  <si>
    <t>#hasOnsetAge: #DB_Seizures_OnsetAge; #hasUtility: #DB_Seizures_Utility;</t>
  </si>
  <si>
    <t>#hasDescription: Convulsiones de inicio precoz, mioclónicas o refractarias, sensibles a biotina.;</t>
  </si>
  <si>
    <t>#DB_Seizures_Acute</t>
  </si>
  <si>
    <t>#isParameterOfDisease: #ProfoundBiotinidaseDeficiency; #hasOnsetAge: #DB_Seizures_Acute_OnsetAge; #hasFrequency: #DB_Seizures_Acute_Frequency; #includedByModel: #ProfoundBiotinidaseDeficiency_Model;</t>
  </si>
  <si>
    <t>#hasYear: 2002; #hasSource: Wolf B et al., 2002; Weber P et al., 2004; Couce ML et al., 2011; Ye J et al., 2009; #hasDescription: Convulsiones de inicio agudo, generalizadas, mioclónicas o tónico-clónicas, frecuente manifestación inicial en lactantes con deficiencia profunda de biotinidasa no tratados. Altamente sensibles a biotina.;</t>
  </si>
  <si>
    <t>#DB_Seizures_Acute_Frequency</t>
  </si>
  <si>
    <t>#DB_Seizures_Acute_OnsetAge</t>
  </si>
  <si>
    <t>#hasYear: 2004; #hasUnit: months; #hasSource: Weber P et al., 2004; Couce ML et al., 2011; Genc GA et al., 2007; #hasExpectedValue: 5; #hasDescription: Edad media de aparición de convulsiones agudas en deficiencia profunda de biotinidasa sin tratamiento. Rango típico: 1-12 meses.;</t>
  </si>
  <si>
    <t>#DB_Seizures_BirthPrevalence</t>
  </si>
  <si>
    <t>#isParameterOfManifestation: #DB_Seizures; #includedByModel: #ProfoundBiotinidaseDeficiency_Model; #hasDataItemType: #DI_PrevalenceAtBirth;</t>
  </si>
  <si>
    <t>#hasSource: Wolf B et al., 2002; Couce ML et al., 2011; Weber P et al., 2004; #hasDescription: Prevalencia de convulsiones al nacimiento o en los primeros meses de vida en pacientes con deficiencia profunda de biotinidasa no tratados.; #hasYear: 2002; #hasExpectedValue: 0.83;</t>
  </si>
  <si>
    <t>#DB_Seizures_OnsetAge</t>
  </si>
  <si>
    <t>#DB_Seizures_Probability</t>
  </si>
  <si>
    <t>#hasDataItemType: #DI_Probability; #includedByModel: #ProfoundBiotinidaseDeficiency_Model; #isParameterOfManifestation: #DB_Seizures_Acute;</t>
  </si>
  <si>
    <t>#hasExpectedValue: 0.80; #hasYear: 2002; #hasSource: Wolf B et al., 2002; Weber P et al., 2004; Couce ML et al., 2011; #hasDescription: Probabilidad acumulada de aparición de convulsiones (mioclónicas, generalizadas) en pacientes con deficiencia profunda de biotinidasa no tratados.;</t>
  </si>
  <si>
    <t>#DB_Seizures_Probability_Partial</t>
  </si>
  <si>
    <t>#isParameterOfManifestation: #DB_Seizures_Acute; #includedByModel: #PartialBiotinidaseDeficiency_Model; #hasDataItemType: #DI_Probability;</t>
  </si>
  <si>
    <t>#hasYear: 2011; #hasDescription: Probabilidad acumulada de aparición de convulsiones en pacientes con deficiencia parcial de biotinidasa. Casos extremadamente raros, generalmente en situaciones de estrés metabólico severo.; #hasSource: Couce ML et al., 2011; #hasExpectedValue: 0.01;</t>
  </si>
  <si>
    <t>#DB_Seizures_Utility</t>
  </si>
  <si>
    <t>#DiagnosticConfirmation_BiotinidaseDeficiency</t>
  </si>
  <si>
    <t>#hasCost: #DiagnosticConfirmation_BiotinidaseDeficiency_Cost;</t>
  </si>
  <si>
    <t>#hasSource: Couce ML et al., 2011; Wolf B et al., 2002; #hasYear: 2011; #hasDescription: Diagnóstico confirmatorio de la deficiencia de biotinidasa mediante ensayo enzimático específico en suero y/o secuenciación del gen BTD.;</t>
  </si>
  <si>
    <t>#DiagnosticConfirmation_BiotinidaseDeficiency_Cost</t>
  </si>
  <si>
    <t>#appliesOneTime: true; #hasYear: 2023; #hasExpectedValue: 120; #hasSource: Referencia laboratorio CIBERER y programas nacionales; #hasUnit: EUR;</t>
  </si>
  <si>
    <t>#NeonatalScreening_BiotinidaseDeficiency</t>
  </si>
  <si>
    <t>#hasCost: #NeonatalScreening_BiotinidaseDeficiency_Cost; #hasSpecificity: #NeonatalScreening_BiotinidaseDeficiency_Specificity; #hasSensitivity: #NeonatalScreening_BiotinidaseDeficiency_Sensitivity;</t>
  </si>
  <si>
    <t>#hasSource: Couce ML et al., 2011; Wolf B et al., 2002; Guías de cribado neonatal europeas; #hasDescription: Cribado neonatal de la deficiencia de biotinidasa mediante determinación de la actividad enzimática en sangre seca en papel de filtro por ensayo enzimático colorimétrico o fluorimétrico semicuantitativo.; #hasYear: 2011;</t>
  </si>
  <si>
    <t>#NeonatalScreening_BiotinidaseDeficiency_Cost</t>
  </si>
  <si>
    <t>#appliesOneTime: true; #hasUnit: EUR; #hasExpectedValue: 3.5; #hasSource: Programa gallego de cribado neonatal, Couce ML et al., 2011; #hasYear: 2011;</t>
  </si>
  <si>
    <t>#NeonatalScreening_BiotinidaseDeficiency_Sensitivity</t>
  </si>
  <si>
    <t>#hasSource: Couce ML et al., 2011; #hasYear: 2011; #hasExpectedValue: 0.995;</t>
  </si>
  <si>
    <t>#NeonatalScreening_BiotinidaseDeficiency_Specificity</t>
  </si>
  <si>
    <t>#hasYear: 2011; #hasSource: Couce ML et al., 2011; #hasExpectedValue: 0.995;</t>
  </si>
  <si>
    <t>#NeurologicalEvaluation</t>
  </si>
  <si>
    <t>#hasDescription: Evaluación neurológica y del desarrollo psicomotor.;</t>
  </si>
  <si>
    <t>#NutritionalAssessment</t>
  </si>
  <si>
    <t>#hasDescription: Valoración nutricional y de crecimiento, especialmente en la infancia.;</t>
  </si>
  <si>
    <t>#OphthalmologicEvaluation</t>
  </si>
  <si>
    <t>#hasDescription: Exploración oftalmológica con fondo de ojo para detectar atrofia óptica.;</t>
  </si>
  <si>
    <t>#PartialBiotinidaseDeficiency_FollowUpStrategy</t>
  </si>
  <si>
    <t>#hasCost: #PartialBiotinidaseDeficiency_FollowUp_Cost; #hasFrequency: #PartialBiotinidaseDeficiency_FollowUp_Frequency;</t>
  </si>
  <si>
    <t>#hasYear: 2011; #hasSource: Couce ML et al., 2011; #hasDescription: Estrategia de seguimiento clínico para pacientes con deficiencia parcial de biotinidasa: revisión anual y educación sanitaria para identificar precozmente síntomas en situaciones de estrés metabólico. No requiere pruebas sistemáticas si asintomático.;</t>
  </si>
  <si>
    <t>#PartialBiotinidaseDeficiency_FollowUp_Cost</t>
  </si>
  <si>
    <t>#appliesOneTime: false; #hasYear: 2023; #hasUnit: EUR/year; #hasExpectedValue: 50; #hasSource: Estimación SNS;</t>
  </si>
  <si>
    <t>#PartialBiotinidaseDeficiency_FollowUp_Frequency</t>
  </si>
  <si>
    <t>#hasDataItemType: #DI_Frequency;</t>
  </si>
  <si>
    <t>#hasUnit: per year; #hasExpectedValue: 1; #hasDescription: Frecuencia recomendada de visitas de seguimiento: anual.; #hasYear: 2011; #hasSource: Couce ML et al., 2011;</t>
  </si>
  <si>
    <t>#PartialBiotinidaseDeficiency_Model</t>
  </si>
  <si>
    <t>#PartialBiotinidaseDeficiency_Treatment</t>
  </si>
  <si>
    <t>#hasGuideline: #PartialBiotinidaseDeficiency_Treatment_Guideline; #hasCost: #PartialBiotinidaseDeficiency_Treatment_Cost;</t>
  </si>
  <si>
    <t>#hasDescription: Tratamiento preventivo o a demanda para la deficiencia parcial de biotinidasa: biotina oral a dosis bajas (1-5 mg/día) solo en situaciones de estrés metabólico (infección grave, cirugía, ayuno prolongado) o si aparecen síntomas. En algunos centros se prescribe tratamiento diario preventivo por la excelente tolerancia y seguridad de la biotina.; #hasSource: Couce ML et al., 2011; Guías internacionales; #hasYear: 2011;</t>
  </si>
  <si>
    <t>#PartialBiotinidaseDeficiency_Treatment_Cost</t>
  </si>
  <si>
    <t>#hasUnit: EUR/year; #hasSource: Estimación farmacia hospitalaria SNS; BOT Plus; #hasYear: 2023; #appliesOneTime: false; #hasExpectedValue: 15;</t>
  </si>
  <si>
    <t>#PartialBiotinidaseDeficiency_Treatment_Dose</t>
  </si>
  <si>
    <t>#hasDataItemType: #DI_Dose;</t>
  </si>
  <si>
    <t>#hasUnit: mg/day; #hasYear: 2011; #hasExpectedValue: 5; #hasSource: Couce ML et al., 2011;</t>
  </si>
  <si>
    <t>#PartialBiotinidaseDeficiency_Treatment_Guideline</t>
  </si>
  <si>
    <t>#hasDose: #PartialBiotinidaseDeficiency_Treatment_Dose;</t>
  </si>
  <si>
    <t>#hasYear: 2011; #hasDescription: Administrar biotina oral en situaciones de estrés metabólico o síntomas; opcionalmente, tratamiento continuo a dosis bajas.; #hasRange: 0y-100y; #hasSource: Couce ML et al., 2011;</t>
  </si>
  <si>
    <t>#PharmacologicalBiotinTreatment</t>
  </si>
  <si>
    <t>#hasDose: #PharmacologicalBiotinTreatment_Dose; #hasCost: #PharmacologicalBiotinTreatment_Cost;</t>
  </si>
  <si>
    <t>#hasSource: Wolf B et al., 2002; Couce ML et al., 2011; Guías clínicas internacionales; #hasDescription: Tratamiento farmacológico de la deficiencia profunda de biotinidasa con biotina oral en dosis de 10 a 30 mg/día de por vida. Eficaz para prevenir y revertir las manifestaciones clínicas si se administra precozmente.; #hasYear: 2002;</t>
  </si>
  <si>
    <t>#PharmacologicalBiotinTreatment_Cost</t>
  </si>
  <si>
    <t>#hasYear: 2023; #hasUnit: EUR/year; #hasSource: Base de datos BOT PLUS, estimación anual; #hasExpectedValue: 50; #appliesOneTime: false;</t>
  </si>
  <si>
    <t>#PharmacologicalBiotinTreatment_Dose</t>
  </si>
  <si>
    <t>#hasUnit: mg/day; #hasExpectedValue: 20; #hasSource: Couce ML et al., 2011; Wolf B et al., 2002; #hasYear: 2011;</t>
  </si>
  <si>
    <t>#hasManifestation: #DB_RespiratoryDistress; #hasManifestation: #DB_OpticAtrophy; #hasManifestation: #DB_Alopecia; #hasManifestation: #DB_LacticAcidosis; #hasManifestation: #DB_GrowthFailure; #hasManifestation: #DB_DigestiveIntolerance; #hasManifestation: #DB_HearingLoss; #hasManifestation: #DB_Dermatitis; #hasManifestation: #DB_Seizures; #hasManifestation: #DB_DevelopmentalDelay; #hasEpidemiologicalParameter: #DB_Incidence_Spain_2011;</t>
  </si>
  <si>
    <t>#hasDescription: La deficiencia profunda de biotinidasa se caracteriza por actividad enzimática &lt;10% y puede cursar con síntomas neurológicos graves, sordera neurosensorial, alteraciones cutáneas, visuales y metabólicas.; #hasDescription: Deficiencia profunda de biotinidasa, trastorno metabólico hereditario autosómico recesivo que afecta la capacidad de reciclar biotina, con consecuencias graves a nivel neurológico, dermatológico y metabólico si no es tratado precozmente.; #hasRefToSNOMED: 9190009; #hasRefToICD: E71.1; #hasRefToOMIM: 253260;</t>
  </si>
  <si>
    <t>#ProfoundBiotinidaseDeficiency_FollowUpStrategy</t>
  </si>
  <si>
    <t>#hasFrequency: #ProfoundBiotinidaseDeficiency_FollowUp_Frequency; #usesFollowUpTest: #NutritionalAssessment; #usesFollowUpTest: #NeurologicalEvaluation; #usesFollowUpTest: #Audiometry; #usesFollowUpTest: #BiochemicalMonitoring; #usesFollowUpTest: #OphthalmologicEvaluation; #hasCost: #ProfoundBiotinidaseDeficiency_FollowUp_Cost;</t>
  </si>
  <si>
    <t>#hasSource: Wolf B et al., 2002; Couce ML et al., 2011; Genc GA et al., 2007; #hasDescription: Estrategia de seguimiento clínico y bioquímico de por vida en pacientes con deficiencia profunda de biotinidasa: monitorización neurológica, auditiva, visual y bioquímica periódica, así como control de adherencia al tratamiento con biotina.; #hasYear: 2011;</t>
  </si>
  <si>
    <t>#ProfoundBiotinidaseDeficiency_FollowUp_Cost</t>
  </si>
  <si>
    <t>#appliesOneTime: false; #hasYear: 2023; #hasUnit: EUR/year; #hasSource: Estimación SNS: coste consulta + audiometría + análisis básicos; #hasExpectedValue: 300;</t>
  </si>
  <si>
    <t>#ProfoundBiotinidaseDeficiency_FollowUp_Frequency</t>
  </si>
  <si>
    <t>#hasDescription: Frecuencia recomendada de visitas de seguimiento en infancia: cada 6 meses; posteriormente anual.; #hasYear: 2011; #hasExpectedValue: 2; #hasSource: Couce ML et al., 2011; #hasUnit: per year;</t>
  </si>
  <si>
    <t>#ProfoundBiotinidaseDeficiency_Model</t>
  </si>
  <si>
    <t>#ProfoundBiotinidaseDeficiency_Treatment</t>
  </si>
  <si>
    <t>#hasGuideline: #ProfoundBiotinidaseDeficiency_Treatment_Guideline; #hasCost: #ProfoundBiotinidaseDeficiency_Treatment_Cost;</t>
  </si>
  <si>
    <t>#hasSource: Wolf B et al., 2002; Couce ML et al., 2011; Guías internacionales; #hasYear: 2011; #hasDescription: Tratamiento farmacológico estándar para deficiencia profunda de biotinidasa: biotina oral a dosis de 10-30 mg/día de por vida. El tratamiento precoz es crucial para prevenir secuelas neurológicas y sensoriales irreversibles.;</t>
  </si>
  <si>
    <t>#ProfoundBiotinidaseDeficiency_Treatment_Cost</t>
  </si>
  <si>
    <t>#hasUnit: EUR/year; #hasYear: 2023; #appliesOneTime: false; #hasExpectedValue: 50; #hasSource: Estimación farmacia hospitalaria SNS; BOT Plus;</t>
  </si>
  <si>
    <t>#ProfoundBiotinidaseDeficiency_Treatment_Dose</t>
  </si>
  <si>
    <t>#hasUnit: mg/day; #hasSource: Wolf B et al., 2002; Couce ML et al., 2011; #hasYear: 2011; #hasExpectedValue: 20;</t>
  </si>
  <si>
    <t>#ProfoundBiotinidaseDeficiency_Treatment_Guideline</t>
  </si>
  <si>
    <t>#hasDose: #ProfoundBiotinidaseDeficiency_Treatment_Dose;</t>
  </si>
  <si>
    <t>#hasRange: 0y-100y; #hasDescription: Administrar biotina oral, preferiblemente en una única toma diaria, de por vida.; #hasSource: Couce ML et al., 2011; Wolf B et al., 2002; #hasYear: 2011;</t>
  </si>
  <si>
    <t>#SensorineuralSupport</t>
  </si>
  <si>
    <t>#hasCost: #SensorineuralSupport_Cost;</t>
  </si>
  <si>
    <t>#hasYear: 2007; #hasDescription: Soporte y tratamiento para las secuelas neurosensoriales de la deficiencia de biotinidasa, incluyendo audífonos, implante coclear, ayudas ópticas y apoyo educativo especializado.; #hasSource: Genc GA et al., 2007; Barton GR et al., 2007; Guías de rehabilitación sensorial;</t>
  </si>
  <si>
    <t>#SensorineuralSupport_Cost</t>
  </si>
  <si>
    <t>#hasSource: Barton GR et al., 2007; Precios medios SNS; #appliesOneTime: true; #hasUnit: EUR; #hasExpectedValue: 12000; #hasYear: 2023;</t>
  </si>
  <si>
    <t>#BTDPartial_Prob_AcuteMetabolicCrisis</t>
  </si>
  <si>
    <t>#hasExpectedValue: 0.01; #hasSource: Wolf et al., 2012. PMID:22639981; #hasYear: 2012; #hasDescription: Probabilidad de crisis metabólica aguda en deficiencia parcial de biotinidasa no tratada.;</t>
  </si>
  <si>
    <t>#BTDPartial_Prob_ChronicAlopecia</t>
  </si>
  <si>
    <t>#hasDescription: Probabilidad de alopecia crónica persistente en deficiencia parcial no tratada.; #hasYear: 2012; #hasExpectedValue: 0.005; #hasSource: Wolf et al., 2012. PMID:22639981;</t>
  </si>
  <si>
    <t>#BTDPartial_Prob_ChronicDermatitis</t>
  </si>
  <si>
    <t>#hasExpectedValue: 0.01; #hasYear: 2012; #hasSource: Wolf et al., 2012. PMID:22639981; #hasDescription: Probabilidad de dermatitis crónica persistente en deficiencia parcial no tratada.;</t>
  </si>
  <si>
    <t>#BTDPartial_Prob_ChronicEpilepsy</t>
  </si>
  <si>
    <t>#hasDescription: Probabilidad de epilepsia crónica o convulsiones recurrentes en deficiencia parcial de biotinidasa no tratada.; #hasExpectedValue: 0.005; #hasYear: 2012; #hasSource: Wolf et al., 2012. PMID:22639981;</t>
  </si>
  <si>
    <t>#BTDPartial_Prob_CutaneousManifestation</t>
  </si>
  <si>
    <t>#hasYear: 2012; #hasExpectedValue: 0.02; #hasDescription: Probabilidad de aparición de manifestaciones cutáneas en pacientes con deficiencia parcial de biotinidasa no tratados.; #hasSource: Wolf et al., 2012. PMID:22639981; Orphanet;</t>
  </si>
  <si>
    <t>#BTDPartial_Prob_Death</t>
  </si>
  <si>
    <t>#hasYear: 2012; #hasDescription: Probabilidad de fallecimiento precoz en pacientes con deficiencia parcial de biotinidasa no tratados (&lt;0.5%).; #hasExpectedValue: 0.003; #hasSource: Wolf et al., 2012. PMID:22639981;</t>
  </si>
  <si>
    <t>#BTDPartial_Prob_HearingLoss</t>
  </si>
  <si>
    <t>#hasYear: 2012; #hasExpectedValue: 0.005; #hasSource: Wolf et al., 2012. PMID:22639981; #hasDescription: Probabilidad de aparición de hipoacusia neurosensorial irreversible en deficiencia parcial no tratada (&lt;1%).;</t>
  </si>
  <si>
    <t>#BTDPartial_Prob_NeurologicalManifestation</t>
  </si>
  <si>
    <t>#hasSource: Wolf et al., 2012. PMID:22639981; Orphanet; #hasYear: 2012; #hasExpectedValue: 0.02; #hasDescription: Probabilidad de aparición de manifestaciones neurológicas en pacientes con deficiencia parcial de biotinidasa no tratados.;</t>
  </si>
  <si>
    <t>#BTDPartial_Prob_NeuropsychiatricManifestation</t>
  </si>
  <si>
    <t>#hasDescription: Probabilidad de aparición de alteraciones neuroconductuales o psiquiátricas en deficiencia parcial no tratada.; #hasYear: 2012; #hasSource: Wolf et al., 2012. PMID:22639981; #hasExpectedValue: 0.005;</t>
  </si>
  <si>
    <t>#BTDPartial_Prob_Sequelae</t>
  </si>
  <si>
    <t>#hasSource: Wolf et al., 2012. PMID:22639981; #hasDescription: Probabilidad de secuelas irreversibles en pacientes con deficiencia parcial de biotinidasa no tratados (&lt;1%).; #hasYear: 2012; #hasExpectedValue: 0.005;</t>
  </si>
  <si>
    <t>#BTD_BirthPrevalence_Cutaneous_Esp</t>
  </si>
  <si>
    <t>#hasDescription: Prevalencia al nacimiento estimada de manifestaciones cutáneas graves de deficiencia profunda de biotinidasa en ausencia de cribado neonatal (España, 60% de los afectados); #hasExpectedValue: 7.8E-6; #hasSource: Wolf et al., 2012. PMID:22639981; Ugarte et al., 2010; #hasYear: 2012; #isTrueEpidemiologicalParameterEstimate: false;</t>
  </si>
  <si>
    <t>#BTD_BirthPrevalence_Death_Esp</t>
  </si>
  <si>
    <t>#isTrueEpidemiologicalParameterEstimate: false; #hasExpectedValue: 1.3E-6; #hasYear: 2012; #hasSource: Wolf et al., 2012. PMID:22639981; Ugarte et al., 2010; #hasDescription: Prevalencia al nacimiento estimada de fallecimiento precoz por deficiencia profunda de biotinidasa en ausencia de cribado neonatal (España, 10% de los afectados);</t>
  </si>
  <si>
    <t>#BTD_BirthPrevalence_Esp</t>
  </si>
  <si>
    <t>#isTrueEpidemiologicalParameterEstimate: true; #hasYear: 2010; #hasSource: Programa de cribado neonatal en España, Wolf et al. 2012, Orphanet (ORPHA:79250), Ugarte et al. 2010; #hasDescription: Prevalencia al nacimiento estimada para deficiencia profunda de biotinidasa en España; #hasExpectedValue: 1.3E-5;</t>
  </si>
  <si>
    <t>#BTD_BirthPrevalence_Europe</t>
  </si>
  <si>
    <t>#hasDescription: Prevalencia al nacimiento estimada para deficiencia profunda de biotinidasa en Europa; #hasYear: 2012; #hasSource: Wolf et al., 2012. PMID:22639981; Orphanet (ORPHA:79250); #isTrueEpidemiologicalParameterEstimate: true; #hasExpectedValue: 1.4E-5;</t>
  </si>
  <si>
    <t>#BTD_BirthPrevalence_Neurological_Esp</t>
  </si>
  <si>
    <t>#hasYear: 2012; #hasSource: Wolf et al., 2012. PMID:22639981; Ugarte et al., 2010; #isTrueEpidemiologicalParameterEstimate: false; #hasExpectedValue: 9.1E-6; #hasDescription: Prevalencia al nacimiento estimada de presentación neurológica sintomática grave de deficiencia profunda de biotinidasa en ausencia de cribado neonatal (España, 70% de los afectados);</t>
  </si>
  <si>
    <t>#BTD_BirthPrevalence_Sequelae_Esp</t>
  </si>
  <si>
    <t>#isTrueEpidemiologicalParameterEstimate: false; #hasSource: Wolf et al., 2012. PMID:22639981; Ugarte et al., 2010; #hasYear: 2012; #hasDescription: Prevalencia al nacimiento estimada de secuelas irreversibles debidas a la deficiencia profunda de biotinidasa en ausencia de cribado neonatal (España, 30% de los afectados); #hasExpectedValue: 3.9E-6;</t>
  </si>
  <si>
    <t>#BTD_Deficiency</t>
  </si>
  <si>
    <t>#hasDevelopment: #BTD_Dev_NaturalHistory; #hasStage: #BTD_Stage_Symptomatic; #hasStage: #BTD_Stage_Asymptomatic; #hasStage: #BTD_Stage_Severe; #hasManifestation: #BTD_Manif_Sequelae; #hasManifestation: #BTD_Manif_Neurological; #hasManifestation: #BTD_Manif_AcuteMetabolic; #hasManifestation: #BTD_Manif_Death; #hasManifestation: #BTD_Manif_Cutaneous;</t>
  </si>
  <si>
    <t>#hasRefToICD: ICD10:E71.1; #hasRefToSNOMED: SNOMED:190976003; #hasDescription: Deficiencia profunda de biotinidasa, trastorno hereditario del metabolismo que impide la utilización adecuada de la biotina, produciendo manifestaciones neurológicas y cutáneas graves si no se trata a tiempo.; #hasDescription: Deficiencia profunda de biotinidasa (biotinidase deficiency, profound); #hasRefToOMIM: OMIM:253260; #hasName: Deficiencia profunda de biotinidasa;</t>
  </si>
  <si>
    <t>#BTD_Dev_NaturalHistory</t>
  </si>
  <si>
    <t>#BTD_Disutility_AcuteMetabolicCrisis</t>
  </si>
  <si>
    <t>#hasYear: 2010; #hasDescription: Desutilidad asociada a un episodio de crisis metabólica aguda.; #appliesOneTime: true; #hasSource: Hopkins et al. 2010; valores para crisis metabólicas agudas pediátricas; #hasExpectedValue: 0.5;</t>
  </si>
  <si>
    <t>#BTD_Disutility_Alopecia</t>
  </si>
  <si>
    <t>#appliesOneTime: false; #hasDescription: Desutilidad asociada a alopecia persistente.; #hasExpectedValue: 0.02; #hasSource: Hopkins et al. 2010; literatura sobre enfermedades raras pediátricas; #hasYear: 2010;</t>
  </si>
  <si>
    <t>#BTD_Disutility_Dermatitis</t>
  </si>
  <si>
    <t>#hasSource: Hopkins et al. 2010; NICE CG60; valores análogos para dermatitis atópica; #hasExpectedValue: 0.1; #appliesOneTime: false; #hasDescription: Desutilidad asociada a dermatitis moderada/grave en deficiencia de biotinidasa.; #hasYear: 2010;</t>
  </si>
  <si>
    <t>#BTD_Disutility_Disability</t>
  </si>
  <si>
    <t>#hasDescription: Desutilidad asociada a retraso psicomotor o discapacidad intelectual.; #appliesOneTime: false; #hasYear: 2010; #hasSource: NICE CG60; tabla EQ-5D para discapacidad moderada-severa; #hasExpectedValue: 0.4;</t>
  </si>
  <si>
    <t>#BTD_Disutility_Epilepsy</t>
  </si>
  <si>
    <t>#hasSource: Hopkins et al. 2010; valores análogos para epilepsia infantil controlada; #hasDescription: Desutilidad asociada a convulsiones/epilepsia controlada.; #appliesOneTime: false; #hasYear: 2010; #hasExpectedValue: 0.2;</t>
  </si>
  <si>
    <t>#BTD_Disutility_GlobalSequelae</t>
  </si>
  <si>
    <t>#appliesOneTime: false; #hasExpectedValue: 0.5; #hasDescription: Desutilidad asociada a secuelas neurológicas globales irreversibles.; #hasYear: 2010; #hasSource: NICE CG60; expertos; tabla EQ-5D para discapacidad grave;</t>
  </si>
  <si>
    <t>#BTD_Disutility_HearingLoss</t>
  </si>
  <si>
    <t>#appliesOneTime: false; #hasYear: 2010; #hasExpectedValue: 0.3; #hasDescription: Desutilidad asociada a hipoacusia neurosensorial irreversible.; #hasSource: Hopkins et al. 2010; valores estándar para hipoacusia severa;</t>
  </si>
  <si>
    <t>#BTD_FollowUpTest_Blood</t>
  </si>
  <si>
    <t>#hasDescription: Análisis bioquímico periódico: control de metabolitos, función hepática, estado general.;</t>
  </si>
  <si>
    <t>#BTD_FollowUpTest_Hearing</t>
  </si>
  <si>
    <t>#hasDescription: Audiometría y evaluación auditiva anual, especialmente en niños pequeños.;</t>
  </si>
  <si>
    <t>#BTD_FollowUpTest_Neurology</t>
  </si>
  <si>
    <t>#hasDescription: Evaluación neurológica periódica, incluye exploración clínica y desarrollo psicomotor.;</t>
  </si>
  <si>
    <t>#BTD_FollowUpTest_Vision</t>
  </si>
  <si>
    <t>#hasDescription: Evaluación oftalmológica bianual, con valoración de agudeza visual y fondo de ojo.;</t>
  </si>
  <si>
    <t>#BTD_FollowUp_Partial</t>
  </si>
  <si>
    <t>#hasGuideline: #BTD_Guideline_FollowUpPartial; #usesFollowUpTest: #BTD_FollowUpTest_Blood;</t>
  </si>
  <si>
    <t>#hasDescription: Estrategia de seguimiento para pacientes con deficiencia parcial de biotinidasa: revisión clínica anual, pruebas específicas si aparecen síntomas o ante enfermedad aguda.;</t>
  </si>
  <si>
    <t>#BTD_FollowUp_Profound</t>
  </si>
  <si>
    <t>#hasGuideline: #BTD_Guideline_FollowUpProfound; #usesFollowUpTest: #BTD_FollowUpTest_Neurology; #usesFollowUpTest: #BTD_FollowUpTest_Hearing; #usesFollowUpTest: #BTD_FollowUpTest_Vision; #usesFollowUpTest: #BTD_FollowUpTest_Blood;</t>
  </si>
  <si>
    <t>#hasDescription: Estrategia de seguimiento para pacientes con deficiencia profunda de biotinidasa tratados con biotina. Incluye revisiones clínicas, analíticas y de órganos diana.;</t>
  </si>
  <si>
    <t>#BTD_Guideline_BiotinPartial</t>
  </si>
  <si>
    <t>#hasFrequency: #BTD_Param_Frequency_Daily; #hasDose: #BTD_Param_Dose_Partial;</t>
  </si>
  <si>
    <t>#hasRange: 0y-*; #hasDescription: Se recomienda biotina oral en deficiencia parcial de biotinidasa, especialmente ante enfermedad aguda o estrés, aunque muchos expertos sugieren mantenerla de forma continua.;</t>
  </si>
  <si>
    <t>#BTD_Guideline_BiotinProfound</t>
  </si>
  <si>
    <t>#hasDose: #BTD_Param_Dose_Profound; #hasFrequency: #BTD_Param_Frequency_Daily;</t>
  </si>
  <si>
    <t>#hasDescription: Se recomienda iniciar biotina oral inmediatamente tras el diagnóstico de deficiencia profunda y mantenerla de por vida.; #hasRange: 0y-*;</t>
  </si>
  <si>
    <t>#BTD_Guideline_BiotinTherapy</t>
  </si>
  <si>
    <t>#hasFrequency: #BTD_Param_Frequency_Daily;</t>
  </si>
  <si>
    <t>#hasRange: 0y-*; #hasDescription: Recomendación de inicio de biotina oral tras diagnóstico de deficiencia profunda o parcial de biotinidasa, a dosis de 5-20 mg/día de por vida.;</t>
  </si>
  <si>
    <t>#BTD_Guideline_FollowUpPartial</t>
  </si>
  <si>
    <t>#hasFrequency: #BTD_Param_Freq_Annual;</t>
  </si>
  <si>
    <t>#hasRange: 0y-*; #hasDescription: Revisión clínica y bioquímica anual. Evaluaciones adicionales (neurológica, auditiva) sólo si se sospechan complicaciones o en situaciones de riesgo metabólico.;</t>
  </si>
  <si>
    <t>#BTD_Guideline_FollowUpProfound</t>
  </si>
  <si>
    <t>#hasRange: 0y-*; #hasDescription: Revisión clínica y bioquímica al menos anual. Evaluación neurológica y auditiva anual, oftalmológica cada 2 años, mayor frecuencia según síntomas. Confirmar adherencia y ajustar dosis de biotina si es necesario.;</t>
  </si>
  <si>
    <t>#BTD_Interv_BiotinTherapy</t>
  </si>
  <si>
    <t>#hasDescription: Tratamiento sustitutivo crónico con biotina oral a dosis de 5-20 mg/día para prevenir síntomas y secuelas de la deficiencia de biotinidasa.;</t>
  </si>
  <si>
    <t>#BTD_Interv_ClinicalDiagnosis</t>
  </si>
  <si>
    <t>#hasDescription: Diagnóstico clínico de deficiencia de biotinidasa a partir de signos o síntomas sugestivos (neurológicos, cutáneos, metabólicos) seguido de confirmación bioquímica y genética.;</t>
  </si>
  <si>
    <t>#BTD_Interv_DiagnosticConfirmation</t>
  </si>
  <si>
    <t>#hasDescription: Diagnóstico confirmatorio de deficiencia de biotinidasa mediante análisis enzimático específico en suero y/o estudio genético para mutaciones en el gen BTD.;</t>
  </si>
  <si>
    <t>#BTD_Interv_MultidisciplinaryCare</t>
  </si>
  <si>
    <t>#hasDescription: Seguimiento y apoyo multidisciplinar (neurología, audiología, rehabilitación, psicología) para pacientes con manifestaciones o secuelas a pesar del tratamiento.;</t>
  </si>
  <si>
    <t>#BTD_Interv_Screening</t>
  </si>
  <si>
    <t>#hasDescription: Cribado neonatal de deficiencia de biotinidasa mediante medición de actividad enzimática en sangre seca en papel de filtro usando un ensayo enzimático o fluorimétrico semicuantitativo.;</t>
  </si>
  <si>
    <t>#BTD_Manif_AcuteHypotonia</t>
  </si>
  <si>
    <t>#hasOnsetAge: #BTD_Manif_AcuteHypotonia_OnsetAge; #hasFrequency: #BTD_Manif_AcuteHypotonia_Frequency;</t>
  </si>
  <si>
    <t>#hasDescription: Episodios de hipotonía aguda, frecuentemente asociados a la crisis metabólica.;</t>
  </si>
  <si>
    <t>#BTD_Manif_AcuteHypotonia_Frequency</t>
  </si>
  <si>
    <t>#BTD_Manif_AcuteHypotonia_OnsetAge</t>
  </si>
  <si>
    <t>#BTD_Manif_AcuteMetabolic</t>
  </si>
  <si>
    <t>#hasFrequency: #BTD_Manif_AcuteMetabolic_Frequency;</t>
  </si>
  <si>
    <t>#hasDescription: Crisis metabólica aguda: acidosis metabólica, encefalopatía, coma;</t>
  </si>
  <si>
    <t>#BTD_Manif_AcuteMetabolicCrisis</t>
  </si>
  <si>
    <t>#hasProbabilityOfDeath: #BTD_Manif_AcuteMetabolicCrisis_DeathProbability; #hasFrequency: #BTD_Manif_AcuteMetabolicCrisis_Frequency; #hasOnsetAge: #BTD_Manif_AcuteMetabolicCrisis_OnsetAge;</t>
  </si>
  <si>
    <t>#hasDescription: Crisis metabólica aguda: acidosis metabólica, encefalopatía, coma. Puede presentarse en lactantes con deficiencia profunda de biotinidasa no tratada, desencadenada por infecciones o ayuno.;</t>
  </si>
  <si>
    <t>#BTD_Manif_AcuteMetabolicCrisis_DeathProbability</t>
  </si>
  <si>
    <t>#hasSource: Wolf et al., 2012. PMID:22639981; #hasExpectedValue: 0.1; #hasDescription: Probabilidad de muerte asociada a la crisis metabólica aguda no tratada; #hasYear: 2012;</t>
  </si>
  <si>
    <t>#BTD_Manif_AcuteMetabolicCrisis_Frequency</t>
  </si>
  <si>
    <t>#hasDataItemType: #DI_Count;</t>
  </si>
  <si>
    <t>#hasSource: Wolf et al., 2012. PMID:22639981; #hasYear: 2012; #hasExpectedValue: 0.15; #hasDescription: Frecuencia anual estimada de crisis metabólica aguda en pacientes no tratados;</t>
  </si>
  <si>
    <t>#BTD_Manif_AcuteMetabolicCrisis_OnsetAge</t>
  </si>
  <si>
    <t>#hasExpectedValue: 6.0; #hasSource: Wolf et al., 2012. PMID:22639981; #hasDescription: Edad mediana de aparición de la crisis metabólica aguda; #hasYear: 2012;</t>
  </si>
  <si>
    <t>#BTD_Manif_AcuteMetabolic_Frequency</t>
  </si>
  <si>
    <t>#hasYear: 2012; #hasSource: Wolf et al. (2012) PMID:22639981; #hasExpectedValue: 0.2; #hasDescription: Frecuencia anual de crisis metabólicas en pacientes no tratados;</t>
  </si>
  <si>
    <t>#BTD_Manif_AcuteRespiratoryDistress</t>
  </si>
  <si>
    <t>#hasOnsetAge: #BTD_Manif_AcuteRespiratoryDistress_OnsetAge; #hasFrequency: #BTD_Manif_AcuteRespiratoryDistress_Frequency;</t>
  </si>
  <si>
    <t>#hasDescription: Episodios de distrés respiratorio agudo relacionados con la crisis metabólica en pacientes no tratados.;</t>
  </si>
  <si>
    <t>#BTD_Manif_AcuteRespiratoryDistress_Frequency</t>
  </si>
  <si>
    <t>#BTD_Manif_AcuteRespiratoryDistress_OnsetAge</t>
  </si>
  <si>
    <t>#BTD_Manif_AcuteSeizures</t>
  </si>
  <si>
    <t>#hasFrequency: #BTD_Manif_AcuteSeizures_Frequency; #hasOnsetAge: #BTD_Manif_AcuteSeizures_OnsetAge;</t>
  </si>
  <si>
    <t>#hasDescription: Convulsiones agudas: crisis epilépticas que pueden ser el primer signo clínico en recién nacidos o lactantes no tratados.;</t>
  </si>
  <si>
    <t>#BTD_Manif_AcuteSeizures_Frequency</t>
  </si>
  <si>
    <t>#BTD_Manif_AcuteSeizures_OnsetAge</t>
  </si>
  <si>
    <t>#BTD_Manif_AcuteTriggeredByStress</t>
  </si>
  <si>
    <t>#hasFrequency: #BTD_Manif_AcuteTriggeredByStress_Frequency; #hasOnsetAge: #BTD_Manif_AcuteTriggeredByStress_OnsetAge;</t>
  </si>
  <si>
    <t>#hasDescription: Crisis aguda desencadenada por infección, ayuno o procedimientos médicos en pacientes con deficiencia profunda de biotinidasa no tratada.;</t>
  </si>
  <si>
    <t>#BTD_Manif_AcuteTriggeredByStress_Frequency</t>
  </si>
  <si>
    <t>#BTD_Manif_AcuteTriggeredByStress_OnsetAge</t>
  </si>
  <si>
    <t>#BTD_Manif_ChronicAlopecia</t>
  </si>
  <si>
    <t>#hasDescription: Alopecia persistente o caída del cabello de larga evolución.;</t>
  </si>
  <si>
    <t>#BTD_Manif_ChronicDermatitis</t>
  </si>
  <si>
    <t>#hasDescription: Dermatitis crónica, erupciones cutáneas recurrentes o eccema persistente, de aparición característica en la infancia.;</t>
  </si>
  <si>
    <t>#BTD_Manif_ChronicEpilepsy</t>
  </si>
  <si>
    <t>#hasDescription: Epilepsia o convulsiones recurrentes de difícil control, con frecuencia refractarias al tratamiento convencional.;</t>
  </si>
  <si>
    <t>#BTD_Manif_ChronicGlobalSequelae</t>
  </si>
  <si>
    <t>#hasDescription: Secuelas neurológicas globales e irreversibles, consecuencia de la afectación multisistémica crónica de la deficiencia profunda de biotinidasa no tratada.;</t>
  </si>
  <si>
    <t>#BTD_Manif_ChronicHearingLoss</t>
  </si>
  <si>
    <t>#hasDescription: Hipoacusia neurosensorial irreversible, hallazgo frecuente y característico en la deficiencia profunda de biotinidasa sin tratamiento precoz.;</t>
  </si>
  <si>
    <t>#BTD_Manif_ChronicHypotonia</t>
  </si>
  <si>
    <t>#hasDescription: Hipotonía crónica, tono muscular disminuido de forma mantenida en el tiempo.;</t>
  </si>
  <si>
    <t>#BTD_Manif_ChronicIntellectualDisability</t>
  </si>
  <si>
    <t>#hasDescription: Retraso psicomotor y discapacidad intelectual de grado variable, frecuente en pacientes no tratados o tratados tardíamente.;</t>
  </si>
  <si>
    <t>#BTD_Manif_ChronicMotorDisorder</t>
  </si>
  <si>
    <t>#hasDescription: Ataxia, alteraciones motoras persistentes, dificultades en la marcha y la coordinación.;</t>
  </si>
  <si>
    <t>#BTD_Manif_ChronicNeuropsychiatric</t>
  </si>
  <si>
    <t>#hasDescription: Alteraciones del comportamiento y problemas psiquiátricos crónicos, incluyendo trastornos de la atención, ansiedad y rasgos autistas.;</t>
  </si>
  <si>
    <t>#BTD_Manif_ChronicVisualImpairment</t>
  </si>
  <si>
    <t>#hasDescription: Afectación visual crónica: atrofia óptica, retinopatía pigmentaria o pérdida visual progresiva.;</t>
  </si>
  <si>
    <t>#BTD_Manif_Cutaneous</t>
  </si>
  <si>
    <t>#hasInitialProportion: #BTD_Manif_Cutaneous_InitialProportion;</t>
  </si>
  <si>
    <t>#hasDescription: Manifestaciones cutáneas: dermatitis, alopecia, erupciones eccematosas;</t>
  </si>
  <si>
    <t>#BTD_Manif_Cutaneous_InitialProportion</t>
  </si>
  <si>
    <t>#hasYear: 2012; #hasExpectedValue: 0.6; #hasSource: Wolf et al. (2012) PMID:22639981; #hasDescription: Proporción de pacientes con manifestaciones cutáneas graves (no tratados);</t>
  </si>
  <si>
    <t>#BTD_Manif_Death</t>
  </si>
  <si>
    <t>#hasProbabilityOfDeath: #BTD_Manif_Death_Probability;</t>
  </si>
  <si>
    <t>#hasDescription: Fallecimiento precoz por complicaciones de la deficiencia profunda de biotinidasa no tratada;</t>
  </si>
  <si>
    <t>#BTD_Manif_Death_Probability</t>
  </si>
  <si>
    <t>#hasYear: 2012; #hasSource: Wolf et al. (2012) PMID:22639981; #hasExpectedValue: 0.1; #hasDescription: Probabilidad de fallecimiento precoz en ausencia de tratamiento;</t>
  </si>
  <si>
    <t>#BTD_Manif_Neurological</t>
  </si>
  <si>
    <t>#hasInitialProportion: #BTD_Manif_Neurological_InitialProportion;</t>
  </si>
  <si>
    <t>#hasDescription: Síntomas neurológicos: convulsiones, retraso psicomotor, hipotonía, sordera neurosensorial, ataxia;</t>
  </si>
  <si>
    <t>#BTD_Manif_Neurological_InitialProportion</t>
  </si>
  <si>
    <t>#hasYear: 2012; #hasSource: Wolf et al. (2012) PMID:22639981; revisión clínica; #hasDescription: Proporción estimada de pacientes no tratados que desarrollan síntomas neurológicos antes de los 2 años; #hasExpectedValue: 0.7;</t>
  </si>
  <si>
    <t>#BTD_Manif_None</t>
  </si>
  <si>
    <t>#hasDescription: Sin manifestaciones clínicas detectables;</t>
  </si>
  <si>
    <t>#BTD_Manif_Sequelae</t>
  </si>
  <si>
    <t>#hasInitialProportion: #BTD_Manif_Sequelae_InitialProportion;</t>
  </si>
  <si>
    <t>#hasDescription: Secuelas irreversibles: daño neurológico permanente, discapacidad intelectual, sordera irreversible;</t>
  </si>
  <si>
    <t>#BTD_Manif_Sequelae_InitialProportion</t>
  </si>
  <si>
    <t>#hasYear: 2012; #hasSource: Wolf et al. (2012) PMID:22639981; #hasExpectedValue: 0.3; #hasDescription: Proporción de pacientes con secuelas irreversibles a largo plazo;</t>
  </si>
  <si>
    <t>#BTD_Onset_AcuteHypotonia</t>
  </si>
  <si>
    <t>#hasDataItemType: #DI_TimeToEvent;</t>
  </si>
  <si>
    <t>#hasYear: 2012; #hasExpectedValue: 6.0; #hasSource: Wolf et al., 2012. PMID:22639981; #hasDescription: Edad mediana de aparición de la hipotonía aguda (meses).;</t>
  </si>
  <si>
    <t>#BTD_Onset_AcuteMetabolicCrisis</t>
  </si>
  <si>
    <t>#hasExpectedValue: 6.0; #hasDescription: Edad mediana de aparición de la primera crisis metabólica aguda en pacientes no tratados (meses).; #hasSource: Wolf et al., 2012. PMID:22639981; #hasYear: 2012;</t>
  </si>
  <si>
    <t>#BTD_Onset_AcuteRespiratoryDistress</t>
  </si>
  <si>
    <t>#hasDescription: Edad mediana de aparición del distrés respiratorio agudo (meses).; #hasYear: 2012; #hasExpectedValue: 5.5; #hasSource: Wolf et al., 2012. PMID:22639981;</t>
  </si>
  <si>
    <t>#BTD_Onset_AcuteSeizures</t>
  </si>
  <si>
    <t>#hasYear: 2012; #hasExpectedValue: 5.0; #hasSource: Wolf et al., 2012. PMID:22639981; #hasDescription: Edad mediana de aparición de las convulsiones agudas (meses).;</t>
  </si>
  <si>
    <t>#BTD_Onset_ChronicAlopecia</t>
  </si>
  <si>
    <t>#hasSource: Wolf et al., 2012. PMID:22639981; #hasYear: 2012; #hasExpectedValue: 10.0; #hasDescription: Edad mediana de aparición de alopecia persistente (meses).;</t>
  </si>
  <si>
    <t>#BTD_Onset_ChronicDermatitis</t>
  </si>
  <si>
    <t>#hasExpectedValue: 7.0; #hasSource: Wolf et al., 2012. PMID:22639981; #hasDescription: Edad mediana de aparición de dermatitis crónica (meses).; #hasYear: 2012;</t>
  </si>
  <si>
    <t>#BTD_Onset_ChronicEpilepsy</t>
  </si>
  <si>
    <t>#hasDescription: Edad mediana de diagnóstico de epilepsia crónica (meses).; #hasExpectedValue: 12.0; #hasSource: Wolf et al., 2012. PMID:22639981; #hasYear: 2012;</t>
  </si>
  <si>
    <t>#BTD_Onset_ChronicHearingLoss</t>
  </si>
  <si>
    <t>#hasSource: Wolf et al., 2012. PMID:22639981; #hasExpectedValue: 24.0; #hasDescription: Edad mediana de diagnóstico de hipoacusia neurosensorial (meses, a menudo se detecta tras el primer año de vida).; #hasYear: 2012;</t>
  </si>
  <si>
    <t>#BTD_Onset_ChronicHypotonia</t>
  </si>
  <si>
    <t>#hasExpectedValue: 8.0; #hasDescription: Edad mediana de diagnóstico de hipotonía crónica (meses).; #hasYear: 2012; #hasSource: Wolf et al., 2012. PMID:22639981;</t>
  </si>
  <si>
    <t>#BTD_Onset_ChronicIntellectualDisability</t>
  </si>
  <si>
    <t>#hasSource: Wolf et al., 2012. PMID:22639981; #hasDescription: Edad mediana de diagnóstico de retraso psicomotor/discapacidad intelectual (meses).; #hasYear: 2012; #hasExpectedValue: 18.0;</t>
  </si>
  <si>
    <t>#BTD_Onset_ChronicMotorDisorder</t>
  </si>
  <si>
    <t>#hasExpectedValue: 20.0; #hasDescription: Edad mediana de inicio de la ataxia/trastorno motor crónico (meses).; #hasSource: Wolf et al., 2012. PMID:22639981; #hasYear: 2012;</t>
  </si>
  <si>
    <t>#BTD_Onset_ChronicNeuropsychiatric</t>
  </si>
  <si>
    <t>#hasExpectedValue: 60.0; #hasSource: Wolf et al., 2012. PMID:22639981; #hasDescription: Edad estimada de aparición de alteraciones neuroconductuales/psiquiátricas (meses, a menudo detectadas en la primera infancia avanzada o edad escolar).; #hasYear: 2012;</t>
  </si>
  <si>
    <t>#BTD_Onset_ChronicVisualImpairment</t>
  </si>
  <si>
    <t>#hasDescription: Edad estimada de aparición de afectación visual crónica (meses; puede detectarse de forma más tardía).; #hasExpectedValue: 36.0; #hasSource: Wolf et al., 2012. PMID:22639981; #hasYear: 2012;</t>
  </si>
  <si>
    <t>#BTD_Param_Dose_Partial</t>
  </si>
  <si>
    <t>#hasDescription: Dosis diaria estándar (media) de biotina oral (mg/día) para deficiencia parcial.; #hasExpectedValue: 3.0; #hasYear: 2012; #hasSource: Wolf et al., 2012. PMID:22639981;</t>
  </si>
  <si>
    <t>#BTD_Param_Dose_Profound</t>
  </si>
  <si>
    <t>#hasSource: Wolf et al., 2012. PMID:22639981; #hasDescription: Dosis diaria estándar (media) de biotina oral (mg/día) para deficiencia profunda.; #hasYear: 2012; #hasExpectedValue: 10.0;</t>
  </si>
  <si>
    <t>#BTD_Param_Freq_Annual</t>
  </si>
  <si>
    <t>#hasDescription: Frecuencia de revisión anual.; #hasExpectedValue: 1.0;</t>
  </si>
  <si>
    <t>#BTD_Param_Frequency_Daily</t>
  </si>
  <si>
    <t>#hasDescription: Administración diaria; #hasDescription: Frecuencia de administración diaria.; #hasExpectedValue: 1.0;</t>
  </si>
  <si>
    <t>#BTD_Prob_AcuteMetabolicCrisis</t>
  </si>
  <si>
    <t>#hasDescription: Probabilidad de aparición de crisis metabólica aguda en pacientes no tratados.; #hasSource: Wolf et al., 2012. PMID:22639981; #hasYear: 2012; #hasExpectedValue: 0.15;</t>
  </si>
  <si>
    <t>#BTD_Prob_ChronicAlopecia</t>
  </si>
  <si>
    <t>#hasYear: 2012; #hasSource: Wolf et al., 2012. PMID:22639981; #hasExpectedValue: 0.4; #hasDescription: Probabilidad de alopecia crónica persistente.;</t>
  </si>
  <si>
    <t>#BTD_Prob_ChronicDermatitis</t>
  </si>
  <si>
    <t>#hasSource: Wolf et al., 2012. PMID:22639981; #hasYear: 2012; #hasExpectedValue: 0.6; #hasDescription: Probabilidad de dermatitis crónica persistente.;</t>
  </si>
  <si>
    <t>#BTD_Prob_ChronicEpilepsy</t>
  </si>
  <si>
    <t>#hasExpectedValue: 0.2; #hasSource: Wolf et al., 2012. PMID:22639981; #hasDescription: Probabilidad de epilepsia crónica o convulsiones recurrentes de difícil control.; #hasYear: 2012;</t>
  </si>
  <si>
    <t>#BTD_Prob_ChronicVisualImpairment</t>
  </si>
  <si>
    <t>#hasDescription: Probabilidad de aparición de afectación visual crónica (atrofia óptica, retinopatía) en pacientes no tratados.; #hasSource: Wolf et al., 2012. PMID:22639981; #hasExpectedValue: 0.25; #hasYear: 2012;</t>
  </si>
  <si>
    <t>#BTD_Prob_CutaneousManifestation</t>
  </si>
  <si>
    <t>#hasExpectedValue: 0.6; #hasDescription: Probabilidad de aparición de manifestaciones cutáneas graves (dermatitis, alopecia) en pacientes no tratados con deficiencia profunda de biotinidasa.; #hasSource: Wolf et al., 2012. PMID:22639981; Orphanet; #hasYear: 2012;</t>
  </si>
  <si>
    <t>#BTD_Prob_Death</t>
  </si>
  <si>
    <t>#hasYear: 2012; #hasSource: Wolf et al., 2012. PMID:22639981; Ugarte et al. 2010; #hasDescription: Probabilidad de fallecimiento precoz debido a la deficiencia profunda de biotinidasa no tratada.; #hasExpectedValue: 0.1;</t>
  </si>
  <si>
    <t>#BTD_Prob_HearingLoss</t>
  </si>
  <si>
    <t>#hasYear: 2012; #hasSource: Wolf et al., 2012. PMID:22639981; Orphanet; #hasExpectedValue: 0.75; #hasDescription: Probabilidad de aparición de hipoacusia neurosensorial irreversible en pacientes no tratados.;</t>
  </si>
  <si>
    <t>#BTD_Prob_NeurologicalManifestation</t>
  </si>
  <si>
    <t>#hasSource: Wolf et al., 2012. PMID:22639981; Orphanet; #hasExpectedValue: 0.75; #hasYear: 2012; #hasDescription: Probabilidad de aparición de manifestaciones neurológicas (convulsiones, retraso psicomotor, ataxia) en pacientes no tratados con deficiencia profunda de biotinidasa.;</t>
  </si>
  <si>
    <t>#BTD_Prob_NeuropsychiatricManifestation</t>
  </si>
  <si>
    <t>#hasYear: 2012; #hasExpectedValue: 0.3; #hasDescription: Probabilidad de aparición de alteraciones neuroconductuales o psiquiátricas crónicas.; #hasSource: Wolf et al., 2012. PMID:22639981;</t>
  </si>
  <si>
    <t>#BTD_Prob_Sequelae</t>
  </si>
  <si>
    <t>#hasYear: 2012; #hasDescription: Probabilidad de secuelas irreversibles a largo plazo en pacientes no tratados.; #hasExpectedValue: 0.3; #hasSource: Wolf et al., 2012. PMID:22639981;</t>
  </si>
  <si>
    <t>#BTD_Stage_Asymptomatic</t>
  </si>
  <si>
    <t>#hasManifestation: #BTD_Manif_None;</t>
  </si>
  <si>
    <t>#hasDescription: Recién nacido asintomático, periodo previo a la aparición de síntomas;</t>
  </si>
  <si>
    <t>#BTD_Stage_Severe</t>
  </si>
  <si>
    <t>#hasManifestation: #BTD_Manif_Sequelae; #hasManifestation: #BTD_Manif_Death; #hasManifestation: #BTD_Manif_AcuteMetabolic;</t>
  </si>
  <si>
    <t>#hasDescription: Manifestaciones graves: crisis metabólicas, secuelas irreversibles o muerte;</t>
  </si>
  <si>
    <t>#BTD_Stage_Symptomatic</t>
  </si>
  <si>
    <t>#hasManifestation: #BTD_Manif_Cutaneous; #hasManifestation: #BTD_Manif_Neurological;</t>
  </si>
  <si>
    <t>#hasDescription: Presentación sintomática: síntomas neurológicos o cutáneos;</t>
  </si>
  <si>
    <t>#BTD_Treatment_Partial_Biotin</t>
  </si>
  <si>
    <t>#hasUtility: #BTD_Utility_Asymptomatic; #hasGuideline: #BTD_Guideline_BiotinPartial;</t>
  </si>
  <si>
    <t>#hasDescription: Tratamiento con biotina oral a dosis de 1-5 mg/día, indicado en deficiencia parcial de biotinidasa (actividad enzimática 10-30%), especialmente en situaciones de estrés metabólico.;</t>
  </si>
  <si>
    <t>#BTD_Treatment_Profound_Biotin</t>
  </si>
  <si>
    <t>#hasGuideline: #BTD_Guideline_BiotinProfound; #hasUtility: #BTD_Utility_Asymptomatic;</t>
  </si>
  <si>
    <t>#hasDescription: Tratamiento sustitutivo con biotina oral a dosis de 5-20 mg/día de por vida, indicado en deficiencia profunda de biotinidasa (&lt;10% actividad enzimática).;</t>
  </si>
  <si>
    <t>#BTD_Utility_Asymptomatic</t>
  </si>
  <si>
    <t>#hasDescription: Utilidad asociada al estado asintomático en deficiencia de biotinidasa.; #hasYear: 2010; #hasSource: Valores estándar para población pediátrica, estudios EQ-5D, expertos; #hasExpectedValue: 0.98; #appliesOneTime: false;</t>
  </si>
  <si>
    <t>#BTD_Utility_Death</t>
  </si>
  <si>
    <t>#hasExpectedValue: 0.0; #appliesOneTime: true; #hasYear: 2010; #hasSource: Definición estándar (muerte = utilidad 0); #hasDescription: Utilidad asociada al fallecimiento precoz (estado de muerte).;</t>
  </si>
  <si>
    <t>#BTD_Utility_Healthy</t>
  </si>
  <si>
    <t>#hasYear: 2010; #hasExpectedValue: 1.0; #hasSource: Valores estándar EQ-5D, literatura NICE CG60, Hopkins et al. 2010; #hasDescription: Utilidad asociada al estado de salud perfecto en población general.; #appliesOneTime: false;</t>
  </si>
  <si>
    <t>#DBiot_Enfermedad</t>
  </si>
  <si>
    <t>#hasManifestation: #DBiot_Manif_HipotonÝa; #hasManifestation: #DBiot_Manif_Alopecia; #hasManifestation: #DBiot_Manif_RashCutaneo; #hasManifestation: #DBiot_Manif_Dermatitis; #hasManifestation: #DBiot_Manif_CrisisEpileptica; #hasManifestation: #DBiot_Manif_AtrofiaOptica; #hasManifestation: #DBiot_Manif_RetrasoDesarrollo; #hasManifestation: #DBiot_Manif_AcidosisLactica; #hasManifestation: #DBiot_Manif_PerdidaAuditiva; #hasManifestation: #DBiot_Manif_Ataxia; #includedByModel: #DBiot_ModeloES;</t>
  </si>
  <si>
    <t>#hasDescription: Deficiencia profunda de biotinidasa (actividad &lt;10%);</t>
  </si>
  <si>
    <t>#DBiot_Manif_AcidosisLactica</t>
  </si>
  <si>
    <t>#hasDescription: Acidosis lßctica y alteraciones metab¾licas;</t>
  </si>
  <si>
    <t>#DBiot_Manif_Alopecia</t>
  </si>
  <si>
    <t>#hasDescription: Alopecia parcial o total;</t>
  </si>
  <si>
    <t>#DBiot_Manif_Ataxia</t>
  </si>
  <si>
    <t>#DBiot_Manif_AtrofiaOptica</t>
  </si>
  <si>
    <t>#hasDescription: Atrofia ¾ptica;</t>
  </si>
  <si>
    <t>#DBiot_Manif_CrisisEpileptica</t>
  </si>
  <si>
    <t>#hasDescription: Crisis epilÚptica por deficiencia de biotinidasa;</t>
  </si>
  <si>
    <t>#DBiot_Manif_Dermatitis</t>
  </si>
  <si>
    <t>#hasDescription: Dermatitis inespecÝfica;</t>
  </si>
  <si>
    <t>#DBiot_Manif_HipotonÝa</t>
  </si>
  <si>
    <t>#hasDescription: HipotonÝa muscular generalizada;</t>
  </si>
  <si>
    <t>#DBiot_Manif_PerdidaAuditiva</t>
  </si>
  <si>
    <t>#hasDescription: PÚrdida auditiva neurosensorial;</t>
  </si>
  <si>
    <t>#DBiot_Manif_RashCutaneo</t>
  </si>
  <si>
    <t>#hasDescription: Rash cutßneo (eczema, dermatitis perioral, dermatitis seborreica);</t>
  </si>
  <si>
    <t>#DBiot_Manif_RetrasoDesarrollo</t>
  </si>
  <si>
    <t>#hasDescription: Retraso del desarrollo psicomotor y/o discapacidad intelectual;</t>
  </si>
  <si>
    <t>#DBiot_ModeloES</t>
  </si>
  <si>
    <t>#DBiot_Progression_SinTratamiento</t>
  </si>
  <si>
    <t>#hasDescription: Progresi¾n rßpida hacia manifestaciones neurol¾gicas graves y da±o irreversible (auditivo, visual, intelectual) en ausencia de tratamiento; #hasSource: Mo?slinger et al., 2003; Weber et al., 2004; Couce et al., 2011;</t>
  </si>
  <si>
    <t>#DBiot_Progression_TratamientoPrecoz</t>
  </si>
  <si>
    <t>#hasDescription: Desarrollo psicomotor normal, sin secuelas neurol¾gicas, auditivas ni visuales si el tratamiento se inicia precozmente tras el cribado; #hasSource: Mo?slinger et al., 2003; Weber et al., 2004; Couce et al., 2011;</t>
  </si>
  <si>
    <t>#DBiot_Utility_AtrofiaOptica</t>
  </si>
  <si>
    <t>#hasDescription: Disutilidad anual asociada a ceguera/atrofia ¾ptica; #hasSource: Torrance et al., 2014; aproximaci¾n estßndar para ceguera bilateral; #hasExpectedValue: -0.24;</t>
  </si>
  <si>
    <t>#DBiot_Utility_Normalidad</t>
  </si>
  <si>
    <t>#hasSource: Supuesto basado en Weber 2004 y evidencia de cohortes sin secuelas; #hasDescription: Utilidad asociada a individuos tratados precozmente (desarrollo normal); #hasExpectedValue: 0.98;</t>
  </si>
  <si>
    <t>#DBiot_Utility_PerdidaAuditiva</t>
  </si>
  <si>
    <t>#hasSource: Torrance et al., 2014; Genc et al., 2007; aproximaci¾n estßndar para hipoacusia grave; #hasExpectedValue: -0.21; #hasDescription: Disutilidad anual asociada a pÚrdida auditiva neurosensorial grave;</t>
  </si>
  <si>
    <t>#DBiot_Utility_RetrasoDesarrollo</t>
  </si>
  <si>
    <t>#hasExpectedValue: -0.36; #hasDescription: Disutilidad anual asociada a discapacidad intelectual moderada; #hasSource: Assumption; estßndar en modelos econ¾micos para retraso moderado;</t>
  </si>
  <si>
    <t>#BTD_Manif_DevelopmentalDelay_Utility</t>
  </si>
  <si>
    <t>#hasSource: Kwon J, et al. Quality of Life Research. 2021.; #hasYear: 2021; #hasExpectedValue: 0.12; #hasDescription: Disutilidad anual por retraso en el desarrollo psicomotor;</t>
  </si>
  <si>
    <t>#BTD_Manif_HearingLoss_Utility</t>
  </si>
  <si>
    <t>#hasYear: 2001; #hasExpectedValue: 0.10; #hasDescription: Disutilidad anual asociada a pÚrdida auditiva neurosensorial por deficiencia profunda de biotinidasa; #hasSource: Brown GC et al. Ophthalmology. 2001;108(11):2089-2092.;</t>
  </si>
  <si>
    <t>#BTD_Manif_Seizures_Utility</t>
  </si>
  <si>
    <t>#hasDescription: Disutilidad anual de convulsiones asociadas a deficiencia profunda de biotinidasa; #hasSource: Rahi JS, Dezateux C. BMJ. 1999;318:600û603.; #hasYear: 1999; #hasExpectedValue: 0.15;</t>
  </si>
  <si>
    <t>#hasDescription: Deficiencia profunda de biotinidasa, un error congÚnito del metabolismo con manifestaciones neurol¾gicas y cutßneas graves si no se trata a tiempo.;</t>
  </si>
  <si>
    <t>#Btd_DevelopmentalDelay</t>
  </si>
  <si>
    <t>#hasDescription: Retraso en el desarrollo psicomotor debido a la deficiencia profunda de biotinidasa;</t>
  </si>
  <si>
    <t>#Btd_HearingLoss</t>
  </si>
  <si>
    <t>#hasDescription: PÚrdida auditiva neurosensorial irreversible secundaria a deficiencia profunda de biotinidasa no tratada.;</t>
  </si>
  <si>
    <t>#Btd_Seizures</t>
  </si>
  <si>
    <t>#hasDescription: Convulsiones asociadas a deficiencia profunda de biotinidasa;</t>
  </si>
  <si>
    <t>#Btd_SkinManifestations</t>
  </si>
  <si>
    <t>#hasDescription: Manifestaciones cutßneas graves (dermatitis, alopecia) asociadas a la deficiencia profunda de biotinidasa;</t>
  </si>
  <si>
    <t>#ClinicalDetection_BTD</t>
  </si>
  <si>
    <t>#hasDescription: Diagn¾stico clÝnico tras la aparici¾n de manifestaciones indicativas de deficiencia profunda de biotinidasa.;</t>
  </si>
  <si>
    <t>#NeonatalScreening_BTD</t>
  </si>
  <si>
    <t>#hasDescription: Cribado neonatal de la deficiencia profunda de biotinidasa mediante ensayo enzimßtico o fluorimÚtrico en sangre seca.;</t>
  </si>
  <si>
    <t>#BTD_BiotinTreatment</t>
  </si>
  <si>
    <t>#hasName: Tratamiento farmacol¾gico con biotina; #hasDescription: Administraci¾n oral de dosis farmacol¾gicas de biotina (5û20 mg/dÝa) en pacientes diagnosticados de deficiencia de biotinidasa, iniciada precozmente o tras el diagn¾stico clÝnico.;</t>
  </si>
  <si>
    <t>#BTD_ClinicalDiagnosis</t>
  </si>
  <si>
    <t>#usesHealthTechnology: #BTD_EnzymeAssay;</t>
  </si>
  <si>
    <t>#hasName: Diagn¾stico clÝnico de la deficiencia de biotinidasa; #hasDescription: Diagn¾stico basado en la aparici¾n de signos o sÝntomas indicativos y confirmaci¾n bioquÝmica/genÚtica de deficiencia de biotinidasa.;</t>
  </si>
  <si>
    <t>#BTD_EnzymeAssay</t>
  </si>
  <si>
    <t>#hasName: Ensayo enzimßtico de actividad biotinidasa; #hasDescription: Ensayo enzimßtico colorimÚtrico o fluorimÚtrico para cuantificar la actividad de la biotinidasa en sangre seca o suero.;</t>
  </si>
  <si>
    <t>#BTD_NeonatalScreening</t>
  </si>
  <si>
    <t>#hasName: Cribado neonatal de la deficiencia de biotinidasa; #hasDescription: Medici¾n de la actividad biotinidasa en sangre seca de reciÚn nacidos utilizando ensayo enzimßtico colorimÚtrico o fluorimÚtrico semicuantitativo para detectar deficiencia antes del inicio de sÝntomas.;</t>
  </si>
  <si>
    <t>#BTD_Tx_Biotin_Crisis</t>
  </si>
  <si>
    <t>#hasSource: Couce et al. 2011; Weber et al. 2004; #hasDescription: Administraci¾n de dosis altas de biotina (15û30 mg/dÝa) como intervenci¾n de rescate ante crisis metab¾lica aguda, convulsiones, acidosis, etc.; #hasName: Tratamiento de rescate con biotina;</t>
  </si>
  <si>
    <t>#Partial_BTD_Dermatitis_Prob</t>
  </si>
  <si>
    <t>#isParameterOfDisease: #Partial_Biotinidase_Deficiency; #hasManifestation: #Profound_BTD_Acute_Dermatitis; #hasDataItemType: #DI_Probability;</t>
  </si>
  <si>
    <t>#hasDescription: Probabilidad de aparici¾n de dermatitis aguda en deficiencia parcial de biotinidasa. Casos descritos son excepcionales.; #hasExpectedValue: 0.01; #hasSource: Couce et al. 2011, Med Clin (Barc), 137(11):500û503;</t>
  </si>
  <si>
    <t>#Partial_BTD_FU_AnnualCheck</t>
  </si>
  <si>
    <t>#hasDescription: Visita de seguimiento con revisi¾n de sÝntomas, adherencia y crecimiento. No requiere pruebas especializadas salvo aparici¾n de sÝntomas.; #hasName: Revisi¾n clÝnica anual;</t>
  </si>
  <si>
    <t>#Partial_BTD_FollowUp</t>
  </si>
  <si>
    <t>#hasComponent: #Partial_BTD_FU_AnnualCheck;</t>
  </si>
  <si>
    <t>#hasDescription: Revisi¾n clÝnica anual. Pruebas adicionales solo si aparecen sÝntomas o en situaciones de estrÚs metab¾lico.; #hasName: Seguimiento clÝnico en deficiencia parcial de biotinidasa;</t>
  </si>
  <si>
    <t>#Partial_BTD_HearingLoss_Prob</t>
  </si>
  <si>
    <t>#hasManifestation: #Profound_BTD_Chronic_HearingLoss; #hasDataItemType: #DI_Probability; #isParameterOfDisease: #Partial_Biotinidase_Deficiency;</t>
  </si>
  <si>
    <t>#hasSource: Couce et al. 2011, Med Clin (Barc), 137(11):500û503; #hasExpectedValue: 0.001; #hasDescription: Probabilidad de aparici¾n de hipoacusia neurosensorial cr¾nica en deficiencia parcial de biotinidasa. No descrita en cohortes europeas.;</t>
  </si>
  <si>
    <t>#Partial_BTD_Hypotonia_Prob</t>
  </si>
  <si>
    <t>#hasDataItemType: #DI_Probability; #hasManifestation: #Profound_BTD_Acute_Hypotonia; #isParameterOfDisease: #Partial_Biotinidase_Deficiency;</t>
  </si>
  <si>
    <t>#hasDescription: Probabilidad de aparici¾n de hipotonÝa en deficiencia parcial de biotinidasa. No descrita sistemßticamente en cohortes.; #hasExpectedValue: 0.001; #hasSource: Couce et al. 2011, Med Clin (Barc), 137(11):500û503;</t>
  </si>
  <si>
    <t>#Partial_BTD_Seizures_Prob</t>
  </si>
  <si>
    <t>#hasDataItemType: #DI_Probability; #hasManifestation: #Profound_BTD_Acute_Seizures; #isParameterOfDisease: #Partial_Biotinidase_Deficiency;</t>
  </si>
  <si>
    <t>#hasSource: Couce et al. 2011, Med Clin (Barc), 137(11):500û503; #hasExpectedValue: 0.01; #hasDescription: Probabilidad de aparici¾n de convulsiones en deficiencia parcial de biotinidasa. Manifestaci¾n extremadamente rara, descrita en situaciones de estrÚs metab¾lico.;</t>
  </si>
  <si>
    <t>#Partial_BTD_Tx_Biotin</t>
  </si>
  <si>
    <t>#hasDescription: Administraci¾n de biotina a dosis bajas (5 mg/semana) o en periodos de estrÚs metab¾lico, indicada en pacientes con actividad enzimßtica 10û30% (deficiencia parcial). Puede aumentarse la dosis ante aparici¾n de sÝntomas.; #hasName: Tratamiento profilßctico con biotina en deficiencia parcial de biotinidasa; #hasSource: Couce et al. 2011; Wolf 2012; consensos internacionales;</t>
  </si>
  <si>
    <t>#Partial_Biotinidase_Deficiency</t>
  </si>
  <si>
    <t>#Partial_Biotinidase_Deficiency_BirthPrevalence</t>
  </si>
  <si>
    <t>#isParameterOfDisease: #Partial_Biotinidase_Deficiency;</t>
  </si>
  <si>
    <t>#hasUnit: por reciÚn nacido vivo; #hasExpectedValue: 0.000023; #hasSource: Couce et al. 2011, Med Clin (Barc), 137(11):500û503; #hasDescription: Prevalencia al nacimiento de casos con actividad enzimßtica 10-30% (deficiencia parcial); #hasRange: 1:43,575; #hasYear: 2011; #hasName: Prevalencia al nacimiento de la deficiencia parcial de biotinidasa;</t>
  </si>
  <si>
    <t>#Profound_BTD_Acute_Acidosis</t>
  </si>
  <si>
    <t>#hasName: Acidosis metab¾lica aguda; #hasDescription: Descompensaci¾n metab¾lica aguda caracterizada por acidosis metab¾lica, frecuente durante infecciones intercurrentes o periodos de ayuno.;</t>
  </si>
  <si>
    <t>#Profound_BTD_Acute_Alopecia</t>
  </si>
  <si>
    <t>#hasName: Alopecia aguda; #hasDescription: PÚrdida brusca de cabello y vello corporal, reversible en la mayorÝa de los casos si se inicia el tratamiento de forma precoz.;</t>
  </si>
  <si>
    <t>#Profound_BTD_Acute_Ataxia</t>
  </si>
  <si>
    <t>#hasName: Ataxia aguda; #hasDescription: Alteraci¾n aguda de la coordinaci¾n motora, inestabilidad al caminar, movimientos torpes o incoordinados.;</t>
  </si>
  <si>
    <t>#Profound_BTD_Acute_Dermatitis</t>
  </si>
  <si>
    <t>#hasDescription: Erupci¾n cutßnea eccematosa aguda, lesiones periorales y/o eritema generalizado; suele aparecer en semanas tras el nacimiento si no se inicia tratamiento.; #hasName: Dermatitis aguda;</t>
  </si>
  <si>
    <t>#Profound_BTD_Acute_FeedingDifficulties</t>
  </si>
  <si>
    <t>#hasDescription: Dificultad para la succi¾n o la alimentaci¾n, rechazo del alimento y v¾mitos, presentes de forma aguda en fases iniciales de la enfermedad.; #hasName: Dificultad aguda de alimentaci¾n y v¾mitos;</t>
  </si>
  <si>
    <t>#Profound_BTD_Acute_Hypotonia</t>
  </si>
  <si>
    <t>#hasName: HipotonÝa aguda; #hasDescription: Disminuci¾n aguda del tono muscular, debilidad y letargia, a menudo presente en lactantes como una de las primeras manifestaciones neurol¾gicas.;</t>
  </si>
  <si>
    <t>#Profound_BTD_Acute_Infections</t>
  </si>
  <si>
    <t>#hasDescription: Infecciones bacterianas o f·ngicas agudas, especialmente a nivel cutßneo o mucoso, por alteraci¾n de barreras epiteliales.; #hasName: Infecciones agudas;</t>
  </si>
  <si>
    <t>#Profound_BTD_Acute_LethargyComa</t>
  </si>
  <si>
    <t>#hasDescription: Episodios agudos de letargia, disminuci¾n del nivel de consciencia o coma, especialmente en el contexto de crisis metab¾licas no tratadas.; #hasName: Letargia y coma;</t>
  </si>
  <si>
    <t>#Profound_BTD_Acute_Respiratory</t>
  </si>
  <si>
    <t>#hasDescription: Episodios agudos de apnea central, hiperventilaci¾n o dificultad respiratoria, potencialmente mortales en lactantes.; #hasName: Dificultad respiratoria aguda;</t>
  </si>
  <si>
    <t>#Profound_BTD_Acute_Seizures</t>
  </si>
  <si>
    <t>#hasDescription: Convulsiones de inicio s·bito, generalmente resistentes a fßrmacos antiepilÚpticos convencionales en ausencia de tratamiento con biotina. Pueden progresar rßpidamente a coma si no se tratan.; #hasName: Convulsiones agudas;</t>
  </si>
  <si>
    <t>#Profound_BTD_Alopecia</t>
  </si>
  <si>
    <t>#hasDescription: Alopecia total o parcial, reversible con tratamiento temprano.;</t>
  </si>
  <si>
    <t>#Profound_BTD_Chronic_DevelopmentalDelay</t>
  </si>
  <si>
    <t>#hasName: Retraso psicomotor cr¾nico; #hasDescription: Retraso persistente del desarrollo psicomotor, con limitaciones en autonomÝa y funcionamiento diario.;</t>
  </si>
  <si>
    <t>#Profound_BTD_Chronic_Epilepsy</t>
  </si>
  <si>
    <t>#hasDescription: Trastorno epilÚptico persistente tras episodios convulsivos agudos, que puede requerir tratamiento antiepilÚptico cr¾nico incluso tras iniciar biotina.; #hasName: Epilepsia cr¾nica;</t>
  </si>
  <si>
    <t>#Profound_BTD_Chronic_FunctionalDependency</t>
  </si>
  <si>
    <t>#hasName: Dependencia funcional cr¾nica; #hasDescription: Necesidad de apoyo continuo para las actividades bßsicas de la vida diaria como consecuencia de secuelas neurol¾gicas m·ltiples.;</t>
  </si>
  <si>
    <t>#Profound_BTD_Chronic_HearingLoss</t>
  </si>
  <si>
    <t>#hasDescription: PÚrdida auditiva neurosensorial irreversible, una de las secuelas mßs frecuentes en pacientes no tratados precozmente.; #hasName: Hipoacusia neurosensorial permanente;</t>
  </si>
  <si>
    <t>#Profound_BTD_Chronic_IntellectualDisability</t>
  </si>
  <si>
    <t>#hasDescription: DÚficit cognitivo persistente y discapacidad intelectual secundaria a da±o neurol¾gico irreversible por deficiencia profunda de biotinidasa no tratada precozmente.; #hasName: Discapacidad intelectual cr¾nica;</t>
  </si>
  <si>
    <t>#Profound_BTD_Chronic_MotorImpairment</t>
  </si>
  <si>
    <t>#hasName: Trastorno motor cr¾nico; #hasDescription: Alteraciones motoras persistentes como ataxia, espasticidad o debilidad, secundarias a da±o neurol¾gico estructural.;</t>
  </si>
  <si>
    <t>#Profound_BTD_Chronic_SpeechDisorder</t>
  </si>
  <si>
    <t>#hasDescription: Alteraciones persistentes del lenguaje y la comunicaci¾n asociadas a da±o neurol¾gico temprano.; #hasName: Trastorno cr¾nico del lenguaje;</t>
  </si>
  <si>
    <t>#Profound_BTD_Chronic_VisualImpairment</t>
  </si>
  <si>
    <t>#hasDescription: PÚrdida visual permanente secundaria a atrofia ¾ptica, no reversible pese al tratamiento tardÝo con biotina.; #hasName: Deterioro visual cr¾nico por atrofia ¾ptica;</t>
  </si>
  <si>
    <t>#Profound_BTD_Dermatitis</t>
  </si>
  <si>
    <t>#hasDescription: Dermatitis eccematosa y erupciones cutßneas, a menudo periorales, que mejoran con biotina.;</t>
  </si>
  <si>
    <t>#Profound_BTD_DevelopmentalDelay</t>
  </si>
  <si>
    <t>#hasDescription: Retraso global del desarrollo, deterioro progresivo si no tratado.;</t>
  </si>
  <si>
    <t>#Profound_BTD_FU_Biochemistry</t>
  </si>
  <si>
    <t>#hasDescription: Controles anuales de niveles de biotina, funci¾n hepßtica y renal.; #hasName: Monitorizaci¾n bioquÝmica;</t>
  </si>
  <si>
    <t>#Profound_BTD_FU_Neurology</t>
  </si>
  <si>
    <t>#hasName: Seguimiento neurol¾gico; #hasDescription: Valoraci¾n clÝnica neurol¾gica y desarrollo psicomotor cada 6-12 meses; EEG si convulsiones.;</t>
  </si>
  <si>
    <t>#Profound_BTD_FU_Ophthalmology</t>
  </si>
  <si>
    <t>#hasDescription: Revisi¾n oftalmol¾gica para detectar atrofia ¾ptica o alteraciones visuales.; #hasName: Valoraci¾n oftalmol¾gica;</t>
  </si>
  <si>
    <t>#Profound_BTD_FollowUp</t>
  </si>
  <si>
    <t>#hasComponent: #Profound_BTD_FU_Audiometry; #hasComponent: #Profound_BTD_FU_Neurology; #hasComponent: #Profound_BTD_FU_Biochemistry; #hasComponent: #Profound_BTD_FU_Ophthalmology;</t>
  </si>
  <si>
    <t>#hasDescription: Seguimiento multidisciplinar: revisi¾n clÝnica cada 6-12 meses, audiometrÝa anual, valoraci¾n oftalmol¾gica anual, monitorizaci¾n bioquÝmica anual y ajuste de tratamiento con biotina.; #hasName: Seguimiento clÝnico en deficiencia profunda de biotinidasa;</t>
  </si>
  <si>
    <t>#Profound_BTD_HearingLoss</t>
  </si>
  <si>
    <t>#hasDescription: Sordera neurosensorial, a menudo irreversible si la enfermedad no es detectada y tratada de forma precoz.;</t>
  </si>
  <si>
    <t>#Profound_BTD_HearingLoss_Prob</t>
  </si>
  <si>
    <t>#hasManifestation: #Profound_BTD_Chronic_HearingLoss; #isParameterOfDisease: #Profound_Biotinidase_Deficiency; #hasDataItemType: #DI_Probability;</t>
  </si>
  <si>
    <t>#hasExpectedValue: 0.55; #hasDescription: Probabilidad de hipoacusia neurosensorial cr¾nica en deficiencia profunda de biotinidasa no tratada precozmente; #hasSource: Genc et al. 2007; Weber et al. 2004;</t>
  </si>
  <si>
    <t>#Profound_BTD_Hypotonia_Prob</t>
  </si>
  <si>
    <t>#hasManifestation: #Profound_BTD_Acute_Hypotonia; #isParameterOfDisease: #Profound_Biotinidase_Deficiency; #hasDataItemType: #DI_Probability;</t>
  </si>
  <si>
    <t>#hasSource: Weber et al. 2004; Ye et al. 2009; #hasDescription: Probabilidad de aparici¾n de hipotonÝa aguda en deficiencia profunda de biotinidasa no tratada precozmente; #hasExpectedValue: 0.7;</t>
  </si>
  <si>
    <t>#Profound_BTD_Onset_Acute_Dermatitis</t>
  </si>
  <si>
    <t>#hasDataItemType: #DI_OnsetAge; #hasManifestation: #Profound_BTD_Acute_Dermatitis;</t>
  </si>
  <si>
    <t>#hasDescription: Edad tÝpica de aparici¾n de dermatitis/erupci¾n cutßnea aguda; #hasSource: Ye et al. 2009; Couce et al. 2011; #hasUnit: meses; #hasRange: 2-8 meses; #hasExpectedValue: 5;</t>
  </si>
  <si>
    <t>#Profound_BTD_Onset_Acute_Hypotonia</t>
  </si>
  <si>
    <t>#hasDataItemType: #DI_OnsetAge; #hasManifestation: #Profound_BTD_Acute_Hypotonia;</t>
  </si>
  <si>
    <t>#hasSource: Ye et al. 2009; Couce et al. 2011; #hasRange: 2-7 meses; #hasExpectedValue: 4; #hasUnit: meses; #hasDescription: Edad tÝpica de aparici¾n de hipotonÝa aguda;</t>
  </si>
  <si>
    <t>#Profound_BTD_Onset_Acute_Seizures</t>
  </si>
  <si>
    <t>#hasManifestation: #Profound_BTD_Acute_Seizures; #hasDataItemType: #DI_OnsetAge;</t>
  </si>
  <si>
    <t>#hasExpectedValue: 4; #hasSource: Ye et al. 2009; Weber et al. 2004; #hasRange: 1-9 meses; #hasDescription: Edad tÝpica de aparici¾n de convulsiones agudas en la deficiencia profunda de biotinidasa sin tratamiento precoz; #hasUnit: meses;</t>
  </si>
  <si>
    <t>#Profound_BTD_Onset_Chronic_HearingLoss</t>
  </si>
  <si>
    <t>#hasManifestation: #Profound_BTD_Chronic_HearingLoss; #hasDataItemType: #DI_OnsetAge;</t>
  </si>
  <si>
    <t>#hasRange: 8-24 meses; #hasExpectedValue: 14; #hasDescription: Edad media al diagn¾stico de hipoacusia neurosensorial permanente (secuelas cr¾nicas tras episodio agudo); #hasUnit: meses; #hasSource: Genc et al. 2007; Weber et al. 2004;</t>
  </si>
  <si>
    <t>#Profound_BTD_Onset_Chronic_OpticAtrophy</t>
  </si>
  <si>
    <t>#hasDataItemType: #DI_OnsetAge; #hasManifestation: #Profound_BTD_Chronic_VisualImpairment;</t>
  </si>
  <si>
    <t>#hasSource: Weber et al. 2004; Couce et al. 2011; #hasUnit: meses; #hasDescription: Edad media al diagn¾stico de atrofia ¾ptica/deterioro visual cr¾nico; #hasRange: 10-24 meses; #hasExpectedValue: 16;</t>
  </si>
  <si>
    <t>#Profound_BTD_OpticAtrophy</t>
  </si>
  <si>
    <t>#hasDescription: Atrofia ¾ptica con pÚrdida visual, asociada a da±o irreversible en casos no tratados.;</t>
  </si>
  <si>
    <t>#Profound_BTD_OpticAtrophy_Prob</t>
  </si>
  <si>
    <t>#hasDataItemType: #DI_Probability; #hasManifestation: #Profound_BTD_Chronic_VisualImpairment; #isParameterOfDisease: #Profound_Biotinidase_Deficiency;</t>
  </si>
  <si>
    <t>#hasDescription: Probabilidad de atrofia ¾ptica y deterioro visual cr¾nico en deficiencia profunda de biotinidasa no tratada precozmente; #hasExpectedValue: 0.35; #hasSource: Weber et al. 2004; Ye et al. 2009;</t>
  </si>
  <si>
    <t>#Profound_BTD_Seizures</t>
  </si>
  <si>
    <t>#hasDescription: Convulsiones recurrentes, a menudo resistentes a anticonvulsivantes hasta tratamiento con biotina.;</t>
  </si>
  <si>
    <t>#Profound_BTD_Seizures_Prob</t>
  </si>
  <si>
    <t>#isParameterOfDisease: #Profound_Biotinidase_Deficiency; #hasDataItemType: #DI_Probability; #hasManifestation: #Profound_BTD_Acute_Seizures;</t>
  </si>
  <si>
    <t>#hasExpectedValue: 0.85; #hasSource: Weber et al. 2004; Ye et al. 2009; #hasDescription: Probabilidad de aparici¾n de convulsiones agudas en deficiencia profunda de biotinidasa no tratada precozmente;</t>
  </si>
  <si>
    <t>#Profound_BTD_Tx_Biotin</t>
  </si>
  <si>
    <t>#hasDescription: Administraci¾n oral diaria de biotina (10û20 mg/dÝa, de por vida), indicada en pacientes con actividad enzimßtica &lt;10% (deficiencia profunda), para prevenir o revertir manifestaciones agudas y prevenir secuelas cr¾nicas.; #hasName: Tratamiento continuo con biotina en deficiencia profunda de biotinidasa; #hasSource: Couce et al. 2011; Weber et al. 2004; Wolf 2012;</t>
  </si>
  <si>
    <t>#Profound_BTD_U_Acidosis</t>
  </si>
  <si>
    <t>#appliesOneTime: false; #hasDescription: Utilidad anual por episodios de acidosis metab¾lica descompensada; #hasExpectedValue: 0.70; #hasYear: 2024; #hasSource: Modelos de acidemias orgßnicas, NICE;</t>
  </si>
  <si>
    <t>#Profound_BTD_U_Alopecia</t>
  </si>
  <si>
    <t>#hasExpectedValue: 0.97; #appliesOneTime: false; #hasSource: Utilidad estßndar, bajo impacto en QALY; #hasYear: 2024; #hasDescription: Utilidad anual por alopecia reversible o persistente;</t>
  </si>
  <si>
    <t>#Profound_BTD_U_Asymptomatic</t>
  </si>
  <si>
    <t>#hasDescription: Utilidad anual estado asintomßtico (sin sÝntomas ni secuelas); #appliesOneTime: false; #hasExpectedValue: 1.00; #hasYear: 2024; #hasSource: EQ-5D, poblaci¾n general pedißtrica;</t>
  </si>
  <si>
    <t>#Profound_BTD_U_Dermatitis</t>
  </si>
  <si>
    <t>#hasSource: Utilidad estßndar eczema pedißtrico, EQ-5D; #hasDescription: Utilidad anual por dermatitis aguda grave; #hasExpectedValue: 0.93; #appliesOneTime: false; #hasYear: 2024;</t>
  </si>
  <si>
    <t>#Profound_BTD_U_FunctionalDependency</t>
  </si>
  <si>
    <t>#hasExpectedValue: 0.55; #hasSource: NICE, Orphanet, modelos discapacidad severa; #hasDescription: Utilidad anual en dependencia funcional severa por secuelas m·ltiples; #appliesOneTime: false; #hasYear: 2024;</t>
  </si>
  <si>
    <t>#Profound_BTD_U_HearingLoss</t>
  </si>
  <si>
    <t>#hasSource: Tufts CEA Registry, Orphanet, utilidades pÚrdida auditiva infantil/adulta; #appliesOneTime: false; #hasDescription: Utilidad anual hipoacusia neurosensorial bilateral permanente; #hasExpectedValue: 0.68; #hasYear: 2024;</t>
  </si>
  <si>
    <t>#Profound_BTD_U_IntellectualDisability</t>
  </si>
  <si>
    <t>#hasExpectedValue: 0.60; #hasSource: NICE TA443, Tufts CEA Registry; #appliesOneTime: false; #hasDescription: Utilidad anual discapacidad intelectual cr¾nica; #hasYear: 2024;</t>
  </si>
  <si>
    <t>#Profound_BTD_U_MotorDisorder</t>
  </si>
  <si>
    <t>#hasExpectedValue: 0.70; #hasYear: 2024; #hasSource: NICE, utilidades parßlisis/ataxia infantil/adulta; #appliesOneTime: false; #hasDescription: Utilidad anual por trastorno motor cr¾nico (ataxia, paresia, espasticidad);</t>
  </si>
  <si>
    <t>#Profound_BTD_U_OpticAtrophy</t>
  </si>
  <si>
    <t>#hasExpectedValue: 0.55; #hasDescription: Utilidad anual deterioro visual grave o ceguera; #hasSource: Orphanet, EQ-5D ceguera infantil/adulta; #appliesOneTime: false; #hasYear: 2024;</t>
  </si>
  <si>
    <t>#Profound_BTD_U_Seizures</t>
  </si>
  <si>
    <t>#appliesOneTime: false; #hasYear: 2024; #hasSource: NICE TA137, Orphanet epilepsia infantil, Tufts CEA Registry; #hasDescription: Utilidad anual en paciente con convulsiones recurrentes; #hasExpectedValue: 0.72;</t>
  </si>
  <si>
    <t>#Profound_Biotinidase_Deficiency</t>
  </si>
  <si>
    <t>#hasManifestation: #Profound_BTD_OpticAtrophy; #hasManifestation: #Profound_BTD_DevelopmentalDelay; #hasManifestation: #Profound_BTD_Alopecia; #hasManifestation: #Profound_BTD_Dermatitis; #hasManifestation: #Profound_BTD_HearingLoss; #hasManifestation: #Profound_BTD_Seizures;</t>
  </si>
  <si>
    <t>#hasName: Deficiencia profunda de biotinidasa; #hasDescription: Enfermedad autos¾mica recesiva caracterizada por actividad enzimßtica &lt;10% y manifestaciones neurol¾gicas y dermatol¾gicas graves si no es tratada precozmente con biotina.; #hasRefToOMIM: 253260;</t>
  </si>
  <si>
    <t>#Profound_Biotinidase_Deficiency_BirthPrevalence</t>
  </si>
  <si>
    <t>#isParameterOfDisease: #Profound_Biotinidase_Deficiency;</t>
  </si>
  <si>
    <t>#hasSource: Couce et al. 2011, Med Clin (Barc), 137(11):500û503; #hasRange: 1:87,500; #hasYear: 2011; #hasUnit: por reciÚn nacido vivo; #hasDescription: Prevalencia al nacimiento de casos con actividad enzimßtica &lt;10% (deficiencia profunda); #hasName: Prevalencia al nacimiento de la deficiencia profunda de biotinidasa; #hasExpectedValue: 0.0000114;</t>
  </si>
  <si>
    <t>#DBTD_BirthPrevalence_Param</t>
  </si>
  <si>
    <t>#hasDataItemType: #DI_BirthPrevalence; #isParameterOfDisease: #DBTD_Disease;</t>
  </si>
  <si>
    <t>#hasYear: 2021; #hasSource: MartÝnez-Morillo et al., JIMD Rep. 2018; 39:31-36; Couce et al., Int J Neonatal Screen. 2021;7(3):59; #hasExpectedValue: 1.3E-5; #isTrueEpidemiologicalParameterEstimate: true; #hasDescription: Prevalencia al nacimiento de la deficiencia profunda de biotinidasa (forma grave, actividad &lt;10%) en Espa±a;</t>
  </si>
  <si>
    <t>#DBTD_Disease</t>
  </si>
  <si>
    <t>#hasName: Deficiencia profunda de biotinidasa; #hasDescription: Enfermedad metab¾lica hereditaria causada por mutaciones en el gen BTD, que lleva a deficiencia grave de la actividad biotinidasa (&lt;10% de lo normal), con manifestaciones neurol¾gicas y cutßneas graves si no se trata precozmente.;</t>
  </si>
  <si>
    <t>#DBTD_FollowUp_Partial</t>
  </si>
  <si>
    <t>FollowUpStrategy, MonitoringIntervention</t>
  </si>
  <si>
    <t>#hasDescription: Revisi¾n clÝnica anual. Valoraci¾n neurol¾gica y audiol¾gica solo si aparecen sÝntomas o bajo circunstancias de riesgo. Evaluaci¾n de necesidad de tratamiento con biotina caso a caso.; #hasName: Seguimiento en deficiencia parcial de biotinidasa; #hasSource: Wolf B. Genet Med. 2017; Couce ML. Int J Neonatal Screen. 2021; CatSalut Protocolo seguimiento BTD 2022;</t>
  </si>
  <si>
    <t>#DBTD_FollowUp_Profound</t>
  </si>
  <si>
    <t>#hasSource: Wolf B. Genet Med. 2017; Couce ML. Int J Neonatal Screen. 2021; CatSalut Protocolo seguimiento BTD 2022; #hasDescription: Evaluaci¾n clÝnica, neurol¾gica, auditiva, oftalmol¾gica y bioquÝmica peri¾dica para prevenir o identificar secuelas y controlar la adherencia al tratamiento con biotina. Frecuencia: cada 3-6 meses hasta los 2 a±os, luego anual.; #hasName: Seguimiento clÝnico-multidisciplinar en deficiencia profunda de biotinidasa;</t>
  </si>
  <si>
    <t>#DBTD_Interv_ClinicalDx</t>
  </si>
  <si>
    <t>ClinicalDetection, Intervention</t>
  </si>
  <si>
    <t>#hasName: Diagn¾stico clÝnico por signos/sÝntomas; #hasDescription: Detecci¾n de la deficiencia de biotinidasa mediante la identificaci¾n clÝnica tras aparici¾n de manifestaciones clÝnicas caracterÝsticas.; #hasSource: Wolf B. Genet Med. 2017; MartÝnez-Morillo E. JIMD Rep. 2018;</t>
  </si>
  <si>
    <t>#DBTD_Interv_ConfirmatoryTest</t>
  </si>
  <si>
    <t>DiagnosticTest, Intervention</t>
  </si>
  <si>
    <t>#hasName: Confirmaci¾n diagn¾stica enzimßtica/genÚtica; #hasSource: Wolf B. Genet Med. 2017; Protocolo cribado neonatal BTD CatSalut 2022; #hasDescription: Confirmaci¾n diagn¾stica mediante determinaci¾n cuantitativa de actividad enzimßtica en suero/plasma o mediante secuenciaci¾n del gen BTD.;</t>
  </si>
  <si>
    <t>#DBTD_Interv_NewbornScreening</t>
  </si>
  <si>
    <t>Intervention, ScreeningIntervention</t>
  </si>
  <si>
    <t>#hasSource: Wolf B. Genet Med. 2017; Couce ML et al. Int J Neonatal Screen. 2021; CatSalut. Protocolo cribado neonatal BTD 2022; #hasDescription: Cribado poblacional de reciÚn nacidos mediante determinaci¾n de la actividad biotinidasa en sangre seca utilizando ensayo enzimßtico o fluorimÚtrico semicuantitativo.; #hasName: Cribado neonatal de la deficiencia de biotinidasa;</t>
  </si>
  <si>
    <t>#DBTD_Manif_Acute_Acidosis</t>
  </si>
  <si>
    <t>#hasDescription: Acidosis metab¾lica secundaria a la acumulaci¾n de ßcidos orgßnicos en el contexto de deficiencia profunda de biotinidasa.; #hasName: Acidosis metab¾lica;</t>
  </si>
  <si>
    <t>#DBTD_Manif_Acute_Alopecia</t>
  </si>
  <si>
    <t>#hasDescription: PÚrdida aguda de cabello en el contexto de deficiencia profunda de biotinidasa no tratada.; #hasName: Alopecia;</t>
  </si>
  <si>
    <t>#DBTD_Manif_Acute_Hypotonia</t>
  </si>
  <si>
    <t>#hasDescription: HipotonÝa marcada y letargia (encefalopatÝa) en el contexto de deficiencia profunda de biotinidasa no tratada.; #hasName: HipotonÝa y letargia;</t>
  </si>
  <si>
    <t>#DBTD_Manif_Acute_Rash</t>
  </si>
  <si>
    <t>#hasDescription: Erupci¾n cutßnea tipo eccema seborreico, periorificial o descamativa, frecuente en lactantes con deficiencia profunda de biotinidasa.; #hasName: Erupci¾n cutßnea;</t>
  </si>
  <si>
    <t>#DBTD_Manif_Acute_Resp</t>
  </si>
  <si>
    <t>#hasDescription: Apnea, hiperventilaci¾n o dificultad respiratoria aguda en reciÚn nacidos con deficiencia profunda de biotinidasa no tratada.; #hasName: Dificultad respiratoria;</t>
  </si>
  <si>
    <t>#DBTD_Manif_Acute_Seizures</t>
  </si>
  <si>
    <t>#hasDescription: Episodios de convulsiones generalizadas en lactantes con deficiencia profunda de biotinidasa sin tratamiento.; #hasName: Convulsiones;</t>
  </si>
  <si>
    <t>#DBTD_Manif_Acute_Seizures_DU</t>
  </si>
  <si>
    <t>#hasYear: 2022; #hasSource: Derived as 1 ? utility; assumption; #appliesOneTime: false; #hasDescription: Desutilidad anual asociada a convulsiones agudas en deficiencia de biotinidasa; #hasExpectedValue: 0.4;</t>
  </si>
  <si>
    <t>#DBTD_Manif_Acute_Seizures_U</t>
  </si>
  <si>
    <t>#hasExpectedValue: 0.6; #hasSource: Kwon et al. PharmacoEconomics 2019; Grosse et al. Value Health 2022; assumption; #hasDescription: Utilidad anual asociada a convulsiones agudas en deficiencia de biotinidasa; #hasYear: 2022; #appliesOneTime: false;</t>
  </si>
  <si>
    <t>#DBTD_Manif_Acute_Vomiting</t>
  </si>
  <si>
    <t>#hasDescription: V¾mitos recurrentes en lactantes con deficiencia profunda de biotinidasa.; #hasName: V¾mitos;</t>
  </si>
  <si>
    <t>#DBTD_Manif_Chronic_Ataxia</t>
  </si>
  <si>
    <t>#hasDescription: Problemas motores persistentes como ataxia, espasticidad o debilidad muscular tras episodios agudos de DBTD.; #hasName: Ataxia y espasticidad;</t>
  </si>
  <si>
    <t>#DBTD_Manif_Chronic_Behavioral</t>
  </si>
  <si>
    <t>#hasName: Trastornos del comportamiento; #hasDescription: Problemas de conducta y trastornos del comportamiento que pueden aparecer como secuelas en ni±os con DBTD no tratada.;</t>
  </si>
  <si>
    <t>#DBTD_Manif_Chronic_Cutaneous</t>
  </si>
  <si>
    <t>#hasDescription: Manifestaciones cutßneas persistentes (dermatitis, descamaci¾n, infecciones cutßneas recurrentes) como secuela de la DBTD.; #hasName: Alteraciones cutßneas cr¾nicas;</t>
  </si>
  <si>
    <t>#DBTD_Manif_Chronic_Epilepsy</t>
  </si>
  <si>
    <t>#hasName: Epilepsia persistente; #hasDescription: Crisis epilÚpticas recurrentes de difÝcil control, presentes incluso tras la instauraci¾n tardÝa de tratamiento en algunos pacientes con DBTD.;</t>
  </si>
  <si>
    <t>#DBTD_Manif_Chronic_HearingLoss</t>
  </si>
  <si>
    <t>#hasDescription: PÚrdida auditiva neurosensorial irreversible, una de las secuelas mßs caracterÝsticas y graves de la deficiencia profunda de biotinidasa sin tratamiento precoz.; #hasName: Sordera neurosensorial;</t>
  </si>
  <si>
    <t>#DBTD_Manif_Chronic_NeurodevDelay</t>
  </si>
  <si>
    <t>#hasDescription: Retraso global del desarrollo psicomotor, que puede progresar a discapacidad intelectual, presente en pacientes con deficiencia profunda de biotinidasa no tratada.; #hasName: Retraso del desarrollo psicomotor;</t>
  </si>
  <si>
    <t>#DBTD_Manif_Chronic_NeurodevDelay_DU</t>
  </si>
  <si>
    <t>#hasDescription: Desutilidad anual asociada a retraso del desarrollo psicomotor por deficiencia de biotinidasa; #hasExpectedValue: 0.5; #appliesOneTime: false; #hasYear: 2022; #hasSource: Derived as 1 ? utility; assumption;</t>
  </si>
  <si>
    <t>#DBTD_Manif_Chronic_NeurodevDelay_U</t>
  </si>
  <si>
    <t>#hasYear: 2022; #appliesOneTime: false; #hasExpectedValue: 0.5; #hasDescription: Utilidad anual asociada a retraso del desarrollo psicomotor por deficiencia de biotinidasa; #hasSource: Neumann et al. Value Health 2018; Grosse et al. 2022; assumption;</t>
  </si>
  <si>
    <t>#DBTD_Manif_Chronic_VisualLoss</t>
  </si>
  <si>
    <t>#hasDescription: PÚrdida de visi¾n irreversible secundaria a atrofia o neuropatÝa ¾ptica en pacientes con deficiencia profunda de biotinidasa no tratados.; #hasName: PÚrdida visual (atrofia ¾ptica);</t>
  </si>
  <si>
    <t>#DBTD_Partial_Prob_Acute_Acidosis</t>
  </si>
  <si>
    <t>#hasDataItemType: #DI_Probability; #isParameterOfManifestation: #DBTD_Manif_Acute_Acidosis;</t>
  </si>
  <si>
    <t>#hasExpectedValue: 0.01; #hasYear: 2017; #hasDescription: Probabilidad de acidosis metab¾lica en la deficiencia parcial de biotinidasa.; #hasSource: Wolf B., Genet Med. 2017; Couce ML, Int J Neonatal Screen. 2021; MartÝnez-Morillo E., JIMD Rep. 2018;</t>
  </si>
  <si>
    <t>#DBTD_Partial_Prob_Acute_Alopecia</t>
  </si>
  <si>
    <t>#hasDataItemType: #DI_Probability; #isParameterOfManifestation: #DBTD_Manif_Acute_Alopecia;</t>
  </si>
  <si>
    <t>#hasYear: 2017; #hasExpectedValue: 0.01; #hasDescription: Probabilidad de alopecia en la deficiencia parcial de biotinidasa.; #hasSource: Wolf B., Genet Med. 2017; Couce ML, Int J Neonatal Screen. 2021; MartÝnez-Morillo E., JIMD Rep. 2018;</t>
  </si>
  <si>
    <t>#DBTD_Partial_Prob_Acute_Hypotonia</t>
  </si>
  <si>
    <t>#hasDataItemType: #DI_Probability; #isParameterOfManifestation: #DBTD_Manif_Acute_Hypotonia;</t>
  </si>
  <si>
    <t>#hasYear: 2017; #hasDescription: Probabilidad de hipotonÝa o encefalopatÝa aguda en la deficiencia parcial de biotinidasa.; #hasExpectedValue: 0.01; #hasSource: Wolf B., Genet Med. 2017; Couce ML, Int J Neonatal Screen. 2021; MartÝnez-Morillo E., JIMD Rep. 2018;</t>
  </si>
  <si>
    <t>#DBTD_Partial_Prob_Acute_Rash</t>
  </si>
  <si>
    <t>#isParameterOfManifestation: #DBTD_Manif_Acute_Rash; #hasDataItemType: #DI_Probability;</t>
  </si>
  <si>
    <t>#hasDescription: Probabilidad de erupci¾n cutßnea en la deficiencia parcial de biotinidasa.; #hasExpectedValue: 0.02; #hasSource: Wolf B., Genet Med. 2017; Couce ML, Int J Neonatal Screen. 2021; MartÝnez-Morillo E., JIMD Rep. 2018; #hasYear: 2017;</t>
  </si>
  <si>
    <t>#DBTD_Partial_Prob_Acute_Resp</t>
  </si>
  <si>
    <t>#hasDataItemType: #DI_Probability; #isParameterOfManifestation: #DBTD_Manif_Acute_Resp;</t>
  </si>
  <si>
    <t>#hasExpectedValue: 0.01; #hasDescription: Probabilidad de dificultad respiratoria aguda en la deficiencia parcial de biotinidasa.; #hasYear: 2017; #hasSource: Wolf B., Genet Med. 2017; Couce ML, Int J Neonatal Screen. 2021; MartÝnez-Morillo E., JIMD Rep. 2018;</t>
  </si>
  <si>
    <t>#DBTD_Partial_Prob_Acute_Seizures</t>
  </si>
  <si>
    <t>#hasDataItemType: #DI_Probability; #isParameterOfManifestation: #DBTD_Manif_Acute_Seizures;</t>
  </si>
  <si>
    <t>#hasDescription: Probabilidad de aparici¾n de convulsiones en la deficiencia parcial de biotinidasa.; #hasExpectedValue: 0.03; #hasSource: Wolf B., Genet Med. 2017; Couce ML, Int J Neonatal Screen. 2021; MartÝnez-Morillo E., JIMD Rep. 2018; #hasYear: 2017;</t>
  </si>
  <si>
    <t>#DBTD_Partial_Prob_Acute_Vomiting</t>
  </si>
  <si>
    <t>#hasDataItemType: #DI_Probability; #isParameterOfManifestation: #DBTD_Manif_Acute_Vomiting;</t>
  </si>
  <si>
    <t>#hasSource: Wolf B., Genet Med. 2017; Couce ML, Int J Neonatal Screen. 2021; MartÝnez-Morillo E., JIMD Rep. 2018; #hasYear: 2017; #hasExpectedValue: 0.01; #hasDescription: Probabilidad de v¾mitos recurrentes en la deficiencia parcial de biotinidasa.;</t>
  </si>
  <si>
    <t>#DBTD_Partial_Prob_Chronic_Ataxia</t>
  </si>
  <si>
    <t>#isParameterOfManifestation: #DBTD_Manif_Chronic_Ataxia; #hasDataItemType: #DI_Probability;</t>
  </si>
  <si>
    <t>#hasExpectedValue: 0.005; #hasSource: Wolf B., Genet Med. 2017; Couce ML, Int J Neonatal Screen. 2021; MartÝnez-Morillo E., JIMD Rep. 2018; #hasDescription: Probabilidad de ataxia/espasticidad en la deficiencia parcial de biotinidasa.; #hasYear: 2017;</t>
  </si>
  <si>
    <t>#DBTD_Partial_Prob_Chronic_Behavioral</t>
  </si>
  <si>
    <t>#hasDataItemType: #DI_Probability; #isParameterOfManifestation: #DBTD_Manif_Chronic_Behavioral;</t>
  </si>
  <si>
    <t>#hasSource: Wolf B., Genet Med. 2017; Couce ML, Int J Neonatal Screen. 2021; MartÝnez-Morillo E., JIMD Rep. 2018; #hasExpectedValue: 0.001; #hasDescription: Probabilidad de trastornos del comportamiento en la deficiencia parcial de biotinidasa.; #hasYear: 2017;</t>
  </si>
  <si>
    <t>#DBTD_Partial_Prob_Chronic_Cutaneous</t>
  </si>
  <si>
    <t>#isParameterOfManifestation: #DBTD_Manif_Chronic_Cutaneous; #hasDataItemType: #DI_Probability;</t>
  </si>
  <si>
    <t>#hasYear: 2017; #hasDescription: Probabilidad de alteraciones cutßneas cr¾nicas en la deficiencia parcial de biotinidasa.; #hasSource: Wolf B., Genet Med. 2017; Couce ML, Int J Neonatal Screen. 2021; MartÝnez-Morillo E., JIMD Rep. 2018; #hasExpectedValue: 0.01;</t>
  </si>
  <si>
    <t>#DBTD_Partial_Prob_Chronic_Epilepsy</t>
  </si>
  <si>
    <t>#hasDataItemType: #DI_Probability; #isParameterOfManifestation: #DBTD_Manif_Chronic_Epilepsy;</t>
  </si>
  <si>
    <t>#hasDescription: Probabilidad de epilepsia persistente en la deficiencia parcial de biotinidasa.; #hasYear: 2017; #hasSource: Wolf B., Genet Med. 2017; Couce ML, Int J Neonatal Screen. 2021; MartÝnez-Morillo E., JIMD Rep. 2018; #hasExpectedValue: 0.005;</t>
  </si>
  <si>
    <t>#DBTD_Partial_Prob_Chronic_HearingLoss</t>
  </si>
  <si>
    <t>#hasDataItemType: #DI_Probability; #isParameterOfManifestation: #DBTD_Manif_Chronic_HearingLoss;</t>
  </si>
  <si>
    <t>#hasYear: 2017; #hasDescription: Probabilidad de sordera neurosensorial en la deficiencia parcial de biotinidasa.; #hasSource: Wolf B., Genet Med. 2017; Couce ML, Int J Neonatal Screen. 2021; MartÝnez-Morillo E., JIMD Rep. 2018; #hasExpectedValue: 0.01;</t>
  </si>
  <si>
    <t>#DBTD_Partial_Prob_Chronic_NeurodevDelay</t>
  </si>
  <si>
    <t>#isParameterOfManifestation: #DBTD_Manif_Chronic_NeurodevDelay; #hasDataItemType: #DI_Probability;</t>
  </si>
  <si>
    <t>#hasYear: 2017; #hasExpectedValue: 0.01; #hasSource: Wolf B., Genet Med. 2017; Couce ML, Int J Neonatal Screen. 2021; MartÝnez-Morillo E., JIMD Rep. 2018; #hasDescription: Probabilidad de retraso psicomotor en la deficiencia parcial de biotinidasa.;</t>
  </si>
  <si>
    <t>#DBTD_Partial_Prob_Chronic_VisualLoss</t>
  </si>
  <si>
    <t>#isParameterOfManifestation: #DBTD_Manif_Chronic_VisualLoss; #hasDataItemType: #DI_Probability;</t>
  </si>
  <si>
    <t>#hasYear: 2017; #hasSource: Wolf B., Genet Med. 2017; Couce ML, Int J Neonatal Screen. 2021; MartÝnez-Morillo E., JIMD Rep. 2018; #hasDescription: Probabilidad de pÚrdida visual (atrofia ¾ptica) en la deficiencia parcial de biotinidasa.; #hasExpectedValue: 0.005;</t>
  </si>
  <si>
    <t>#DBTD_Prob_Acute_Acidosis</t>
  </si>
  <si>
    <t>#hasYear: 2017; #hasExpectedValue: 0.4; #hasSource: Wolf B., Genet Med. 2017; MartÝnez-Morillo E., JIMD Rep. 2018; #hasDescription: Probabilidad de acidosis metab¾lica aguda en la deficiencia profunda de biotinidasa sin tratamiento.;</t>
  </si>
  <si>
    <t>#DBTD_Prob_Acute_Alopecia</t>
  </si>
  <si>
    <t>#isParameterOfManifestation: #DBTD_Manif_Acute_Alopecia; #hasDataItemType: #DI_Probability;</t>
  </si>
  <si>
    <t>#hasDescription: Probabilidad de alopecia aguda en la deficiencia profunda de biotinidasa sin tratamiento.; #hasSource: Wolf B., Genet Med. 2017; MartÝnez-Morillo E., JIMD Rep. 2018; #hasYear: 2017; #hasExpectedValue: 0.4;</t>
  </si>
  <si>
    <t>#DBTD_Prob_Acute_Hypotonia</t>
  </si>
  <si>
    <t>#hasExpectedValue: 0.6; #hasSource: Wolf B., Genet Med. 2017; MartÝnez-Morillo E., JIMD Rep. 2018; #hasDescription: Probabilidad de hipotonÝa/encefalopatÝa aguda en la deficiencia profunda de biotinidasa sin tratamiento.; #hasYear: 2017;</t>
  </si>
  <si>
    <t>#DBTD_Prob_Acute_Rash</t>
  </si>
  <si>
    <t>#hasExpectedValue: 0.8; #hasSource: Wolf B., Genet Med. 2017; MartÝnez-Morillo E., JIMD Rep. 2018; #hasYear: 2017; #hasDescription: Probabilidad de erupci¾n cutßnea aguda en la deficiencia profunda de biotinidasa sin tratamiento.;</t>
  </si>
  <si>
    <t>#DBTD_Prob_Acute_Resp</t>
  </si>
  <si>
    <t>#isParameterOfManifestation: #DBTD_Manif_Acute_Resp; #hasDataItemType: #DI_Probability;</t>
  </si>
  <si>
    <t>#hasDescription: Probabilidad de dificultad respiratoria aguda en la deficiencia profunda de biotinidasa sin tratamiento.; #hasYear: 2017; #hasSource: Wolf B., Genet Med. 2017; MartÝnez-Morillo E., JIMD Rep. 2018; #hasExpectedValue: 0.5;</t>
  </si>
  <si>
    <t>#DBTD_Prob_Acute_Seizures</t>
  </si>
  <si>
    <t>#hasSource: Wolf B., Genet Med. 2017; MartÝnez-Morillo E., JIMD Rep. 2018; #hasExpectedValue: 0.75; #hasYear: 2017; #hasDescription: Probabilidad de aparici¾n de convulsiones en la deficiencia profunda de biotinidasa sin tratamiento.;</t>
  </si>
  <si>
    <t>#DBTD_Prob_Acute_Vomiting</t>
  </si>
  <si>
    <t>#hasYear: 2017; #hasDescription: Probabilidad de v¾mitos recurrentes en la deficiencia profunda de biotinidasa sin tratamiento.; #hasExpectedValue: 0.5; #hasSource: Wolf B., Genet Med. 2017; MartÝnez-Morillo E., JIMD Rep. 2018;</t>
  </si>
  <si>
    <t>#DBTD_Prob_Chronic_Ataxia</t>
  </si>
  <si>
    <t>#hasDataItemType: #DI_Probability; #isParameterOfManifestation: #DBTD_Manif_Chronic_Ataxia;</t>
  </si>
  <si>
    <t>#hasExpectedValue: 0.2; #hasDescription: Probabilidad de ataxia/espasticidad cr¾nica en la deficiencia profunda de biotinidasa no tratada.; #hasSource: Wolf B., Genet Med. 2017; MartÝnez-Morillo E., JIMD Rep. 2018; #hasYear: 2017;</t>
  </si>
  <si>
    <t>#DBTD_Prob_Chronic_Behavioral</t>
  </si>
  <si>
    <t>#hasYear: 2017; #hasDescription: Probabilidad de trastornos del comportamiento en la deficiencia profunda de biotinidasa no tratada.; #hasExpectedValue: 0.1; #hasSource: Wolf B., Genet Med. 2017; MartÝnez-Morillo E., JIMD Rep. 2018;</t>
  </si>
  <si>
    <t>#DBTD_Prob_Chronic_Cutaneous</t>
  </si>
  <si>
    <t>#hasSource: Wolf B., Genet Med. 2017; MartÝnez-Morillo E., JIMD Rep. 2018; #hasYear: 2017; #hasDescription: Probabilidad de alteraciones cutßneas cr¾nicas en la deficiencia profunda de biotinidasa no tratada.; #hasExpectedValue: 0.3;</t>
  </si>
  <si>
    <t>#DBTD_Prob_Chronic_Epilepsy</t>
  </si>
  <si>
    <t>#hasDescription: Probabilidad de epilepsia persistente en la deficiencia profunda de biotinidasa no tratada.; #hasExpectedValue: 0.3; #hasSource: Wolf B., Genet Med. 2017; MartÝnez-Morillo E., JIMD Rep. 2018; #hasYear: 2017;</t>
  </si>
  <si>
    <t>#DBTD_Prob_Chronic_HearingLoss</t>
  </si>
  <si>
    <t>#hasExpectedValue: 0.5; #hasDescription: Probabilidad de sordera neurosensorial irreversible en la deficiencia profunda de biotinidasa no tratada.; #hasYear: 2017; #hasSource: Wolf B., Genet Med. 2017; MartÝnez-Morillo E., JIMD Rep. 2018;</t>
  </si>
  <si>
    <t>#DBTD_Prob_Chronic_NeurodevDelay</t>
  </si>
  <si>
    <t>#hasDataItemType: #DI_Probability; #isParameterOfManifestation: #DBTD_Manif_Chronic_NeurodevDelay;</t>
  </si>
  <si>
    <t>#hasSource: Wolf B., Genet Med. 2017; MartÝnez-Morillo E., JIMD Rep. 2018; #hasYear: 2017; #hasDescription: Probabilidad de retraso del desarrollo psicomotor en la deficiencia profunda de biotinidasa no tratada.; #hasExpectedValue: 0.8;</t>
  </si>
  <si>
    <t>#DBTD_Prob_Chronic_VisualLoss</t>
  </si>
  <si>
    <t>#hasExpectedValue: 0.25; #hasSource: Wolf B., Genet Med. 2017; MartÝnez-Morillo E., JIMD Rep. 2018; #hasDescription: Probabilidad de pÚrdida visual irreversible (atrofia ¾ptica) en la deficiencia profunda de biotinidasa no tratada.; #hasYear: 2017;</t>
  </si>
  <si>
    <t>#DBTD_Stage_Acute</t>
  </si>
  <si>
    <t>#hasDescription: Convulsiones, hipotonÝa, letargia, encefalopatÝa, dificultad respiratoria, acidosis metab¾lica, erupci¾n cutßnea, alopecia, v¾mitos.; #hasName: Manifestaciones agudas;</t>
  </si>
  <si>
    <t>#DBTD_Stage_Chronic</t>
  </si>
  <si>
    <t>#hasDescription: Retraso en el desarrollo psicomotor, sordera neurosensorial irreversible, pÚrdida visual por atrofia ¾ptica, discapacidad intelectual, alteraciones dermatol¾gicas persistentes.; #hasName: Manifestaciones cr¾nicas;</t>
  </si>
  <si>
    <t>#DBTD_Stage_Death</t>
  </si>
  <si>
    <t>#hasDescription: Muerte secundaria a complicaciones agudas no tratadas o a secuelas neurol¾gicas irreversibles.; #hasName: Muerte;</t>
  </si>
  <si>
    <t>#DBTD_TTO_Acute_Acidosis</t>
  </si>
  <si>
    <t>DeterministicParameter, Parameter, TimeToOnset</t>
  </si>
  <si>
    <t>#hasDataItemType: #DI_TimeToOnset; #isParameterOfManifestation: #DBTD_Manif_Acute_Acidosis;</t>
  </si>
  <si>
    <t>#hasYear: 2017; #hasExpectedValue: 2.0; #hasDescription: Tiempo medio hasta la aparici¾n de acidosis metab¾lica aguda (meses); #hasSource: Wolf B. Genet Med 2017;</t>
  </si>
  <si>
    <t>#DBTD_TTO_Acute_Alopecia</t>
  </si>
  <si>
    <t>TimeToOnset, Parameter, DeterministicParameter</t>
  </si>
  <si>
    <t>#isParameterOfManifestation: #DBTD_Manif_Acute_Alopecia; #hasDataItemType: #DI_TimeToOnset;</t>
  </si>
  <si>
    <t>#hasSource: Wolf B. Genet Med 2017; #hasYear: 2017; #hasExpectedValue: 6.0; #hasDescription: Tiempo medio hasta la aparici¾n de alopecia (meses);</t>
  </si>
  <si>
    <t>#DBTD_TTO_Acute_Hypotonia</t>
  </si>
  <si>
    <t>Parameter, DeterministicParameter, TimeToOnset</t>
  </si>
  <si>
    <t>#isParameterOfManifestation: #DBTD_Manif_Acute_Hypotonia; #hasDataItemType: #DI_TimeToOnset;</t>
  </si>
  <si>
    <t>#hasExpectedValue: 3.5; #hasDescription: Tiempo medio hasta la aparici¾n de hipotonÝa/encefalopatÝa aguda (meses); #hasYear: 2017; #hasSource: Wolf B. Genet Med 2017;</t>
  </si>
  <si>
    <t>#DBTD_TTO_Acute_Rash</t>
  </si>
  <si>
    <t>#hasDataItemType: #DI_TimeToOnset; #isParameterOfManifestation: #DBTD_Manif_Acute_Rash;</t>
  </si>
  <si>
    <t>#hasExpectedValue: 2.5; #hasDescription: Tiempo medio hasta la aparici¾n de erupci¾n cutßnea aguda (meses); #hasYear: 2017; #hasSource: Wolf B. Genet Med 2017;</t>
  </si>
  <si>
    <t>#DBTD_TTO_Acute_Resp</t>
  </si>
  <si>
    <t>#hasDataItemType: #DI_TimeToOnset; #isParameterOfManifestation: #DBTD_Manif_Acute_Resp;</t>
  </si>
  <si>
    <t>#hasExpectedValue: 2.5; #hasYear: 2021; #hasDescription: Tiempo medio hasta la aparici¾n de dificultad respiratoria aguda (meses); #hasSource: Couce et al. Int J Neonatal Screen 2021;</t>
  </si>
  <si>
    <t>#DBTD_TTO_Acute_Seizures</t>
  </si>
  <si>
    <t>Parameter, TimeToOnset, DeterministicParameter</t>
  </si>
  <si>
    <t>#hasDataItemType: #DI_TimeToOnset; #isParameterOfManifestation: #DBTD_Manif_Acute_Seizures;</t>
  </si>
  <si>
    <t>#hasSource: Wolf B. Genet Med 2017; MartÝnez-Morillo et al. JIMD Rep 2018; #hasYear: 2018; #hasDescription: Tiempo medio hasta la aparici¾n de convulsiones agudas en deficiencia profunda de biotinidasa (meses); #hasExpectedValue: 3.0;</t>
  </si>
  <si>
    <t>#DBTD_TTO_Acute_Vomiting</t>
  </si>
  <si>
    <t>#isParameterOfManifestation: #DBTD_Manif_Acute_Vomiting; #hasDataItemType: #DI_TimeToOnset;</t>
  </si>
  <si>
    <t>#hasYear: 2018; #hasDescription: Tiempo medio hasta la aparici¾n de v¾mitos recurrentes (meses); #hasExpectedValue: 2.0; #hasSource: MartÝnez-Morillo et al. JIMD Rep 2018;</t>
  </si>
  <si>
    <t>#DBTD_TTO_Chronic_HearingLoss</t>
  </si>
  <si>
    <t>#hasDataItemType: #DI_TimeToOnset; #isParameterOfManifestation: #DBTD_Manif_Chronic_HearingLoss;</t>
  </si>
  <si>
    <t>#hasSource: Wolf B. Genet Med 2017; #hasDescription: Tiempo medio hasta la aparici¾n de sordera neurosensorial irreversible (meses); #hasExpectedValue: 24.0; #hasYear: 2017;</t>
  </si>
  <si>
    <t>#DBTD_TTO_Chronic_NeurodevDelay</t>
  </si>
  <si>
    <t>#hasDataItemType: #DI_TimeToOnset; #isParameterOfManifestation: #DBTD_Manif_Chronic_NeurodevDelay;</t>
  </si>
  <si>
    <t>#hasYear: 2021; #hasDescription: Tiempo medio hasta la aparici¾n de retraso del desarrollo psicomotor (meses); #hasExpectedValue: 18.0; #hasSource: Wolf B. Genet Med 2017; Couce et al. 2021;</t>
  </si>
  <si>
    <t>#DBTD_TTO_Chronic_VisualLoss</t>
  </si>
  <si>
    <t>TimeToOnset, DeterministicParameter, Parameter</t>
  </si>
  <si>
    <t>#hasDataItemType: #DI_TimeToOnset; #isParameterOfManifestation: #DBTD_Manif_Chronic_VisualLoss;</t>
  </si>
  <si>
    <t>#hasYear: 2017; #hasSource: Wolf B. Genet Med 2017; #hasDescription: Tiempo medio hasta la aparici¾n de pÚrdida visual por atrofia ¾ptica (meses); #hasExpectedValue: 24.0;</t>
  </si>
  <si>
    <t>#DBTD_Treatment_Partial</t>
  </si>
  <si>
    <t>Treatment, PharmacologicalTreatment</t>
  </si>
  <si>
    <t>#hasName: Tratamiento con biotina oral en deficiencia parcial de biotinidasa; #hasSource: Wolf B. Genet Med. 2017; Couce ML. Int J Neonatal Screen. 2021; Protocolo cribado neonatal CatSalut 2022; #hasDescription: Administraci¾n de biotina oral (1-5 mg/dÝa) en situaciones de riesgo metab¾lico o aparici¾n de sÝntomas, o de forma profilßctica seg·n protocolo, para prevenir manifestaciones clÝnicas.;</t>
  </si>
  <si>
    <t>#DBTD_Treatment_Profound</t>
  </si>
  <si>
    <t>PharmacologicalTreatment, Treatment</t>
  </si>
  <si>
    <t>#hasName: Tratamiento con biotina oral en deficiencia profunda de biotinidasa; #hasDescription: Administraci¾n de biotina oral a dosis farmacol¾gicas (5-20 mg/dÝa) de por vida, comenzando en el periodo neonatal o al diagn¾stico, para revertir manifestaciones agudas y prevenir secuelas cr¾nicas.; #hasSource: Wolf B. Genet Med. 2017; Couce ML. Int J Neonatal Screen. 2021; Protocolo cribado neonatal CatSalut 2022;</t>
  </si>
  <si>
    <t>UC2-F2-P1-M2</t>
  </si>
  <si>
    <t>#PBD_Disutility_HearingLoss</t>
  </si>
  <si>
    <t>#includedByModel: #PBD_ModelDES; #hasDataItemType: #DI_Disutility;</t>
  </si>
  <si>
    <t>#hasDescription: Disutilidad anual por hipoacusia neurosensorial permanente; #appliesOneTime: false; #hasSource: Assumption; Gold et al. 2012 (estimation for moderate to severe pediatric hearing loss); #hasYear: 2012; #hasExpectedValue: -0.15;</t>
  </si>
  <si>
    <t>#PBD_Disutility_OpticAtrophy</t>
  </si>
  <si>
    <t>#hasDataItemType: #DI_Disutility; #includedByModel: #PBD_ModelDES;</t>
  </si>
  <si>
    <t>#hasDescription: Disutilidad anual por atrofia ¾ptica (ceguera permanente); #hasExpectedValue: -0.20; #hasSource: Assumption; Gold et al. 2012 (estimation for pediatric blindness); #appliesOneTime: false; #hasYear: 2012;</t>
  </si>
  <si>
    <t>#PBD_Progression_DevelopmentalDelayWithoutScreening</t>
  </si>
  <si>
    <t>#hasDataItemType: #DI_Probability; #includedByModel: #PBD_ModelDES;</t>
  </si>
  <si>
    <t>#hasDescription: Probabilidad de retraso del desarrollo neurol¾gico sin cribado neonatal; #hasExpectedValue: 0.35; #hasSource: Weber et al., 2004; Moeslinger et al., 2003; #hasYear: 2004;</t>
  </si>
  <si>
    <t>#PBD_Progression_HearingLossWithoutScreening</t>
  </si>
  <si>
    <t>#hasExpectedValue: 0.40; #hasSource: Genc et al., 2007; Weber et al., 2004; #hasYear: 2007; #hasDescription: Probabilidad de desarrollar hipoacusia neurosensorial sin cribado neonatal;</t>
  </si>
  <si>
    <t>#PBD_Progression_OpticAtrophyWithoutScreening</t>
  </si>
  <si>
    <t>#hasExpectedValue: 0.20; #hasDescription: Probabilidad de desarrollar atrofia ¾ptica sin cribado neonatal; #hasYear: 2004; #hasSource: Weber et al., 2004;</t>
  </si>
  <si>
    <t>#PBD_Progression_SymptomsWithScreening</t>
  </si>
  <si>
    <t>#includedByModel: #PBD_ModelDES; #hasDataItemType: #DI_Probability;</t>
  </si>
  <si>
    <t>#hasYear: 2011; #hasExpectedValue: 0.02; #hasDescription: Probabilidad de sÝntomas clÝnicos si se inicia tratamiento precoz tras cribado neonatal; #hasSource: Weber et al., 2004; Couce et al., 2011;</t>
  </si>
  <si>
    <t>#PBD_Progression_SymptomsWithoutScreening</t>
  </si>
  <si>
    <t>#hasSource: Weber et al., 2004; Moeslinger et al., 2003; #hasYear: 2004; #hasExpectedValue: 0.95; #hasDescription: Probabilidad de aparici¾n de sÝntomas clÝnicos en menores de 1 a±o con deficiencia profunda de biotinidasa sin cribado neonatal;</t>
  </si>
  <si>
    <t>#PBD_Utility_NormalState</t>
  </si>
  <si>
    <t>#includedByModel: #PBD_ModelDES; #hasDataItemType: #DI_Utility;</t>
  </si>
  <si>
    <t>#hasSource: Assumption by expert consensus, following typical utility assignments for pediatric population without secuelas; #appliesOneTime: false; #hasYear: 2024; #hasExpectedValue: 1.0; #hasDescription: Utilidad anual para estado de salud normal tras cribado neonatal y tratamiento precoz;</t>
  </si>
  <si>
    <t>UC2-F2-P2-M2</t>
  </si>
  <si>
    <t>#PBD_Manif_HearingProblems_Prob</t>
  </si>
  <si>
    <t>#hasDataItemType: #DI_Probability; #includedByModel: #PBD_StdModelDES;</t>
  </si>
  <si>
    <t>#hasExpectedValue: 0.55; #hasDescription: Probabilidad de desarrollar hipoacusia neurosensorial en pacientes con deficiencia profunda de biotinidasa no tratados (antes del cribado neonatal); #hasSource: Genc et al, 2007. Int J Pediatr Otorhinolaryngol; cohortes retrospectivas, n=20. https://doi.org/10.1016/j.ijporl.2006.11.001; #hasYear: 2007;</t>
  </si>
  <si>
    <t>#hasDataItemType: #DI_Disutility; #includedByModel: #PBD_StdModelDES;</t>
  </si>
  <si>
    <t>#hasDescription: Disutilidad anual asociada a hipoacusia neurosensorial grave/profunda secundaria a PBD; #hasExpectedValue: -0.18; #hasYear: 2003; #appliesOneTime: false; #hasSource: Barton et al. Pediatrics 2003; valores de utilidad para hipoacusia profunda en ni±os. Consistente con utilidades reportadas en estudios de cribado auditivo neonatal. Ver tambiÚn Weimer et al. Otolaryngol Head Neck Surg 2007.;</t>
  </si>
  <si>
    <t>#PBD_Manif_Hypotonia_Prob</t>
  </si>
  <si>
    <t>#includedByModel: #PBD_StdModelDES; #hasDataItemType: #DI_Probability;</t>
  </si>
  <si>
    <t>#hasSource: Mo?slinger et al, 2003. Eur J Pediatr; revisi¾n de cohortes, n=21. https://doi.org/10.1007/s00431-003-1351-3; #hasExpectedValue: 0.70; #hasYear: 2003; #hasDescription: Probabilidad de aparici¾n de hipotonÝa en pacientes con deficiencia profunda de biotinidasa no tratados;</t>
  </si>
  <si>
    <t>#hasExpectedValue: -0.10; #hasYear: 2022; #hasSource: Baseline utility for moderate gross motor impairment, NICE TA755, Duchenne Muscular Dystrophy health states; adaptaci¾n para hipotonÝa severa en pediatrÝa. No existen valores especÝficos para PBD.; #appliesOneTime: false; #hasDescription: Disutilidad anual asociada a hipotonÝa motora significativa (estado moderado-grave);</t>
  </si>
  <si>
    <t>#PBD_Manif_MentalDelay_Prob</t>
  </si>
  <si>
    <t>#hasYear: 2003; #hasDescription: Probabilidad de retraso mental/desarrollo psicomotor en pacientes no tratados con PBD profunda; #hasExpectedValue: 0.50; #hasSource: Mo?slinger et al, 2003. Eur J Pediatr; Weber et al, 2004. Dev Med Child Neurol;</t>
  </si>
  <si>
    <t>#appliesOneTime: false; #hasSource: Petrou et al. Health and Quality of Life Outcomes 2010; valores para discapacidad intelectual infantil severa. Consistente con estimaciones para enfermedades raras neurodegenerativas.; #hasDescription: Disutilidad anual asociada a retraso mental (discapacidad intelectual moderada o grave); #hasExpectedValue: -0.30; #hasYear: 2010;</t>
  </si>
  <si>
    <t>#PBD_Manif_Seizure_Prob</t>
  </si>
  <si>
    <t>#hasSource: Mo?slinger et al, 2003; Weber et al, 2004; Cohortes clÝnicas; #hasExpectedValue: 0.75; #hasDescription: Probabilidad de aparici¾n de crisis epilÚpticas en PBD profunda no tratada; #hasYear: 2003;</t>
  </si>
  <si>
    <t>#hasDescription: Disutilidad anual asociada a epilepsia activa no controlada (crisis recurrentes); #hasExpectedValue: -0.20; #hasYear: 2014; #appliesOneTime: false; #hasSource: Tennant et al. Seizure 2014; valores para epilepsia infantil no controlada, aproximaci¾n estßndar NICE y AIFA.;</t>
  </si>
  <si>
    <t>#PBD_Manif_SkinProblems_Prob</t>
  </si>
  <si>
    <t>#hasYear: 2003; #hasExpectedValue: 0.65; #hasSource: Mo?slinger et al, 2003; Weber et al, 2004; revisi¾n de casos clÝnicos; #hasDescription: Probabilidad de aparici¾n de manifestaciones cutßneas (eccema/dermatitis) en PBD profunda no tratada;</t>
  </si>
  <si>
    <t>#includedByModel: #PBD_StdModelDES; #hasDataItemType: #DI_Disutility;</t>
  </si>
  <si>
    <t>#hasSource: Valor aproximado adaptado de utilidades para eccema grave pedißtrico, NICE TA592, y enfermedades cutßneas raras.; #hasExpectedValue: -0.07; #hasDescription: Disutilidad anual asociada a manifestaciones cutßneas graves: eccema, dermatitis y alopecia por PBD; #hasYear: 2019; #appliesOneTime: false;</t>
  </si>
  <si>
    <t>#PBD_Manif_VisionLoss_Prob</t>
  </si>
  <si>
    <t>#hasSource: Weber et al, 2004; cohortes de seguimiento y revisi¾n de casos; #hasDescription: Probabilidad de pÚrdida de visi¾n/atrofia ¾ptica en pacientes con PBD profunda no tratados; #hasYear: 2004; #hasExpectedValue: 0.25;</t>
  </si>
  <si>
    <t>#hasSource: Peasgood et al. Patient 2018; utilidades para ceguera severa en edad pedißtrica; estudios de visi¾n severa en contexto de enfermedades raras.; #hasDescription: Disutilidad anual asociada a pÚrdida visual severa o ceguera secundaria a atrofia ¾ptica; #hasYear: 2018; #hasExpectedValue: -0.25; #appliesOneTime: false;</t>
  </si>
  <si>
    <t>UC2-F3-P1-M2</t>
  </si>
  <si>
    <t>#PBD_Manif_Alopecia_Incidence</t>
  </si>
  <si>
    <t>#hasSource: Gr newald S et al. Neuropediatrics 2004; 35: 211-216; #hasDescription: Incidencia de alopecia/lesiones dermatol gicas al debut; #hasYear: 2004; #hasExpectedValue: 0.6;</t>
  </si>
  <si>
    <t>#PBD_Manif_DevelopmentalDelay_Incidence</t>
  </si>
  <si>
    <t>#hasDescription: Incidencia de retraso o dificultad en el desarrollo; #hasSource: Gr newald S et al. Neuropediatrics 2004; 35: 211-216; #hasExpectedValue: 0.75; #hasYear: 2004;</t>
  </si>
  <si>
    <t>#PBD_Manif_HearingLoss_Incidence</t>
  </si>
  <si>
    <t>#hasExpectedValue: 0.8; #hasSource: Gr newald S et al. Neuropediatrics 2004; 35: 211-216; #hasYear: 2004; #hasDescription: Incidencia de hipoacusia en seguimiento;</t>
  </si>
  <si>
    <t>#PBD_Manif_Seizures_Incidence</t>
  </si>
  <si>
    <t>#hasYear: 2004; #hasExpectedValue: 0.8; #hasSource: Gr newald S et al. Neuropediatrics 2004; 35: 211-216; #hasDescription: Incidencia de convulsiones en pacientes no tratados con deficiencia profunda de biotinidasa;</t>
  </si>
  <si>
    <t>#PBD_Manif_VisualImpairment_Incidence</t>
  </si>
  <si>
    <t>#hasYear: 2004; #hasDescription: Incidencia de alteraciones visuales en seguimiento; #hasSource: Gr newald S et al. Neuropediatrics 2004; 35: 211-216; #hasExpectedValue: 0.6;</t>
  </si>
  <si>
    <t>#PBD_Utility_DevelopmentalDelay</t>
  </si>
  <si>
    <t>#includedByModel: #PBD_StdModelDES;</t>
  </si>
  <si>
    <t>#hasDescription: Utilidad para discapacidad intelectual moderada/grave; #hasExpectedValue: 0.5; #hasYear: 2007; #hasSource: Basado en utilidades de discapacidad intelectual moderada/severa (Wu EQ et al. 2007, US EQ-5D); #appliesOneTime: false;</t>
  </si>
  <si>
    <t>#PBD_Utility_Epilepsy</t>
  </si>
  <si>
    <t>#appliesOneTime: false; #hasExpectedValue: 0.73; #hasYear: 2000; #hasDescription: Utilidad para epilepsia de dif cil control; #hasSource: Basado en utilidades publicadas para epilepsia refractaria (Tengs &amp; Wallace, 2000);</t>
  </si>
  <si>
    <t>#PBD_Utility_FullHealth</t>
  </si>
  <si>
    <t>#hasYear: 2024; #hasExpectedValue: 1.0; #appliesOneTime: false; #hasSource: Asunci n est ndar, validada en evaluaciones econ micas EQ-5D.; #hasDescription: Utilidad para estado de salud sin secuelas, ni o tratado precozmente;</t>
  </si>
  <si>
    <t>#PBD_Utility_HearingLoss</t>
  </si>
  <si>
    <t>#hasYear: 2004; #hasSource: Basado en valores de EQ-5D para hipoacusia severa: Barton et al. 2004; #hasExpectedValue: 0.75; #hasDescription: Utilidad para hipoacusia bilateral severa; #appliesOneTime: false;</t>
  </si>
  <si>
    <t>#PBD_Utility_VisualImpairment</t>
  </si>
  <si>
    <t>#appliesOneTime: false; #hasExpectedValue: 0.68; #hasSource: Basado en EQ-5D para ceguera: Brown et al. 2001; #hasYear: 2001; #hasDescription: Utilidad para ceguera o afectaci n visual severa;</t>
  </si>
  <si>
    <t>UC2-F3-P2-M2</t>
  </si>
  <si>
    <t>#hasUncertaintyCharacterization: #PBD_Manif_HearingProblems_Incidence_L95CI; #hasUncertaintyCharacterization: #PBD_Manif_HearingProblems_Incidence_U95CI; #hasDataItemType: #DI_Probability; #includedByModel: #PBD_StdModelDES;</t>
  </si>
  <si>
    <t>#hasDescription: Probabilidad de desarrollar hipoacusia neurosensorial en pacientes con deficiencia profunda de biotinidasa no tratados; #hasSource: Gr newald S et al., 2004; Clinical and genetic findings in patients with biotinidase deficiency; #hasYear: 2004; #hasExpectedValue: 0.85;</t>
  </si>
  <si>
    <t>#hasDataItemType: #DI_Lower95ConfidenceLimit; #includedByModel: #PBD_StdModelDES;</t>
  </si>
  <si>
    <t>#hasSource: Gr newald S et al., 2004; #hasYear: 2004; #hasDescription: L mite inferior del 95% para la incidencia de hipoacusia; #hasExpectedValue: 0.75;</t>
  </si>
  <si>
    <t>#hasDataItemType: #DI_Upper95ConfidenceLimit; #includedByModel: #PBD_StdModelDES;</t>
  </si>
  <si>
    <t>#hasYear: 2004; #hasSource: Gr newald S et al., 2004; #hasExpectedValue: 0.90; #hasDescription: L mite superior del 95% para la incidencia de hipoacusia;</t>
  </si>
  <si>
    <t>#includedByModel: #PBD_StdModelDES; #hasDataItemType: #DI_Utility;</t>
  </si>
  <si>
    <t>#hasExpectedValue: 0.67; #hasDescription: Valor de utilidad para sordera bilateral profunda en pacientes con deficiencia profunda de biotinidasa. Basado en HUI3 y revisiones NICE.; #hasYear: 2004; #hasSource: Barton GR et al., 2004. Health-related quality of life in children with bilateral severe-profound hearing loss; Castilla I et al., 2021; HUI3;</t>
  </si>
  <si>
    <t>#hasUncertaintyCharacterization: #PBD_Manif_Hypotonia_Incidence_L95CI; #hasUncertaintyCharacterization: #PBD_Manif_Hypotonia_Incidence_U95CI; #hasDataItemType: #DI_Probability; #includedByModel: #PBD_StdModelDES;</t>
  </si>
  <si>
    <t>#hasYear: 2004; #hasExpectedValue: 0.70; #hasSource: Gr newald S et al., 2004; #hasDescription: Probabilidad de presentar hipoton a en pacientes con deficiencia profunda de biotinidasa no tratados;</t>
  </si>
  <si>
    <t>#PBD_Manif_Hypotonia_Incidence_L95CI</t>
  </si>
  <si>
    <t>#includedByModel: #PBD_StdModelDES; #hasDataItemType: #DI_Lower95ConfidenceLimit;</t>
  </si>
  <si>
    <t>#hasYear: 2004; #hasDescription: L mite inferior del 95% para la incidencia de hipoton a; #hasExpectedValue: 0.60; #hasSource: Gr newald S et al., 2004;</t>
  </si>
  <si>
    <t>#PBD_Manif_Hypotonia_Incidence_U95CI</t>
  </si>
  <si>
    <t>#includedByModel: #PBD_StdModelDES; #hasDataItemType: #DI_Upper95ConfidenceLimit;</t>
  </si>
  <si>
    <t>#hasYear: 2004; #hasDescription: L mite superior del 95% para la incidencia de hipoton a; #hasExpectedValue: 0.80; #hasSource: Gr newald S et al., 2004;</t>
  </si>
  <si>
    <t>#hasDescription: Utilidad para discapacidad motora moderada asociada a hipoton a, basado en modelos NICE y literatura internacional.; #hasYear: 2013; #hasExpectedValue: 0.70; #hasSource: Panagiotopoulos C et al., 2013; NICE 2021 review. Motor impairment utility values.;</t>
  </si>
  <si>
    <t>#hasUncertaintyCharacterization: #PBD_Manif_MentalDelay_Incidence_U95CI; #hasUncertaintyCharacterization: #PBD_Manif_MentalDelay_Incidence_L95CI; #hasDataItemType: #DI_Probability; #includedByModel: #PBD_StdModelDES;</t>
  </si>
  <si>
    <t>#hasDescription: Probabilidad de retraso mental/desarrollo anormal en pacientes con deficiencia profunda de biotinidasa no tratados; #hasSource: Gr newald S et al., 2004; #hasExpectedValue: 0.70; #hasYear: 2004;</t>
  </si>
  <si>
    <t>#PBD_Manif_MentalDelay_Incidence_L95CI</t>
  </si>
  <si>
    <t>#hasYear: 2004; #hasDescription: L mite inferior del 95% para la incidencia de retraso mental; #hasExpectedValue: 0.60; #hasSource: Gr newald S et al., 2004;</t>
  </si>
  <si>
    <t>#PBD_Manif_MentalDelay_Incidence_U95CI</t>
  </si>
  <si>
    <t>#hasExpectedValue: 0.80; #hasSource: Gr newald S et al., 2004; #hasDescription: L mite superior del 95% para la incidencia de retraso mental; #hasYear: 2004;</t>
  </si>
  <si>
    <t>#hasDataItemType: #DI_Utility; #includedByModel: #PBD_StdModelDES;</t>
  </si>
  <si>
    <t>#hasDescription: Utilidad para discapacidad intelectual moderada-severa, basado en HUI3 y literatura internacional.; #hasSource: Prosser LA et al., 2017; NICE 2021. Utility values for intellectual disability.; #hasExpectedValue: 0.60; #hasYear: 2017;</t>
  </si>
  <si>
    <t>#hasUncertaintyCharacterization: #PBD_Manif_Seizure_Incidence_L95CI; #hasUncertaintyCharacterization: #PBD_Manif_Seizure_Incidence_U95CI; #hasDataItemType: #DI_Probability; #includedByModel: #PBD_StdModelDES;</t>
  </si>
  <si>
    <t>#hasDescription: Probabilidad de crisis epil pticas en pacientes con deficiencia profunda de biotinidasa no tratados; #hasSource: Gr newald S et al., 2004; #hasExpectedValue: 0.80; #hasYear: 2004;</t>
  </si>
  <si>
    <t>#PBD_Manif_Seizure_Incidence_L95CI</t>
  </si>
  <si>
    <t>#hasDescription: L mite inferior del 95% para la incidencia de crisis epil pticas; #hasYear: 2004; #hasSource: Gr newald S et al., 2004; #hasExpectedValue: 0.70;</t>
  </si>
  <si>
    <t>#PBD_Manif_Seizure_Incidence_U95CI</t>
  </si>
  <si>
    <t>#hasExpectedValue: 0.90; #hasDescription: L mite superior del 95% para la incidencia de crisis epil pticas; #hasYear: 2004; #hasSource: Gr newald S et al., 2004;</t>
  </si>
  <si>
    <t>#hasDescription: Utilidad para epilepsia activa (no controlada), basado en revisiones NICE y Prosser 2017.; #hasYear: 2017; #hasSource: NICE TA232 (Epilepsy); Prosser LA et al., 2017. Utility values for epilepsy.; #hasExpectedValue: 0.65;</t>
  </si>
  <si>
    <t>#hasUncertaintyCharacterization: #PBD_Manif_SkinProblems_Incidence_L95CI; #hasUncertaintyCharacterization: #PBD_Manif_SkinProblems_Incidence_U95CI; #includedByModel: #PBD_StdModelDES; #hasDataItemType: #DI_Probability;</t>
  </si>
  <si>
    <t>#hasSource: Gr newald S et al., 2004; #hasExpectedValue: 0.60; #hasYear: 2004; #hasDescription: Probabilidad de problemas cut neos (dermatitis, alopecia) en pacientes con deficiencia profunda de biotinidasa no tratados;</t>
  </si>
  <si>
    <t>#PBD_Manif_SkinProblems_Incidence_L95CI</t>
  </si>
  <si>
    <t>#hasDescription: L mite inferior del 95% para la incidencia de problemas cut neos; #hasSource: Gr newald S et al., 2004; #hasExpectedValue: 0.50; #hasYear: 2004;</t>
  </si>
  <si>
    <t>#PBD_Manif_SkinProblems_Incidence_U95CI</t>
  </si>
  <si>
    <t>#hasSource: Gr newald S et al., 2004; #hasExpectedValue: 0.70; #hasYear: 2004; #hasDescription: L mite superior del 95% para la incidencia de problemas cut neos;</t>
  </si>
  <si>
    <t>#hasYear: 1997; #hasSource: Dolan P, 1997. Modeling valuations for EuroQol health states; NICE atopic dermatitis reviews.; #hasExpectedValue: 0.85; #hasDescription: Utilidad para dermatitis cr nica moderada, basado en EQ-5D y revisiones NICE.;</t>
  </si>
  <si>
    <t>#hasDataItemType: #DI_Probability; #hasUncertaintyCharacterization: #PBD_Manif_VisionLoss_Incidence_U95CI; #hasUncertaintyCharacterization: #PBD_Manif_VisionLoss_Incidence_L95CI; #includedByModel: #PBD_StdModelDES;</t>
  </si>
  <si>
    <t>#hasExpectedValue: 0.25; #hasDescription: Probabilidad de p rdida visual/atrofia  ptica en pacientes con deficiencia profunda de biotinidasa no tratados; #hasSource: Gr newald S et al., 2004; #hasYear: 2004;</t>
  </si>
  <si>
    <t>#hasSource: Gr newald S et al., 2004; #hasYear: 2004; #hasDescription: L mite inferior del 95% para la incidencia de p rdida visual; #hasExpectedValue: 0.10;</t>
  </si>
  <si>
    <t>#hasSource: Gr newald S et al., 2004; #hasDescription: L mite superior del 95% para la incidencia de p rdida visual; #hasExpectedValue: 0.40; #hasYear: 2004;</t>
  </si>
  <si>
    <t>#hasSource: Prosser LA et al., 2017; HUI3. Utility values for blindness.; #hasExpectedValue: 0.57; #hasYear: 2017; #hasDescription: Utilidad para ceguera bilateral, basado en HUI3 y literatura internacional.;</t>
  </si>
  <si>
    <t>UC3-F2-P1-M2</t>
  </si>
  <si>
    <t>#BTD_Deep_Prevalence</t>
  </si>
  <si>
    <t>#BTD_Deep_Prob_Convulsions</t>
  </si>
  <si>
    <t>#BTD_Deep_Prob_HearingLoss</t>
  </si>
  <si>
    <t>#BTD_Deep_Prob_Hypotonia</t>
  </si>
  <si>
    <t>#BTD_Deep_Prob_MentalRetardation</t>
  </si>
  <si>
    <t>#BTD_Deep_Prob_OpticAtrophy</t>
  </si>
  <si>
    <t>#BTD_Deep_Prob_SkinProblem</t>
  </si>
  <si>
    <t>#BTD_Model_Spain</t>
  </si>
  <si>
    <t>#BTD_U_Convulsions</t>
  </si>
  <si>
    <t>#BTD_U_HearingLoss</t>
  </si>
  <si>
    <t>#BTD_U_Hypotonia</t>
  </si>
  <si>
    <t>#BTD_U_MentalRetardation</t>
  </si>
  <si>
    <t>#BTD_U_OpticAtrophy</t>
  </si>
  <si>
    <t>#BTD_U_SkinProblem</t>
  </si>
  <si>
    <t>UC3-F2-P2-M2</t>
  </si>
  <si>
    <t>#BiochemicalTests</t>
  </si>
  <si>
    <t>#hasDescription: Controles bioquÝmicos bßsicos para seguimiento clÝnico.;</t>
  </si>
  <si>
    <t>#Biotinidase_Acute_Hypotonia</t>
  </si>
  <si>
    <t>#hasDescription: HipotonÝa aguda como manifestaci¾n neurol¾gica de la deficiencia de biotinidasa sin tratar, predominante en lactantes durante el primer a±o de vida.; #hasYear: 2013; #hasSource: Informe SESCS 2013, Carroll y Downs, Couce et al., 2011; #hasName: HipotonÝa aguda;</t>
  </si>
  <si>
    <t>#Biotinidase_Acute_Hypotonia_Onset</t>
  </si>
  <si>
    <t>#isParameterOfManifestation: #Biotinidase_Acute_Hypotonia; #hasDataItemType: #DI_OnsetAge;</t>
  </si>
  <si>
    <t>#hasSource: Informe SESCS 2013, Carroll y Downs, 2007; #hasYear: 2013; #hasUnit: meses; #hasDescription: Edad media de aparici¾n de hipotonÝa aguda en la deficiencia profunda de biotinidasa sin tratar.; #hasExpectedValue: 5.0;</t>
  </si>
  <si>
    <t>#Biotinidase_Acute_Hypotonia_U</t>
  </si>
  <si>
    <t>#hasDataItemType: #DI_Disutility; #includedByModel: #Biotinidase_Model_DES;</t>
  </si>
  <si>
    <t>#hasYear: 2013; #appliesOneTime: false; #hasExpectedValue: -0.080; #hasDescription: Desutilidad anual asociada a la presencia de hipotonÝa en deficiencia de biotinidasa.; #hasSource: Informe SESCS 2013, consenso de expertos;</t>
  </si>
  <si>
    <t>#Biotinidase_Acute_Seizures</t>
  </si>
  <si>
    <t>#hasDescription: Convulsiones agudas como manifestaci¾n inicial de la deficiencia de biotinidasa sin tratar, de aparici¾n frecuente en los primeros meses de vida.; #hasName: Convulsiones agudas; #hasYear: 2013; #hasSource: Informe SESCS 2013, Carroll y Downs, Couce et al., 2011;</t>
  </si>
  <si>
    <t>#Biotinidase_Acute_Seizures_Onset</t>
  </si>
  <si>
    <t>#hasDataItemType: #DI_OnsetAge; #isParameterOfManifestation: #Biotinidase_Acute_Seizures;</t>
  </si>
  <si>
    <t>#hasDescription: Edad media de aparici¾n de convulsiones agudas en la deficiencia profunda de biotinidasa sin tratar.; #hasUnit: meses; #hasSource: Informe SESCS 2013, Carroll y Downs, 2007; #hasYear: 2013; #hasExpectedValue: 4.0;</t>
  </si>
  <si>
    <t>#Biotinidase_Acute_Seizures_U</t>
  </si>
  <si>
    <t>#appliesOneTime: false; #hasYear: 2013; #hasSource: Informe SESCS 2013, Grosse et al. 2008, valores por analogÝa a epilepsia infantil; #hasExpectedValue: -0.070; #hasDescription: Desutilidad anual asociada a la presencia de convulsiones en deficiencia de biotinidasa.;</t>
  </si>
  <si>
    <t>#Biotinidase_Acute_SkinProblems</t>
  </si>
  <si>
    <t>#hasYear: 2013; #hasName: Problemas de piel agudos; #hasDescription: Manifestaciones cutßneas agudas (eczema, dermatitis, erupciones) como sÝntomas frecuentes de la deficiencia de biotinidasa no tratada, que pueden resolverse con tratamiento.; #hasSource: Informe SESCS 2013, Carroll y Downs, Couce et al., 2011;</t>
  </si>
  <si>
    <t>#Biotinidase_Acute_SkinProblems_Onset</t>
  </si>
  <si>
    <t>#isParameterOfManifestation: #Biotinidase_Acute_SkinProblems; #hasDataItemType: #DI_OnsetAge;</t>
  </si>
  <si>
    <t>#hasExpectedValue: 6.0; #hasYear: 2013; #hasUnit: meses; #hasDescription: Edad media de aparici¾n de manifestaciones cutßneas agudas (eczema, dermatitis) en la deficiencia profunda de biotinidasa sin tratar.; #hasSource: Informe SESCS 2013, Carroll y Downs, 2007;</t>
  </si>
  <si>
    <t>#Biotinidase_Acute_SkinProblems_U</t>
  </si>
  <si>
    <t>#hasYear: 2013; #hasDescription: Desutilidad anual asociada a problemas dermatol¾gicos (eczema, dermatitis) en deficiencia de biotinidasa.; #appliesOneTime: false; #hasSource: Informe SESCS 2013, consenso de expertos; #hasExpectedValue: -0.020;</t>
  </si>
  <si>
    <t>#Biotinidase_Chronic_DevelopmentalDelay</t>
  </si>
  <si>
    <t>#hasName: Retraso del desarrollo psicomotor cr¾nico; #hasYear: 2013; #hasSource: Informe SESCS 2013, Carroll y Downs, Couce et al., 2011; #hasDescription: Retraso en el desarrollo psicomotor y discapacidad intelectual como manifestaci¾n cr¾nica y secuela de la deficiencia de biotinidasa no tratada a tiempo.;</t>
  </si>
  <si>
    <t>#Biotinidase_Chronic_DevelopmentalDelay_Onset</t>
  </si>
  <si>
    <t>#isParameterOfManifestation: #Biotinidase_Chronic_DevelopmentalDelay; #hasDataItemType: #DI_OnsetAge;</t>
  </si>
  <si>
    <t>#hasYear: 2013; #hasUnit: a±os; #hasSource: Informe SESCS 2013, Carroll y Downs, 2007; #hasDescription: Edad media de aparici¾n de retraso del desarrollo psicomotor cr¾nico en deficiencia profunda de biotinidasa.; #hasExpectedValue: 1.5;</t>
  </si>
  <si>
    <t>#Biotinidase_Chronic_DevelopmentalDelay_U</t>
  </si>
  <si>
    <t>#includedByModel: #Biotinidase_Model_DES; #hasDataItemType: #DI_Disutility;</t>
  </si>
  <si>
    <t>#appliesOneTime: false; #hasSource: Informe SESCS 2013, por analogÝa a discapacidad intelectual moderada en EQ-5D; #hasDescription: Desutilidad anual asociada a retraso del desarrollo psicomotor o discapacidad intelectual en deficiencia de biotinidasa.; #hasExpectedValue: -0.200; #hasYear: 2013;</t>
  </si>
  <si>
    <t>#Biotinidase_Chronic_HearingLoss</t>
  </si>
  <si>
    <t>#hasDescription: PÚrdida auditiva neurosensorial irreversible como secuela cr¾nica de la deficiencia profunda de biotinidasa no tratada o tratada tardÝamente.; #hasYear: 2013; #hasName: PÚrdida auditiva neurosensorial cr¾nica; #hasSource: Informe SESCS 2013, Carroll y Downs, Couce et al., 2011;</t>
  </si>
  <si>
    <t>#Biotinidase_Chronic_HearingLoss_Onset</t>
  </si>
  <si>
    <t>#isParameterOfManifestation: #Biotinidase_Chronic_HearingLoss; #hasDataItemType: #DI_OnsetAge;</t>
  </si>
  <si>
    <t>#hasYear: 2013; #hasExpectedValue: 1.2; #hasUnit: a±os; #hasSource: Informe SESCS 2013, Carroll y Downs, 2007; #hasDescription: Edad media de aparici¾n de pÚrdida auditiva neurosensorial cr¾nica en deficiencia profunda de biotinidasa no tratada o tratada tardÝamente.;</t>
  </si>
  <si>
    <t>#Biotinidase_Chronic_HearingLoss_U</t>
  </si>
  <si>
    <t>#hasSource: Informe SESCS 2013, por analogÝa a discapacidad auditiva moderada en EQ-5D; #hasExpectedValue: -0.050; #hasYear: 2013; #hasDescription: Desutilidad anual asociada a la presencia de pÚrdida auditiva neurosensorial cr¾nica en deficiencia de biotinidasa.; #appliesOneTime: false;</t>
  </si>
  <si>
    <t>#Biotinidase_Chronic_MotorDisorders</t>
  </si>
  <si>
    <t>#hasSource: Informe SESCS 2013, Carroll y Downs, Couce et al., 2011; #hasYear: 2013; #hasName: Trastornos motores cr¾nicos; #hasDescription: Trastornos motores cr¾nicos como ataxia, espasticidad y alteraciones del tono muscular en pacientes con diagn¾stico y tratamiento tardÝo de deficiencia de biotinidasa.;</t>
  </si>
  <si>
    <t>#Biotinidase_Chronic_MotorDisorders_Onset</t>
  </si>
  <si>
    <t>#hasDataItemType: #DI_OnsetAge; #isParameterOfManifestation: #Biotinidase_Chronic_MotorDisorders;</t>
  </si>
  <si>
    <t>#hasDescription: Edad media de aparici¾n de trastornos motores cr¾nicos (ataxia, espasticidad) en deficiencia profunda de biotinidasa.; #hasYear: 2013; #hasExpectedValue: 2.5; #hasSource: Informe SESCS 2013, Carroll y Downs, 2007; #hasUnit: a±os;</t>
  </si>
  <si>
    <t>#Biotinidase_Chronic_MotorDisorders_U</t>
  </si>
  <si>
    <t>#hasSource: Informe SESCS 2013, consenso de expertos; #hasExpectedValue: -0.120; #appliesOneTime: false; #hasYear: 2013; #hasDescription: Desutilidad anual asociada a la presencia de ataxia, espasticidad o trastornos motores cr¾nicos en deficiencia de biotinidasa.;</t>
  </si>
  <si>
    <t>#Biotinidase_Chronic_OpticAtrophy</t>
  </si>
  <si>
    <t>#hasSource: Informe SESCS 2013, Carroll y Downs, Couce et al., 2011; #hasDescription: Atrofia ¾ptica y alteraciones visuales cr¾nicas como secuela irreversible en pacientes con deficiencia de biotinidasa no tratados precozmente.; #hasYear: 2013; #hasName: Atrofia ¾ptica cr¾nica;</t>
  </si>
  <si>
    <t>#Biotinidase_Chronic_OpticAtrophy_Onset</t>
  </si>
  <si>
    <t>#hasDataItemType: #DI_OnsetAge; #isParameterOfManifestation: #Biotinidase_Chronic_OpticAtrophy;</t>
  </si>
  <si>
    <t>#hasSource: Informe SESCS 2013, Carroll y Downs, 2007; #hasDescription: Edad media de aparici¾n de atrofia ¾ptica cr¾nica en deficiencia profunda de biotinidasa.; #hasUnit: a±os; #hasExpectedValue: 2.0; #hasYear: 2013;</t>
  </si>
  <si>
    <t>#Biotinidase_Chronic_OpticAtrophy_U</t>
  </si>
  <si>
    <t>#appliesOneTime: false; #hasYear: 2013; #hasDescription: Desutilidad anual asociada a atrofia ¾ptica o discapacidad visual cr¾nica en deficiencia de biotinidasa.; #hasSource: Informe SESCS 2013, por analogÝa a ceguera moderada EQ-5D; #hasExpectedValue: -0.040;</t>
  </si>
  <si>
    <t>#Biotinidase_Chronic_SkinProblems</t>
  </si>
  <si>
    <t>#hasName: Problemas cutßneos cr¾nicos; #hasDescription: Manifestaciones cutßneas cr¾nicas (eczema, dermatitis persistente) en pacientes con inicio tardÝo del tratamiento de la deficiencia de biotinidasa.; #hasYear: 2013; #hasSource: Informe SESCS 2013, Carroll y Downs, Couce et al., 2011;</t>
  </si>
  <si>
    <t>#Biotinidase_ClinicalDiagnosis</t>
  </si>
  <si>
    <t>Intervention, DiagnosisStrategy</t>
  </si>
  <si>
    <t>#includedByModel: #Biotinidase_Model_DES; #hasComponent: #Biotinidase_EnzymeAssay;</t>
  </si>
  <si>
    <t>#hasYear: 2013; #hasName: Diagn¾stico clÝnico de deficiencia de biotinidasa; #hasSource: Informe SESCS 2013; #hasDescription: Diagn¾stico de la deficiencia profunda de biotinidasa a partir de la aparici¾n de signos o sÝntomas clÝnicos sugestivos (convulsiones, hipotonÝa, eccema, pÚrdida auditiva), seguido de confirmaci¾n enzimßtica y/o genÚtica.;</t>
  </si>
  <si>
    <t>#Biotinidase_Deficiency</t>
  </si>
  <si>
    <t>#includedByModel: #Biotinidase_Model_DES;</t>
  </si>
  <si>
    <t>#hasDescription: Deficiencia de biotinidasa: enfermedad metab¾lica hereditaria caracterizada por la incapacidad de reciclar la biotina debida a mutaciones en el gen BTD, con formas clÝnica profunda y parcial.;</t>
  </si>
  <si>
    <t>#Biotinidase_Deficiency_Partial</t>
  </si>
  <si>
    <t>#hasDescription: Deficiencia parcial de biotinidasa: 10-30% de actividad enzimßtica. SÝntomas clÝnicos menos frecuentes y menos graves, pudiendo ser asintomßtica.;</t>
  </si>
  <si>
    <t>#Biotinidase_Deficiency_Profound</t>
  </si>
  <si>
    <t>#hasDescription: Deficiencia profunda de biotinidasa: &lt;10% de actividad enzimßtica. Curso clÝnico grave, con sÝntomas neurol¾gicos y cutßneos frecuentes si no se trata.;</t>
  </si>
  <si>
    <t>#Biotinidase_EnzymeAssay</t>
  </si>
  <si>
    <t>DiagnosisIntervention, HealthTechnology</t>
  </si>
  <si>
    <t>#hasYear: 2013; #hasName: Ensayo enzimßtico/fluorimÚtrico de actividad biotinidasa; #hasDescription: TÚcnica de cribado basada en la medici¾n de la actividad de biotinidasa en sangre seca en papel, mediante mÚtodos enzimßticos o fluorimÚtricos semicuantitativos.; #hasSource: Informe SESCS 2013;</t>
  </si>
  <si>
    <t>#Biotinidase_Model_DES</t>
  </si>
  <si>
    <t>#Biotinidase_NeonatalScreening</t>
  </si>
  <si>
    <t>Intervention, ScreeningStrategy</t>
  </si>
  <si>
    <t>#hasComponent: #Biotinidase_EnzymeAssay; #includedByModel: #Biotinidase_Model_DES;</t>
  </si>
  <si>
    <t>#hasName: Cribado neonatal de deficiencia de biotinidasa; #hasDescription: Detecci¾n precoz de la deficiencia profunda de biotinidasa mediante medici¾n de la actividad enzimßtica en sangre seca en papel, usando ensayo enzimßtico o fluorimÚtrico semicuantitativo.; #hasYear: 2013; #hasSource: Informe SESCS 2013;</t>
  </si>
  <si>
    <t>#Biotinidase_Partial_BirthPrevalence</t>
  </si>
  <si>
    <t>#isParameterOfDisease: #Biotinidase_Deficiency_Partial; #includedByModel: #Biotinidase_Model_DES; #hasDataItemType: #DI_BirthPrevalence;</t>
  </si>
  <si>
    <t>#hasDescription: Prevalencia al nacimiento de la deficiencia parcial de biotinidasa (10-30% actividad); #hasYear: 2013; #hasExpectedValue: 0.0000296; #hasSource: Programa de cribado neonatal de Galicia (1987-2013), Informe SESCS 2013;</t>
  </si>
  <si>
    <t>#Biotinidase_Partial_P_DevelopmentalDelay</t>
  </si>
  <si>
    <t>#hasDataItemType: #DI_Probability; #includedByModel: #Biotinidase_Model_DES;</t>
  </si>
  <si>
    <t>#hasSource: Meta-anßlisis de series de casos, Informe SESCS 2013; #hasDescription: Probabilidad de retraso en el desarrollo psicomotor en deficiencia parcial de biotinidasa no tratada.; #hasYear: 2013; #hasExpectedValue: 0.05;</t>
  </si>
  <si>
    <t>#Biotinidase_Partial_P_HearingLoss</t>
  </si>
  <si>
    <t>#includedByModel: #Biotinidase_Model_DES; #hasDataItemType: #DI_Probability;</t>
  </si>
  <si>
    <t>#hasYear: 2013; #hasExpectedValue: 0.10; #hasSource: Meta-anßlisis de series de casos, Informe SESCS 2013; #hasDescription: Probabilidad de pÚrdida auditiva neurosensorial como secuela en deficiencia parcial de biotinidasa no tratada.;</t>
  </si>
  <si>
    <t>#Biotinidase_Partial_P_Hypotonia</t>
  </si>
  <si>
    <t>#hasSource: Meta-anßlisis de series de casos, Informe SESCS 2013; #hasExpectedValue: 0.00; #hasYear: 2013; #hasDescription: Probabilidad de aparici¾n de hipotonÝa en pacientes con deficiencia parcial de biotinidasa sin tratamiento.;</t>
  </si>
  <si>
    <t>#Biotinidase_Partial_P_OpticAtrophy</t>
  </si>
  <si>
    <t>#hasDescription: Probabilidad de aparici¾n de atrofia ¾ptica en pacientes con deficiencia parcial de biotinidasa sin tratamiento.; #hasExpectedValue: 0.00; #hasYear: 2013; #hasSource: Meta-anßlisis de series de casos, Informe SESCS 2013;</t>
  </si>
  <si>
    <t>#Biotinidase_Partial_P_Seizures</t>
  </si>
  <si>
    <t>#hasDescription: Probabilidad de aparici¾n de convulsiones en pacientes con deficiencia parcial de biotinidasa sin tratamiento.; #hasSource: Meta-anßlisis de series de casos, Informe SESCS 2013; #hasExpectedValue: 0.10; #hasYear: 2013;</t>
  </si>
  <si>
    <t>#Biotinidase_Partial_P_SkinProblems</t>
  </si>
  <si>
    <t>#hasExpectedValue: 0.15; #hasDescription: Probabilidad de aparici¾n de problemas dermatol¾gicos en pacientes con deficiencia parcial de biotinidasa sin tratamiento.; #hasSource: Meta-anßlisis de series de casos, Informe SESCS 2013; #hasYear: 2013;</t>
  </si>
  <si>
    <t>#Biotinidase_Profound_BirthPrevalence</t>
  </si>
  <si>
    <t>#hasDataItemType: #DI_BirthPrevalence; #isParameterOfDisease: #Biotinidase_Deficiency_Profound; #includedByModel: #Biotinidase_Model_DES;</t>
  </si>
  <si>
    <t>#hasExpectedValue: 0.0000148; #hasSource: Programa de cribado neonatal de Galicia (1987-2013), Informe SESCS 2013; #hasDescription: Prevalencia al nacimiento de la deficiencia profunda de biotinidasa (&lt;10% actividad); #hasYear: 2013;</t>
  </si>
  <si>
    <t>#Biotinidase_Profound_P_DevelopmentalDelay</t>
  </si>
  <si>
    <t>#hasYear: 2013; #hasSource: Series de casos [13,35û37], Informe SESCS 2013; #hasExpectedValue: 0.3478;</t>
  </si>
  <si>
    <t>#Biotinidase_Profound_P_HearingLoss</t>
  </si>
  <si>
    <t>#hasYear: 2013; #hasExpectedValue: 0.6154; #hasSource: Estudios audiol¾gicos [24,27,34], Informe SESCS 2013; #hasDescription: Probabilidad de pÚrdida auditiva neurosensorial como secuela cr¾nica en deficiencia profunda de biotinidasa no tratada.;</t>
  </si>
  <si>
    <t>#Biotinidase_Profound_P_Hypotonia</t>
  </si>
  <si>
    <t>#hasYear: 2013; #hasSource: Series de casos [13,33,37], Informe SESCS 2013; #hasExpectedValue: 0.5000; #hasDescription: Probabilidad de aparici¾n de hipotonÝa en pacientes con deficiencia profunda de biotinidasa sin tratamiento.;</t>
  </si>
  <si>
    <t>#Biotinidase_Profound_P_OpticAtrophy</t>
  </si>
  <si>
    <t>#hasExpectedValue: 0.1667; #hasYear: 2013; #hasSource: Series clÝnicas [24,32], Informe SESCS 2013;</t>
  </si>
  <si>
    <t>#Biotinidase_Profound_P_Seizures</t>
  </si>
  <si>
    <t>#hasYear: 2013; #hasDescription: Probabilidad de aparici¾n de convulsiones en pacientes con deficiencia profunda de biotinidasa sin tratamiento.; #hasExpectedValue: 0.5575; #hasSource: Meta-anßlisis de series de casos [13,31,33,36,37], Informe SESCS 2013;</t>
  </si>
  <si>
    <t>#Biotinidase_Profound_P_SkinProblems</t>
  </si>
  <si>
    <t>#hasExpectedValue: 0.3429; #hasDescription: Probabilidad de aparici¾n de problemas dermatol¾gicos en pacientes con deficiencia profunda de biotinidasa sin tratamiento.; #hasYear: 2013; #hasSource: Series de casos [13,33,36,37], Informe SESCS 2013;</t>
  </si>
  <si>
    <t>#Biotinidase_Treatment_Biotin</t>
  </si>
  <si>
    <t>Treatment, Intervention, Drug</t>
  </si>
  <si>
    <t>#hasDescription: Administraci¾n oral de biotina a dosis farmacol¾gicas como tratamiento de por vida para la deficiencia profunda o parcial de biotinidasa.; #hasYear: 2013; #hasSource: Informe SESCS 2013, recomendaciones clÝnicas internacionales; #hasName: Tratamiento con biotina;</t>
  </si>
  <si>
    <t>#FollowUp_Biotinidase_Common_Components</t>
  </si>
  <si>
    <t>#hasComponent: #Audiometry; #hasComponent: #OphthalmologyExam; #hasComponent: #BiochemicalTests;</t>
  </si>
  <si>
    <t>#hasDescription: Valoraci¾n clÝnica, control del desarrollo, revisi¾n de adherencia a tratamiento, controles auditivos, controles visuales, anßlisis bioquÝmicos y educaci¾n familiar.;</t>
  </si>
  <si>
    <t>#FollowUp_PartialBiotinidase</t>
  </si>
  <si>
    <t>FollowUpStrategy, HealthCareProcess</t>
  </si>
  <si>
    <t>#hasComponent: #FollowUp_Biotinidase_Common_Components;</t>
  </si>
  <si>
    <t>#hasName: Seguimiento clÝnico de la deficiencia parcial de biotinidasa; #hasDescription: Visitas peri¾dicas (anuales) en consulta especializada para revisar adherencia al tratamiento, valorar desarrollo, sÝntomas y adaptaci¾n de la dosis de biotina. Seguimiento menos intensivo que en la deficiencia profunda.; #hasYear: 2013; #hasSource: Informe SESCS 2013, protocolos clÝnicos;</t>
  </si>
  <si>
    <t>#FollowUp_ProfoundBiotinidase</t>
  </si>
  <si>
    <t>HealthCareProcess, FollowUpStrategy</t>
  </si>
  <si>
    <t>#hasName: Seguimiento clÝnico de la deficiencia profunda de biotinidasa; #hasSource: Informe SESCS 2013, protocolos clÝnicos; #hasYear: 2013; #hasDescription: Visitas peri¾dicas (mÝnimo anual, recomendadas cada 6 meses en la infancia) en consulta de metabolopatÝas, valoraci¾n clÝnica y neurol¾gica, control del desarrollo, funci¾n auditiva, funci¾n visual, revisi¾n de adherencia al tratamiento y ajuste de dosis de biotina si es necesario.;</t>
  </si>
  <si>
    <t>#GuidelineLifetimeAnual</t>
  </si>
  <si>
    <t>#REMOVEhasFrequency: 1y; #hasRange: 0y-*;</t>
  </si>
  <si>
    <t>#InterventionDoNothing</t>
  </si>
  <si>
    <t>#hasDescription: A null intervention that has no effect on the patient;</t>
  </si>
  <si>
    <t>#OphthalmologyExam</t>
  </si>
  <si>
    <t>#hasDescription: Revisi¾n oftalmol¾gica peri¾dica para control de alteraciones visuales.;</t>
  </si>
  <si>
    <t>#Treatment_Biotin_Partial</t>
  </si>
  <si>
    <t>Treatment, Drug</t>
  </si>
  <si>
    <t>#hasName: Tratamiento con biotina para deficiencia parcial de biotinidasa; #hasYear: 2013; #hasSource: Informe SESCS 2013, recomendaciones clÝnicas internacionales; #hasDescription: Administraci¾n oral de biotina a dosis bajas (5 mg/dÝa), recomendada de por vida en la deficiencia parcial de biotinidasa (10-30% actividad enzimßtica) para prevenir sÝntomas, especialmente bajo situaciones de estrÚs metab¾lico (infecci¾n, ayuno, etc).;</t>
  </si>
  <si>
    <t>#Treatment_Biotin_Profound</t>
  </si>
  <si>
    <t>#hasSource: Informe SESCS 2013, recomendaciones clÝnicas internacionales; #hasYear: 2013; #hasDescription: Administraci¾n oral de biotina a dosis farmacol¾gicas (10-20 mg/dÝa) de por vida, iniciada precozmente tras diagn¾stico de deficiencia profunda de biotinidasa (&lt;10% actividad enzimßtica), previene la aparici¾n de sÝntomas y secuelas neurol¾gicas y cutßneas.; #hasName: Tratamiento con biotina para deficiencia profunda de biotinidasa;</t>
  </si>
  <si>
    <t>UC3-F3-P1-M2</t>
  </si>
  <si>
    <t>#DBProfunda</t>
  </si>
  <si>
    <t>Disease, RareDisease</t>
  </si>
  <si>
    <t>#hasUtility: #DBProfunda_UtilidadSaludPlena; #includedByModel: #DBProfunda_ModeloSNS; #hasManifestation: #DBProfunda_Manif_Hipoton a; #hasManifestation: #DBProfunda_Manif_Eczema; #hasManifestation: #DBProfunda_Manif_Sordera; #hasManifestation: #DBProfunda_Manif_Muerte; #hasManifestation: #DBProfunda_Manif_ ptica; #hasManifestation: #DBProfunda_Manif_ProblemasRespiratorios; #hasManifestation: #DBProfunda_Manif_RetrasoDesarrollo; #hasManifestation: #DBProfunda_Manif_Alopecia; #hasManifestation: #DBProfunda_Manif_AcidosisMetab lica; #hasManifestation: #DBProfunda_Manif_Convulsiones; #hasEpidemiologicalParameter: #DBProfunda_Incidencia; #hasEpidemiologicalParameter: #DBProfunda_PrevalenciaAlNacimiento; #hasCost: #DBProfunda_CosteTotalAnual;</t>
  </si>
  <si>
    <t>#hasRefToSNOMED: 94435009; #hasDescription: Deficiencia profunda de biotinidasa. Enfermedad metab lica cong nita autos mica recesiva caracterizada por una deficiencia severa (&lt;10% de la actividad normal) de la enzima biotinidasa, lo que puede llevar a manifestaciones neurol gicas, cut neas y metab licas graves sin tratamiento.; #hasRefToICD: E71.1; #hasRefToORDO: Orphanet:33; #hasRefToGARD: GARD:605; #hasRefToOMIM: OMIM:253260;</t>
  </si>
  <si>
    <t>#DBProfunda_AcidosisMetab lica_OnsetAge</t>
  </si>
  <si>
    <t>#DBProfunda_AcidosisMetab lica_ProbabilidadDx</t>
  </si>
  <si>
    <t>#DBProfunda_AcidosisMetab lica_Utilidad</t>
  </si>
  <si>
    <t>#includedByModel: #DBProfunda_ModeloSNS;</t>
  </si>
  <si>
    <t>#hasSource: Informe SESCS 2013, Anexo 3; #hasExpectedValue: 0.65; #hasCalculationMethod: Revisi n literatura/consenso experto; #hasDescription: Utilidad para episodios de acidosis metab lica;</t>
  </si>
  <si>
    <t>#DBProfunda_Alopecia_OnsetAge</t>
  </si>
  <si>
    <t>#DBProfunda_Alopecia_ProbabilidadDx</t>
  </si>
  <si>
    <t>#DBProfunda_Alopecia_Utilidad</t>
  </si>
  <si>
    <t>#hasDescription: Utilidad para alopecia infantil; #hasExpectedValue: 0.9; #hasSource: Informe SESCS 2013, Anexo 3; #hasCalculationMethod: Revisi n literatura/consenso experto;</t>
  </si>
  <si>
    <t>#DBProfunda_Convulsiones_OnsetAge</t>
  </si>
  <si>
    <t>#includedByModel: #DBProfunda_ModeloSNS; #hasDataItemType: #DI_Age;</t>
  </si>
  <si>
    <t>#hasSource: Informe SESCS 2013, Tabla 8; #hasExpectedValue: 0.3; #hasDescription: Edad media de aparici n de convulsiones;</t>
  </si>
  <si>
    <t>#DBProfunda_Convulsiones_ProbabilidadDx</t>
  </si>
  <si>
    <t>#includedByModel: #DBProfunda_ModeloSNS; #hasDataItemType: #DI_Probability;</t>
  </si>
  <si>
    <t>#hasSource: Informe SESCS 2013; #hasExpectedValue: 0.65; #hasDescription: Probabilidad de diagn stico cl nico ante convulsiones;</t>
  </si>
  <si>
    <t>#DBProfunda_Convulsiones_Utilidad</t>
  </si>
  <si>
    <t>#hasCalculationMethod: Revisi n literatura/consenso experto; #hasExpectedValue: 0.72; #hasDescription: Utilidad para convulsiones (basado en EQ-5D y revisi n literatura enfermedades raras infantiles); #hasSource: Informe SESCS 2013, Anexo 3;</t>
  </si>
  <si>
    <t>#DBProfunda_CosteTotalAnual</t>
  </si>
  <si>
    <t>#DBProfunda_Eczema_OnsetAge</t>
  </si>
  <si>
    <t>#DBProfunda_Eczema_ProbabilidadDx</t>
  </si>
  <si>
    <t>#DBProfunda_Eczema_Utilidad</t>
  </si>
  <si>
    <t>#hasDescription: Utilidad para eczema/seborrea severa; #hasExpectedValue: 0.88; #hasCalculationMethod: Revisi n literatura/consenso experto; #hasSource: Informe SESCS 2013, Anexo 3;</t>
  </si>
  <si>
    <t>#DBProfunda_Hipoton a_OnsetAge</t>
  </si>
  <si>
    <t>#DBProfunda_Hipoton a_ProbabilidadDx</t>
  </si>
  <si>
    <t>#DBProfunda_Hipoton a_Utilidad</t>
  </si>
  <si>
    <t>#hasCalculationMethod: Revisi n literatura/consenso experto; #hasSource: Informe SESCS 2013, Anexo 3; #hasDescription: Utilidad para hipoton a severa; #hasExpectedValue: 0.75;</t>
  </si>
  <si>
    <t>#DBProfunda_Incidencia</t>
  </si>
  <si>
    <t>#hasDataItemType: #DI_Incidence; #includedByModel: #DBProfunda_ModeloSNS;</t>
  </si>
  <si>
    <t>#hasYear: 2013; #isTrueEpidemiologicalParameterEstimate: true; #hasExpectedValue: 1.3E-5; #hasSource: Informe SESCS 2013, Tabla 4;</t>
  </si>
  <si>
    <t>#DBProfunda_Manif_AcidosisMetab lica</t>
  </si>
  <si>
    <t>AcuteManifestation, Manifestation</t>
  </si>
  <si>
    <t>#includedByModel: #DBProfunda_ModeloSNS; #hasOnsetAge: #DBProfunda_AcidosisMetab lica_OnsetAge; #hasUtility: #DBProfunda_AcidosisMetab lica_Utilidad; #hasProbabilityOfDiagnosis: #DBProfunda_AcidosisMetab lica_ProbabilidadDx;</t>
  </si>
  <si>
    <t>#hasDescription: Acidosis metab lica recurrente;</t>
  </si>
  <si>
    <t>#DBProfunda_Manif_Alopecia</t>
  </si>
  <si>
    <t>Manifestation, ChronicManifestation</t>
  </si>
  <si>
    <t>#hasOnsetAge: #DBProfunda_Alopecia_OnsetAge; #includedByModel: #DBProfunda_ModeloSNS; #hasProbabilityOfDiagnosis: #DBProfunda_Alopecia_ProbabilidadDx; #hasUtility: #DBProfunda_Alopecia_Utilidad;</t>
  </si>
  <si>
    <t>#hasDescription: Alopecia;</t>
  </si>
  <si>
    <t>#DBProfunda_Manif_Convulsiones</t>
  </si>
  <si>
    <t>Manifestation, AcuteManifestation</t>
  </si>
  <si>
    <t>#hasOnsetAge: #DBProfunda_Convulsiones_OnsetAge; #includedByModel: #DBProfunda_ModeloSNS; #hasProbabilityOfDiagnosis: #DBProfunda_Convulsiones_ProbabilidadDx; #hasUtility: #DBProfunda_Convulsiones_Utilidad;</t>
  </si>
  <si>
    <t>#hasDescription: Convulsiones debidas a la deficiencia profunda de biotinidasa;</t>
  </si>
  <si>
    <t>#DBProfunda_Manif_Eczema</t>
  </si>
  <si>
    <t>#hasUtility: #DBProfunda_Eczema_Utilidad; #hasProbabilityOfDiagnosis: #DBProfunda_Eczema_ProbabilidadDx; #hasOnsetAge: #DBProfunda_Eczema_OnsetAge; #includedByModel: #DBProfunda_ModeloSNS;</t>
  </si>
  <si>
    <t>#hasDescription: Eczema/seborrea grave;</t>
  </si>
  <si>
    <t>#DBProfunda_Manif_Hipoton a</t>
  </si>
  <si>
    <t>#hasOnsetAge: #DBProfunda_Hipoton a_OnsetAge; #hasUtility: #DBProfunda_Hipoton a_Utilidad; #includedByModel: #DBProfunda_ModeloSNS; #hasProbabilityOfDiagnosis: #DBProfunda_Hipoton a_ProbabilidadDx;</t>
  </si>
  <si>
    <t>#hasDescription: Hipoton a grave como manifestaci n neurol gica;</t>
  </si>
  <si>
    <t>#DBProfunda_Manif_Muerte</t>
  </si>
  <si>
    <t>#includedByModel: #DBProfunda_ModeloSNS; #hasProbabilityOfDeath: #DBProfunda_Muerte_Probabilidad; #hasOnsetAge: #DBProfunda_Muerte_OnsetAge;</t>
  </si>
  <si>
    <t>#hasDescription: Muerte por complicaciones agudas;</t>
  </si>
  <si>
    <t>#DBProfunda_Manif_ProblemasRespiratorios</t>
  </si>
  <si>
    <t>#includedByModel: #DBProfunda_ModeloSNS; #hasProbabilityOfDiagnosis: #DBProfunda_Respiratorios_ProbabilidadDx; #hasUtility: #DBProfunda_Respiratorios_Utilidad; #hasOnsetAge: #DBProfunda_Respiratorios_OnsetAge;</t>
  </si>
  <si>
    <t>#hasDescription: Problemas respiratorios recurrentes;</t>
  </si>
  <si>
    <t>#DBProfunda_Manif_RetrasoDesarrollo</t>
  </si>
  <si>
    <t>#hasOnsetAge: #DBProfunda_RetrasoDesarrollo_OnsetAge; #hasUtility: #DBProfunda_RetrasoDesarrollo_Utilidad; #hasProbabilityOfDiagnosis: #DBProfunda_RetrasoDesarrollo_ProbabilidadDx; #includedByModel: #DBProfunda_ModeloSNS;</t>
  </si>
  <si>
    <t>#DBProfunda_Manif_Sordera</t>
  </si>
  <si>
    <t>ChronicManifestation, Manifestation</t>
  </si>
  <si>
    <t>#hasUtility: #DBProfunda_Sordera_Utilidad; #hasOnsetAge: #DBProfunda_Sordera_OnsetAge; #hasProbabilityOfDiagnosis: #DBProfunda_Sordera_ProbabilidadDx; #includedByModel: #DBProfunda_ModeloSNS;</t>
  </si>
  <si>
    <t>#DBProfunda_Manif_ ptica</t>
  </si>
  <si>
    <t>#hasUtility: #DBProfunda_ ptica_Utilidad; #hasOnsetAge: #DBProfunda_ ptica_OnsetAge; #includedByModel: #DBProfunda_ModeloSNS; #hasProbabilityOfDiagnosis: #DBProfunda_ ptica_ProbabilidadDx;</t>
  </si>
  <si>
    <t>#DBProfunda_ModeloSNS</t>
  </si>
  <si>
    <t>#hasDisutilityCombinationMethod: ADD; #hasAuthor: SESCS; #hasDescription: Modelo de simulaci n para evaluaci n de cribado neonatal de la deficiencia profunda de biotinidasa en Espa a; #hasYear: 2013; #hasGeographicalContext: Espa a;</t>
  </si>
  <si>
    <t>#DBProfunda_Muerte_OnsetAge</t>
  </si>
  <si>
    <t>#DBProfunda_Muerte_Probabilidad</t>
  </si>
  <si>
    <t>#DBProfunda_PrevalenciaAlNacimiento</t>
  </si>
  <si>
    <t>#hasDataItemType: #DI_BirthPrevalence; #includedByModel: #DBProfunda_ModeloSNS;</t>
  </si>
  <si>
    <t>#hasExpectedValue: 1.3E-5; #hasYear: 2013; #isTrueEpidemiologicalParameterEstimate: true; #hasSource: Informe SESCS 2013, Tabla 4;</t>
  </si>
  <si>
    <t>#DBProfunda_Respiratorios_OnsetAge</t>
  </si>
  <si>
    <t>#DBProfunda_Respiratorios_ProbabilidadDx</t>
  </si>
  <si>
    <t>#DBProfunda_Respiratorios_Utilidad</t>
  </si>
  <si>
    <t>#hasDescription: Utilidad para problemas respiratorios recurrentes; #hasSource: Informe SESCS 2013, Anexo 3; #hasCalculationMethod: Revisi n literatura/consenso experto; #hasExpectedValue: 0.7;</t>
  </si>
  <si>
    <t>#DBProfunda_RetrasoDesarrollo_OnsetAge</t>
  </si>
  <si>
    <t>#DBProfunda_RetrasoDesarrollo_ProbabilidadDx</t>
  </si>
  <si>
    <t>#DBProfunda_RetrasoDesarrollo_Utilidad</t>
  </si>
  <si>
    <t>#hasDescription: Utilidad para retraso psicomotor (basado en discapacidad moderada-severa); #hasSource: Informe SESCS 2013, Anexo 3; #hasExpectedValue: 0.62; #hasCalculationMethod: EQ-5D valorado por proxy;</t>
  </si>
  <si>
    <t>#DBProfunda_Sordera_OnsetAge</t>
  </si>
  <si>
    <t>#DBProfunda_Sordera_ProbabilidadDx</t>
  </si>
  <si>
    <t>#DBProfunda_Sordera_Utilidad</t>
  </si>
  <si>
    <t>#hasDescription: Utilidad para sordera neurosensorial en infancia; #hasExpectedValue: 0.68; #hasCalculationMethod: EQ-5D valorado por proxy; #hasSource: Informe SESCS 2013, Anexo 3;</t>
  </si>
  <si>
    <t>#DBProfunda_UtilidadSaludPlena</t>
  </si>
  <si>
    <t>#hasDescription: Utilidad asociada a salud plena (sin manifestaciones); #hasCalculationMethod: Asignaci n directa; #hasExpectedValue: 1.0;</t>
  </si>
  <si>
    <t>#DBProfunda_ ptica_OnsetAge</t>
  </si>
  <si>
    <t>#DBProfunda_ ptica_ProbabilidadDx</t>
  </si>
  <si>
    <t>#DBProfunda_ ptica_Utilidad</t>
  </si>
  <si>
    <t>#hasSource: Informe SESCS 2013, Anexo 3; #hasCalculationMethod: Revisi n literatura/consenso experto; #hasExpectedValue: 0.6; #hasDescription: Utilidad para atrofia  ptica;</t>
  </si>
  <si>
    <t>UC3-F3-P2-M2</t>
  </si>
  <si>
    <t>#DBPar_AtrofiaOptica_BetaDist</t>
  </si>
  <si>
    <t>#hasAlfaParameter: 1.0; #hasBetaParameter: 99.0;</t>
  </si>
  <si>
    <t>#DBPar_Convulsiones_BetaDist</t>
  </si>
  <si>
    <t>#hasBetaParameter: 99.0; #hasAlfaParameter: 1.0;</t>
  </si>
  <si>
    <t>#DBPar_Hipotonia_BetaDist</t>
  </si>
  <si>
    <t>#DBPar_Probabilidad_AtrofiaOptica</t>
  </si>
  <si>
    <t>#hasDataItemType: #DI_Probability; #includedByModel: #DB_ModelDES; #hasUncertaintyCharacterization: #DBPar_AtrofiaOptica_BetaDist; #isParameterOfManifestation: #DB_Cronica_AtrofiaOptica;</t>
  </si>
  <si>
    <t>#hasYear: 2013; #hasSource: Informe SESCS 2013, Tabla 2, p. 33.; #hasDescription: Probabilidad de aparici n de atrofia  ptica en pacientes con deficiencia parcial de biotinidasa. No hay casos publicados, valor conservador del 1%.; #hasGeographicalContext: Espa a; #hasExpectedValue: 0.01;</t>
  </si>
  <si>
    <t>#DBPar_Probabilidad_Convulsiones</t>
  </si>
  <si>
    <t>#includedByModel: #DB_ModelDES; #isParameterOfManifestation: #DB_Aguda_Convulsiones; #hasDataItemType: #DI_Probability; #hasUncertaintyCharacterization: #DBPar_Convulsiones_BetaDist;</t>
  </si>
  <si>
    <t>#hasDescription: Probabilidad de aparici n de convulsiones en pacientes con deficiencia parcial de biotinidasa. Datos muy limitados, solo 1 caso publicado en la literatura, se asume 1% como valor de referencia.; #hasExpectedValue: 0.01; #hasYear: 2013; #hasGeographicalContext: Espa a; #hasSource: Informe SESCS 2013, Tabla 2, p. 33. Basado en revisi n de la literatura [15,41 43];</t>
  </si>
  <si>
    <t>#DBPar_Probabilidad_Hipotonia</t>
  </si>
  <si>
    <t>#hasDataItemType: #DI_Probability; #includedByModel: #DB_ModelDES; #isParameterOfManifestation: #DB_Aguda_Hipotonia; #hasUncertaintyCharacterization: #DBPar_Hipotonia_BetaDist;</t>
  </si>
  <si>
    <t>#hasGeographicalContext: Espa a; #hasDescription: Probabilidad de aparici n de hipoton a en pacientes con deficiencia parcial de biotinidasa. No se han reportado casos en la literatura, se asume 1% como valor conservador.; #hasYear: 2013; #hasSource: Informe SESCS 2013, Tabla 2, p. 33.; #hasExpectedValue: 0.01;</t>
  </si>
  <si>
    <t>#DBPar_Probabilidad_ProblemasPiel</t>
  </si>
  <si>
    <t>#isParameterOfManifestation: #DB_Aguda_ProblemasPiel; #hasDataItemType: #DI_Probability; #includedByModel: #DB_ModelDES; #hasUncertaintyCharacterization: #DBPar_ProblemasPiel_BetaDist;</t>
  </si>
  <si>
    <t>#hasDescription: Probabilidad de aparici n de problemas de piel en pacientes con deficiencia parcial de biotinidasa. No hay casos publicados, valor conservador del 1%.; #hasGeographicalContext: Espa a; #hasSource: Informe SESCS 2013, Tabla 2, p. 33.; #hasYear: 2013; #hasExpectedValue: 0.01;</t>
  </si>
  <si>
    <t>#DBPar_Probabilidad_RetrasoMental</t>
  </si>
  <si>
    <t>#includedByModel: #DB_ModelDES; #isParameterOfManifestation: #DB_Cronica_RetrasoMental; #hasDataItemType: #DI_Probability; #hasUncertaintyCharacterization: #DBPar_RetrasoMental_BetaDist;</t>
  </si>
  <si>
    <t>#hasExpectedValue: 0.01; #hasGeographicalContext: Espa a; #hasYear: 2013; #hasDescription: Probabilidad de aparici n de retraso mental en pacientes con deficiencia parcial de biotinidasa. Solo 1 caso publicado, valor conservador del 1%.; #hasSource: Informe SESCS 2013, Tabla 2, p. 33.;</t>
  </si>
  <si>
    <t>#DBPar_Probabilidad_Sordera</t>
  </si>
  <si>
    <t>#hasDataItemType: #DI_Probability; #isParameterOfManifestation: #DB_Cronica_Sordera; #includedByModel: #DB_ModelDES; #hasUncertaintyCharacterization: #DBPar_Sordera_BetaDist;</t>
  </si>
  <si>
    <t>#hasDescription: Probabilidad de aparici n de p rdida auditiva en pacientes con deficiencia parcial de biotinidasa. No se han reportado casos en la literatura; valor conservador del 1%.; #hasSource: Informe SESCS 2013, Tabla 2, p. 33.; #hasExpectedValue: 0.01; #hasYear: 2013; #hasGeographicalContext: Espa a;</t>
  </si>
  <si>
    <t>#DBPar_ProblemasPiel_BetaDist</t>
  </si>
  <si>
    <t>#DBPar_RetrasoMental_BetaDist</t>
  </si>
  <si>
    <t>#DBPar_Sordera_BetaDist</t>
  </si>
  <si>
    <t>#DB_Aguda_Convulsiones</t>
  </si>
  <si>
    <t>#includedByModel: #DB_ModelDES; #hasOnsetAge: #DB_Convulsiones_OnsetAge;</t>
  </si>
  <si>
    <t>#hasDescription: Convulsiones agudas debidas a la deficiencia profunda de biotinidasa. Suelen manifestarse en el primer a o de vida, a menudo en los primeros meses. Son potencialmente reversibles con tratamiento precoz con biotina.;</t>
  </si>
  <si>
    <t>#DB_Aguda_Hipotonia</t>
  </si>
  <si>
    <t>#hasOnsetAge: #DB_Hipotonia_OnsetAge; #includedByModel: #DB_ModelDES;</t>
  </si>
  <si>
    <t>#hasDescription: Hipoton a aguda como manifestaci n neurol gica de la deficiencia profunda de biotinidasa, de aparici n frecuente en los primeros meses de vida. Reversible si se inicia tratamiento con biotina de manera precoz.;</t>
  </si>
  <si>
    <t>#DB_Aguda_ProblemasPiel</t>
  </si>
  <si>
    <t>#includedByModel: #DB_ModelDES; #hasOnsetAge: #DB_ProblemasPiel_OnsetAge;</t>
  </si>
  <si>
    <t>#hasDescription: Problemas agudos de piel asociados a la deficiencia de biotinidasa, incluyendo dermatitis, rash y alopecia. Generalmente de inicio en el primer a o de vida y reversibles tras tratamiento.;</t>
  </si>
  <si>
    <t>#DB_AtrofiaOptica_BetaDist</t>
  </si>
  <si>
    <t>#hasBetaParameter: 41.66; #hasAlfaParameter: 8.34;</t>
  </si>
  <si>
    <t>#DB_AtrofiaOptica_OnsetAge</t>
  </si>
  <si>
    <t>#hasDataItemType: #DI_Age; #isParameterOfManifestation: #DB_Cronica_AtrofiaOptica; #includedByModel: #DB_ModelDES;</t>
  </si>
  <si>
    <t>#hasDescription: Edad media de aparici n de atrofia  ptica cr nica por deficiencia de biotinidasa (en a os).; #hasDescription: Edad media de aparici n de la atrofia  ptica cr nica (en a os); #hasYear: 2013; #hasSource: Informe SESCS 2013, p. 32; #hasSource: Informe SESCS 2013, p. 32. S ntomas cr nicos suelen aparecer tras el primer a o; an lisis de sensibilidad: 2 a os.; #hasExpectedValue: 2.0; #hasGeographicalContext: Espa a;</t>
  </si>
  <si>
    <t>#DB_Biotina_Dosis</t>
  </si>
  <si>
    <t>#isParameterOfManifestation: #DB_Interv_Tratamiento_Biotina; #hasDataItemType: #DI_Dose; #includedByModel: #DB_ModelDES;</t>
  </si>
  <si>
    <t>#hasSource: Informe SESCS 2013, protocolos internacionales; #hasGeographicalContext: Espa a; #hasDescription: Dosis diaria de biotina recomendada (mg/d a); #hasYear: 2013; #hasExpectedValue: 10.0;</t>
  </si>
  <si>
    <t>#DB_Biotina_Dosis_Parcial</t>
  </si>
  <si>
    <t>#hasDataItemType: #DI_Dose; #includedByModel: #DB_ModelDES; #isParameterOfManifestation: #DB_Tratamiento_Parcial;</t>
  </si>
  <si>
    <t>#hasGeographicalContext: Espa a; #hasExpectedValue: 5.0; #hasYear: 2013; #hasSource: Informe SESCS 2013, protocolos internacionales; #hasDescription: Dosis diaria de biotina recomendada en deficiencia parcial (mg/d a);</t>
  </si>
  <si>
    <t>#DB_Biotina_Dosis_Profunda</t>
  </si>
  <si>
    <t>#isParameterOfManifestation: #DB_Tratamiento_Profunda; #includedByModel: #DB_ModelDES; #hasDataItemType: #DI_Dose;</t>
  </si>
  <si>
    <t>#hasYear: 2013; #hasGeographicalContext: Espa a; #hasExpectedValue: 10.0; #hasDescription: Dosis diaria de biotina recomendada en deficiencia profunda (mg/d a); #hasSource: Informe SESCS 2013, protocolos internacionales;</t>
  </si>
  <si>
    <t>#DB_Biotina_Frecuencia</t>
  </si>
  <si>
    <t>#isParameterOfManifestation: #DB_Interv_Tratamiento_Biotina; #includedByModel: #DB_ModelDES; #hasDataItemType: #DI_Frequency;</t>
  </si>
  <si>
    <t>#hasSource: Informe SESCS 2013, protocolos internacionales; #hasGeographicalContext: Espa a; #hasDescription: Frecuencia de administraci n: una vez al d a; #hasYear: 2013; #hasExpectedValue: 1.0;</t>
  </si>
  <si>
    <t>#DB_Biotina_Frecuencia_Parcial</t>
  </si>
  <si>
    <t>#hasDataItemType: #DI_Frequency; #includedByModel: #DB_ModelDES; #isParameterOfManifestation: #DB_Tratamiento_Parcial;</t>
  </si>
  <si>
    <t>#hasGeographicalContext: Espa a; #hasDescription: Frecuencia de administraci n: una vez al d a en deficiencia parcial; #hasYear: 2013; #hasExpectedValue: 1.0; #hasSource: Informe SESCS 2013;</t>
  </si>
  <si>
    <t>#DB_Biotina_Frecuencia_Profunda</t>
  </si>
  <si>
    <t>#isParameterOfManifestation: #DB_Tratamiento_Profunda; #hasDataItemType: #DI_Frequency; #includedByModel: #DB_ModelDES;</t>
  </si>
  <si>
    <t>#hasYear: 2013; #hasGeographicalContext: Espa a; #hasDescription: Frecuencia de administraci n: una vez al d a en deficiencia profunda; #hasSource: Informe SESCS 2013; #hasExpectedValue: 1.0;</t>
  </si>
  <si>
    <t>#DB_Convulsiones_BetaDist</t>
  </si>
  <si>
    <t>#hasBetaParameter: 59.04; #hasAlfaParameter: 74.33;</t>
  </si>
  <si>
    <t>#DB_Convulsiones_OnsetAge</t>
  </si>
  <si>
    <t>#hasDataItemType: #DI_Age; #isParameterOfManifestation: #DB_Aguda_Convulsiones; #includedByModel: #DB_ModelDES;</t>
  </si>
  <si>
    <t>#hasYear: 2013; #hasDescription: Edad media de aparici n de convulsiones agudas por deficiencia de biotinidasa (en a os).; #hasDescription: Edad media de aparici n de las convulsiones agudas (en a os); #hasSource: Informe SESCS 2013, p. 32. Media reportada: 3,5 meses para s ntomas agudos.; #hasSource: Informe SESCS 2013, p. 32. Media reportada: 3,5 meses.; #hasGeographicalContext: Espa a; #hasExpectedValue: 0.25; #hasExpectedValue: 0.29;</t>
  </si>
  <si>
    <t>#DB_Cronica_AtrofiaOptica</t>
  </si>
  <si>
    <t>#includedByModel: #DB_ModelDES; #hasOnsetAge: #DB_AtrofiaOptica_OnsetAge;</t>
  </si>
  <si>
    <t>#hasDescription: Atrofia  ptica cr nica (p rdida de visi n irreversible) secundaria a la deficiencia profunda de biotinidasa no tratada, con inicio generalmente despu s del primer a o de vida.;</t>
  </si>
  <si>
    <t>#DB_Cronica_RetrasoMental</t>
  </si>
  <si>
    <t>#includedByModel: #DB_ModelDES; #hasOnsetAge: #DB_RetrasoMental_OnsetAge;</t>
  </si>
  <si>
    <t>#hasDescription: Retraso mental o discapacidad intelectual persistente asociado a la deficiencia profunda de biotinidasa no tratada, que se hace patente habitualmente tras el primer a o de vida y no es reversible.;</t>
  </si>
  <si>
    <t>#DB_Cronica_Sordera</t>
  </si>
  <si>
    <t>#hasOnsetAge: #DB_Sordera_OnsetAge; #includedByModel: #DB_ModelDES;</t>
  </si>
  <si>
    <t>#hasDescription: P rdida auditiva neurosensorial irreversible asociada a la deficiencia profunda de biotinidasa no tratada. Suele manifestarse tras el primer a o de vida y permanece de forma cr nica aunque se instaure tratamiento posterior.;</t>
  </si>
  <si>
    <t>#DB_Desutilidad_Aguda</t>
  </si>
  <si>
    <t>#isParameterOfManifestation: #DB_Aguda_Hipotonia; #isParameterOfManifestation: #DB_Aguda_ProblemasPiel; #isParameterOfManifestation: #DB_Aguda_Convulsiones; #includedByModel: #DB_ModelDES;</t>
  </si>
  <si>
    <t>#hasExpectedValue: -0.12; #hasDescription: Desutilidad espec fica del episodio agudo (impacto negativo temporal sobre la calidad de vida durante el episodio agudo en deficiencia de biotinidasa, respecto a estado basal).; #hasYear: 2013; #appliesOneTime: true; #hasSource: Informe SESCS 2013, Anexo 8.3, Tabla 18; c lculo por diferencia respecto a utilidad basal; #hasGeographicalContext: Espa a;</t>
  </si>
  <si>
    <t>#DB_Development_Profunda</t>
  </si>
  <si>
    <t>#hasStage: #DB_Stage_Asintom tico; #hasStage: #DB_Stage_Sintom tico; #includedByModel: #DB_ModelDES; #hasManifestation: #DB_Manif_Secuelas; #hasManifestation: #DB_Manif_Cut nea; #hasManifestation: #DB_Manif_CrisisAguda; #hasManifestation: #DB_Manif_Neurol gica;</t>
  </si>
  <si>
    <t>#hasDescription: Curso natural de la deficiencia profunda de biotinidasa sin tratamiento.;</t>
  </si>
  <si>
    <t>#DB_Guia_Biotina</t>
  </si>
  <si>
    <t>#hasDose: #DB_Biotina_Dosis; #hasFrequency: #DB_Biotina_Frecuencia;</t>
  </si>
  <si>
    <t>#hasDescription: Administrar biotina oral a dosis de 5-20 mg/d a, iniciando lo antes posible tras diagn stico, y mantener de por vida.;</t>
  </si>
  <si>
    <t>#DB_Guia_Biotina_Parcial</t>
  </si>
  <si>
    <t>#hasDose: #DB_Biotina_Dosis_Parcial; #hasFrequency: #DB_Biotina_Frecuencia_Parcial;</t>
  </si>
  <si>
    <t>#hasDescription: Administrar biotina oral 5 mg/d a (rango 1-10 mg/d a) en pacientes con deficiencia parcial de biotinidasa, iniciar tras diagn stico, mantener durante la infancia y adolescencia.;</t>
  </si>
  <si>
    <t>#DB_Guia_Biotina_Profunda</t>
  </si>
  <si>
    <t>#hasFrequency: #DB_Biotina_Frecuencia_Profunda; #hasDose: #DB_Biotina_Dosis_Profunda;</t>
  </si>
  <si>
    <t>#hasDescription: Administrar biotina oral 10 mg/d a (rango 5-20 mg/d a) en pacientes con deficiencia profunda de biotinidasa, iniciar lo antes posible tras diagn stico, mantener toda la vida.;</t>
  </si>
  <si>
    <t>#DB_Guia_Seguimiento_Parcial</t>
  </si>
  <si>
    <t>#hasFrequency: #DB_Seguimiento_Frecuencia_Parcial;</t>
  </si>
  <si>
    <t>#hasDescription: Visitas cl nicas anuales para monitorizar desarrollo psicomotor y aparici n de s ntomas en deficiencia parcial de biotinidasa.;</t>
  </si>
  <si>
    <t>#DB_Guia_Seguimiento_Profunda</t>
  </si>
  <si>
    <t>#hasFrequency: #DB_Seguimiento_Frecuencia_Profunda;</t>
  </si>
  <si>
    <t>#hasDescription: Visitas cl nicas cada 3-6 meses en infancia y anual en adolescencia-adultez. Pruebas auditivas y visuales peri dicas; evaluaci n neurol gica y del desarrollo psicomotor; anal tica de control anual.;</t>
  </si>
  <si>
    <t>#DB_Hipotonia_BetaDist</t>
  </si>
  <si>
    <t>#hasAlfaParameter: 27.99; #hasBetaParameter: 28.01;</t>
  </si>
  <si>
    <t>#DB_Hipotonia_OnsetAge</t>
  </si>
  <si>
    <t>#isParameterOfManifestation: #DB_Aguda_Hipotonia; #includedByModel: #DB_ModelDES; #hasDataItemType: #DI_Age;</t>
  </si>
  <si>
    <t>#hasSource: Informe SESCS 2013, p. 32. Media reportada: 3,5 meses.; #hasSource: Informe SESCS 2013, p. 32; #hasDescription: Edad media de aparici n de la hipoton a aguda (en a os); #hasDescription: Edad media de aparici n de hipoton a aguda por deficiencia de biotinidasa (en a os).; #hasGeographicalContext: Espa a; #hasExpectedValue: 0.25; #hasExpectedValue: 0.29; #hasYear: 2013;</t>
  </si>
  <si>
    <t>#DB_Interv_Cribado</t>
  </si>
  <si>
    <t>#includedByModel: #DB_ModelDES;</t>
  </si>
  <si>
    <t>#hasDescription: Cribado neonatal universal mediante ensayo enzim tico o fluorim trico para detecci n precoz de la deficiencia de biotinidasa a partir de sangre seca en papel de filtro.; #hasDescription: Cribado neonatal universal mediante ensayo enzim tico o fluorim trico para la detecci n de deficiencia profunda de biotinidasa.;</t>
  </si>
  <si>
    <t>#DB_Interv_Dx_Clinico</t>
  </si>
  <si>
    <t>#hasDescription: Diagn stico cl nico de la deficiencia de biotinidasa basado en la sospecha por manifestaciones cl nicas (neurol gicas y cut neas), confirmado mediante determinaci n enzim tica/gen tica.;</t>
  </si>
  <si>
    <t>#DB_Interv_Dx_Cl nico</t>
  </si>
  <si>
    <t>#hasDescription: Diagn stico cl nico basado en la presencia de signos y s ntomas neurol gicos y cut neos indicativos de deficiencia profunda de biotinidasa.;</t>
  </si>
  <si>
    <t>#DB_Interv_Seguimiento</t>
  </si>
  <si>
    <t>#hasDescription: Seguimiento cl nico multidisciplinar: incluye control del desarrollo psicomotor, evaluaci n auditiva y visual peri dica, y apoyo familiar.;</t>
  </si>
  <si>
    <t>#DB_Interv_Tratamiento_Biotina</t>
  </si>
  <si>
    <t>#hasLineOfTherapy: #DB_Linea_Biotina; #includedByModel: #DB_ModelDES;</t>
  </si>
  <si>
    <t>#hasDescription: Tratamiento de la deficiencia de biotinidasa mediante administraci n oral de biotina a dosis farmacol gicas de por vida.;</t>
  </si>
  <si>
    <t>#DB_Linea_Biotina</t>
  </si>
  <si>
    <t>#hasGuideline: #DB_Guia_Biotina;</t>
  </si>
  <si>
    <t>#DB_Manif_CrisisAguda</t>
  </si>
  <si>
    <t>#hasDescription: Crisis aguda por deficiencia profunda de biotinidasa: episodios de encefalopat a, convulsiones y deterioro neurol gico brusco.;</t>
  </si>
  <si>
    <t>#DB_Manif_Cut nea</t>
  </si>
  <si>
    <t>#hasDescription: Manifestaciones cut neas cr nicas: dermatitis, alopecia, rash cut neo persistente.;</t>
  </si>
  <si>
    <t>#DB_Manif_Neurol gica</t>
  </si>
  <si>
    <t>#hasDescription: Manifestaciones neurol gicas cr nicas: sordera neurosensorial, ataxia, retraso del desarrollo psicomotor, convulsiones cr nicas.;</t>
  </si>
  <si>
    <t>#DB_Manif_Secuelas</t>
  </si>
  <si>
    <t>#hasDescription: Secuelas irreversibles: discapacidad intelectual, sordera neurosensorial persistente, afectaci n motora cr nica.;</t>
  </si>
  <si>
    <t>#DB_ModelDES</t>
  </si>
  <si>
    <t>#hasYear: 2013; #hasAuthor: SESCS, Gobierno de Canarias; #hasDescription: Modelo de simulaci n de eventos discretos para la evaluaci n del cribado neonatal de la deficiencia profunda de biotinidasa en Espa a.; #hasGeographicalContext: Espa a;</t>
  </si>
  <si>
    <t>#DB_PDef_Biotinidasa</t>
  </si>
  <si>
    <t>#hasIntervention: #DB_Interv_Dx_Cl nico; #hasIntervention: #DB_Interv_Cribado; #hasManifestation: #DB_Manif_Secuelas; #hasManifestation: #DB_Manif_Cut nea; #hasManifestation: #DB_Manif_CrisisAguda; #hasManifestation: #DB_Manif_Neurol gica; #hasDevelopment: #DB_Development_Profunda; #hasStage: #DB_Stage_Asintom tico; #hasStage: #DB_Stage_Sintom tico; #includedByModel: #DB_ModelDES;</t>
  </si>
  <si>
    <t>#hasName: Deficiencia profunda de biotinidasa; #hasYear: 2013; #hasRefToOMIM: OMIM:253260; #hasDescription: La deficiencia profunda de biotinidasa es un error cong nito del metabolismo, autos mico recesivo, que conduce a manifestaciones neurol gicas y cut neas graves si no se trata. La actividad enzim tica es inferior al 10% de lo normal.; #hasRefToORDO: ORDO:98875; #hasGeographicalContext: Espa a; #hasRefToSNOMED: SNOMED:86549004;</t>
  </si>
  <si>
    <t>#DB_PDef_Biotinidasa_PrevalenceParcial</t>
  </si>
  <si>
    <t>#includedByModel: #DB_ModelDES; #hasDataItemType: #DI_Prevalence; #isParameterOfDisease: #DB_PDef_Biotinidasa;</t>
  </si>
  <si>
    <t>#hasSource: Informe SESCS 2013, Comunidad de Galicia, p g. 31; #hasDescription: Prevalencia al nacimiento de la deficiencia parcial de biotinidasa (actividad 10 30%).; #hasYear: 2013; #hasExpectedValue: 2.96E-5; #isTrueEpidemiologicalParameterEstimate: true; #hasGeographicalContext: Espa a;</t>
  </si>
  <si>
    <t>#DB_PDef_Biotinidasa_PrevalenceTotal</t>
  </si>
  <si>
    <t>#isParameterOfDisease: #DB_PDef_Biotinidasa; #hasDataItemType: #DI_Prevalence; #includedByModel: #DB_ModelDES;</t>
  </si>
  <si>
    <t>#hasExpectedValue: 1.48E-5; #hasYear: 2013; #hasSource: Informe SESCS 2013, Comunidad de Galicia, p g. 31; #isTrueEpidemiologicalParameterEstimate: true; #hasDescription: Prevalencia al nacimiento de la deficiencia profunda de biotinidasa (actividad &lt;10%).; #hasGeographicalContext: Espa a;</t>
  </si>
  <si>
    <t>#DB_PDef_Biotinidasa_PrevalenceTotalGlobal</t>
  </si>
  <si>
    <t>#includedByModel: #DB_ModelDES; #isParameterOfDisease: #DB_PDef_Biotinidasa; #hasDataItemType: #DI_Prevalence;</t>
  </si>
  <si>
    <t>#hasSource: Informe SESCS 2013, Comunidad de Galicia, p g. 31; #isTrueEpidemiologicalParameterEstimate: true; #hasYear: 2013; #hasGeographicalContext: Espa a; #hasExpectedValue: 4.44E-5; #hasDescription: Prevalencia al nacimiento de cualquier deficiencia de biotinidasa (profunda o parcial).;</t>
  </si>
  <si>
    <t>#DB_Probabilidad_AtrofiaOptica</t>
  </si>
  <si>
    <t>#includedByModel: #DB_ModelDES; #hasUncertaintyCharacterization: #DB_AtrofiaOptica_BetaDist; #hasDataItemType: #DI_Probability; #isParameterOfManifestation: #DB_Cronica_AtrofiaOptica;</t>
  </si>
  <si>
    <t>#hasExpectedValue: 0.1667; #hasGeographicalContext: Espa a; #hasSource: Informe SESCS 2013, Tabla 2, meta-an lisis [24,32]; #hasDescription: Probabilidad de aparici n de atrofia  ptica en pacientes con deficiencia total de biotinidasa sin tratamiento.; #hasYear: 2013;</t>
  </si>
  <si>
    <t>#DB_Probabilidad_Convulsiones</t>
  </si>
  <si>
    <t>#hasUncertaintyCharacterization: #DB_Convulsiones_BetaDist; #includedByModel: #DB_ModelDES; #isParameterOfManifestation: #DB_Aguda_Convulsiones; #hasDataItemType: #DI_Probability;</t>
  </si>
  <si>
    <t>#hasExpectedValue: 0.5575; #hasYear: 2013; #hasGeographicalContext: Espa a; #hasDescription: Probabilidad de aparici n de convulsiones en pacientes con deficiencia total de biotinidasa sin tratamiento.; #hasSource: Informe SESCS 2013, Tabla 2, meta-an lisis [13,31,33,36,37];</t>
  </si>
  <si>
    <t>#DB_Probabilidad_Hipotonia</t>
  </si>
  <si>
    <t>#isParameterOfManifestation: #DB_Aguda_Hipotonia; #hasDataItemType: #DI_Probability; #includedByModel: #DB_ModelDES; #hasUncertaintyCharacterization: #DB_Hipotonia_BetaDist;</t>
  </si>
  <si>
    <t>#hasDescription: Probabilidad de aparici n de hipoton a en pacientes con deficiencia total de biotinidasa sin tratamiento.; #hasYear: 2013; #hasGeographicalContext: Espa a; #hasSource: Informe SESCS 2013, Tabla 2, meta-an lisis [13,33,37]; #hasExpectedValue: 0.5;</t>
  </si>
  <si>
    <t>#DB_Probabilidad_ProblemasPiel</t>
  </si>
  <si>
    <t>#hasDataItemType: #DI_Probability; #includedByModel: #DB_ModelDES; #hasUncertaintyCharacterization: #DB_ProblemasPiel_BetaDist; #isParameterOfManifestation: #DB_Aguda_ProblemasPiel;</t>
  </si>
  <si>
    <t>#hasGeographicalContext: Espa a; #hasExpectedValue: 0.3429; #hasSource: Informe SESCS 2013, Tabla 2, meta-an lisis [13,33,36,37]; #hasDescription: Probabilidad de aparici n de problemas de piel en pacientes con deficiencia total de biotinidasa sin tratamiento.; #hasYear: 2013;</t>
  </si>
  <si>
    <t>#DB_Probabilidad_RetrasoMental</t>
  </si>
  <si>
    <t>#hasUncertaintyCharacterization: #DB_RetrasoMental_BetaDist; #isParameterOfManifestation: #DB_Cronica_RetrasoMental; #includedByModel: #DB_ModelDES; #hasDataItemType: #DI_Probability;</t>
  </si>
  <si>
    <t>#hasGeographicalContext: Espa a; #hasYear: 2013; #hasDescription: Probabilidad de aparici n de retraso mental en pacientes con deficiencia total de biotinidasa sin tratamiento.; #hasExpectedValue: 0.3478; #hasSource: Informe SESCS 2013, Tabla 2, meta-an lisis [13,35 37];</t>
  </si>
  <si>
    <t>#DB_Probabilidad_Sordera</t>
  </si>
  <si>
    <t>#hasDataItemType: #DI_Probability; #includedByModel: #DB_ModelDES; #hasUncertaintyCharacterization: #DB_Sordera_BetaDist; #isParameterOfManifestation: #DB_Cronica_Sordera;</t>
  </si>
  <si>
    <t>#hasSource: Informe SESCS 2013, Tabla 2, meta-an lisis [24,27,34]; #hasGeographicalContext: Espa a; #hasExpectedValue: 0.6154; #hasDescription: Probabilidad de aparici n de p rdida auditiva en pacientes con deficiencia total de biotinidasa sin tratamiento.; #hasYear: 2013;</t>
  </si>
  <si>
    <t>#DB_ProblemasPiel_BetaDist</t>
  </si>
  <si>
    <t>#hasBetaParameter: 33.97; #hasAlfaParameter: 17.79;</t>
  </si>
  <si>
    <t>#DB_ProblemasPiel_OnsetAge</t>
  </si>
  <si>
    <t>#includedByModel: #DB_ModelDES; #hasDataItemType: #DI_Age; #isParameterOfManifestation: #DB_Aguda_ProblemasPiel;</t>
  </si>
  <si>
    <t>#hasSource: Informe SESCS 2013, p. 32; #hasSource: Informe SESCS 2013, p. 32. Media reportada: 3,5 meses.; #hasGeographicalContext: Espa a; #hasYear: 2013; #hasDescription: Edad media de aparici n de problemas de piel agudos por deficiencia de biotinidasa (en a os).; #hasDescription: Edad media de aparici n de los problemas de piel agudos (en a os); #hasExpectedValue: 0.25; #hasExpectedValue: 0.29;</t>
  </si>
  <si>
    <t>#DB_RetrasoMental_BetaDist</t>
  </si>
  <si>
    <t>#hasBetaParameter: 25.65; #hasAlfaParameter: 13.65;</t>
  </si>
  <si>
    <t>#DB_RetrasoMental_OnsetAge</t>
  </si>
  <si>
    <t>#isParameterOfManifestation: #DB_Cronica_RetrasoMental; #includedByModel: #DB_ModelDES; #hasDataItemType: #DI_Age;</t>
  </si>
  <si>
    <t>#hasDescription: Edad media de aparici n de retraso mental cr nico por deficiencia de biotinidasa (en a os).; #hasDescription: Edad media de aparici n del retraso mental cr nico (en a os); #hasExpectedValue: 2.0; #hasGeographicalContext: Espa a; #hasSource: Informe SESCS 2013, p. 32; #hasSource: Informe SESCS 2013, p. 32. S ntomas cr nicos suelen aparecer tras el primer a o; an lisis de sensibilidad: 2 a os.; #hasYear: 2013;</t>
  </si>
  <si>
    <t>#DB_Seguimiento_Frecuencia_Parcial</t>
  </si>
  <si>
    <t>#hasDataItemType: #DI_Frequency; #includedByModel: #DB_ModelDES; #isParameterOfManifestation: #DB_Seguimiento_Parcial;</t>
  </si>
  <si>
    <t>#hasGeographicalContext: Espa a; #hasSource: Informe SESCS 2013, protocolos internacionales.; #hasExpectedValue: 1.0; #hasYear: 2013; #hasDescription: Frecuencia de las revisiones cl nicas (veces/a o) en deficiencia parcial.;</t>
  </si>
  <si>
    <t>#DB_Seguimiento_Frecuencia_Profunda</t>
  </si>
  <si>
    <t>#hasDataItemType: #DI_Frequency; #isParameterOfManifestation: #DB_Seguimiento_Profunda; #includedByModel: #DB_ModelDES;</t>
  </si>
  <si>
    <t>#hasSource: Informe SESCS 2013, protocolos internacionales.; #hasExpectedValue: 3.0; #hasDescription: Frecuencia media de las revisiones cl nicas durante la infancia (veces/a o).; #hasGeographicalContext: Espa a; #hasYear: 2013;</t>
  </si>
  <si>
    <t>#DB_Seguimiento_Parcial</t>
  </si>
  <si>
    <t>#includedByModel: #DB_ModelDES; #hasGuideline: #DB_Guia_Seguimiento_Parcial;</t>
  </si>
  <si>
    <t>#hasDescription: Seguimiento cl nico para pacientes con deficiencia parcial de biotinidasa: controles del desarrollo y vigilancia de aparici n de s ntomas. Evaluaci n anual durante la infancia y adolescencia.;</t>
  </si>
  <si>
    <t>#DB_Seguimiento_Profunda</t>
  </si>
  <si>
    <t>#includedByModel: #DB_ModelDES; #hasGuideline: #DB_Guia_Seguimiento_Profunda;</t>
  </si>
  <si>
    <t>#hasDescription: Seguimiento cl nico multidisciplinar para pacientes con deficiencia profunda de biotinidasa: incluye control del desarrollo psicomotor, pruebas auditivas y oftalmol gicas peri dicas, y seguimiento anal tico regular. Evaluaci n cada 3-6 meses durante la infancia y anual posteriormente.;</t>
  </si>
  <si>
    <t>#DB_Sordera_BetaDist</t>
  </si>
  <si>
    <t>#hasAlfaParameter: 53.11; #hasBetaParameter: 33.14;</t>
  </si>
  <si>
    <t>#DB_Sordera_OnsetAge</t>
  </si>
  <si>
    <t>#hasDataItemType: #DI_Age; #includedByModel: #DB_ModelDES; #isParameterOfManifestation: #DB_Cronica_Sordera;</t>
  </si>
  <si>
    <t>#hasSource: Informe SESCS 2013, p. 32. S ntomas cr nicos suelen aparecer tras el primer a o; an lisis de sensibilidad: 2 a os.; #hasSource: Informe SESCS 2013, p. 32. S ntomas cr nicos suelen aparecer tras el primer a o de vida; an lisis de sensibilidad entre 2 y 10 a os.; #hasDescription: Edad media de aparici n de la sordera cr nica (en a os); #hasDescription: Edad media de aparici n de sordera cr nica por deficiencia de biotinidasa (en a os).; #hasExpectedValue: 2.0; #hasYear: 2013; #hasGeographicalContext: Espa a;</t>
  </si>
  <si>
    <t>#DB_Stage_Asintom tico</t>
  </si>
  <si>
    <t>#hasDescription: Estadio asintom tico: individuo con deficiencia profunda de biotinidasa, pero sin manifestaciones cl nicas detectables.;</t>
  </si>
  <si>
    <t>#DB_Stage_Sintom tico</t>
  </si>
  <si>
    <t>#hasManifestation: #DB_Manif_Cut nea; #hasManifestation: #DB_Manif_Neurol gica; #hasManifestation: #DB_Manif_Secuelas; #hasManifestation: #DB_Manif_CrisisAguda; #includedByModel: #DB_ModelDES;</t>
  </si>
  <si>
    <t>#hasDescription: Estadio sintom tico: individuo con manifestaciones cl nicas agudas o cr nicas de la deficiencia profunda de biotinidasa.;</t>
  </si>
  <si>
    <t>#DB_Tratamiento_Parcial</t>
  </si>
  <si>
    <t>#hasGuideline: #DB_Guia_Biotina_Parcial; #includedByModel: #DB_ModelDES;</t>
  </si>
  <si>
    <t>#hasDescription: Tratamiento est ndar de la deficiencia parcial de biotinidasa: biotina oral, habitualmente 5 mg/d a (rango 1-10 mg/d a), administrada de por vida. Algunos expertos permiten suspender en edad adulta si nunca hubo s ntomas.;</t>
  </si>
  <si>
    <t>#DB_Tratamiento_Profunda</t>
  </si>
  <si>
    <t>#includedByModel: #DB_ModelDES; #hasGuideline: #DB_Guia_Biotina_Profunda;</t>
  </si>
  <si>
    <t>#hasDescription: Tratamiento est ndar de la deficiencia profunda de biotinidasa: biotina oral a dosis farmacol gicas (10 mg/d a como valor central, rango 5-20 mg/d a), administrada de por vida.;</t>
  </si>
  <si>
    <t>#DB_Utilidad_Aguda</t>
  </si>
  <si>
    <t>#isParameterOfManifestation: #DB_Aguda_Hipotonia; #isParameterOfManifestation: #DB_Aguda_Convulsiones; #isParameterOfManifestation: #DB_Aguda_ProblemasPiel; #includedByModel: #DB_ModelDES;</t>
  </si>
  <si>
    <t>#hasExpectedValue: 0.88; #appliesOneTime: false; #hasSource: Informe SESCS 2013, Anexo 8.3, Tabla 18; ajustado de Bennett 2005, NICE, modelos encefalopat a aguda; #hasDescription: Utilidad asociada al estado de manifestaci n aguda (convulsiones, hipoton a o problemas de piel) en deficiencia de biotinidasa, reversible tras tratamiento.; #hasGeographicalContext: Espa a; #hasYear: 2013;</t>
  </si>
  <si>
    <t>#includedByModel: #DB_ModelDES; #isParameterOfManifestation: #DB_Cronica_AtrofiaOptica;</t>
  </si>
  <si>
    <t>#hasDescription: Utilidad asociada a atrofia  ptica permanente secundaria a deficiencia de biotinidasa.; #hasGeographicalContext: Espa a; #appliesOneTime: false; #hasExpectedValue: 0.7; #hasSource: Estimaci n basada en NICE, modelos de discapacidad visual grave; Informe SESCS 2013.; #hasYear: 2013;</t>
  </si>
  <si>
    <t>#DB_Utilidad_Basal</t>
  </si>
  <si>
    <t>#hasExpectedValue: 1.0; #hasDescription: Valor de utilidad para poblaci n infantil sana sin manifestaciones de deficiencia de biotinidasa.; #hasGeographicalContext: Espa a; #appliesOneTime: false; #hasYear: 2013; #hasSource: Informe SESCS 2013, Anexo 8.3, Tabla 18; EQ-5D general;</t>
  </si>
  <si>
    <t>#includedByModel: #DB_ModelDES; #isParameterOfManifestation: #DB_Cronica_RetrasoMental;</t>
  </si>
  <si>
    <t>#hasYear: 2013; #appliesOneTime: false; #hasDescription: Utilidad asociada a discapacidad intelectual permanente por deficiencia de biotinidasa.; #hasSource: Informe SESCS 2013, Anexo 8.3, Tabla 18; Bennett 2005, NICE; #hasGeographicalContext: Espa a; #hasExpectedValue: 0.64;</t>
  </si>
  <si>
    <t>#DB_Utilidad_Sordera</t>
  </si>
  <si>
    <t>#isParameterOfManifestation: #DB_Cronica_Sordera; #includedByModel: #DB_ModelDES;</t>
  </si>
  <si>
    <t>#hasGeographicalContext: Espa a; #hasSource: Informe SESCS 2013, Anexo 8.3, Tabla 18; NICE; #hasExpectedValue: 0.74; #hasDescription: Utilidad asociada a sordera neurosensorial permanente secundaria a deficiencia de biotinidasa.; #appliesOneTime: false; #hasYear: 2013;</t>
  </si>
  <si>
    <t>#DI_Age</t>
  </si>
  <si>
    <t>#DI_Dose</t>
  </si>
  <si>
    <t>#DI_Frequency</t>
  </si>
  <si>
    <t>Éxito</t>
  </si>
  <si>
    <t>ID</t>
  </si>
  <si>
    <t>Experiment characteristics</t>
  </si>
  <si>
    <t>Individuals created</t>
  </si>
  <si>
    <t>% hallucinations</t>
  </si>
  <si>
    <t>% individuals with source</t>
  </si>
  <si>
    <t>% Matched individuals</t>
  </si>
  <si>
    <t>Raw coverage percentage</t>
  </si>
  <si>
    <t>Global qualitative assessment</t>
  </si>
  <si>
    <t>Execution time (s)</t>
  </si>
  <si>
    <t>Number of corrections</t>
  </si>
  <si>
    <t>More relevant conclusions</t>
  </si>
  <si>
    <t>Use case</t>
  </si>
  <si>
    <t>Add sources</t>
  </si>
  <si>
    <t>Iterative</t>
  </si>
  <si>
    <t>GenAI model</t>
  </si>
  <si>
    <t>Serialization</t>
  </si>
  <si>
    <t>%Any</t>
  </si>
  <si>
    <t>%Structural</t>
  </si>
  <si>
    <t>%Semantic</t>
  </si>
  <si>
    <t>%Contextual</t>
  </si>
  <si>
    <t>%Evidence</t>
  </si>
  <si>
    <t>#classes hallucinated</t>
  </si>
  <si>
    <t>Consistency</t>
  </si>
  <si>
    <t>Relevance</t>
  </si>
  <si>
    <t>Completeness</t>
  </si>
  <si>
    <t>Adequacy</t>
  </si>
  <si>
    <t>Sum</t>
  </si>
  <si>
    <t>It used incorrectly the concept of Development, but it correctly defined the subtypes of the disease.
It did not handle the concept of intervention very well, as it also included treatment with biotin.
It was not consistent with the parameters and their nature.
Nor was it consistent in identifying concepts related to manifestations.</t>
  </si>
  <si>
    <t>Quite consistent in what it identified, although without proper use of objectProperties.
It identified very few concepts</t>
  </si>
  <si>
    <t>In general, it made very inconsistent use of ontology, employing invented class names without a clear pattern that approximated the original definitions. It also duplicated concepts.
It attempted to do as in CU3-F1-P2-M2, creating stages with apparent meaning to define the progression of the disease, but with less consistency and completeness than in that other experiment.
It also duplicated manifestations, giving definitions of more specific cases.
It did not define risks as parameters but, where it identified them, as dataProperties.
Although the coverage percentage is not low, the way in which the identified concepts are defined makes them largely unusable.</t>
  </si>
  <si>
    <t>It mistakenly identified most treatments as interventions.
Many hallucinations, both with class names and properties.
It had redundancy of individuals for the same or similar concept, such as developmental delay/mental retardation.
It modeled the effect of the intervention by doubling probabilities, although it was not very explicit.
It defined stages that make some sense, similar to CU1-P2-S1-M1 or CU3-F1-P2-M2.
It identified birth prevalence as associated with stages of disease, which does not make much sense.
Although many key concepts were missing, those it did identify were fairly comprehensive.</t>
  </si>
  <si>
    <t>It identified many manifestations, several of which were apparently redundant.
In general, it identified many concepts but without clear consistency. The relevance of many of the concepts identified was also unclear.
The handling of sources was deficient: it included numbers in brackets without any context.
However, the handling of ontology was more or less consistent and, except for the number of classes or properties resulting from a hallucination, the definitions were adequate.
At no point did it handle the nature of the parameters themselves, but neither did it make inconsistent use of this.</t>
  </si>
  <si>
    <t>It repeated concepts, such as manifestations, or different individuals for prevalence at birth.
Although it identified individuals for the risks of manifestations, it did not identify the risk of vision problems. It consistently used the characterization of uncertainty, although it only defined deterministic and, on occasion, confused the names of the classes (IRIDeterministicParameter).
It defined stages that make sense, similar to CU1-P2-S1-M1 or CU3-F1-P2-M2.
It identified birth prevalence as associated with stages of disease, which does not make much sense</t>
  </si>
  <si>
    <t>It included very few concepts, being particularly poor in the characterization of risks, but also in terms of population and interventions. Besides, it included two concepts of DiseaseProgression that should have been probably modeled as Development to make sense.
The individuals identified were relevant.
It made good use of the Utility-DeterministicParameter pair, but it lacked many classes and hardly identified any object properties</t>
  </si>
  <si>
    <t>It identified very few individuals. It barely created any properties and did not assign any classes.</t>
  </si>
  <si>
    <t>Although it covered many important concepts, it missed some key individuals, such as the interventions, the model, or the risk of the manifestations (it defined only times to onset). It consistently defined all parameters as deterministic, but then added hallucinated properties that spoil many individuals.</t>
  </si>
  <si>
    <t>It mixed stages and manifestations with no apparent objective. It also defined an unneglectable number of hallucinations.</t>
  </si>
  <si>
    <t>It created an individual for the model but used the DiscreteEventSimulationModel class instead of a tree.
It consistently identified triplets of individuals for manifestation, risk, and utility; but it only assigned the class correctly in the case of manifestations, and did not consistently assign properties to these individuals.
It identified almost all the expected manifestations and some more. It did not identify skin problems, but alopecia.
In general, it used object properties to relate individuals in a sensible way.</t>
  </si>
  <si>
    <t>It identified a single concept for all neurological problems (hypotonia, seizures, developmental delay, etc.).
It was not particularly consistent, as it generated individuals without a fixed pattern: for example, sometimes with incidence, sometimes without.
Although many concepts were missing, all the individuals generated were relevant.
Although key properties were missing in some individuals, all the individuals created were adequately connected by means of object properties.</t>
  </si>
  <si>
    <t>It found most of the seeked concepts and many others that seem reasonable manifestations. Only the population and an effect of the intervention were missed. It generated some individuals with no class/properties non-consistently with other similar individuals. The way it treated parameters and their nature was not consistent neither. However, in general, it used object properties correctly.</t>
  </si>
  <si>
    <t>It defined acute and chronic manifestations, but only used consistently object properties with the former. None of the economic concepts had a source. It also defined some individuals as interventions incorrecly, thus dificulting the direct use of the model. It combined stages and manifestations to model the progression of the disease in a way that is difficult to use in a model.</t>
  </si>
  <si>
    <t>It did not generate object properties. 
It was not consistent with the definition of parameters (sometimes specified the parameter type, and in one case, the nature; but not both at the same time. Nor in the use of references to sources.
It did not generate uncertainty characterization.</t>
  </si>
  <si>
    <t>It did not generate object properties.
It set the class of all instances to “Parameter” only, without introducing the nature of the parameter or using subclasses.</t>
  </si>
  <si>
    <t>It did not generate object properties. 
It hallucinated class names: UtilityParameter, TimeParameter, MortalityParameter.
However, it used nature + parameter more consistently.
It includes several concepts that appeared in the reference but were apparently relevant, such as mortality rate or time of symptom onset.
It also generated uncertainty values for some parameters.</t>
  </si>
  <si>
    <t>It did not generate object properties.
It used pairs of Parameter classes plus another subclass, sometimes the product of hallucination (UtilityParameter).
It invented dataProperties (hasLow95CI). It also defined probabilities but called them “_RR” as if they were relative risks.
In any case, it was fairly consistent in all definitions.</t>
  </si>
  <si>
    <t>It was consistent in what it defined, also making appropriate use of the concept of parameter nature.
Most of the individuals created were relevant, but many were missing.</t>
  </si>
  <si>
    <t>In general, the preformance of this configuration was extremely satisfactory. It also used consistently the deterministic nature of parameters (although it did not define uncertainty). It does not achieve perfect score because it generated a few unsolicited individuals and uncorrectly defined the values of two individuals.</t>
  </si>
  <si>
    <t>It treated diferently epidemiologic parameters and utilities: it used the nature of the parameter (deterministic) in the former but not the latter. It generated a few unsolicited individuals but forgot hypotonia.</t>
  </si>
  <si>
    <t>In general, the preformance of this configuration was extremely satisfactory. It consistently used the nature of the parameters by including both deterministic and second-order parameters. It generated an unsolicited individual (to define a model). The only major drawback is that a few individuals define literals with hallucinations</t>
  </si>
  <si>
    <t>Although it lacked coverage, it was quite consistent and coherent in what it found.</t>
  </si>
  <si>
    <t>Although the class names were described as hallucinations, the reality is that it simply added “IRI” before the correct class name. It got particularly confused with DataItems.
Apparently, it had to draw inspiration from instances created for a previously published version of the ontology.</t>
  </si>
  <si>
    <t>Although quite comprehensive, it identified many concepts that did not fit into ontology.
Consistency could be improved (e.g., there does not seem to be a relationship between the nature of the parameters and the properties it defines later). Nor did it define properties consistently.
The relevance of the findings was difficult to assess as there was a mixture of sought-after and unsought concepts, or concepts that are simply incorrect.
It generated many classes and properties that did not exist in the ontology.
It was the only one that identified reduced life expectancy due to mental retardation.
It attempted to define the effect of the intervention, but this would not be usable in ontology.</t>
  </si>
  <si>
    <t>It provided an alternative classification of stages that made sense, even though it differed from the original proposal.
It was not able to properly use the nature of the parameters together with the type. Specifically, it defined everything as deterministic, but sometimes using the parameter type (Utility) and sometimes the nature (DeterministicParameter).
It duplicated the utilities.</t>
  </si>
  <si>
    <t>In this case, the AI did not generate proper classes or properties. Hence, the individuals are almost useless.</t>
  </si>
  <si>
    <t>It used SecondOrderParameter for all the manifestation risks, but without definig any uncertainty. It used Deterministic for utilities and no nature for onsets. It created a individual DI_OnsetAge, which is not the expected way to declare onset ages but would make sense. In general it suffered from a non-neglectable percentage of structural and semantic hallucinations</t>
  </si>
  <si>
    <t>Systematically omitted the type for many individuals. It also created several unsolicitud or unsuitable individuals. It treated differently utilities and other parameters without a consistent approach.</t>
  </si>
  <si>
    <t>It generated many useful individuals, consistently using the parameter natures. Its main problem is the mixture of stages, manifestations and disease, together with some hallucinations in key classes and properties that would prevent the generated individuals to be used directly to generate a model.</t>
  </si>
  <si>
    <t>Full factorial</t>
  </si>
  <si>
    <t>Serialization XML</t>
  </si>
  <si>
    <t>Serialization Json and Turtle (only ChatGPT)</t>
  </si>
  <si>
    <t>Serialization XML + UC1</t>
  </si>
  <si>
    <t>Serialization XML + {UC2 | UC3}</t>
  </si>
  <si>
    <t>Serialization Json and Turtle (only ChatGPT) + UC1</t>
  </si>
  <si>
    <t>Serialization Json and Turtle (only ChatGPT) + {UC2 | UC3}</t>
  </si>
  <si>
    <t>Cases removed because useless</t>
  </si>
  <si>
    <t>CLASSES</t>
  </si>
  <si>
    <t>DATAPROPS</t>
  </si>
  <si>
    <t>OBJECTPROPS</t>
  </si>
  <si>
    <t>CONCEPTS</t>
  </si>
  <si>
    <t>UC1</t>
  </si>
  <si>
    <t>UC2</t>
  </si>
  <si>
    <t>UC3</t>
  </si>
  <si>
    <t>GROUP OF CONCEPTS</t>
  </si>
  <si>
    <t>REMOVEhasFrequency</t>
  </si>
  <si>
    <t>belongsToGroup</t>
  </si>
  <si>
    <t>AgentBasedModel</t>
  </si>
  <si>
    <t>appliesOneTime</t>
  </si>
  <si>
    <t>dependsOnAttribute</t>
  </si>
  <si>
    <t>Attribute</t>
  </si>
  <si>
    <t>failsIf</t>
  </si>
  <si>
    <t>dependsOnParameter</t>
  </si>
  <si>
    <t>hasAlfaParameter</t>
  </si>
  <si>
    <t>excludesManifestation</t>
  </si>
  <si>
    <t>hasAuthor</t>
  </si>
  <si>
    <t>followedByStrategy</t>
  </si>
  <si>
    <t>CalculatedParameter</t>
  </si>
  <si>
    <t>hasAverageParameter</t>
  </si>
  <si>
    <t>hasAge</t>
  </si>
  <si>
    <t>hasBetaParameter</t>
  </si>
  <si>
    <t>hasAttributeValue</t>
  </si>
  <si>
    <t>ConditionExpression</t>
  </si>
  <si>
    <t>hasCalculationMethod</t>
  </si>
  <si>
    <t>hasComponent</t>
  </si>
  <si>
    <t>hasDescription</t>
  </si>
  <si>
    <t>hasConditionExpression</t>
  </si>
  <si>
    <t>Currency</t>
  </si>
  <si>
    <t>hasDisutilityCombinationMethod</t>
  </si>
  <si>
    <t>hasCost</t>
  </si>
  <si>
    <t>DataItemType</t>
  </si>
  <si>
    <t>hasExpectedValue</t>
  </si>
  <si>
    <t>hasDataItemType</t>
  </si>
  <si>
    <t>hasExpressionValue</t>
  </si>
  <si>
    <t>hasDevelopment</t>
  </si>
  <si>
    <t>DetectionIntervention</t>
  </si>
  <si>
    <t>hasGeographicalContext</t>
  </si>
  <si>
    <t>hasDiagnosisCost</t>
  </si>
  <si>
    <t>DetectionStrategy</t>
  </si>
  <si>
    <t>hasHoursInterval</t>
  </si>
  <si>
    <t>hasDiagnosisStrategy</t>
  </si>
  <si>
    <t>hasLambdaParameter</t>
  </si>
  <si>
    <t>hasDose</t>
  </si>
  <si>
    <t>hasLowerLimitParameter</t>
  </si>
  <si>
    <t>hasDuration</t>
  </si>
  <si>
    <t>DevelopmentPathway</t>
  </si>
  <si>
    <t>hasMaxAge</t>
  </si>
  <si>
    <t>hasEndAge</t>
  </si>
  <si>
    <t>hasMinAge</t>
  </si>
  <si>
    <t>hasEpidemiologicalParameter</t>
  </si>
  <si>
    <t>hasName</t>
  </si>
  <si>
    <t>hasExpressionLanguage</t>
  </si>
  <si>
    <t>hasOffsetParameter</t>
  </si>
  <si>
    <t>hasFollowUpCost</t>
  </si>
  <si>
    <t>hasProbabilityDistributionParameter</t>
  </si>
  <si>
    <t>hasFollowUpStrategy</t>
  </si>
  <si>
    <t>DiseasePathway</t>
  </si>
  <si>
    <t>hasProbabilityParameter</t>
  </si>
  <si>
    <t>hasFrequency</t>
  </si>
  <si>
    <t>hasRange</t>
  </si>
  <si>
    <t>hasGuideline</t>
  </si>
  <si>
    <t>DiseaseProgressionPathway</t>
  </si>
  <si>
    <t>hasRefTo</t>
  </si>
  <si>
    <t>hasIncreasedMortalityRate</t>
  </si>
  <si>
    <t>hasRefToDO</t>
  </si>
  <si>
    <t>hasInitialProportion</t>
  </si>
  <si>
    <t>hasRefToGARD</t>
  </si>
  <si>
    <t>hasIntervention</t>
  </si>
  <si>
    <t>ExponentialDistributionExpression</t>
  </si>
  <si>
    <t>hasRefToICD</t>
  </si>
  <si>
    <t>hasLifeExpectancy</t>
  </si>
  <si>
    <t>ExpressionLanguage</t>
  </si>
  <si>
    <t>hasRefToOMIM</t>
  </si>
  <si>
    <t>hasLifeExpectancyReduction</t>
  </si>
  <si>
    <t>FirstOrderUncertaintyParameter</t>
  </si>
  <si>
    <t>hasRefToORDO</t>
  </si>
  <si>
    <t>hasLineOfTherapy</t>
  </si>
  <si>
    <t>hasRefToSNOMED</t>
  </si>
  <si>
    <t>hasManifestation</t>
  </si>
  <si>
    <t>hasRefToSTATO</t>
  </si>
  <si>
    <t>hasNaturalDevelopment</t>
  </si>
  <si>
    <t>hasRefToWikidata</t>
  </si>
  <si>
    <t>hasOnsetAge</t>
  </si>
  <si>
    <t>Group</t>
  </si>
  <si>
    <t>hasScaleParameter</t>
  </si>
  <si>
    <t>hasParameter</t>
  </si>
  <si>
    <t>GroupableModelItem</t>
  </si>
  <si>
    <t>hasSize</t>
  </si>
  <si>
    <t>hasProbabilityOfDeath</t>
  </si>
  <si>
    <t>hasSource</t>
  </si>
  <si>
    <t>hasProbabilityOfDiagnosis</t>
  </si>
  <si>
    <t>HealthTechnology</t>
  </si>
  <si>
    <t>hasStandardDeviationParameter</t>
  </si>
  <si>
    <t>hasProportionWithinGroup</t>
  </si>
  <si>
    <t>hasUnit</t>
  </si>
  <si>
    <t>hasRiskCharacterization</t>
  </si>
  <si>
    <t>hasUpperLimitParameter</t>
  </si>
  <si>
    <t>hasScreeningStrategy</t>
  </si>
  <si>
    <t>hasYear</t>
  </si>
  <si>
    <t>hasSensitivity</t>
  </si>
  <si>
    <t>MarkovModel</t>
  </si>
  <si>
    <t>isTrueEpidemiologicalParameterEstimate</t>
  </si>
  <si>
    <t>hasSex</t>
  </si>
  <si>
    <t>MeasuredDataItemType</t>
  </si>
  <si>
    <t>owltopDataProperty</t>
  </si>
  <si>
    <t>hasSpecificity</t>
  </si>
  <si>
    <t>Model</t>
  </si>
  <si>
    <t>hasStage</t>
  </si>
  <si>
    <t>ModelItem</t>
  </si>
  <si>
    <t>hasStrategy</t>
  </si>
  <si>
    <t>NormalDistributionExpression</t>
  </si>
  <si>
    <t>hasSubpopulation</t>
  </si>
  <si>
    <t>hasTemporaryThreshold</t>
  </si>
  <si>
    <t>ParameterNature</t>
  </si>
  <si>
    <t>hasTreatmentCost</t>
  </si>
  <si>
    <t>Pathway</t>
  </si>
  <si>
    <t>hasUncertaintyCharacterization</t>
  </si>
  <si>
    <t>PoissonDistributionExpression</t>
  </si>
  <si>
    <t>hasUtility</t>
  </si>
  <si>
    <t>hasValue</t>
  </si>
  <si>
    <t>ProbabilityDistributionExpression</t>
  </si>
  <si>
    <t>includedByModel</t>
  </si>
  <si>
    <t>ProportionWithinGroup</t>
  </si>
  <si>
    <t>includesModelItem</t>
  </si>
  <si>
    <t>involvesModification</t>
  </si>
  <si>
    <t>isModifiedBy</t>
  </si>
  <si>
    <t>isParameterOf</t>
  </si>
  <si>
    <t>isParameterOfDisease</t>
  </si>
  <si>
    <t>isParameterOfManifestation</t>
  </si>
  <si>
    <t>Strategy</t>
  </si>
  <si>
    <t>isParameterOfPopulation</t>
  </si>
  <si>
    <t>isSubpopulationOf</t>
  </si>
  <si>
    <t>isValueOfAttribute</t>
  </si>
  <si>
    <t>modifies</t>
  </si>
  <si>
    <t>requires</t>
  </si>
  <si>
    <t>:usesDrug</t>
  </si>
  <si>
    <t>:usesFollowUpTest</t>
  </si>
  <si>
    <t>:usesHealthTechnology</t>
  </si>
  <si>
    <t>:usesSameModelItemsAs</t>
  </si>
  <si>
    <t>:usesTreatment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</si>
</sst>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rgb="FF000000"/>
      <name val="Arial"/>
      <scheme val="minor"/>
    </font>
    <font>
      <sz val="10"/>
      <color theme="1"/>
      <name val="Arial"/>
      <scheme val="minor"/>
    </font>
    <font>
      <b/>
      <sz val="10"/>
      <color rgb="FFFFFFFF"/>
      <name val="Arial"/>
    </font>
    <font>
      <sz val="10"/>
      <color theme="1"/>
      <name val="Arial"/>
    </font>
    <font>
      <b/>
      <sz val="10"/>
      <color rgb="FFFFFFFF"/>
      <name val="Arial"/>
      <scheme val="minor"/>
    </font>
  </fonts>
  <fills count="5">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0B5394"/>
        <bgColor rgb="FF0B539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wrapText="1"/>
    </xf>
    <xf numFmtId="0" fontId="2" fillId="2" borderId="0" xfId="0" applyFont="1" applyFill="1" applyAlignment="1">
      <alignment wrapText="1"/>
    </xf>
    <xf numFmtId="0" fontId="3" fillId="2" borderId="0" xfId="0" applyFont="1" applyFill="1"/>
    <xf numFmtId="0" fontId="4" fillId="2" borderId="0" xfId="0" applyFont="1" applyFill="1" applyAlignment="1">
      <alignment wrapText="1"/>
    </xf>
    <xf numFmtId="0" fontId="3" fillId="0" borderId="0" xfId="0" applyFont="1" applyAlignment="1">
      <alignment horizontal="right" wrapText="1"/>
    </xf>
    <xf numFmtId="0" fontId="3" fillId="0" borderId="0" xfId="0" applyFont="1" applyAlignment="1">
      <alignment wrapText="1"/>
    </xf>
    <xf numFmtId="0" fontId="3" fillId="0" borderId="0" xfId="0" applyFont="1" applyAlignment="1">
      <alignment horizontal="center" wrapText="1"/>
    </xf>
    <xf numFmtId="0" fontId="3" fillId="0" borderId="0" xfId="0" applyFont="1"/>
    <xf numFmtId="0" fontId="3" fillId="0" borderId="0" xfId="0" applyFont="1" applyAlignment="1">
      <alignment horizontal="center"/>
    </xf>
    <xf numFmtId="0" fontId="3" fillId="3" borderId="0" xfId="0" applyFont="1" applyFill="1"/>
    <xf numFmtId="0" fontId="3" fillId="3" borderId="0" xfId="0" applyFont="1" applyFill="1" applyAlignment="1">
      <alignment wrapText="1"/>
    </xf>
    <xf numFmtId="0" fontId="3" fillId="3" borderId="0" xfId="0" applyFont="1" applyFill="1" applyAlignment="1">
      <alignment horizontal="center"/>
    </xf>
    <xf numFmtId="10" fontId="1" fillId="0" borderId="0" xfId="0" applyNumberFormat="1" applyFont="1" applyAlignment="1">
      <alignment wrapText="1"/>
    </xf>
    <xf numFmtId="10" fontId="1" fillId="0" borderId="0" xfId="0" applyNumberFormat="1" applyFont="1"/>
    <xf numFmtId="0" fontId="4" fillId="4" borderId="0" xfId="0" applyFont="1" applyFill="1" applyAlignment="1">
      <alignment wrapText="1"/>
    </xf>
    <xf numFmtId="0" fontId="4" fillId="4" borderId="0" xfId="0" applyFont="1" applyFill="1"/>
    <xf numFmtId="164" fontId="1" fillId="0" borderId="0" xfId="0" applyNumberFormat="1" applyFont="1"/>
    <xf numFmtId="0" fontId="4" fillId="2" borderId="0" xfId="0" applyFont="1" applyFill="1" applyAlignment="1">
      <alignment horizontal="center"/>
    </xf>
    <xf numFmtId="0" fontId="0" fillId="0" borderId="0" xfId="0"/>
    <xf numFmtId="0" fontId="4" fillId="2" borderId="0" xfId="0" applyFont="1" applyFill="1" applyAlignment="1">
      <alignment wrapText="1"/>
    </xf>
    <xf numFmtId="0" fontId="4" fillId="2" borderId="0" xfId="0" applyFont="1" applyFill="1"/>
    <xf numFmtId="0" fontId="4" fillId="2" borderId="0" xfId="0" applyFont="1" applyFill="1" applyAlignment="1">
      <alignment horizontal="center" wrapText="1"/>
    </xf>
  </cellXfs>
  <cellStyles count="1">
    <cellStyle name="Normal" xfId="0" builtinId="0"/>
  </cellStyles>
  <dxfs count="1">
    <dxf>
      <fill>
        <patternFill patternType="solid">
          <fgColor rgb="FF9FC5E8"/>
          <bgColor rgb="FF9FC5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IVAN CASTILLA RODRIGUEZ" id="{E8C560DF-F2D1-4BDF-A653-0EBC9F2BEBAC}"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97" dT="2026-02-05T09:06:23.00" personId="{E8C560DF-F2D1-4BDF-A653-0EBC9F2BEBAC}" id="{5D53BAB8-2712-471E-853B-391E65F454D6}">
    <text>A partir de aquí tuve que iniciar un nuevo hilo con la IA, que estaba alucinando con las alucinaciones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369"/>
  <sheetViews>
    <sheetView workbookViewId="0">
      <pane xSplit="2" ySplit="1" topLeftCell="C2" activePane="bottomRight" state="frozen"/>
      <selection pane="topRight" activeCell="C1" sqref="C1"/>
      <selection pane="bottomLeft" activeCell="A2" sqref="A2"/>
      <selection pane="bottomRight" activeCell="Z8" sqref="Z8"/>
    </sheetView>
  </sheetViews>
  <sheetFormatPr baseColWidth="10" defaultColWidth="12.6640625" defaultRowHeight="15.75" customHeight="1" x14ac:dyDescent="0.25"/>
  <cols>
    <col min="1" max="1" width="15.88671875" customWidth="1"/>
    <col min="2" max="2" width="28.33203125" customWidth="1"/>
    <col min="3" max="3" width="22.88671875" customWidth="1"/>
    <col min="4" max="4" width="10.77734375" hidden="1" customWidth="1"/>
    <col min="5" max="5" width="10" hidden="1" customWidth="1"/>
    <col min="6" max="6" width="14.109375" hidden="1" customWidth="1"/>
    <col min="7" max="7" width="13.21875" hidden="1" customWidth="1"/>
    <col min="8" max="8" width="10.21875" hidden="1" customWidth="1"/>
    <col min="9" max="9" width="13" hidden="1" customWidth="1"/>
    <col min="10" max="10" width="10.33203125" hidden="1" customWidth="1"/>
    <col min="11" max="11" width="13.21875" hidden="1" customWidth="1"/>
    <col min="12" max="12" width="44.44140625" customWidth="1"/>
    <col min="13" max="13" width="51" customWidth="1"/>
    <col min="14" max="14" width="22" customWidth="1"/>
    <col min="15" max="18" width="11.44140625" customWidth="1"/>
    <col min="19" max="19" width="17.77734375" customWidth="1"/>
    <col min="20" max="20" width="13.44140625" customWidth="1"/>
    <col min="21" max="21" width="9" customWidth="1"/>
    <col min="22" max="22" width="11.44140625" customWidth="1"/>
    <col min="23" max="26" width="9" customWidth="1"/>
    <col min="27" max="27" width="32.77734375" customWidth="1"/>
  </cols>
  <sheetData>
    <row r="1" spans="1:27" x14ac:dyDescent="0.25">
      <c r="A1" s="1" t="s">
        <v>71</v>
      </c>
      <c r="B1" s="2" t="s">
        <v>0</v>
      </c>
      <c r="C1" s="2" t="s">
        <v>72</v>
      </c>
      <c r="D1" s="3" t="s">
        <v>73</v>
      </c>
      <c r="E1" s="3" t="s">
        <v>74</v>
      </c>
      <c r="F1" s="3" t="s">
        <v>75</v>
      </c>
      <c r="G1" s="4"/>
      <c r="H1" s="3" t="s">
        <v>76</v>
      </c>
      <c r="I1" s="3" t="s">
        <v>77</v>
      </c>
      <c r="J1" s="3" t="s">
        <v>78</v>
      </c>
      <c r="K1" s="3" t="s">
        <v>79</v>
      </c>
      <c r="L1" s="2" t="s">
        <v>1</v>
      </c>
      <c r="M1" s="2" t="s">
        <v>2</v>
      </c>
      <c r="N1" s="2" t="s">
        <v>80</v>
      </c>
      <c r="O1" s="1" t="s">
        <v>81</v>
      </c>
      <c r="P1" s="1" t="s">
        <v>82</v>
      </c>
      <c r="Q1" s="1" t="s">
        <v>83</v>
      </c>
      <c r="R1" s="1" t="s">
        <v>84</v>
      </c>
      <c r="S1" s="5" t="s">
        <v>85</v>
      </c>
      <c r="T1" s="5" t="s">
        <v>86</v>
      </c>
      <c r="U1" s="5" t="s">
        <v>87</v>
      </c>
      <c r="V1" s="5" t="s">
        <v>88</v>
      </c>
      <c r="W1" s="5" t="s">
        <v>89</v>
      </c>
      <c r="X1" s="5" t="s">
        <v>90</v>
      </c>
      <c r="Y1" s="5" t="s">
        <v>91</v>
      </c>
      <c r="Z1" s="5" t="s">
        <v>92</v>
      </c>
      <c r="AA1" s="5" t="s">
        <v>93</v>
      </c>
    </row>
    <row r="2" spans="1:27" x14ac:dyDescent="0.25">
      <c r="A2" s="1" t="s">
        <v>94</v>
      </c>
      <c r="B2" s="2" t="s">
        <v>95</v>
      </c>
      <c r="C2" s="2" t="s">
        <v>96</v>
      </c>
      <c r="D2" s="6">
        <f t="shared" ref="D2:D256" si="0">IF(ISBLANK(C2),0,LEN(C2)-LEN(SUBSTITUTE(C2,";",""))+1)</f>
        <v>1</v>
      </c>
      <c r="E2" s="7" t="str">
        <f t="shared" ref="E2:E256" si="1">IF(D2&lt;2,C2,LEFT(C2,FIND(";",C2)-1))</f>
        <v>CostParameter</v>
      </c>
      <c r="F2" s="8" t="b">
        <f>IF(D2&lt;1,FALSE,ISERROR(MATCH(E2,'Ontology and concepts per UC'!$A$2:$A$62,0)))</f>
        <v>1</v>
      </c>
      <c r="G2" s="9" t="str">
        <f t="shared" ref="G2:G256" si="2">IF(D2&lt;2,"",MID(C2,LEN(E2)+3,LEN(C2)-FIND(";",C2)-1))</f>
        <v/>
      </c>
      <c r="H2" s="9" t="str">
        <f t="shared" ref="H2:H256" si="3">IF(D2&lt;3,G2,LEFT(G2,FIND(";",G2)-1))</f>
        <v/>
      </c>
      <c r="I2" s="8" t="b">
        <f>IF(D2&lt;2,FALSE,ISERROR(MATCH(H2,'Ontology and concepts per UC'!$A$2:$A$62,0)))</f>
        <v>0</v>
      </c>
      <c r="J2" s="9" t="str">
        <f t="shared" ref="J2:J256" si="4">IF(D2&lt;3,"",RIGHT(G2,LEN(G2)-FIND(";",G2)-1))</f>
        <v/>
      </c>
      <c r="K2" s="8" t="b">
        <f>IF(D2&lt;3,FALSE,ISERROR(MATCH(J2,'Ontology and concepts per UC'!$A$2:$A$62,0)))</f>
        <v>0</v>
      </c>
      <c r="L2" s="2"/>
      <c r="M2" s="2" t="s">
        <v>97</v>
      </c>
      <c r="N2" s="2"/>
      <c r="O2" s="1" t="b">
        <v>0</v>
      </c>
      <c r="P2" s="1">
        <v>1</v>
      </c>
      <c r="Q2" s="1">
        <v>0</v>
      </c>
      <c r="R2" s="1" t="b">
        <f t="shared" ref="R2:R256" si="5">NOT(ISERROR(SEARCH("hasSource",M2)))</f>
        <v>0</v>
      </c>
      <c r="S2" s="2" t="s">
        <v>11</v>
      </c>
      <c r="T2" s="1" t="str">
        <f>IF(S2="","",VLOOKUP(S2,'Ontology and concepts per UC'!$F$2:$J$46,5,FALSE))</f>
        <v>Coste</v>
      </c>
      <c r="U2" s="1" t="b">
        <f t="array" ref="U2">(INDEX('Ontology and concepts per UC'!$G$2:$I$46,MATCH($S2,'Ontology and concepts per UC'!$F$2:$F$46,0),MATCH(LEFT($A2,3),'Ontology and concepts per UC'!$G$1:$I$1,0))=0)</f>
        <v>0</v>
      </c>
      <c r="V2" s="1" t="b">
        <f t="shared" ref="V2:V256" si="6">COUNTIF(W2:Z2,TRUE)&gt;0</f>
        <v>1</v>
      </c>
      <c r="W2" s="1" t="b">
        <v>1</v>
      </c>
      <c r="X2" s="1" t="b">
        <v>0</v>
      </c>
      <c r="Y2" s="1" t="b">
        <v>0</v>
      </c>
      <c r="Z2" s="1" t="b">
        <v>0</v>
      </c>
      <c r="AA2" s="1" t="s">
        <v>98</v>
      </c>
    </row>
    <row r="3" spans="1:27" x14ac:dyDescent="0.25">
      <c r="A3" s="1" t="s">
        <v>94</v>
      </c>
      <c r="B3" s="2" t="s">
        <v>99</v>
      </c>
      <c r="C3" s="2" t="s">
        <v>96</v>
      </c>
      <c r="D3" s="6">
        <f t="shared" si="0"/>
        <v>1</v>
      </c>
      <c r="E3" s="7" t="str">
        <f t="shared" si="1"/>
        <v>CostParameter</v>
      </c>
      <c r="F3" s="8" t="b">
        <f>IF(D3&lt;1,FALSE,ISERROR(MATCH(E3,'Ontology and concepts per UC'!$A$2:$A$62,0)))</f>
        <v>1</v>
      </c>
      <c r="G3" s="9" t="str">
        <f t="shared" si="2"/>
        <v/>
      </c>
      <c r="H3" s="9" t="str">
        <f t="shared" si="3"/>
        <v/>
      </c>
      <c r="I3" s="8" t="b">
        <f>IF(D3&lt;2,FALSE,ISERROR(MATCH(H3,'Ontology and concepts per UC'!$A$2:$A$62,0)))</f>
        <v>0</v>
      </c>
      <c r="J3" s="9" t="str">
        <f t="shared" si="4"/>
        <v/>
      </c>
      <c r="K3" s="8" t="b">
        <f>IF(D3&lt;3,FALSE,ISERROR(MATCH(J3,'Ontology and concepts per UC'!$A$2:$A$62,0)))</f>
        <v>0</v>
      </c>
      <c r="L3" s="2"/>
      <c r="M3" s="2" t="s">
        <v>100</v>
      </c>
      <c r="N3" s="2"/>
      <c r="O3" s="1" t="b">
        <v>0</v>
      </c>
      <c r="P3" s="1">
        <v>1</v>
      </c>
      <c r="Q3" s="1">
        <v>0</v>
      </c>
      <c r="R3" s="1" t="b">
        <f t="shared" si="5"/>
        <v>0</v>
      </c>
      <c r="S3" s="2" t="s">
        <v>6</v>
      </c>
      <c r="T3" s="1" t="str">
        <f>IF(S3="","",VLOOKUP(S3,'Ontology and concepts per UC'!$F$2:$J$46,5,FALSE))</f>
        <v>Coste</v>
      </c>
      <c r="U3" s="1" t="b">
        <f t="array" ref="U3">(INDEX('Ontology and concepts per UC'!$G$2:$I$46,MATCH($S3,'Ontology and concepts per UC'!$F$2:$F$46,0),MATCH(LEFT($A3,3),'Ontology and concepts per UC'!$G$1:$I$1,0))=0)</f>
        <v>0</v>
      </c>
      <c r="V3" s="1" t="b">
        <f t="shared" si="6"/>
        <v>1</v>
      </c>
      <c r="W3" s="1" t="b">
        <v>1</v>
      </c>
      <c r="X3" s="1" t="b">
        <v>0</v>
      </c>
      <c r="Y3" s="1" t="b">
        <v>0</v>
      </c>
      <c r="Z3" s="1" t="b">
        <v>0</v>
      </c>
      <c r="AA3" s="1" t="s">
        <v>98</v>
      </c>
    </row>
    <row r="4" spans="1:27" x14ac:dyDescent="0.25">
      <c r="A4" s="1" t="s">
        <v>94</v>
      </c>
      <c r="B4" s="2" t="s">
        <v>101</v>
      </c>
      <c r="C4" s="2" t="s">
        <v>96</v>
      </c>
      <c r="D4" s="6">
        <f t="shared" si="0"/>
        <v>1</v>
      </c>
      <c r="E4" s="7" t="str">
        <f t="shared" si="1"/>
        <v>CostParameter</v>
      </c>
      <c r="F4" s="8" t="b">
        <f>IF(D4&lt;1,FALSE,ISERROR(MATCH(E4,'Ontology and concepts per UC'!$A$2:$A$62,0)))</f>
        <v>1</v>
      </c>
      <c r="G4" s="9" t="str">
        <f t="shared" si="2"/>
        <v/>
      </c>
      <c r="H4" s="9" t="str">
        <f t="shared" si="3"/>
        <v/>
      </c>
      <c r="I4" s="8" t="b">
        <f>IF(D4&lt;2,FALSE,ISERROR(MATCH(H4,'Ontology and concepts per UC'!$A$2:$A$62,0)))</f>
        <v>0</v>
      </c>
      <c r="J4" s="9" t="str">
        <f t="shared" si="4"/>
        <v/>
      </c>
      <c r="K4" s="8" t="b">
        <f>IF(D4&lt;3,FALSE,ISERROR(MATCH(J4,'Ontology and concepts per UC'!$A$2:$A$62,0)))</f>
        <v>0</v>
      </c>
      <c r="L4" s="2"/>
      <c r="M4" s="2" t="s">
        <v>102</v>
      </c>
      <c r="N4" s="2"/>
      <c r="O4" s="1" t="b">
        <v>0</v>
      </c>
      <c r="P4" s="1">
        <v>1</v>
      </c>
      <c r="Q4" s="1">
        <v>0</v>
      </c>
      <c r="R4" s="1" t="b">
        <f t="shared" si="5"/>
        <v>0</v>
      </c>
      <c r="S4" s="2" t="s">
        <v>10</v>
      </c>
      <c r="T4" s="1" t="str">
        <f>IF(S4="","",VLOOKUP(S4,'Ontology and concepts per UC'!$F$2:$J$46,5,FALSE))</f>
        <v>Coste</v>
      </c>
      <c r="U4" s="1" t="b">
        <f t="array" ref="U4">(INDEX('Ontology and concepts per UC'!$G$2:$I$46,MATCH($S4,'Ontology and concepts per UC'!$F$2:$F$46,0),MATCH(LEFT($A4,3),'Ontology and concepts per UC'!$G$1:$I$1,0))=0)</f>
        <v>0</v>
      </c>
      <c r="V4" s="1" t="b">
        <f t="shared" si="6"/>
        <v>1</v>
      </c>
      <c r="W4" s="1" t="b">
        <v>1</v>
      </c>
      <c r="X4" s="1" t="b">
        <v>0</v>
      </c>
      <c r="Y4" s="1" t="b">
        <v>0</v>
      </c>
      <c r="Z4" s="1" t="b">
        <v>0</v>
      </c>
      <c r="AA4" s="1" t="s">
        <v>98</v>
      </c>
    </row>
    <row r="5" spans="1:27" x14ac:dyDescent="0.25">
      <c r="A5" s="1" t="s">
        <v>94</v>
      </c>
      <c r="B5" s="2" t="s">
        <v>103</v>
      </c>
      <c r="C5" s="2" t="s">
        <v>104</v>
      </c>
      <c r="D5" s="6">
        <f t="shared" si="0"/>
        <v>1</v>
      </c>
      <c r="E5" s="7" t="str">
        <f t="shared" si="1"/>
        <v>Disease</v>
      </c>
      <c r="F5" s="8" t="b">
        <f>IF(D5&lt;1,FALSE,ISERROR(MATCH(E5,'Ontology and concepts per UC'!$A$2:$A$62,0)))</f>
        <v>0</v>
      </c>
      <c r="G5" s="9" t="str">
        <f t="shared" si="2"/>
        <v/>
      </c>
      <c r="H5" s="9" t="str">
        <f t="shared" si="3"/>
        <v/>
      </c>
      <c r="I5" s="8" t="b">
        <f>IF(D5&lt;2,FALSE,ISERROR(MATCH(H5,'Ontology and concepts per UC'!$A$2:$A$62,0)))</f>
        <v>0</v>
      </c>
      <c r="J5" s="9" t="str">
        <f t="shared" si="4"/>
        <v/>
      </c>
      <c r="K5" s="8" t="b">
        <f>IF(D5&lt;3,FALSE,ISERROR(MATCH(J5,'Ontology and concepts per UC'!$A$2:$A$62,0)))</f>
        <v>0</v>
      </c>
      <c r="L5" s="2" t="s">
        <v>105</v>
      </c>
      <c r="M5" s="2" t="s">
        <v>106</v>
      </c>
      <c r="N5" s="2"/>
      <c r="O5" s="1" t="b">
        <v>0</v>
      </c>
      <c r="P5" s="1">
        <v>0</v>
      </c>
      <c r="Q5" s="1">
        <v>1</v>
      </c>
      <c r="R5" s="1" t="b">
        <f t="shared" si="5"/>
        <v>0</v>
      </c>
      <c r="S5" s="2" t="s">
        <v>107</v>
      </c>
      <c r="T5" s="1" t="str">
        <f>IF(S5="","",VLOOKUP(S5,'Ontology and concepts per UC'!$F$2:$J$46,5,FALSE))</f>
        <v>Parcial</v>
      </c>
      <c r="U5" s="1" t="b">
        <f t="array" ref="U5">(INDEX('Ontology and concepts per UC'!$G$2:$I$46,MATCH($S5,'Ontology and concepts per UC'!$F$2:$F$46,0),MATCH(LEFT($A5,3),'Ontology and concepts per UC'!$G$1:$I$1,0))=0)</f>
        <v>0</v>
      </c>
      <c r="V5" s="1" t="b">
        <f t="shared" si="6"/>
        <v>1</v>
      </c>
      <c r="W5" s="1" t="b">
        <v>1</v>
      </c>
      <c r="X5" s="1" t="b">
        <v>0</v>
      </c>
      <c r="Y5" s="1" t="b">
        <v>0</v>
      </c>
      <c r="Z5" s="1" t="b">
        <v>0</v>
      </c>
      <c r="AA5" s="1" t="s">
        <v>108</v>
      </c>
    </row>
    <row r="6" spans="1:27" x14ac:dyDescent="0.25">
      <c r="A6" s="1" t="s">
        <v>94</v>
      </c>
      <c r="B6" s="2" t="s">
        <v>109</v>
      </c>
      <c r="C6" s="2" t="s">
        <v>104</v>
      </c>
      <c r="D6" s="6">
        <f t="shared" si="0"/>
        <v>1</v>
      </c>
      <c r="E6" s="7" t="str">
        <f t="shared" si="1"/>
        <v>Disease</v>
      </c>
      <c r="F6" s="8" t="b">
        <f>IF(D6&lt;1,FALSE,ISERROR(MATCH(E6,'Ontology and concepts per UC'!$A$2:$A$62,0)))</f>
        <v>0</v>
      </c>
      <c r="G6" s="9" t="str">
        <f t="shared" si="2"/>
        <v/>
      </c>
      <c r="H6" s="9" t="str">
        <f t="shared" si="3"/>
        <v/>
      </c>
      <c r="I6" s="8" t="b">
        <f>IF(D6&lt;2,FALSE,ISERROR(MATCH(H6,'Ontology and concepts per UC'!$A$2:$A$62,0)))</f>
        <v>0</v>
      </c>
      <c r="J6" s="9" t="str">
        <f t="shared" si="4"/>
        <v/>
      </c>
      <c r="K6" s="8" t="b">
        <f>IF(D6&lt;3,FALSE,ISERROR(MATCH(J6,'Ontology and concepts per UC'!$A$2:$A$62,0)))</f>
        <v>0</v>
      </c>
      <c r="L6" s="2" t="s">
        <v>110</v>
      </c>
      <c r="M6" s="2" t="s">
        <v>111</v>
      </c>
      <c r="N6" s="2"/>
      <c r="O6" s="1" t="b">
        <v>0</v>
      </c>
      <c r="P6" s="1">
        <v>0</v>
      </c>
      <c r="Q6" s="1">
        <v>7</v>
      </c>
      <c r="R6" s="1" t="b">
        <f t="shared" si="5"/>
        <v>0</v>
      </c>
      <c r="S6" s="2" t="s">
        <v>35</v>
      </c>
      <c r="T6" s="1" t="str">
        <f>IF(S6="","",VLOOKUP(S6,'Ontology and concepts per UC'!$F$2:$J$46,5,FALSE))</f>
        <v>Modelo Conceptual</v>
      </c>
      <c r="U6" s="1" t="b">
        <f t="array" ref="U6">(INDEX('Ontology and concepts per UC'!$G$2:$I$46,MATCH($S6,'Ontology and concepts per UC'!$F$2:$F$46,0),MATCH(LEFT($A6,3),'Ontology and concepts per UC'!$G$1:$I$1,0))=0)</f>
        <v>0</v>
      </c>
      <c r="V6" s="1" t="b">
        <f t="shared" si="6"/>
        <v>1</v>
      </c>
      <c r="W6" s="1" t="b">
        <v>1</v>
      </c>
      <c r="X6" s="1" t="b">
        <v>0</v>
      </c>
      <c r="Y6" s="1" t="b">
        <v>0</v>
      </c>
      <c r="Z6" s="1" t="b">
        <v>0</v>
      </c>
      <c r="AA6" s="1" t="s">
        <v>112</v>
      </c>
    </row>
    <row r="7" spans="1:27" x14ac:dyDescent="0.25">
      <c r="A7" s="1" t="s">
        <v>94</v>
      </c>
      <c r="B7" s="2" t="s">
        <v>113</v>
      </c>
      <c r="C7" s="2" t="s">
        <v>61</v>
      </c>
      <c r="D7" s="6">
        <f t="shared" si="0"/>
        <v>1</v>
      </c>
      <c r="E7" s="7" t="str">
        <f t="shared" si="1"/>
        <v>FollowUpStrategy</v>
      </c>
      <c r="F7" s="8" t="b">
        <f>IF(D7&lt;1,FALSE,ISERROR(MATCH(E7,'Ontology and concepts per UC'!$A$2:$A$62,0)))</f>
        <v>0</v>
      </c>
      <c r="G7" s="9" t="str">
        <f t="shared" si="2"/>
        <v/>
      </c>
      <c r="H7" s="9" t="str">
        <f t="shared" si="3"/>
        <v/>
      </c>
      <c r="I7" s="8" t="b">
        <f>IF(D7&lt;2,FALSE,ISERROR(MATCH(H7,'Ontology and concepts per UC'!$A$2:$A$62,0)))</f>
        <v>0</v>
      </c>
      <c r="J7" s="9" t="str">
        <f t="shared" si="4"/>
        <v/>
      </c>
      <c r="K7" s="8" t="b">
        <f>IF(D7&lt;3,FALSE,ISERROR(MATCH(J7,'Ontology and concepts per UC'!$A$2:$A$62,0)))</f>
        <v>0</v>
      </c>
      <c r="L7" s="2"/>
      <c r="M7" s="2"/>
      <c r="N7" s="2"/>
      <c r="O7" s="1" t="b">
        <v>0</v>
      </c>
      <c r="P7" s="1">
        <v>0</v>
      </c>
      <c r="Q7" s="1">
        <v>0</v>
      </c>
      <c r="R7" s="1" t="b">
        <f t="shared" si="5"/>
        <v>0</v>
      </c>
      <c r="S7" s="2" t="s">
        <v>60</v>
      </c>
      <c r="T7" s="1" t="str">
        <f>IF(S7="","",VLOOKUP(S7,'Ontology and concepts per UC'!$F$2:$J$46,5,FALSE))</f>
        <v>Tratamiento/seguimiento</v>
      </c>
      <c r="U7" s="1" t="b">
        <f t="array" ref="U7">(INDEX('Ontology and concepts per UC'!$G$2:$I$46,MATCH($S7,'Ontology and concepts per UC'!$F$2:$F$46,0),MATCH(LEFT($A7,3),'Ontology and concepts per UC'!$G$1:$I$1,0))=0)</f>
        <v>0</v>
      </c>
      <c r="V7" s="1" t="b">
        <f t="shared" si="6"/>
        <v>0</v>
      </c>
      <c r="W7" s="1" t="b">
        <v>0</v>
      </c>
      <c r="X7" s="1" t="b">
        <v>0</v>
      </c>
      <c r="Y7" s="1" t="b">
        <v>0</v>
      </c>
      <c r="Z7" s="1" t="b">
        <v>0</v>
      </c>
      <c r="AA7" s="1"/>
    </row>
    <row r="8" spans="1:27" x14ac:dyDescent="0.25">
      <c r="A8" s="1" t="s">
        <v>94</v>
      </c>
      <c r="B8" s="2" t="s">
        <v>114</v>
      </c>
      <c r="C8" s="2" t="s">
        <v>115</v>
      </c>
      <c r="D8" s="6">
        <f t="shared" si="0"/>
        <v>1</v>
      </c>
      <c r="E8" s="7" t="str">
        <f t="shared" si="1"/>
        <v>Intervention</v>
      </c>
      <c r="F8" s="8" t="b">
        <f>IF(D8&lt;1,FALSE,ISERROR(MATCH(E8,'Ontology and concepts per UC'!$A$2:$A$62,0)))</f>
        <v>0</v>
      </c>
      <c r="G8" s="9" t="str">
        <f t="shared" si="2"/>
        <v/>
      </c>
      <c r="H8" s="9" t="str">
        <f t="shared" si="3"/>
        <v/>
      </c>
      <c r="I8" s="8" t="b">
        <f>IF(D8&lt;2,FALSE,ISERROR(MATCH(H8,'Ontology and concepts per UC'!$A$2:$A$62,0)))</f>
        <v>0</v>
      </c>
      <c r="J8" s="9" t="str">
        <f t="shared" si="4"/>
        <v/>
      </c>
      <c r="K8" s="8" t="b">
        <f>IF(D8&lt;3,FALSE,ISERROR(MATCH(J8,'Ontology and concepts per UC'!$A$2:$A$62,0)))</f>
        <v>0</v>
      </c>
      <c r="L8" s="2" t="s">
        <v>116</v>
      </c>
      <c r="M8" s="2" t="s">
        <v>117</v>
      </c>
      <c r="N8" s="2"/>
      <c r="O8" s="1" t="b">
        <v>0</v>
      </c>
      <c r="P8" s="1">
        <v>0</v>
      </c>
      <c r="Q8" s="1">
        <v>0</v>
      </c>
      <c r="R8" s="1" t="b">
        <f t="shared" si="5"/>
        <v>0</v>
      </c>
      <c r="S8" s="2" t="s">
        <v>62</v>
      </c>
      <c r="T8" s="1" t="str">
        <f>IF(S8="","",VLOOKUP(S8,'Ontology and concepts per UC'!$F$2:$J$46,5,FALSE))</f>
        <v>Tratamiento/seguimiento</v>
      </c>
      <c r="U8" s="1" t="b">
        <f t="array" ref="U8">(INDEX('Ontology and concepts per UC'!$G$2:$I$46,MATCH($S8,'Ontology and concepts per UC'!$F$2:$F$46,0),MATCH(LEFT($A8,3),'Ontology and concepts per UC'!$G$1:$I$1,0))=0)</f>
        <v>0</v>
      </c>
      <c r="V8" s="1" t="b">
        <f t="shared" si="6"/>
        <v>1</v>
      </c>
      <c r="W8" s="1" t="b">
        <v>0</v>
      </c>
      <c r="X8" s="1" t="b">
        <v>0</v>
      </c>
      <c r="Y8" s="1" t="b">
        <v>0</v>
      </c>
      <c r="Z8" s="1" t="b">
        <v>1</v>
      </c>
      <c r="AA8" s="1" t="s">
        <v>118</v>
      </c>
    </row>
    <row r="9" spans="1:27" x14ac:dyDescent="0.25">
      <c r="A9" s="1" t="s">
        <v>94</v>
      </c>
      <c r="B9" s="2" t="s">
        <v>119</v>
      </c>
      <c r="C9" s="2" t="s">
        <v>115</v>
      </c>
      <c r="D9" s="6">
        <f t="shared" si="0"/>
        <v>1</v>
      </c>
      <c r="E9" s="7" t="str">
        <f t="shared" si="1"/>
        <v>Intervention</v>
      </c>
      <c r="F9" s="8" t="b">
        <f>IF(D9&lt;1,FALSE,ISERROR(MATCH(E9,'Ontology and concepts per UC'!$A$2:$A$62,0)))</f>
        <v>0</v>
      </c>
      <c r="G9" s="9" t="str">
        <f t="shared" si="2"/>
        <v/>
      </c>
      <c r="H9" s="9" t="str">
        <f t="shared" si="3"/>
        <v/>
      </c>
      <c r="I9" s="8" t="b">
        <f>IF(D9&lt;2,FALSE,ISERROR(MATCH(H9,'Ontology and concepts per UC'!$A$2:$A$62,0)))</f>
        <v>0</v>
      </c>
      <c r="J9" s="9" t="str">
        <f t="shared" si="4"/>
        <v/>
      </c>
      <c r="K9" s="8" t="b">
        <f>IF(D9&lt;3,FALSE,ISERROR(MATCH(J9,'Ontology and concepts per UC'!$A$2:$A$62,0)))</f>
        <v>0</v>
      </c>
      <c r="L9" s="2"/>
      <c r="M9" s="2" t="s">
        <v>120</v>
      </c>
      <c r="N9" s="2"/>
      <c r="O9" s="1" t="b">
        <v>0</v>
      </c>
      <c r="P9" s="1">
        <v>0</v>
      </c>
      <c r="Q9" s="1">
        <v>0</v>
      </c>
      <c r="R9" s="1" t="b">
        <f t="shared" si="5"/>
        <v>0</v>
      </c>
      <c r="S9" s="2" t="s">
        <v>22</v>
      </c>
      <c r="T9" s="1" t="str">
        <f>IF(S9="","",VLOOKUP(S9,'Ontology and concepts per UC'!$F$2:$J$46,5,FALSE))</f>
        <v>Modelo Conceptual</v>
      </c>
      <c r="U9" s="1" t="b">
        <f t="array" ref="U9">(INDEX('Ontology and concepts per UC'!$G$2:$I$46,MATCH($S9,'Ontology and concepts per UC'!$F$2:$F$46,0),MATCH(LEFT($A9,3),'Ontology and concepts per UC'!$G$1:$I$1,0))=0)</f>
        <v>0</v>
      </c>
      <c r="V9" s="1" t="b">
        <f t="shared" si="6"/>
        <v>0</v>
      </c>
      <c r="W9" s="1" t="b">
        <v>0</v>
      </c>
      <c r="X9" s="1" t="b">
        <v>0</v>
      </c>
      <c r="Y9" s="1" t="b">
        <v>0</v>
      </c>
      <c r="Z9" s="1" t="b">
        <v>0</v>
      </c>
      <c r="AA9" s="1"/>
    </row>
    <row r="10" spans="1:27" x14ac:dyDescent="0.25">
      <c r="A10" s="1" t="s">
        <v>94</v>
      </c>
      <c r="B10" s="2" t="s">
        <v>121</v>
      </c>
      <c r="C10" s="2" t="s">
        <v>115</v>
      </c>
      <c r="D10" s="6">
        <f t="shared" si="0"/>
        <v>1</v>
      </c>
      <c r="E10" s="7" t="str">
        <f t="shared" si="1"/>
        <v>Intervention</v>
      </c>
      <c r="F10" s="8" t="b">
        <f>IF(D10&lt;1,FALSE,ISERROR(MATCH(E10,'Ontology and concepts per UC'!$A$2:$A$62,0)))</f>
        <v>0</v>
      </c>
      <c r="G10" s="9" t="str">
        <f t="shared" si="2"/>
        <v/>
      </c>
      <c r="H10" s="9" t="str">
        <f t="shared" si="3"/>
        <v/>
      </c>
      <c r="I10" s="8" t="b">
        <f>IF(D10&lt;2,FALSE,ISERROR(MATCH(H10,'Ontology and concepts per UC'!$A$2:$A$62,0)))</f>
        <v>0</v>
      </c>
      <c r="J10" s="9" t="str">
        <f t="shared" si="4"/>
        <v/>
      </c>
      <c r="K10" s="8" t="b">
        <f>IF(D10&lt;3,FALSE,ISERROR(MATCH(J10,'Ontology and concepts per UC'!$A$2:$A$62,0)))</f>
        <v>0</v>
      </c>
      <c r="L10" s="2" t="s">
        <v>122</v>
      </c>
      <c r="M10" s="2" t="s">
        <v>123</v>
      </c>
      <c r="N10" s="2"/>
      <c r="O10" s="1" t="b">
        <v>0</v>
      </c>
      <c r="P10" s="1">
        <v>0</v>
      </c>
      <c r="Q10" s="1">
        <v>0</v>
      </c>
      <c r="R10" s="1" t="b">
        <f t="shared" si="5"/>
        <v>0</v>
      </c>
      <c r="S10" s="2" t="s">
        <v>24</v>
      </c>
      <c r="T10" s="1" t="str">
        <f>IF(S10="","",VLOOKUP(S10,'Ontology and concepts per UC'!$F$2:$J$46,5,FALSE))</f>
        <v>Modelo Conceptual</v>
      </c>
      <c r="U10" s="1" t="b">
        <f t="array" ref="U10">(INDEX('Ontology and concepts per UC'!$G$2:$I$46,MATCH($S10,'Ontology and concepts per UC'!$F$2:$F$46,0),MATCH(LEFT($A10,3),'Ontology and concepts per UC'!$G$1:$I$1,0))=0)</f>
        <v>0</v>
      </c>
      <c r="V10" s="1" t="b">
        <f t="shared" si="6"/>
        <v>0</v>
      </c>
      <c r="W10" s="1" t="b">
        <v>0</v>
      </c>
      <c r="X10" s="1" t="b">
        <v>0</v>
      </c>
      <c r="Y10" s="1" t="b">
        <v>0</v>
      </c>
      <c r="Z10" s="1" t="b">
        <v>0</v>
      </c>
      <c r="AA10" s="1"/>
    </row>
    <row r="11" spans="1:27" x14ac:dyDescent="0.25">
      <c r="A11" s="1" t="s">
        <v>94</v>
      </c>
      <c r="B11" s="2" t="s">
        <v>124</v>
      </c>
      <c r="C11" s="2" t="s">
        <v>125</v>
      </c>
      <c r="D11" s="6">
        <f t="shared" si="0"/>
        <v>1</v>
      </c>
      <c r="E11" s="7" t="str">
        <f t="shared" si="1"/>
        <v>Manifestation</v>
      </c>
      <c r="F11" s="8" t="b">
        <f>IF(D11&lt;1,FALSE,ISERROR(MATCH(E11,'Ontology and concepts per UC'!$A$2:$A$62,0)))</f>
        <v>0</v>
      </c>
      <c r="G11" s="9" t="str">
        <f t="shared" si="2"/>
        <v/>
      </c>
      <c r="H11" s="9" t="str">
        <f t="shared" si="3"/>
        <v/>
      </c>
      <c r="I11" s="8" t="b">
        <f>IF(D11&lt;2,FALSE,ISERROR(MATCH(H11,'Ontology and concepts per UC'!$A$2:$A$62,0)))</f>
        <v>0</v>
      </c>
      <c r="J11" s="9" t="str">
        <f t="shared" si="4"/>
        <v/>
      </c>
      <c r="K11" s="8" t="b">
        <f>IF(D11&lt;3,FALSE,ISERROR(MATCH(J11,'Ontology and concepts per UC'!$A$2:$A$62,0)))</f>
        <v>0</v>
      </c>
      <c r="L11" s="2"/>
      <c r="M11" s="2" t="s">
        <v>126</v>
      </c>
      <c r="N11" s="2"/>
      <c r="O11" s="1" t="b">
        <v>0</v>
      </c>
      <c r="P11" s="1">
        <v>0</v>
      </c>
      <c r="Q11" s="1">
        <v>0</v>
      </c>
      <c r="R11" s="1" t="b">
        <f t="shared" si="5"/>
        <v>0</v>
      </c>
      <c r="S11" s="2" t="s">
        <v>29</v>
      </c>
      <c r="T11" s="1" t="str">
        <f>IF(S11="","",VLOOKUP(S11,'Ontology and concepts per UC'!$F$2:$J$46,5,FALSE))</f>
        <v>Modelo Conceptual</v>
      </c>
      <c r="U11" s="1" t="b">
        <f t="array" ref="U11">(INDEX('Ontology and concepts per UC'!$G$2:$I$46,MATCH($S11,'Ontology and concepts per UC'!$F$2:$F$46,0),MATCH(LEFT($A11,3),'Ontology and concepts per UC'!$G$1:$I$1,0))=0)</f>
        <v>0</v>
      </c>
      <c r="V11" s="1" t="b">
        <f t="shared" si="6"/>
        <v>0</v>
      </c>
      <c r="W11" s="1" t="b">
        <v>0</v>
      </c>
      <c r="X11" s="1" t="b">
        <v>0</v>
      </c>
      <c r="Y11" s="1" t="b">
        <v>0</v>
      </c>
      <c r="Z11" s="1" t="b">
        <v>0</v>
      </c>
      <c r="AA11" s="1"/>
    </row>
    <row r="12" spans="1:27" x14ac:dyDescent="0.25">
      <c r="A12" s="1" t="s">
        <v>94</v>
      </c>
      <c r="B12" s="2" t="s">
        <v>127</v>
      </c>
      <c r="C12" s="2" t="s">
        <v>125</v>
      </c>
      <c r="D12" s="6">
        <f t="shared" si="0"/>
        <v>1</v>
      </c>
      <c r="E12" s="7" t="str">
        <f t="shared" si="1"/>
        <v>Manifestation</v>
      </c>
      <c r="F12" s="8" t="b">
        <f>IF(D12&lt;1,FALSE,ISERROR(MATCH(E12,'Ontology and concepts per UC'!$A$2:$A$62,0)))</f>
        <v>0</v>
      </c>
      <c r="G12" s="9" t="str">
        <f t="shared" si="2"/>
        <v/>
      </c>
      <c r="H12" s="9" t="str">
        <f t="shared" si="3"/>
        <v/>
      </c>
      <c r="I12" s="8" t="b">
        <f>IF(D12&lt;2,FALSE,ISERROR(MATCH(H12,'Ontology and concepts per UC'!$A$2:$A$62,0)))</f>
        <v>0</v>
      </c>
      <c r="J12" s="9" t="str">
        <f t="shared" si="4"/>
        <v/>
      </c>
      <c r="K12" s="8" t="b">
        <f>IF(D12&lt;3,FALSE,ISERROR(MATCH(J12,'Ontology and concepts per UC'!$A$2:$A$62,0)))</f>
        <v>0</v>
      </c>
      <c r="L12" s="2"/>
      <c r="M12" s="2" t="s">
        <v>128</v>
      </c>
      <c r="N12" s="2"/>
      <c r="O12" s="1" t="b">
        <v>0</v>
      </c>
      <c r="P12" s="1">
        <v>0</v>
      </c>
      <c r="Q12" s="1">
        <v>0</v>
      </c>
      <c r="R12" s="1" t="b">
        <f t="shared" si="5"/>
        <v>0</v>
      </c>
      <c r="S12" s="2" t="s">
        <v>26</v>
      </c>
      <c r="T12" s="1" t="str">
        <f>IF(S12="","",VLOOKUP(S12,'Ontology and concepts per UC'!$F$2:$J$46,5,FALSE))</f>
        <v>Modelo Conceptual</v>
      </c>
      <c r="U12" s="1" t="b">
        <f t="array" ref="U12">(INDEX('Ontology and concepts per UC'!$G$2:$I$46,MATCH($S12,'Ontology and concepts per UC'!$F$2:$F$46,0),MATCH(LEFT($A12,3),'Ontology and concepts per UC'!$G$1:$I$1,0))=0)</f>
        <v>0</v>
      </c>
      <c r="V12" s="1" t="b">
        <f t="shared" si="6"/>
        <v>0</v>
      </c>
      <c r="W12" s="1" t="b">
        <v>0</v>
      </c>
      <c r="X12" s="1" t="b">
        <v>0</v>
      </c>
      <c r="Y12" s="1" t="b">
        <v>0</v>
      </c>
      <c r="Z12" s="1" t="b">
        <v>0</v>
      </c>
      <c r="AA12" s="1"/>
    </row>
    <row r="13" spans="1:27" x14ac:dyDescent="0.25">
      <c r="A13" s="1" t="s">
        <v>94</v>
      </c>
      <c r="B13" s="2" t="s">
        <v>129</v>
      </c>
      <c r="C13" s="2" t="s">
        <v>125</v>
      </c>
      <c r="D13" s="6">
        <f t="shared" si="0"/>
        <v>1</v>
      </c>
      <c r="E13" s="7" t="str">
        <f t="shared" si="1"/>
        <v>Manifestation</v>
      </c>
      <c r="F13" s="8" t="b">
        <f>IF(D13&lt;1,FALSE,ISERROR(MATCH(E13,'Ontology and concepts per UC'!$A$2:$A$62,0)))</f>
        <v>0</v>
      </c>
      <c r="G13" s="9" t="str">
        <f t="shared" si="2"/>
        <v/>
      </c>
      <c r="H13" s="9" t="str">
        <f t="shared" si="3"/>
        <v/>
      </c>
      <c r="I13" s="8" t="b">
        <f>IF(D13&lt;2,FALSE,ISERROR(MATCH(H13,'Ontology and concepts per UC'!$A$2:$A$62,0)))</f>
        <v>0</v>
      </c>
      <c r="J13" s="9" t="str">
        <f t="shared" si="4"/>
        <v/>
      </c>
      <c r="K13" s="8" t="b">
        <f>IF(D13&lt;3,FALSE,ISERROR(MATCH(J13,'Ontology and concepts per UC'!$A$2:$A$62,0)))</f>
        <v>0</v>
      </c>
      <c r="L13" s="2"/>
      <c r="M13" s="2" t="s">
        <v>130</v>
      </c>
      <c r="N13" s="2"/>
      <c r="O13" s="1" t="b">
        <v>0</v>
      </c>
      <c r="P13" s="1">
        <v>0</v>
      </c>
      <c r="Q13" s="1">
        <v>0</v>
      </c>
      <c r="R13" s="1" t="b">
        <f t="shared" si="5"/>
        <v>0</v>
      </c>
      <c r="S13" s="2" t="s">
        <v>28</v>
      </c>
      <c r="T13" s="1" t="str">
        <f>IF(S13="","",VLOOKUP(S13,'Ontology and concepts per UC'!$F$2:$J$46,5,FALSE))</f>
        <v>Modelo Conceptual</v>
      </c>
      <c r="U13" s="1" t="b">
        <f t="array" ref="U13">(INDEX('Ontology and concepts per UC'!$G$2:$I$46,MATCH($S13,'Ontology and concepts per UC'!$F$2:$F$46,0),MATCH(LEFT($A13,3),'Ontology and concepts per UC'!$G$1:$I$1,0))=0)</f>
        <v>0</v>
      </c>
      <c r="V13" s="1" t="b">
        <f t="shared" si="6"/>
        <v>0</v>
      </c>
      <c r="W13" s="1" t="b">
        <v>0</v>
      </c>
      <c r="X13" s="1" t="b">
        <v>0</v>
      </c>
      <c r="Y13" s="1" t="b">
        <v>0</v>
      </c>
      <c r="Z13" s="1" t="b">
        <v>0</v>
      </c>
      <c r="AA13" s="1"/>
    </row>
    <row r="14" spans="1:27" x14ac:dyDescent="0.25">
      <c r="A14" s="1" t="s">
        <v>94</v>
      </c>
      <c r="B14" s="2" t="s">
        <v>131</v>
      </c>
      <c r="C14" s="2" t="s">
        <v>125</v>
      </c>
      <c r="D14" s="6">
        <f t="shared" si="0"/>
        <v>1</v>
      </c>
      <c r="E14" s="7" t="str">
        <f t="shared" si="1"/>
        <v>Manifestation</v>
      </c>
      <c r="F14" s="8" t="b">
        <f>IF(D14&lt;1,FALSE,ISERROR(MATCH(E14,'Ontology and concepts per UC'!$A$2:$A$62,0)))</f>
        <v>0</v>
      </c>
      <c r="G14" s="9" t="str">
        <f t="shared" si="2"/>
        <v/>
      </c>
      <c r="H14" s="9" t="str">
        <f t="shared" si="3"/>
        <v/>
      </c>
      <c r="I14" s="8" t="b">
        <f>IF(D14&lt;2,FALSE,ISERROR(MATCH(H14,'Ontology and concepts per UC'!$A$2:$A$62,0)))</f>
        <v>0</v>
      </c>
      <c r="J14" s="9" t="str">
        <f t="shared" si="4"/>
        <v/>
      </c>
      <c r="K14" s="8" t="b">
        <f>IF(D14&lt;3,FALSE,ISERROR(MATCH(J14,'Ontology and concepts per UC'!$A$2:$A$62,0)))</f>
        <v>0</v>
      </c>
      <c r="L14" s="2"/>
      <c r="M14" s="2" t="s">
        <v>132</v>
      </c>
      <c r="N14" s="2"/>
      <c r="O14" s="1" t="b">
        <v>0</v>
      </c>
      <c r="P14" s="1">
        <v>0</v>
      </c>
      <c r="Q14" s="1">
        <v>0</v>
      </c>
      <c r="R14" s="1" t="b">
        <f t="shared" si="5"/>
        <v>0</v>
      </c>
      <c r="S14" s="2" t="s">
        <v>32</v>
      </c>
      <c r="T14" s="1" t="str">
        <f>IF(S14="","",VLOOKUP(S14,'Ontology and concepts per UC'!$F$2:$J$46,5,FALSE))</f>
        <v>Modelo Conceptual</v>
      </c>
      <c r="U14" s="1" t="b">
        <f t="array" ref="U14">(INDEX('Ontology and concepts per UC'!$G$2:$I$46,MATCH($S14,'Ontology and concepts per UC'!$F$2:$F$46,0),MATCH(LEFT($A14,3),'Ontology and concepts per UC'!$G$1:$I$1,0))=0)</f>
        <v>0</v>
      </c>
      <c r="V14" s="1" t="b">
        <f t="shared" si="6"/>
        <v>0</v>
      </c>
      <c r="W14" s="1" t="b">
        <v>0</v>
      </c>
      <c r="X14" s="1" t="b">
        <v>0</v>
      </c>
      <c r="Y14" s="1" t="b">
        <v>0</v>
      </c>
      <c r="Z14" s="1" t="b">
        <v>0</v>
      </c>
      <c r="AA14" s="1"/>
    </row>
    <row r="15" spans="1:27" x14ac:dyDescent="0.25">
      <c r="A15" s="1" t="s">
        <v>94</v>
      </c>
      <c r="B15" s="2" t="s">
        <v>133</v>
      </c>
      <c r="C15" s="2" t="s">
        <v>125</v>
      </c>
      <c r="D15" s="6">
        <f t="shared" si="0"/>
        <v>1</v>
      </c>
      <c r="E15" s="7" t="str">
        <f t="shared" si="1"/>
        <v>Manifestation</v>
      </c>
      <c r="F15" s="8" t="b">
        <f>IF(D15&lt;1,FALSE,ISERROR(MATCH(E15,'Ontology and concepts per UC'!$A$2:$A$62,0)))</f>
        <v>0</v>
      </c>
      <c r="G15" s="9" t="str">
        <f t="shared" si="2"/>
        <v/>
      </c>
      <c r="H15" s="9" t="str">
        <f t="shared" si="3"/>
        <v/>
      </c>
      <c r="I15" s="8" t="b">
        <f>IF(D15&lt;2,FALSE,ISERROR(MATCH(H15,'Ontology and concepts per UC'!$A$2:$A$62,0)))</f>
        <v>0</v>
      </c>
      <c r="J15" s="9" t="str">
        <f t="shared" si="4"/>
        <v/>
      </c>
      <c r="K15" s="8" t="b">
        <f>IF(D15&lt;3,FALSE,ISERROR(MATCH(J15,'Ontology and concepts per UC'!$A$2:$A$62,0)))</f>
        <v>0</v>
      </c>
      <c r="L15" s="2"/>
      <c r="M15" s="2" t="s">
        <v>134</v>
      </c>
      <c r="N15" s="2"/>
      <c r="O15" s="1" t="b">
        <v>0</v>
      </c>
      <c r="P15" s="1">
        <v>0</v>
      </c>
      <c r="Q15" s="1">
        <v>0</v>
      </c>
      <c r="R15" s="1" t="b">
        <f t="shared" si="5"/>
        <v>0</v>
      </c>
      <c r="S15" s="2" t="s">
        <v>30</v>
      </c>
      <c r="T15" s="1" t="str">
        <f>IF(S15="","",VLOOKUP(S15,'Ontology and concepts per UC'!$F$2:$J$46,5,FALSE))</f>
        <v>Modelo Conceptual</v>
      </c>
      <c r="U15" s="1" t="b">
        <f t="array" ref="U15">(INDEX('Ontology and concepts per UC'!$G$2:$I$46,MATCH($S15,'Ontology and concepts per UC'!$F$2:$F$46,0),MATCH(LEFT($A15,3),'Ontology and concepts per UC'!$G$1:$I$1,0))=0)</f>
        <v>0</v>
      </c>
      <c r="V15" s="1" t="b">
        <f t="shared" si="6"/>
        <v>0</v>
      </c>
      <c r="W15" s="1" t="b">
        <v>0</v>
      </c>
      <c r="X15" s="1" t="b">
        <v>0</v>
      </c>
      <c r="Y15" s="1" t="b">
        <v>0</v>
      </c>
      <c r="Z15" s="1" t="b">
        <v>0</v>
      </c>
      <c r="AA15" s="1"/>
    </row>
    <row r="16" spans="1:27" x14ac:dyDescent="0.25">
      <c r="A16" s="1" t="s">
        <v>94</v>
      </c>
      <c r="B16" s="2" t="s">
        <v>135</v>
      </c>
      <c r="C16" s="2" t="s">
        <v>125</v>
      </c>
      <c r="D16" s="6">
        <f t="shared" si="0"/>
        <v>1</v>
      </c>
      <c r="E16" s="7" t="str">
        <f t="shared" si="1"/>
        <v>Manifestation</v>
      </c>
      <c r="F16" s="8" t="b">
        <f>IF(D16&lt;1,FALSE,ISERROR(MATCH(E16,'Ontology and concepts per UC'!$A$2:$A$62,0)))</f>
        <v>0</v>
      </c>
      <c r="G16" s="9" t="str">
        <f t="shared" si="2"/>
        <v/>
      </c>
      <c r="H16" s="9" t="str">
        <f t="shared" si="3"/>
        <v/>
      </c>
      <c r="I16" s="8" t="b">
        <f>IF(D16&lt;2,FALSE,ISERROR(MATCH(H16,'Ontology and concepts per UC'!$A$2:$A$62,0)))</f>
        <v>0</v>
      </c>
      <c r="J16" s="9" t="str">
        <f t="shared" si="4"/>
        <v/>
      </c>
      <c r="K16" s="8" t="b">
        <f>IF(D16&lt;3,FALSE,ISERROR(MATCH(J16,'Ontology and concepts per UC'!$A$2:$A$62,0)))</f>
        <v>0</v>
      </c>
      <c r="L16" s="2"/>
      <c r="M16" s="2" t="s">
        <v>136</v>
      </c>
      <c r="N16" s="2"/>
      <c r="O16" s="1" t="b">
        <v>0</v>
      </c>
      <c r="P16" s="1">
        <v>0</v>
      </c>
      <c r="Q16" s="1">
        <v>0</v>
      </c>
      <c r="R16" s="1" t="b">
        <f t="shared" si="5"/>
        <v>0</v>
      </c>
      <c r="S16" s="2" t="s">
        <v>31</v>
      </c>
      <c r="T16" s="1" t="str">
        <f>IF(S16="","",VLOOKUP(S16,'Ontology and concepts per UC'!$F$2:$J$46,5,FALSE))</f>
        <v>Modelo Conceptual</v>
      </c>
      <c r="U16" s="1" t="b">
        <f t="array" ref="U16">(INDEX('Ontology and concepts per UC'!$G$2:$I$46,MATCH($S16,'Ontology and concepts per UC'!$F$2:$F$46,0),MATCH(LEFT($A16,3),'Ontology and concepts per UC'!$G$1:$I$1,0))=0)</f>
        <v>0</v>
      </c>
      <c r="V16" s="1" t="b">
        <f t="shared" si="6"/>
        <v>0</v>
      </c>
      <c r="W16" s="1" t="b">
        <v>0</v>
      </c>
      <c r="X16" s="1" t="b">
        <v>0</v>
      </c>
      <c r="Y16" s="1" t="b">
        <v>0</v>
      </c>
      <c r="Z16" s="1" t="b">
        <v>0</v>
      </c>
      <c r="AA16" s="1"/>
    </row>
    <row r="17" spans="1:27" x14ac:dyDescent="0.25">
      <c r="A17" s="1" t="s">
        <v>94</v>
      </c>
      <c r="B17" s="2" t="s">
        <v>137</v>
      </c>
      <c r="C17" s="2" t="s">
        <v>138</v>
      </c>
      <c r="D17" s="6">
        <f t="shared" si="0"/>
        <v>1</v>
      </c>
      <c r="E17" s="7" t="str">
        <f t="shared" si="1"/>
        <v>Parameter</v>
      </c>
      <c r="F17" s="8" t="b">
        <f>IF(D17&lt;1,FALSE,ISERROR(MATCH(E17,'Ontology and concepts per UC'!$A$2:$A$62,0)))</f>
        <v>0</v>
      </c>
      <c r="G17" s="9" t="str">
        <f t="shared" si="2"/>
        <v/>
      </c>
      <c r="H17" s="9" t="str">
        <f t="shared" si="3"/>
        <v/>
      </c>
      <c r="I17" s="8" t="b">
        <f>IF(D17&lt;2,FALSE,ISERROR(MATCH(H17,'Ontology and concepts per UC'!$A$2:$A$62,0)))</f>
        <v>0</v>
      </c>
      <c r="J17" s="9" t="str">
        <f t="shared" si="4"/>
        <v/>
      </c>
      <c r="K17" s="8" t="b">
        <f>IF(D17&lt;3,FALSE,ISERROR(MATCH(J17,'Ontology and concepts per UC'!$A$2:$A$62,0)))</f>
        <v>0</v>
      </c>
      <c r="L17" s="2"/>
      <c r="M17" s="2" t="s">
        <v>139</v>
      </c>
      <c r="N17" s="2"/>
      <c r="O17" s="1" t="b">
        <v>0</v>
      </c>
      <c r="P17" s="1">
        <v>0</v>
      </c>
      <c r="Q17" s="1">
        <v>0</v>
      </c>
      <c r="R17" s="1" t="b">
        <f t="shared" si="5"/>
        <v>1</v>
      </c>
      <c r="S17" s="2" t="s">
        <v>54</v>
      </c>
      <c r="T17" s="1" t="str">
        <f>IF(S17="","",VLOOKUP(S17,'Ontology and concepts per UC'!$F$2:$J$46,5,FALSE))</f>
        <v>Parámetros de progresión</v>
      </c>
      <c r="U17" s="1" t="b">
        <f t="array" ref="U17">(INDEX('Ontology and concepts per UC'!$G$2:$I$46,MATCH($S17,'Ontology and concepts per UC'!$F$2:$F$46,0),MATCH(LEFT($A17,3),'Ontology and concepts per UC'!$G$1:$I$1,0))=0)</f>
        <v>0</v>
      </c>
      <c r="V17" s="1" t="b">
        <f t="shared" si="6"/>
        <v>1</v>
      </c>
      <c r="W17" s="1" t="b">
        <v>0</v>
      </c>
      <c r="X17" s="1" t="b">
        <v>0</v>
      </c>
      <c r="Y17" s="1" t="b">
        <v>0</v>
      </c>
      <c r="Z17" s="1" t="b">
        <v>1</v>
      </c>
      <c r="AA17" s="1" t="s">
        <v>140</v>
      </c>
    </row>
    <row r="18" spans="1:27" x14ac:dyDescent="0.25">
      <c r="A18" s="1" t="s">
        <v>94</v>
      </c>
      <c r="B18" s="2" t="s">
        <v>141</v>
      </c>
      <c r="C18" s="2" t="s">
        <v>138</v>
      </c>
      <c r="D18" s="6">
        <f t="shared" si="0"/>
        <v>1</v>
      </c>
      <c r="E18" s="7" t="str">
        <f t="shared" si="1"/>
        <v>Parameter</v>
      </c>
      <c r="F18" s="8" t="b">
        <f>IF(D18&lt;1,FALSE,ISERROR(MATCH(E18,'Ontology and concepts per UC'!$A$2:$A$62,0)))</f>
        <v>0</v>
      </c>
      <c r="G18" s="9" t="str">
        <f t="shared" si="2"/>
        <v/>
      </c>
      <c r="H18" s="9" t="str">
        <f t="shared" si="3"/>
        <v/>
      </c>
      <c r="I18" s="8" t="b">
        <f>IF(D18&lt;2,FALSE,ISERROR(MATCH(H18,'Ontology and concepts per UC'!$A$2:$A$62,0)))</f>
        <v>0</v>
      </c>
      <c r="J18" s="9" t="str">
        <f t="shared" si="4"/>
        <v/>
      </c>
      <c r="K18" s="8" t="b">
        <f>IF(D18&lt;3,FALSE,ISERROR(MATCH(J18,'Ontology and concepts per UC'!$A$2:$A$62,0)))</f>
        <v>0</v>
      </c>
      <c r="L18" s="2"/>
      <c r="M18" s="2" t="s">
        <v>142</v>
      </c>
      <c r="N18" s="2"/>
      <c r="O18" s="1" t="b">
        <v>0</v>
      </c>
      <c r="P18" s="1">
        <v>0</v>
      </c>
      <c r="Q18" s="1">
        <v>0</v>
      </c>
      <c r="R18" s="1" t="b">
        <f t="shared" si="5"/>
        <v>1</v>
      </c>
      <c r="S18" s="2" t="s">
        <v>54</v>
      </c>
      <c r="T18" s="1" t="str">
        <f>IF(S18="","",VLOOKUP(S18,'Ontology and concepts per UC'!$F$2:$J$46,5,FALSE))</f>
        <v>Parámetros de progresión</v>
      </c>
      <c r="U18" s="1" t="b">
        <f t="array" ref="U18">(INDEX('Ontology and concepts per UC'!$G$2:$I$46,MATCH($S18,'Ontology and concepts per UC'!$F$2:$F$46,0),MATCH(LEFT($A18,3),'Ontology and concepts per UC'!$G$1:$I$1,0))=0)</f>
        <v>0</v>
      </c>
      <c r="V18" s="1" t="b">
        <f t="shared" si="6"/>
        <v>1</v>
      </c>
      <c r="W18" s="1" t="b">
        <v>0</v>
      </c>
      <c r="X18" s="1" t="b">
        <v>0</v>
      </c>
      <c r="Y18" s="1" t="b">
        <v>0</v>
      </c>
      <c r="Z18" s="1" t="b">
        <v>1</v>
      </c>
      <c r="AA18" s="1" t="s">
        <v>140</v>
      </c>
    </row>
    <row r="19" spans="1:27" x14ac:dyDescent="0.25">
      <c r="A19" s="1" t="s">
        <v>94</v>
      </c>
      <c r="B19" s="2" t="s">
        <v>143</v>
      </c>
      <c r="C19" s="2" t="s">
        <v>138</v>
      </c>
      <c r="D19" s="6">
        <f t="shared" si="0"/>
        <v>1</v>
      </c>
      <c r="E19" s="7" t="str">
        <f t="shared" si="1"/>
        <v>Parameter</v>
      </c>
      <c r="F19" s="8" t="b">
        <f>IF(D19&lt;1,FALSE,ISERROR(MATCH(E19,'Ontology and concepts per UC'!$A$2:$A$62,0)))</f>
        <v>0</v>
      </c>
      <c r="G19" s="9" t="str">
        <f t="shared" si="2"/>
        <v/>
      </c>
      <c r="H19" s="9" t="str">
        <f t="shared" si="3"/>
        <v/>
      </c>
      <c r="I19" s="8" t="b">
        <f>IF(D19&lt;2,FALSE,ISERROR(MATCH(H19,'Ontology and concepts per UC'!$A$2:$A$62,0)))</f>
        <v>0</v>
      </c>
      <c r="J19" s="9" t="str">
        <f t="shared" si="4"/>
        <v/>
      </c>
      <c r="K19" s="8" t="b">
        <f>IF(D19&lt;3,FALSE,ISERROR(MATCH(J19,'Ontology and concepts per UC'!$A$2:$A$62,0)))</f>
        <v>0</v>
      </c>
      <c r="L19" s="2"/>
      <c r="M19" s="2" t="s">
        <v>144</v>
      </c>
      <c r="N19" s="2"/>
      <c r="O19" s="1" t="b">
        <v>0</v>
      </c>
      <c r="P19" s="1">
        <v>0</v>
      </c>
      <c r="Q19" s="1">
        <v>0</v>
      </c>
      <c r="R19" s="1" t="b">
        <f t="shared" si="5"/>
        <v>1</v>
      </c>
      <c r="S19" s="2" t="s">
        <v>50</v>
      </c>
      <c r="T19" s="1" t="str">
        <f>IF(S19="","",VLOOKUP(S19,'Ontology and concepts per UC'!$F$2:$J$46,5,FALSE))</f>
        <v>Parámetros de progresión</v>
      </c>
      <c r="U19" s="1" t="b">
        <f t="array" ref="U19">(INDEX('Ontology and concepts per UC'!$G$2:$I$46,MATCH($S19,'Ontology and concepts per UC'!$F$2:$F$46,0),MATCH(LEFT($A19,3),'Ontology and concepts per UC'!$G$1:$I$1,0))=0)</f>
        <v>0</v>
      </c>
      <c r="V19" s="1" t="b">
        <f t="shared" si="6"/>
        <v>1</v>
      </c>
      <c r="W19" s="1" t="b">
        <v>0</v>
      </c>
      <c r="X19" s="1" t="b">
        <v>0</v>
      </c>
      <c r="Y19" s="1" t="b">
        <v>0</v>
      </c>
      <c r="Z19" s="1" t="b">
        <v>1</v>
      </c>
      <c r="AA19" s="1" t="s">
        <v>140</v>
      </c>
    </row>
    <row r="20" spans="1:27" x14ac:dyDescent="0.25">
      <c r="A20" s="1" t="s">
        <v>94</v>
      </c>
      <c r="B20" s="2" t="s">
        <v>145</v>
      </c>
      <c r="C20" s="2" t="s">
        <v>138</v>
      </c>
      <c r="D20" s="6">
        <f t="shared" si="0"/>
        <v>1</v>
      </c>
      <c r="E20" s="7" t="str">
        <f t="shared" si="1"/>
        <v>Parameter</v>
      </c>
      <c r="F20" s="8" t="b">
        <f>IF(D20&lt;1,FALSE,ISERROR(MATCH(E20,'Ontology and concepts per UC'!$A$2:$A$62,0)))</f>
        <v>0</v>
      </c>
      <c r="G20" s="9" t="str">
        <f t="shared" si="2"/>
        <v/>
      </c>
      <c r="H20" s="9" t="str">
        <f t="shared" si="3"/>
        <v/>
      </c>
      <c r="I20" s="8" t="b">
        <f>IF(D20&lt;2,FALSE,ISERROR(MATCH(H20,'Ontology and concepts per UC'!$A$2:$A$62,0)))</f>
        <v>0</v>
      </c>
      <c r="J20" s="9" t="str">
        <f t="shared" si="4"/>
        <v/>
      </c>
      <c r="K20" s="8" t="b">
        <f>IF(D20&lt;3,FALSE,ISERROR(MATCH(J20,'Ontology and concepts per UC'!$A$2:$A$62,0)))</f>
        <v>0</v>
      </c>
      <c r="L20" s="2"/>
      <c r="M20" s="2" t="s">
        <v>146</v>
      </c>
      <c r="N20" s="2"/>
      <c r="O20" s="1" t="b">
        <v>0</v>
      </c>
      <c r="P20" s="1">
        <v>0</v>
      </c>
      <c r="Q20" s="1">
        <v>0</v>
      </c>
      <c r="R20" s="1" t="b">
        <f t="shared" si="5"/>
        <v>1</v>
      </c>
      <c r="S20" s="2" t="s">
        <v>50</v>
      </c>
      <c r="T20" s="1" t="str">
        <f>IF(S20="","",VLOOKUP(S20,'Ontology and concepts per UC'!$F$2:$J$46,5,FALSE))</f>
        <v>Parámetros de progresión</v>
      </c>
      <c r="U20" s="1" t="b">
        <f t="array" ref="U20">(INDEX('Ontology and concepts per UC'!$G$2:$I$46,MATCH($S20,'Ontology and concepts per UC'!$F$2:$F$46,0),MATCH(LEFT($A20,3),'Ontology and concepts per UC'!$G$1:$I$1,0))=0)</f>
        <v>0</v>
      </c>
      <c r="V20" s="1" t="b">
        <f t="shared" si="6"/>
        <v>1</v>
      </c>
      <c r="W20" s="1" t="b">
        <v>0</v>
      </c>
      <c r="X20" s="1" t="b">
        <v>1</v>
      </c>
      <c r="Y20" s="1" t="b">
        <v>0</v>
      </c>
      <c r="Z20" s="1" t="b">
        <v>1</v>
      </c>
      <c r="AA20" s="1" t="s">
        <v>147</v>
      </c>
    </row>
    <row r="21" spans="1:27" x14ac:dyDescent="0.25">
      <c r="A21" s="1" t="s">
        <v>94</v>
      </c>
      <c r="B21" s="2" t="s">
        <v>148</v>
      </c>
      <c r="C21" s="2" t="s">
        <v>138</v>
      </c>
      <c r="D21" s="6">
        <f t="shared" si="0"/>
        <v>1</v>
      </c>
      <c r="E21" s="7" t="str">
        <f t="shared" si="1"/>
        <v>Parameter</v>
      </c>
      <c r="F21" s="8" t="b">
        <f>IF(D21&lt;1,FALSE,ISERROR(MATCH(E21,'Ontology and concepts per UC'!$A$2:$A$62,0)))</f>
        <v>0</v>
      </c>
      <c r="G21" s="9" t="str">
        <f t="shared" si="2"/>
        <v/>
      </c>
      <c r="H21" s="9" t="str">
        <f t="shared" si="3"/>
        <v/>
      </c>
      <c r="I21" s="8" t="b">
        <f>IF(D21&lt;2,FALSE,ISERROR(MATCH(H21,'Ontology and concepts per UC'!$A$2:$A$62,0)))</f>
        <v>0</v>
      </c>
      <c r="J21" s="9" t="str">
        <f t="shared" si="4"/>
        <v/>
      </c>
      <c r="K21" s="8" t="b">
        <f>IF(D21&lt;3,FALSE,ISERROR(MATCH(J21,'Ontology and concepts per UC'!$A$2:$A$62,0)))</f>
        <v>0</v>
      </c>
      <c r="L21" s="2"/>
      <c r="M21" s="2" t="s">
        <v>149</v>
      </c>
      <c r="N21" s="2"/>
      <c r="O21" s="1" t="b">
        <v>0</v>
      </c>
      <c r="P21" s="1">
        <v>0</v>
      </c>
      <c r="Q21" s="1">
        <v>0</v>
      </c>
      <c r="R21" s="1" t="b">
        <f t="shared" si="5"/>
        <v>1</v>
      </c>
      <c r="S21" s="2" t="s">
        <v>58</v>
      </c>
      <c r="T21" s="1" t="str">
        <f>IF(S21="","",VLOOKUP(S21,'Ontology and concepts per UC'!$F$2:$J$46,5,FALSE))</f>
        <v>Parámetros de progresión</v>
      </c>
      <c r="U21" s="1" t="b">
        <f t="array" ref="U21">(INDEX('Ontology and concepts per UC'!$G$2:$I$46,MATCH($S21,'Ontology and concepts per UC'!$F$2:$F$46,0),MATCH(LEFT($A21,3),'Ontology and concepts per UC'!$G$1:$I$1,0))=0)</f>
        <v>0</v>
      </c>
      <c r="V21" s="1" t="b">
        <f t="shared" si="6"/>
        <v>1</v>
      </c>
      <c r="W21" s="1" t="b">
        <v>0</v>
      </c>
      <c r="X21" s="1" t="b">
        <v>0</v>
      </c>
      <c r="Y21" s="1" t="b">
        <v>0</v>
      </c>
      <c r="Z21" s="1" t="b">
        <v>1</v>
      </c>
      <c r="AA21" s="1" t="s">
        <v>140</v>
      </c>
    </row>
    <row r="22" spans="1:27" x14ac:dyDescent="0.25">
      <c r="A22" s="1" t="s">
        <v>94</v>
      </c>
      <c r="B22" s="2" t="s">
        <v>150</v>
      </c>
      <c r="C22" s="2" t="s">
        <v>138</v>
      </c>
      <c r="D22" s="6">
        <f t="shared" si="0"/>
        <v>1</v>
      </c>
      <c r="E22" s="7" t="str">
        <f t="shared" si="1"/>
        <v>Parameter</v>
      </c>
      <c r="F22" s="8" t="b">
        <f>IF(D22&lt;1,FALSE,ISERROR(MATCH(E22,'Ontology and concepts per UC'!$A$2:$A$62,0)))</f>
        <v>0</v>
      </c>
      <c r="G22" s="9" t="str">
        <f t="shared" si="2"/>
        <v/>
      </c>
      <c r="H22" s="9" t="str">
        <f t="shared" si="3"/>
        <v/>
      </c>
      <c r="I22" s="8" t="b">
        <f>IF(D22&lt;2,FALSE,ISERROR(MATCH(H22,'Ontology and concepts per UC'!$A$2:$A$62,0)))</f>
        <v>0</v>
      </c>
      <c r="J22" s="9" t="str">
        <f t="shared" si="4"/>
        <v/>
      </c>
      <c r="K22" s="8" t="b">
        <f>IF(D22&lt;3,FALSE,ISERROR(MATCH(J22,'Ontology and concepts per UC'!$A$2:$A$62,0)))</f>
        <v>0</v>
      </c>
      <c r="L22" s="2"/>
      <c r="M22" s="2" t="s">
        <v>151</v>
      </c>
      <c r="N22" s="2"/>
      <c r="O22" s="1" t="b">
        <v>0</v>
      </c>
      <c r="P22" s="1">
        <v>0</v>
      </c>
      <c r="Q22" s="1">
        <v>0</v>
      </c>
      <c r="R22" s="1" t="b">
        <f t="shared" si="5"/>
        <v>1</v>
      </c>
      <c r="S22" s="2" t="s">
        <v>58</v>
      </c>
      <c r="T22" s="1" t="str">
        <f>IF(S22="","",VLOOKUP(S22,'Ontology and concepts per UC'!$F$2:$J$46,5,FALSE))</f>
        <v>Parámetros de progresión</v>
      </c>
      <c r="U22" s="1" t="b">
        <f t="array" ref="U22">(INDEX('Ontology and concepts per UC'!$G$2:$I$46,MATCH($S22,'Ontology and concepts per UC'!$F$2:$F$46,0),MATCH(LEFT($A22,3),'Ontology and concepts per UC'!$G$1:$I$1,0))=0)</f>
        <v>0</v>
      </c>
      <c r="V22" s="1" t="b">
        <f t="shared" si="6"/>
        <v>1</v>
      </c>
      <c r="W22" s="1" t="b">
        <v>0</v>
      </c>
      <c r="X22" s="1" t="b">
        <v>0</v>
      </c>
      <c r="Y22" s="1" t="b">
        <v>0</v>
      </c>
      <c r="Z22" s="1" t="b">
        <v>1</v>
      </c>
      <c r="AA22" s="1" t="s">
        <v>140</v>
      </c>
    </row>
    <row r="23" spans="1:27" x14ac:dyDescent="0.25">
      <c r="A23" s="1" t="s">
        <v>94</v>
      </c>
      <c r="B23" s="2" t="s">
        <v>152</v>
      </c>
      <c r="C23" s="2" t="s">
        <v>138</v>
      </c>
      <c r="D23" s="6">
        <f t="shared" si="0"/>
        <v>1</v>
      </c>
      <c r="E23" s="7" t="str">
        <f t="shared" si="1"/>
        <v>Parameter</v>
      </c>
      <c r="F23" s="8" t="b">
        <f>IF(D23&lt;1,FALSE,ISERROR(MATCH(E23,'Ontology and concepts per UC'!$A$2:$A$62,0)))</f>
        <v>0</v>
      </c>
      <c r="G23" s="9" t="str">
        <f t="shared" si="2"/>
        <v/>
      </c>
      <c r="H23" s="9" t="str">
        <f t="shared" si="3"/>
        <v/>
      </c>
      <c r="I23" s="8" t="b">
        <f>IF(D23&lt;2,FALSE,ISERROR(MATCH(H23,'Ontology and concepts per UC'!$A$2:$A$62,0)))</f>
        <v>0</v>
      </c>
      <c r="J23" s="9" t="str">
        <f t="shared" si="4"/>
        <v/>
      </c>
      <c r="K23" s="8" t="b">
        <f>IF(D23&lt;3,FALSE,ISERROR(MATCH(J23,'Ontology and concepts per UC'!$A$2:$A$62,0)))</f>
        <v>0</v>
      </c>
      <c r="L23" s="2"/>
      <c r="M23" s="2" t="s">
        <v>153</v>
      </c>
      <c r="N23" s="2"/>
      <c r="O23" s="1" t="b">
        <v>0</v>
      </c>
      <c r="P23" s="1">
        <v>0</v>
      </c>
      <c r="Q23" s="1">
        <v>0</v>
      </c>
      <c r="R23" s="1" t="b">
        <f t="shared" si="5"/>
        <v>1</v>
      </c>
      <c r="S23" s="2" t="s">
        <v>55</v>
      </c>
      <c r="T23" s="1" t="str">
        <f>IF(S23="","",VLOOKUP(S23,'Ontology and concepts per UC'!$F$2:$J$46,5,FALSE))</f>
        <v>Parámetros de progresión</v>
      </c>
      <c r="U23" s="1" t="b">
        <f t="array" ref="U23">(INDEX('Ontology and concepts per UC'!$G$2:$I$46,MATCH($S23,'Ontology and concepts per UC'!$F$2:$F$46,0),MATCH(LEFT($A23,3),'Ontology and concepts per UC'!$G$1:$I$1,0))=0)</f>
        <v>0</v>
      </c>
      <c r="V23" s="1" t="b">
        <f t="shared" si="6"/>
        <v>1</v>
      </c>
      <c r="W23" s="1" t="b">
        <v>0</v>
      </c>
      <c r="X23" s="1" t="b">
        <v>0</v>
      </c>
      <c r="Y23" s="1" t="b">
        <v>0</v>
      </c>
      <c r="Z23" s="1" t="b">
        <v>1</v>
      </c>
      <c r="AA23" s="1" t="s">
        <v>140</v>
      </c>
    </row>
    <row r="24" spans="1:27" x14ac:dyDescent="0.25">
      <c r="A24" s="1" t="s">
        <v>94</v>
      </c>
      <c r="B24" s="2" t="s">
        <v>154</v>
      </c>
      <c r="C24" s="2" t="s">
        <v>138</v>
      </c>
      <c r="D24" s="6">
        <f t="shared" si="0"/>
        <v>1</v>
      </c>
      <c r="E24" s="7" t="str">
        <f t="shared" si="1"/>
        <v>Parameter</v>
      </c>
      <c r="F24" s="8" t="b">
        <f>IF(D24&lt;1,FALSE,ISERROR(MATCH(E24,'Ontology and concepts per UC'!$A$2:$A$62,0)))</f>
        <v>0</v>
      </c>
      <c r="G24" s="9" t="str">
        <f t="shared" si="2"/>
        <v/>
      </c>
      <c r="H24" s="9" t="str">
        <f t="shared" si="3"/>
        <v/>
      </c>
      <c r="I24" s="8" t="b">
        <f>IF(D24&lt;2,FALSE,ISERROR(MATCH(H24,'Ontology and concepts per UC'!$A$2:$A$62,0)))</f>
        <v>0</v>
      </c>
      <c r="J24" s="9" t="str">
        <f t="shared" si="4"/>
        <v/>
      </c>
      <c r="K24" s="8" t="b">
        <f>IF(D24&lt;3,FALSE,ISERROR(MATCH(J24,'Ontology and concepts per UC'!$A$2:$A$62,0)))</f>
        <v>0</v>
      </c>
      <c r="L24" s="2"/>
      <c r="M24" s="2" t="s">
        <v>155</v>
      </c>
      <c r="N24" s="2"/>
      <c r="O24" s="1" t="b">
        <v>0</v>
      </c>
      <c r="P24" s="1">
        <v>0</v>
      </c>
      <c r="Q24" s="1">
        <v>0</v>
      </c>
      <c r="R24" s="1" t="b">
        <f t="shared" si="5"/>
        <v>0</v>
      </c>
      <c r="S24" s="2" t="s">
        <v>46</v>
      </c>
      <c r="T24" s="1" t="str">
        <f>IF(S24="","",VLOOKUP(S24,'Ontology and concepts per UC'!$F$2:$J$46,5,FALSE))</f>
        <v>Parámetros de intervención</v>
      </c>
      <c r="U24" s="1" t="b">
        <f t="array" ref="U24">(INDEX('Ontology and concepts per UC'!$G$2:$I$46,MATCH($S24,'Ontology and concepts per UC'!$F$2:$F$46,0),MATCH(LEFT($A24,3),'Ontology and concepts per UC'!$G$1:$I$1,0))=0)</f>
        <v>0</v>
      </c>
      <c r="V24" s="1" t="b">
        <f t="shared" si="6"/>
        <v>0</v>
      </c>
      <c r="W24" s="1" t="b">
        <v>0</v>
      </c>
      <c r="X24" s="1" t="b">
        <v>0</v>
      </c>
      <c r="Y24" s="1" t="b">
        <v>0</v>
      </c>
      <c r="Z24" s="1" t="b">
        <v>0</v>
      </c>
      <c r="AA24" s="1"/>
    </row>
    <row r="25" spans="1:27" x14ac:dyDescent="0.25">
      <c r="A25" s="1" t="s">
        <v>94</v>
      </c>
      <c r="B25" s="2" t="s">
        <v>156</v>
      </c>
      <c r="C25" s="2" t="s">
        <v>157</v>
      </c>
      <c r="D25" s="6">
        <f t="shared" si="0"/>
        <v>2</v>
      </c>
      <c r="E25" s="7" t="str">
        <f t="shared" si="1"/>
        <v>Parameter</v>
      </c>
      <c r="F25" s="8" t="b">
        <f>IF(D25&lt;1,FALSE,ISERROR(MATCH(E25,'Ontology and concepts per UC'!$A$2:$A$62,0)))</f>
        <v>0</v>
      </c>
      <c r="G25" s="9" t="str">
        <f t="shared" si="2"/>
        <v>DeterministicParameter</v>
      </c>
      <c r="H25" s="9" t="str">
        <f t="shared" si="3"/>
        <v>DeterministicParameter</v>
      </c>
      <c r="I25" s="8" t="b">
        <f>IF(D25&lt;2,FALSE,ISERROR(MATCH(H25,'Ontology and concepts per UC'!$A$2:$A$62,0)))</f>
        <v>0</v>
      </c>
      <c r="J25" s="9" t="str">
        <f t="shared" si="4"/>
        <v/>
      </c>
      <c r="K25" s="8" t="b">
        <f>IF(D25&lt;3,FALSE,ISERROR(MATCH(J25,'Ontology and concepts per UC'!$A$2:$A$62,0)))</f>
        <v>0</v>
      </c>
      <c r="L25" s="2"/>
      <c r="M25" s="2" t="s">
        <v>158</v>
      </c>
      <c r="N25" s="2"/>
      <c r="O25" s="1" t="b">
        <v>0</v>
      </c>
      <c r="P25" s="1">
        <v>0</v>
      </c>
      <c r="Q25" s="1">
        <v>0</v>
      </c>
      <c r="R25" s="1" t="b">
        <f t="shared" si="5"/>
        <v>0</v>
      </c>
      <c r="S25" s="2" t="s">
        <v>47</v>
      </c>
      <c r="T25" s="1" t="str">
        <f>IF(S25="","",VLOOKUP(S25,'Ontology and concepts per UC'!$F$2:$J$46,5,FALSE))</f>
        <v>Parámetros de intervención</v>
      </c>
      <c r="U25" s="1" t="b">
        <f t="array" ref="U25">(INDEX('Ontology and concepts per UC'!$G$2:$I$46,MATCH($S25,'Ontology and concepts per UC'!$F$2:$F$46,0),MATCH(LEFT($A25,3),'Ontology and concepts per UC'!$G$1:$I$1,0))=0)</f>
        <v>0</v>
      </c>
      <c r="V25" s="1" t="b">
        <f t="shared" si="6"/>
        <v>0</v>
      </c>
      <c r="W25" s="1" t="b">
        <v>0</v>
      </c>
      <c r="X25" s="1" t="b">
        <v>0</v>
      </c>
      <c r="Y25" s="1" t="b">
        <v>0</v>
      </c>
      <c r="Z25" s="1" t="b">
        <v>0</v>
      </c>
      <c r="AA25" s="1"/>
    </row>
    <row r="26" spans="1:27" x14ac:dyDescent="0.25">
      <c r="A26" s="1" t="s">
        <v>94</v>
      </c>
      <c r="B26" s="2" t="s">
        <v>159</v>
      </c>
      <c r="C26" s="2" t="s">
        <v>14</v>
      </c>
      <c r="D26" s="6">
        <f t="shared" si="0"/>
        <v>1</v>
      </c>
      <c r="E26" s="7" t="str">
        <f t="shared" si="1"/>
        <v>Population</v>
      </c>
      <c r="F26" s="8" t="b">
        <f>IF(D26&lt;1,FALSE,ISERROR(MATCH(E26,'Ontology and concepts per UC'!$A$2:$A$62,0)))</f>
        <v>0</v>
      </c>
      <c r="G26" s="9" t="str">
        <f t="shared" si="2"/>
        <v/>
      </c>
      <c r="H26" s="9" t="str">
        <f t="shared" si="3"/>
        <v/>
      </c>
      <c r="I26" s="8" t="b">
        <f>IF(D26&lt;2,FALSE,ISERROR(MATCH(H26,'Ontology and concepts per UC'!$A$2:$A$62,0)))</f>
        <v>0</v>
      </c>
      <c r="J26" s="9" t="str">
        <f t="shared" si="4"/>
        <v/>
      </c>
      <c r="K26" s="8" t="b">
        <f>IF(D26&lt;3,FALSE,ISERROR(MATCH(J26,'Ontology and concepts per UC'!$A$2:$A$62,0)))</f>
        <v>0</v>
      </c>
      <c r="L26" s="2" t="s">
        <v>160</v>
      </c>
      <c r="M26" s="2" t="s">
        <v>161</v>
      </c>
      <c r="N26" s="2"/>
      <c r="O26" s="1" t="b">
        <v>0</v>
      </c>
      <c r="P26" s="1">
        <v>0</v>
      </c>
      <c r="Q26" s="1">
        <v>0</v>
      </c>
      <c r="R26" s="1" t="b">
        <f t="shared" si="5"/>
        <v>0</v>
      </c>
      <c r="S26" s="2" t="s">
        <v>13</v>
      </c>
      <c r="T26" s="1" t="str">
        <f>IF(S26="","",VLOOKUP(S26,'Ontology and concepts per UC'!$F$2:$J$46,5,FALSE))</f>
        <v>Modelo Conceptual</v>
      </c>
      <c r="U26" s="1" t="b">
        <f t="array" ref="U26">(INDEX('Ontology and concepts per UC'!$G$2:$I$46,MATCH($S26,'Ontology and concepts per UC'!$F$2:$F$46,0),MATCH(LEFT($A26,3),'Ontology and concepts per UC'!$G$1:$I$1,0))=0)</f>
        <v>0</v>
      </c>
      <c r="V26" s="1" t="b">
        <f t="shared" si="6"/>
        <v>1</v>
      </c>
      <c r="W26" s="1" t="b">
        <v>1</v>
      </c>
      <c r="X26" s="1" t="b">
        <v>0</v>
      </c>
      <c r="Y26" s="1" t="b">
        <v>0</v>
      </c>
      <c r="Z26" s="1" t="b">
        <v>0</v>
      </c>
      <c r="AA26" s="1" t="s">
        <v>162</v>
      </c>
    </row>
    <row r="27" spans="1:27" x14ac:dyDescent="0.25">
      <c r="A27" s="1" t="s">
        <v>94</v>
      </c>
      <c r="B27" s="2" t="s">
        <v>163</v>
      </c>
      <c r="C27" s="2" t="s">
        <v>164</v>
      </c>
      <c r="D27" s="6">
        <f t="shared" si="0"/>
        <v>2</v>
      </c>
      <c r="E27" s="7" t="str">
        <f t="shared" si="1"/>
        <v>RareDisease</v>
      </c>
      <c r="F27" s="8" t="b">
        <f>IF(D27&lt;1,FALSE,ISERROR(MATCH(E27,'Ontology and concepts per UC'!$A$2:$A$62,0)))</f>
        <v>0</v>
      </c>
      <c r="G27" s="9" t="str">
        <f t="shared" si="2"/>
        <v>Disease</v>
      </c>
      <c r="H27" s="9" t="str">
        <f t="shared" si="3"/>
        <v>Disease</v>
      </c>
      <c r="I27" s="8" t="b">
        <f>IF(D27&lt;2,FALSE,ISERROR(MATCH(H27,'Ontology and concepts per UC'!$A$2:$A$62,0)))</f>
        <v>0</v>
      </c>
      <c r="J27" s="9" t="str">
        <f t="shared" si="4"/>
        <v/>
      </c>
      <c r="K27" s="8" t="b">
        <f>IF(D27&lt;3,FALSE,ISERROR(MATCH(J27,'Ontology and concepts per UC'!$A$2:$A$62,0)))</f>
        <v>0</v>
      </c>
      <c r="L27" s="2" t="s">
        <v>165</v>
      </c>
      <c r="M27" s="2" t="s">
        <v>166</v>
      </c>
      <c r="N27" s="2"/>
      <c r="O27" s="1" t="b">
        <v>0</v>
      </c>
      <c r="P27" s="1">
        <v>0</v>
      </c>
      <c r="Q27" s="1">
        <v>1</v>
      </c>
      <c r="R27" s="1" t="b">
        <f t="shared" si="5"/>
        <v>1</v>
      </c>
      <c r="S27" s="2" t="s">
        <v>35</v>
      </c>
      <c r="T27" s="1" t="str">
        <f>IF(S27="","",VLOOKUP(S27,'Ontology and concepts per UC'!$F$2:$J$46,5,FALSE))</f>
        <v>Modelo Conceptual</v>
      </c>
      <c r="U27" s="1" t="b">
        <f t="array" ref="U27">(INDEX('Ontology and concepts per UC'!$G$2:$I$46,MATCH($S27,'Ontology and concepts per UC'!$F$2:$F$46,0),MATCH(LEFT($A27,3),'Ontology and concepts per UC'!$G$1:$I$1,0))=0)</f>
        <v>0</v>
      </c>
      <c r="V27" s="1" t="b">
        <f t="shared" si="6"/>
        <v>1</v>
      </c>
      <c r="W27" s="1" t="b">
        <v>1</v>
      </c>
      <c r="X27" s="1" t="b">
        <v>0</v>
      </c>
      <c r="Y27" s="1" t="b">
        <v>0</v>
      </c>
      <c r="Z27" s="1" t="b">
        <v>0</v>
      </c>
      <c r="AA27" s="1" t="s">
        <v>167</v>
      </c>
    </row>
    <row r="28" spans="1:27" x14ac:dyDescent="0.25">
      <c r="A28" s="1" t="s">
        <v>94</v>
      </c>
      <c r="B28" s="2" t="s">
        <v>168</v>
      </c>
      <c r="C28" s="2" t="s">
        <v>169</v>
      </c>
      <c r="D28" s="6">
        <f t="shared" si="0"/>
        <v>2</v>
      </c>
      <c r="E28" s="7" t="str">
        <f t="shared" si="1"/>
        <v>SecondOrderUncertaintyParameter</v>
      </c>
      <c r="F28" s="8" t="b">
        <f>IF(D28&lt;1,FALSE,ISERROR(MATCH(E28,'Ontology and concepts per UC'!$A$2:$A$62,0)))</f>
        <v>0</v>
      </c>
      <c r="G28" s="9" t="str">
        <f t="shared" si="2"/>
        <v>EpidemiologicalParameter</v>
      </c>
      <c r="H28" s="9" t="str">
        <f t="shared" si="3"/>
        <v>EpidemiologicalParameter</v>
      </c>
      <c r="I28" s="8" t="b">
        <f>IF(D28&lt;2,FALSE,ISERROR(MATCH(H28,'Ontology and concepts per UC'!$A$2:$A$62,0)))</f>
        <v>0</v>
      </c>
      <c r="J28" s="9" t="str">
        <f t="shared" si="4"/>
        <v/>
      </c>
      <c r="K28" s="8" t="b">
        <f>IF(D28&lt;3,FALSE,ISERROR(MATCH(J28,'Ontology and concepts per UC'!$A$2:$A$62,0)))</f>
        <v>0</v>
      </c>
      <c r="L28" s="2"/>
      <c r="M28" s="2" t="s">
        <v>170</v>
      </c>
      <c r="N28" s="2"/>
      <c r="O28" s="1" t="b">
        <v>0</v>
      </c>
      <c r="P28" s="1">
        <v>0</v>
      </c>
      <c r="Q28" s="1">
        <v>0</v>
      </c>
      <c r="R28" s="1" t="b">
        <f t="shared" si="5"/>
        <v>1</v>
      </c>
      <c r="S28" s="2" t="s">
        <v>38</v>
      </c>
      <c r="T28" s="1" t="str">
        <f>IF(S28="","",VLOOKUP(S28,'Ontology and concepts per UC'!$F$2:$J$46,5,FALSE))</f>
        <v>Parámetro epidemiológico</v>
      </c>
      <c r="U28" s="1" t="b">
        <f t="array" ref="U28">(INDEX('Ontology and concepts per UC'!$G$2:$I$46,MATCH($S28,'Ontology and concepts per UC'!$F$2:$F$46,0),MATCH(LEFT($A28,3),'Ontology and concepts per UC'!$G$1:$I$1,0))=0)</f>
        <v>0</v>
      </c>
      <c r="V28" s="1" t="b">
        <f t="shared" si="6"/>
        <v>0</v>
      </c>
      <c r="W28" s="1" t="b">
        <v>0</v>
      </c>
      <c r="X28" s="1" t="b">
        <v>0</v>
      </c>
      <c r="Y28" s="1" t="b">
        <v>0</v>
      </c>
      <c r="Z28" s="1" t="b">
        <v>0</v>
      </c>
      <c r="AA28" s="1"/>
    </row>
    <row r="29" spans="1:27" x14ac:dyDescent="0.25">
      <c r="A29" s="1" t="s">
        <v>94</v>
      </c>
      <c r="B29" s="2" t="s">
        <v>171</v>
      </c>
      <c r="C29" s="2" t="s">
        <v>172</v>
      </c>
      <c r="D29" s="6">
        <f t="shared" si="0"/>
        <v>1</v>
      </c>
      <c r="E29" s="7" t="str">
        <f t="shared" si="1"/>
        <v>UtilityParameter</v>
      </c>
      <c r="F29" s="8" t="b">
        <f>IF(D29&lt;1,FALSE,ISERROR(MATCH(E29,'Ontology and concepts per UC'!$A$2:$A$62,0)))</f>
        <v>1</v>
      </c>
      <c r="G29" s="9" t="str">
        <f t="shared" si="2"/>
        <v/>
      </c>
      <c r="H29" s="9" t="str">
        <f t="shared" si="3"/>
        <v/>
      </c>
      <c r="I29" s="8" t="b">
        <f>IF(D29&lt;2,FALSE,ISERROR(MATCH(H29,'Ontology and concepts per UC'!$A$2:$A$62,0)))</f>
        <v>0</v>
      </c>
      <c r="J29" s="9" t="str">
        <f t="shared" si="4"/>
        <v/>
      </c>
      <c r="K29" s="8" t="b">
        <f>IF(D29&lt;3,FALSE,ISERROR(MATCH(J29,'Ontology and concepts per UC'!$A$2:$A$62,0)))</f>
        <v>0</v>
      </c>
      <c r="L29" s="2"/>
      <c r="M29" s="2" t="s">
        <v>173</v>
      </c>
      <c r="N29" s="2"/>
      <c r="O29" s="1" t="b">
        <v>0</v>
      </c>
      <c r="P29" s="1">
        <v>1</v>
      </c>
      <c r="Q29" s="1">
        <v>0</v>
      </c>
      <c r="R29" s="1" t="b">
        <f t="shared" si="5"/>
        <v>0</v>
      </c>
      <c r="S29" s="2" t="s">
        <v>174</v>
      </c>
      <c r="T29" s="1" t="str">
        <f>IF(S29="","",VLOOKUP(S29,'Ontology and concepts per UC'!$F$2:$J$46,5,FALSE))</f>
        <v>Utilidad</v>
      </c>
      <c r="U29" s="1" t="b">
        <f t="array" ref="U29">(INDEX('Ontology and concepts per UC'!$G$2:$I$46,MATCH($S29,'Ontology and concepts per UC'!$F$2:$F$46,0),MATCH(LEFT($A29,3),'Ontology and concepts per UC'!$G$1:$I$1,0))=0)</f>
        <v>0</v>
      </c>
      <c r="V29" s="1" t="b">
        <f t="shared" si="6"/>
        <v>1</v>
      </c>
      <c r="W29" s="1" t="b">
        <v>1</v>
      </c>
      <c r="X29" s="1" t="b">
        <v>0</v>
      </c>
      <c r="Y29" s="1" t="b">
        <v>0</v>
      </c>
      <c r="Z29" s="1" t="b">
        <v>0</v>
      </c>
      <c r="AA29" s="1" t="s">
        <v>175</v>
      </c>
    </row>
    <row r="30" spans="1:27" x14ac:dyDescent="0.25">
      <c r="A30" s="1" t="s">
        <v>94</v>
      </c>
      <c r="B30" s="2" t="s">
        <v>176</v>
      </c>
      <c r="C30" s="2" t="s">
        <v>172</v>
      </c>
      <c r="D30" s="6">
        <f t="shared" si="0"/>
        <v>1</v>
      </c>
      <c r="E30" s="7" t="str">
        <f t="shared" si="1"/>
        <v>UtilityParameter</v>
      </c>
      <c r="F30" s="8" t="b">
        <f>IF(D30&lt;1,FALSE,ISERROR(MATCH(E30,'Ontology and concepts per UC'!$A$2:$A$62,0)))</f>
        <v>1</v>
      </c>
      <c r="G30" s="9" t="str">
        <f t="shared" si="2"/>
        <v/>
      </c>
      <c r="H30" s="9" t="str">
        <f t="shared" si="3"/>
        <v/>
      </c>
      <c r="I30" s="8" t="b">
        <f>IF(D30&lt;2,FALSE,ISERROR(MATCH(H30,'Ontology and concepts per UC'!$A$2:$A$62,0)))</f>
        <v>0</v>
      </c>
      <c r="J30" s="9" t="str">
        <f t="shared" si="4"/>
        <v/>
      </c>
      <c r="K30" s="8" t="b">
        <f>IF(D30&lt;3,FALSE,ISERROR(MATCH(J30,'Ontology and concepts per UC'!$A$2:$A$62,0)))</f>
        <v>0</v>
      </c>
      <c r="L30" s="2"/>
      <c r="M30" s="2" t="s">
        <v>177</v>
      </c>
      <c r="N30" s="2"/>
      <c r="O30" s="1" t="b">
        <v>0</v>
      </c>
      <c r="P30" s="1">
        <v>1</v>
      </c>
      <c r="Q30" s="1">
        <v>0</v>
      </c>
      <c r="R30" s="1" t="b">
        <f t="shared" si="5"/>
        <v>0</v>
      </c>
      <c r="S30" s="2" t="s">
        <v>69</v>
      </c>
      <c r="T30" s="1" t="str">
        <f>IF(S30="","",VLOOKUP(S30,'Ontology and concepts per UC'!$F$2:$J$46,5,FALSE))</f>
        <v>Utilidad</v>
      </c>
      <c r="U30" s="1" t="b">
        <f t="array" ref="U30">(INDEX('Ontology and concepts per UC'!$G$2:$I$46,MATCH($S30,'Ontology and concepts per UC'!$F$2:$F$46,0),MATCH(LEFT($A30,3),'Ontology and concepts per UC'!$G$1:$I$1,0))=0)</f>
        <v>0</v>
      </c>
      <c r="V30" s="1" t="b">
        <f t="shared" si="6"/>
        <v>1</v>
      </c>
      <c r="W30" s="1" t="b">
        <v>1</v>
      </c>
      <c r="X30" s="1" t="b">
        <v>0</v>
      </c>
      <c r="Y30" s="1" t="b">
        <v>0</v>
      </c>
      <c r="Z30" s="1" t="b">
        <v>0</v>
      </c>
      <c r="AA30" s="1" t="s">
        <v>175</v>
      </c>
    </row>
    <row r="31" spans="1:27" x14ac:dyDescent="0.25">
      <c r="A31" s="1" t="s">
        <v>94</v>
      </c>
      <c r="B31" s="2" t="s">
        <v>178</v>
      </c>
      <c r="C31" s="2" t="s">
        <v>172</v>
      </c>
      <c r="D31" s="6">
        <f t="shared" si="0"/>
        <v>1</v>
      </c>
      <c r="E31" s="7" t="str">
        <f t="shared" si="1"/>
        <v>UtilityParameter</v>
      </c>
      <c r="F31" s="8" t="b">
        <f>IF(D31&lt;1,FALSE,ISERROR(MATCH(E31,'Ontology and concepts per UC'!$A$2:$A$62,0)))</f>
        <v>1</v>
      </c>
      <c r="G31" s="9" t="str">
        <f t="shared" si="2"/>
        <v/>
      </c>
      <c r="H31" s="9" t="str">
        <f t="shared" si="3"/>
        <v/>
      </c>
      <c r="I31" s="8" t="b">
        <f>IF(D31&lt;2,FALSE,ISERROR(MATCH(H31,'Ontology and concepts per UC'!$A$2:$A$62,0)))</f>
        <v>0</v>
      </c>
      <c r="J31" s="9" t="str">
        <f t="shared" si="4"/>
        <v/>
      </c>
      <c r="K31" s="8" t="b">
        <f>IF(D31&lt;3,FALSE,ISERROR(MATCH(J31,'Ontology and concepts per UC'!$A$2:$A$62,0)))</f>
        <v>0</v>
      </c>
      <c r="L31" s="2"/>
      <c r="M31" s="2" t="s">
        <v>179</v>
      </c>
      <c r="N31" s="2"/>
      <c r="O31" s="1" t="b">
        <v>0</v>
      </c>
      <c r="P31" s="1">
        <v>1</v>
      </c>
      <c r="Q31" s="1">
        <v>0</v>
      </c>
      <c r="R31" s="1" t="b">
        <f t="shared" si="5"/>
        <v>0</v>
      </c>
      <c r="S31" s="2" t="s">
        <v>65</v>
      </c>
      <c r="T31" s="1" t="str">
        <f>IF(S31="","",VLOOKUP(S31,'Ontology and concepts per UC'!$F$2:$J$46,5,FALSE))</f>
        <v>Utilidad</v>
      </c>
      <c r="U31" s="1" t="b">
        <f t="array" ref="U31">(INDEX('Ontology and concepts per UC'!$G$2:$I$46,MATCH($S31,'Ontology and concepts per UC'!$F$2:$F$46,0),MATCH(LEFT($A31,3),'Ontology and concepts per UC'!$G$1:$I$1,0))=0)</f>
        <v>0</v>
      </c>
      <c r="V31" s="1" t="b">
        <f t="shared" si="6"/>
        <v>1</v>
      </c>
      <c r="W31" s="1" t="b">
        <v>1</v>
      </c>
      <c r="X31" s="1" t="b">
        <v>0</v>
      </c>
      <c r="Y31" s="1" t="b">
        <v>0</v>
      </c>
      <c r="Z31" s="1" t="b">
        <v>0</v>
      </c>
      <c r="AA31" s="1" t="s">
        <v>175</v>
      </c>
    </row>
    <row r="32" spans="1:27" x14ac:dyDescent="0.25">
      <c r="A32" s="1" t="s">
        <v>94</v>
      </c>
      <c r="B32" s="2" t="s">
        <v>180</v>
      </c>
      <c r="C32" s="2" t="s">
        <v>172</v>
      </c>
      <c r="D32" s="6">
        <f t="shared" si="0"/>
        <v>1</v>
      </c>
      <c r="E32" s="7" t="str">
        <f t="shared" si="1"/>
        <v>UtilityParameter</v>
      </c>
      <c r="F32" s="8" t="b">
        <f>IF(D32&lt;1,FALSE,ISERROR(MATCH(E32,'Ontology and concepts per UC'!$A$2:$A$62,0)))</f>
        <v>1</v>
      </c>
      <c r="G32" s="9" t="str">
        <f t="shared" si="2"/>
        <v/>
      </c>
      <c r="H32" s="9" t="str">
        <f t="shared" si="3"/>
        <v/>
      </c>
      <c r="I32" s="8" t="b">
        <f>IF(D32&lt;2,FALSE,ISERROR(MATCH(H32,'Ontology and concepts per UC'!$A$2:$A$62,0)))</f>
        <v>0</v>
      </c>
      <c r="J32" s="9" t="str">
        <f t="shared" si="4"/>
        <v/>
      </c>
      <c r="K32" s="8" t="b">
        <f>IF(D32&lt;3,FALSE,ISERROR(MATCH(J32,'Ontology and concepts per UC'!$A$2:$A$62,0)))</f>
        <v>0</v>
      </c>
      <c r="L32" s="2"/>
      <c r="M32" s="2" t="s">
        <v>181</v>
      </c>
      <c r="N32" s="2"/>
      <c r="O32" s="1" t="b">
        <v>0</v>
      </c>
      <c r="P32" s="1">
        <v>1</v>
      </c>
      <c r="Q32" s="1">
        <v>0</v>
      </c>
      <c r="R32" s="1" t="b">
        <f t="shared" si="5"/>
        <v>0</v>
      </c>
      <c r="S32" s="2" t="s">
        <v>67</v>
      </c>
      <c r="T32" s="1" t="str">
        <f>IF(S32="","",VLOOKUP(S32,'Ontology and concepts per UC'!$F$2:$J$46,5,FALSE))</f>
        <v>Utilidad</v>
      </c>
      <c r="U32" s="1" t="b">
        <f t="array" ref="U32">(INDEX('Ontology and concepts per UC'!$G$2:$I$46,MATCH($S32,'Ontology and concepts per UC'!$F$2:$F$46,0),MATCH(LEFT($A32,3),'Ontology and concepts per UC'!$G$1:$I$1,0))=0)</f>
        <v>0</v>
      </c>
      <c r="V32" s="1" t="b">
        <f t="shared" si="6"/>
        <v>1</v>
      </c>
      <c r="W32" s="1" t="b">
        <v>1</v>
      </c>
      <c r="X32" s="1" t="b">
        <v>0</v>
      </c>
      <c r="Y32" s="1" t="b">
        <v>0</v>
      </c>
      <c r="Z32" s="1" t="b">
        <v>0</v>
      </c>
      <c r="AA32" s="1" t="s">
        <v>175</v>
      </c>
    </row>
    <row r="33" spans="1:27" x14ac:dyDescent="0.25">
      <c r="A33" s="1" t="s">
        <v>94</v>
      </c>
      <c r="B33" s="2" t="s">
        <v>182</v>
      </c>
      <c r="C33" s="2" t="s">
        <v>172</v>
      </c>
      <c r="D33" s="6">
        <f t="shared" si="0"/>
        <v>1</v>
      </c>
      <c r="E33" s="7" t="str">
        <f t="shared" si="1"/>
        <v>UtilityParameter</v>
      </c>
      <c r="F33" s="8" t="b">
        <f>IF(D33&lt;1,FALSE,ISERROR(MATCH(E33,'Ontology and concepts per UC'!$A$2:$A$62,0)))</f>
        <v>1</v>
      </c>
      <c r="G33" s="9" t="str">
        <f t="shared" si="2"/>
        <v/>
      </c>
      <c r="H33" s="9" t="str">
        <f t="shared" si="3"/>
        <v/>
      </c>
      <c r="I33" s="8" t="b">
        <f>IF(D33&lt;2,FALSE,ISERROR(MATCH(H33,'Ontology and concepts per UC'!$A$2:$A$62,0)))</f>
        <v>0</v>
      </c>
      <c r="J33" s="9" t="str">
        <f t="shared" si="4"/>
        <v/>
      </c>
      <c r="K33" s="8" t="b">
        <f>IF(D33&lt;3,FALSE,ISERROR(MATCH(J33,'Ontology and concepts per UC'!$A$2:$A$62,0)))</f>
        <v>0</v>
      </c>
      <c r="L33" s="2"/>
      <c r="M33" s="2" t="s">
        <v>183</v>
      </c>
      <c r="N33" s="2"/>
      <c r="O33" s="1" t="b">
        <v>0</v>
      </c>
      <c r="P33" s="1">
        <v>1</v>
      </c>
      <c r="Q33" s="1">
        <v>0</v>
      </c>
      <c r="R33" s="1" t="b">
        <f t="shared" si="5"/>
        <v>0</v>
      </c>
      <c r="S33" s="2" t="s">
        <v>70</v>
      </c>
      <c r="T33" s="1" t="str">
        <f>IF(S33="","",VLOOKUP(S33,'Ontology and concepts per UC'!$F$2:$J$46,5,FALSE))</f>
        <v>Utilidad</v>
      </c>
      <c r="U33" s="1" t="b">
        <f t="array" ref="U33">(INDEX('Ontology and concepts per UC'!$G$2:$I$46,MATCH($S33,'Ontology and concepts per UC'!$F$2:$F$46,0),MATCH(LEFT($A33,3),'Ontology and concepts per UC'!$G$1:$I$1,0))=0)</f>
        <v>0</v>
      </c>
      <c r="V33" s="1" t="b">
        <f t="shared" si="6"/>
        <v>1</v>
      </c>
      <c r="W33" s="1" t="b">
        <v>1</v>
      </c>
      <c r="X33" s="1" t="b">
        <v>0</v>
      </c>
      <c r="Y33" s="1" t="b">
        <v>0</v>
      </c>
      <c r="Z33" s="1" t="b">
        <v>0</v>
      </c>
      <c r="AA33" s="1" t="s">
        <v>175</v>
      </c>
    </row>
    <row r="34" spans="1:27" x14ac:dyDescent="0.25">
      <c r="A34" s="1" t="s">
        <v>94</v>
      </c>
      <c r="B34" s="2" t="s">
        <v>184</v>
      </c>
      <c r="C34" s="2" t="s">
        <v>172</v>
      </c>
      <c r="D34" s="6">
        <f t="shared" si="0"/>
        <v>1</v>
      </c>
      <c r="E34" s="7" t="str">
        <f t="shared" si="1"/>
        <v>UtilityParameter</v>
      </c>
      <c r="F34" s="8" t="b">
        <f>IF(D34&lt;1,FALSE,ISERROR(MATCH(E34,'Ontology and concepts per UC'!$A$2:$A$62,0)))</f>
        <v>1</v>
      </c>
      <c r="G34" s="9" t="str">
        <f t="shared" si="2"/>
        <v/>
      </c>
      <c r="H34" s="9" t="str">
        <f t="shared" si="3"/>
        <v/>
      </c>
      <c r="I34" s="8" t="b">
        <f>IF(D34&lt;2,FALSE,ISERROR(MATCH(H34,'Ontology and concepts per UC'!$A$2:$A$62,0)))</f>
        <v>0</v>
      </c>
      <c r="J34" s="9" t="str">
        <f t="shared" si="4"/>
        <v/>
      </c>
      <c r="K34" s="8" t="b">
        <f>IF(D34&lt;3,FALSE,ISERROR(MATCH(J34,'Ontology and concepts per UC'!$A$2:$A$62,0)))</f>
        <v>0</v>
      </c>
      <c r="L34" s="2"/>
      <c r="M34" s="2" t="s">
        <v>185</v>
      </c>
      <c r="N34" s="2"/>
      <c r="O34" s="1" t="b">
        <v>0</v>
      </c>
      <c r="P34" s="1">
        <v>1</v>
      </c>
      <c r="Q34" s="1">
        <v>0</v>
      </c>
      <c r="R34" s="1" t="b">
        <f t="shared" si="5"/>
        <v>0</v>
      </c>
      <c r="S34" s="2" t="s">
        <v>20</v>
      </c>
      <c r="T34" s="1" t="str">
        <f>IF(S34="","",VLOOKUP(S34,'Ontology and concepts per UC'!$F$2:$J$46,5,FALSE))</f>
        <v>Modelo Conceptual</v>
      </c>
      <c r="U34" s="1" t="b">
        <f t="array" ref="U34">(INDEX('Ontology and concepts per UC'!$G$2:$I$46,MATCH($S34,'Ontology and concepts per UC'!$F$2:$F$46,0),MATCH(LEFT($A34,3),'Ontology and concepts per UC'!$G$1:$I$1,0))=0)</f>
        <v>0</v>
      </c>
      <c r="V34" s="1" t="b">
        <f t="shared" si="6"/>
        <v>1</v>
      </c>
      <c r="W34" s="1" t="b">
        <v>1</v>
      </c>
      <c r="X34" s="1" t="b">
        <v>0</v>
      </c>
      <c r="Y34" s="1" t="b">
        <v>0</v>
      </c>
      <c r="Z34" s="1" t="b">
        <v>0</v>
      </c>
      <c r="AA34" s="1" t="s">
        <v>175</v>
      </c>
    </row>
    <row r="35" spans="1:27" x14ac:dyDescent="0.25">
      <c r="A35" s="1" t="s">
        <v>94</v>
      </c>
      <c r="B35" s="2" t="s">
        <v>186</v>
      </c>
      <c r="C35" s="2"/>
      <c r="D35" s="6">
        <f t="shared" si="0"/>
        <v>0</v>
      </c>
      <c r="E35" s="7">
        <f t="shared" si="1"/>
        <v>0</v>
      </c>
      <c r="F35" s="8" t="b">
        <f>IF(D35&lt;1,FALSE,ISERROR(MATCH(E35,'Ontology and concepts per UC'!$A$2:$A$62,0)))</f>
        <v>0</v>
      </c>
      <c r="G35" s="9" t="str">
        <f t="shared" si="2"/>
        <v/>
      </c>
      <c r="H35" s="9" t="str">
        <f t="shared" si="3"/>
        <v/>
      </c>
      <c r="I35" s="8" t="b">
        <f>IF(D35&lt;2,FALSE,ISERROR(MATCH(H35,'Ontology and concepts per UC'!$A$2:$A$62,0)))</f>
        <v>0</v>
      </c>
      <c r="J35" s="9" t="str">
        <f t="shared" si="4"/>
        <v/>
      </c>
      <c r="K35" s="8" t="b">
        <f>IF(D35&lt;3,FALSE,ISERROR(MATCH(J35,'Ontology and concepts per UC'!$A$2:$A$62,0)))</f>
        <v>0</v>
      </c>
      <c r="L35" s="2"/>
      <c r="M35" s="2"/>
      <c r="N35" s="2"/>
      <c r="O35" s="1" t="b">
        <v>1</v>
      </c>
      <c r="P35" s="1">
        <v>0</v>
      </c>
      <c r="Q35" s="1">
        <v>0</v>
      </c>
      <c r="R35" s="1" t="b">
        <f t="shared" si="5"/>
        <v>0</v>
      </c>
      <c r="S35" s="2" t="s">
        <v>187</v>
      </c>
      <c r="T35" s="1" t="str">
        <f>IF(S35="","",VLOOKUP(S35,'Ontology and concepts per UC'!$F$2:$J$46,5,FALSE))</f>
        <v>Otros</v>
      </c>
      <c r="U35" s="1" t="b">
        <f t="array" ref="U35">(INDEX('Ontology and concepts per UC'!$G$2:$I$46,MATCH($S35,'Ontology and concepts per UC'!$F$2:$F$46,0),MATCH(LEFT($A35,3),'Ontology and concepts per UC'!$G$1:$I$1,0))=0)</f>
        <v>1</v>
      </c>
      <c r="V35" s="1" t="b">
        <f t="shared" si="6"/>
        <v>1</v>
      </c>
      <c r="W35" s="1" t="b">
        <v>1</v>
      </c>
      <c r="X35" s="1" t="b">
        <v>0</v>
      </c>
      <c r="Y35" s="1" t="b">
        <v>0</v>
      </c>
      <c r="Z35" s="1" t="b">
        <v>0</v>
      </c>
      <c r="AA35" s="1" t="s">
        <v>188</v>
      </c>
    </row>
    <row r="36" spans="1:27" x14ac:dyDescent="0.25">
      <c r="A36" s="1" t="s">
        <v>94</v>
      </c>
      <c r="B36" s="2" t="s">
        <v>189</v>
      </c>
      <c r="C36" s="2"/>
      <c r="D36" s="6">
        <f t="shared" si="0"/>
        <v>0</v>
      </c>
      <c r="E36" s="7">
        <f t="shared" si="1"/>
        <v>0</v>
      </c>
      <c r="F36" s="8" t="b">
        <f>IF(D36&lt;1,FALSE,ISERROR(MATCH(E36,'Ontology and concepts per UC'!$A$2:$A$62,0)))</f>
        <v>0</v>
      </c>
      <c r="G36" s="9" t="str">
        <f t="shared" si="2"/>
        <v/>
      </c>
      <c r="H36" s="9" t="str">
        <f t="shared" si="3"/>
        <v/>
      </c>
      <c r="I36" s="8" t="b">
        <f>IF(D36&lt;2,FALSE,ISERROR(MATCH(H36,'Ontology and concepts per UC'!$A$2:$A$62,0)))</f>
        <v>0</v>
      </c>
      <c r="J36" s="9" t="str">
        <f t="shared" si="4"/>
        <v/>
      </c>
      <c r="K36" s="8" t="b">
        <f>IF(D36&lt;3,FALSE,ISERROR(MATCH(J36,'Ontology and concepts per UC'!$A$2:$A$62,0)))</f>
        <v>0</v>
      </c>
      <c r="L36" s="2"/>
      <c r="M36" s="2"/>
      <c r="N36" s="2"/>
      <c r="O36" s="1" t="b">
        <v>1</v>
      </c>
      <c r="P36" s="1">
        <v>0</v>
      </c>
      <c r="Q36" s="1">
        <v>0</v>
      </c>
      <c r="R36" s="1" t="b">
        <f t="shared" si="5"/>
        <v>0</v>
      </c>
      <c r="S36" s="2" t="s">
        <v>13</v>
      </c>
      <c r="T36" s="1" t="str">
        <f>IF(S36="","",VLOOKUP(S36,'Ontology and concepts per UC'!$F$2:$J$46,5,FALSE))</f>
        <v>Modelo Conceptual</v>
      </c>
      <c r="U36" s="1" t="b">
        <f t="array" ref="U36">(INDEX('Ontology and concepts per UC'!$G$2:$I$46,MATCH($S36,'Ontology and concepts per UC'!$F$2:$F$46,0),MATCH(LEFT($A36,3),'Ontology and concepts per UC'!$G$1:$I$1,0))=0)</f>
        <v>0</v>
      </c>
      <c r="V36" s="1" t="b">
        <f t="shared" si="6"/>
        <v>1</v>
      </c>
      <c r="W36" s="1" t="b">
        <v>1</v>
      </c>
      <c r="X36" s="1" t="b">
        <v>0</v>
      </c>
      <c r="Y36" s="1" t="b">
        <v>0</v>
      </c>
      <c r="Z36" s="1" t="b">
        <v>0</v>
      </c>
      <c r="AA36" s="1" t="s">
        <v>188</v>
      </c>
    </row>
    <row r="37" spans="1:27" x14ac:dyDescent="0.25">
      <c r="A37" s="1" t="s">
        <v>190</v>
      </c>
      <c r="B37" s="2" t="s">
        <v>191</v>
      </c>
      <c r="C37" s="2" t="s">
        <v>192</v>
      </c>
      <c r="D37" s="6">
        <f t="shared" si="0"/>
        <v>1</v>
      </c>
      <c r="E37" s="7" t="str">
        <f t="shared" si="1"/>
        <v>AcuteManifestation</v>
      </c>
      <c r="F37" s="8" t="b">
        <f>IF(D37&lt;1,FALSE,ISERROR(MATCH(E37,'Ontology and concepts per UC'!$A$2:$A$62,0)))</f>
        <v>0</v>
      </c>
      <c r="G37" s="9" t="str">
        <f t="shared" si="2"/>
        <v/>
      </c>
      <c r="H37" s="9" t="str">
        <f t="shared" si="3"/>
        <v/>
      </c>
      <c r="I37" s="8" t="b">
        <f>IF(D37&lt;2,FALSE,ISERROR(MATCH(H37,'Ontology and concepts per UC'!$A$2:$A$62,0)))</f>
        <v>0</v>
      </c>
      <c r="J37" s="9" t="str">
        <f t="shared" si="4"/>
        <v/>
      </c>
      <c r="K37" s="8" t="b">
        <f>IF(D37&lt;3,FALSE,ISERROR(MATCH(J37,'Ontology and concepts per UC'!$A$2:$A$62,0)))</f>
        <v>0</v>
      </c>
      <c r="L37" s="2"/>
      <c r="M37" s="2"/>
      <c r="N37" s="2"/>
      <c r="O37" s="1" t="b">
        <v>0</v>
      </c>
      <c r="P37" s="1">
        <v>0</v>
      </c>
      <c r="Q37" s="1">
        <v>0</v>
      </c>
      <c r="R37" s="1" t="b">
        <f t="shared" si="5"/>
        <v>0</v>
      </c>
      <c r="S37" s="2" t="s">
        <v>30</v>
      </c>
      <c r="T37" s="1" t="str">
        <f>IF(S37="","",VLOOKUP(S37,'Ontology and concepts per UC'!$F$2:$J$46,5,FALSE))</f>
        <v>Modelo Conceptual</v>
      </c>
      <c r="U37" s="1" t="b">
        <f t="array" ref="U37">(INDEX('Ontology and concepts per UC'!$G$2:$I$46,MATCH($S37,'Ontology and concepts per UC'!$F$2:$F$46,0),MATCH(LEFT($A37,3),'Ontology and concepts per UC'!$G$1:$I$1,0))=0)</f>
        <v>0</v>
      </c>
      <c r="V37" s="1" t="b">
        <f t="shared" si="6"/>
        <v>0</v>
      </c>
      <c r="W37" s="1" t="b">
        <v>0</v>
      </c>
      <c r="X37" s="1" t="b">
        <v>0</v>
      </c>
      <c r="Y37" s="1" t="b">
        <v>0</v>
      </c>
      <c r="Z37" s="1" t="b">
        <v>0</v>
      </c>
      <c r="AA37" s="1"/>
    </row>
    <row r="38" spans="1:27" x14ac:dyDescent="0.25">
      <c r="A38" s="1" t="s">
        <v>190</v>
      </c>
      <c r="B38" s="2" t="s">
        <v>193</v>
      </c>
      <c r="C38" s="2" t="s">
        <v>27</v>
      </c>
      <c r="D38" s="6">
        <f t="shared" si="0"/>
        <v>1</v>
      </c>
      <c r="E38" s="7" t="str">
        <f t="shared" si="1"/>
        <v>ChronicManifestation</v>
      </c>
      <c r="F38" s="8" t="b">
        <f>IF(D38&lt;1,FALSE,ISERROR(MATCH(E38,'Ontology and concepts per UC'!$A$2:$A$62,0)))</f>
        <v>0</v>
      </c>
      <c r="G38" s="9" t="str">
        <f t="shared" si="2"/>
        <v/>
      </c>
      <c r="H38" s="9" t="str">
        <f t="shared" si="3"/>
        <v/>
      </c>
      <c r="I38" s="8" t="b">
        <f>IF(D38&lt;2,FALSE,ISERROR(MATCH(H38,'Ontology and concepts per UC'!$A$2:$A$62,0)))</f>
        <v>0</v>
      </c>
      <c r="J38" s="9" t="str">
        <f t="shared" si="4"/>
        <v/>
      </c>
      <c r="K38" s="8" t="b">
        <f>IF(D38&lt;3,FALSE,ISERROR(MATCH(J38,'Ontology and concepts per UC'!$A$2:$A$62,0)))</f>
        <v>0</v>
      </c>
      <c r="L38" s="2"/>
      <c r="M38" s="2"/>
      <c r="N38" s="2"/>
      <c r="O38" s="1" t="b">
        <v>0</v>
      </c>
      <c r="P38" s="1">
        <v>0</v>
      </c>
      <c r="Q38" s="1">
        <v>0</v>
      </c>
      <c r="R38" s="1" t="b">
        <f t="shared" si="5"/>
        <v>0</v>
      </c>
      <c r="S38" s="2" t="s">
        <v>31</v>
      </c>
      <c r="T38" s="1" t="str">
        <f>IF(S38="","",VLOOKUP(S38,'Ontology and concepts per UC'!$F$2:$J$46,5,FALSE))</f>
        <v>Modelo Conceptual</v>
      </c>
      <c r="U38" s="1" t="b">
        <f t="array" ref="U38">(INDEX('Ontology and concepts per UC'!$G$2:$I$46,MATCH($S38,'Ontology and concepts per UC'!$F$2:$F$46,0),MATCH(LEFT($A38,3),'Ontology and concepts per UC'!$G$1:$I$1,0))=0)</f>
        <v>0</v>
      </c>
      <c r="V38" s="1" t="b">
        <f t="shared" si="6"/>
        <v>0</v>
      </c>
      <c r="W38" s="1" t="b">
        <v>0</v>
      </c>
      <c r="X38" s="1" t="b">
        <v>0</v>
      </c>
      <c r="Y38" s="1" t="b">
        <v>0</v>
      </c>
      <c r="Z38" s="1" t="b">
        <v>0</v>
      </c>
      <c r="AA38" s="1"/>
    </row>
    <row r="39" spans="1:27" x14ac:dyDescent="0.25">
      <c r="A39" s="1" t="s">
        <v>190</v>
      </c>
      <c r="B39" s="2" t="s">
        <v>194</v>
      </c>
      <c r="C39" s="2" t="s">
        <v>195</v>
      </c>
      <c r="D39" s="6">
        <f t="shared" si="0"/>
        <v>1</v>
      </c>
      <c r="E39" s="7" t="str">
        <f t="shared" si="1"/>
        <v>Cost</v>
      </c>
      <c r="F39" s="8" t="b">
        <f>IF(D39&lt;1,FALSE,ISERROR(MATCH(E39,'Ontology and concepts per UC'!$A$2:$A$62,0)))</f>
        <v>0</v>
      </c>
      <c r="G39" s="9" t="str">
        <f t="shared" si="2"/>
        <v/>
      </c>
      <c r="H39" s="9" t="str">
        <f t="shared" si="3"/>
        <v/>
      </c>
      <c r="I39" s="8" t="b">
        <f>IF(D39&lt;2,FALSE,ISERROR(MATCH(H39,'Ontology and concepts per UC'!$A$2:$A$62,0)))</f>
        <v>0</v>
      </c>
      <c r="J39" s="9" t="str">
        <f t="shared" si="4"/>
        <v/>
      </c>
      <c r="K39" s="8" t="b">
        <f>IF(D39&lt;3,FALSE,ISERROR(MATCH(J39,'Ontology and concepts per UC'!$A$2:$A$62,0)))</f>
        <v>0</v>
      </c>
      <c r="L39" s="2"/>
      <c r="M39" s="2" t="s">
        <v>196</v>
      </c>
      <c r="N39" s="2"/>
      <c r="O39" s="1" t="b">
        <v>0</v>
      </c>
      <c r="P39" s="1">
        <v>0</v>
      </c>
      <c r="Q39" s="1">
        <v>0</v>
      </c>
      <c r="R39" s="1" t="b">
        <f t="shared" si="5"/>
        <v>0</v>
      </c>
      <c r="S39" s="2" t="s">
        <v>10</v>
      </c>
      <c r="T39" s="1" t="str">
        <f>IF(S39="","",VLOOKUP(S39,'Ontology and concepts per UC'!$F$2:$J$46,5,FALSE))</f>
        <v>Coste</v>
      </c>
      <c r="U39" s="1" t="b">
        <f t="array" ref="U39">(INDEX('Ontology and concepts per UC'!$G$2:$I$46,MATCH($S39,'Ontology and concepts per UC'!$F$2:$F$46,0),MATCH(LEFT($A39,3),'Ontology and concepts per UC'!$G$1:$I$1,0))=0)</f>
        <v>0</v>
      </c>
      <c r="V39" s="1" t="b">
        <f t="shared" si="6"/>
        <v>1</v>
      </c>
      <c r="W39" s="1" t="b">
        <v>0</v>
      </c>
      <c r="X39" s="1" t="b">
        <v>0</v>
      </c>
      <c r="Y39" s="1" t="b">
        <v>0</v>
      </c>
      <c r="Z39" s="1" t="b">
        <v>1</v>
      </c>
      <c r="AA39" s="1" t="s">
        <v>197</v>
      </c>
    </row>
    <row r="40" spans="1:27" x14ac:dyDescent="0.25">
      <c r="A40" s="1" t="s">
        <v>190</v>
      </c>
      <c r="B40" s="2" t="s">
        <v>198</v>
      </c>
      <c r="C40" s="2" t="s">
        <v>195</v>
      </c>
      <c r="D40" s="6">
        <f t="shared" si="0"/>
        <v>1</v>
      </c>
      <c r="E40" s="7" t="str">
        <f t="shared" si="1"/>
        <v>Cost</v>
      </c>
      <c r="F40" s="8" t="b">
        <f>IF(D40&lt;1,FALSE,ISERROR(MATCH(E40,'Ontology and concepts per UC'!$A$2:$A$62,0)))</f>
        <v>0</v>
      </c>
      <c r="G40" s="9" t="str">
        <f t="shared" si="2"/>
        <v/>
      </c>
      <c r="H40" s="9" t="str">
        <f t="shared" si="3"/>
        <v/>
      </c>
      <c r="I40" s="8" t="b">
        <f>IF(D40&lt;2,FALSE,ISERROR(MATCH(H40,'Ontology and concepts per UC'!$A$2:$A$62,0)))</f>
        <v>0</v>
      </c>
      <c r="J40" s="9" t="str">
        <f t="shared" si="4"/>
        <v/>
      </c>
      <c r="K40" s="8" t="b">
        <f>IF(D40&lt;3,FALSE,ISERROR(MATCH(J40,'Ontology and concepts per UC'!$A$2:$A$62,0)))</f>
        <v>0</v>
      </c>
      <c r="L40" s="2"/>
      <c r="M40" s="2" t="s">
        <v>199</v>
      </c>
      <c r="N40" s="2"/>
      <c r="O40" s="1" t="b">
        <v>0</v>
      </c>
      <c r="P40" s="1">
        <v>0</v>
      </c>
      <c r="Q40" s="1">
        <v>0</v>
      </c>
      <c r="R40" s="1" t="b">
        <f t="shared" si="5"/>
        <v>0</v>
      </c>
      <c r="S40" s="2" t="s">
        <v>6</v>
      </c>
      <c r="T40" s="1" t="str">
        <f>IF(S40="","",VLOOKUP(S40,'Ontology and concepts per UC'!$F$2:$J$46,5,FALSE))</f>
        <v>Coste</v>
      </c>
      <c r="U40" s="1" t="b">
        <f t="array" ref="U40">(INDEX('Ontology and concepts per UC'!$G$2:$I$46,MATCH($S40,'Ontology and concepts per UC'!$F$2:$F$46,0),MATCH(LEFT($A40,3),'Ontology and concepts per UC'!$G$1:$I$1,0))=0)</f>
        <v>0</v>
      </c>
      <c r="V40" s="1" t="b">
        <f t="shared" si="6"/>
        <v>0</v>
      </c>
      <c r="W40" s="1" t="b">
        <v>0</v>
      </c>
      <c r="X40" s="1" t="b">
        <v>0</v>
      </c>
      <c r="Y40" s="1" t="b">
        <v>0</v>
      </c>
      <c r="Z40" s="1" t="b">
        <v>0</v>
      </c>
    </row>
    <row r="41" spans="1:27" x14ac:dyDescent="0.25">
      <c r="A41" s="1" t="s">
        <v>190</v>
      </c>
      <c r="B41" s="2" t="s">
        <v>200</v>
      </c>
      <c r="C41" s="2" t="s">
        <v>201</v>
      </c>
      <c r="D41" s="6">
        <f t="shared" si="0"/>
        <v>1</v>
      </c>
      <c r="E41" s="7" t="str">
        <f t="shared" si="1"/>
        <v>DeterministicParameter</v>
      </c>
      <c r="F41" s="8" t="b">
        <f>IF(D41&lt;1,FALSE,ISERROR(MATCH(E41,'Ontology and concepts per UC'!$A$2:$A$62,0)))</f>
        <v>0</v>
      </c>
      <c r="G41" s="9" t="str">
        <f t="shared" si="2"/>
        <v/>
      </c>
      <c r="H41" s="9" t="str">
        <f t="shared" si="3"/>
        <v/>
      </c>
      <c r="I41" s="8" t="b">
        <f>IF(D41&lt;2,FALSE,ISERROR(MATCH(H41,'Ontology and concepts per UC'!$A$2:$A$62,0)))</f>
        <v>0</v>
      </c>
      <c r="J41" s="9" t="str">
        <f t="shared" si="4"/>
        <v/>
      </c>
      <c r="K41" s="8" t="b">
        <f>IF(D41&lt;3,FALSE,ISERROR(MATCH(J41,'Ontology and concepts per UC'!$A$2:$A$62,0)))</f>
        <v>0</v>
      </c>
      <c r="L41" s="2"/>
      <c r="M41" s="2" t="s">
        <v>202</v>
      </c>
      <c r="N41" s="2"/>
      <c r="O41" s="1" t="b">
        <v>0</v>
      </c>
      <c r="P41" s="1">
        <v>0</v>
      </c>
      <c r="Q41" s="1">
        <v>0</v>
      </c>
      <c r="R41" s="1" t="b">
        <f t="shared" si="5"/>
        <v>0</v>
      </c>
      <c r="S41" s="2" t="s">
        <v>46</v>
      </c>
      <c r="T41" s="1" t="str">
        <f>IF(S41="","",VLOOKUP(S41,'Ontology and concepts per UC'!$F$2:$J$46,5,FALSE))</f>
        <v>Parámetros de intervención</v>
      </c>
      <c r="U41" s="1" t="b">
        <f t="array" ref="U41">(INDEX('Ontology and concepts per UC'!$G$2:$I$46,MATCH($S41,'Ontology and concepts per UC'!$F$2:$F$46,0),MATCH(LEFT($A41,3),'Ontology and concepts per UC'!$G$1:$I$1,0))=0)</f>
        <v>0</v>
      </c>
      <c r="V41" s="1" t="b">
        <f t="shared" si="6"/>
        <v>0</v>
      </c>
      <c r="W41" s="1" t="b">
        <v>0</v>
      </c>
      <c r="X41" s="1" t="b">
        <v>0</v>
      </c>
      <c r="Y41" s="1" t="b">
        <v>0</v>
      </c>
      <c r="Z41" s="1" t="b">
        <v>0</v>
      </c>
      <c r="AA41" s="1"/>
    </row>
    <row r="42" spans="1:27" x14ac:dyDescent="0.25">
      <c r="A42" s="1" t="s">
        <v>190</v>
      </c>
      <c r="B42" s="2" t="s">
        <v>203</v>
      </c>
      <c r="C42" s="2" t="s">
        <v>201</v>
      </c>
      <c r="D42" s="6">
        <f t="shared" si="0"/>
        <v>1</v>
      </c>
      <c r="E42" s="7" t="str">
        <f t="shared" si="1"/>
        <v>DeterministicParameter</v>
      </c>
      <c r="F42" s="8" t="b">
        <f>IF(D42&lt;1,FALSE,ISERROR(MATCH(E42,'Ontology and concepts per UC'!$A$2:$A$62,0)))</f>
        <v>0</v>
      </c>
      <c r="G42" s="9" t="str">
        <f t="shared" si="2"/>
        <v/>
      </c>
      <c r="H42" s="9" t="str">
        <f t="shared" si="3"/>
        <v/>
      </c>
      <c r="I42" s="8" t="b">
        <f>IF(D42&lt;2,FALSE,ISERROR(MATCH(H42,'Ontology and concepts per UC'!$A$2:$A$62,0)))</f>
        <v>0</v>
      </c>
      <c r="J42" s="9" t="str">
        <f t="shared" si="4"/>
        <v/>
      </c>
      <c r="K42" s="8" t="b">
        <f>IF(D42&lt;3,FALSE,ISERROR(MATCH(J42,'Ontology and concepts per UC'!$A$2:$A$62,0)))</f>
        <v>0</v>
      </c>
      <c r="L42" s="2"/>
      <c r="M42" s="2" t="s">
        <v>204</v>
      </c>
      <c r="N42" s="2"/>
      <c r="O42" s="1" t="b">
        <v>0</v>
      </c>
      <c r="P42" s="1">
        <v>0</v>
      </c>
      <c r="Q42" s="1">
        <v>0</v>
      </c>
      <c r="R42" s="1" t="b">
        <f t="shared" si="5"/>
        <v>0</v>
      </c>
      <c r="S42" s="2" t="s">
        <v>47</v>
      </c>
      <c r="T42" s="1" t="str">
        <f>IF(S42="","",VLOOKUP(S42,'Ontology and concepts per UC'!$F$2:$J$46,5,FALSE))</f>
        <v>Parámetros de intervención</v>
      </c>
      <c r="U42" s="1" t="b">
        <f t="array" ref="U42">(INDEX('Ontology and concepts per UC'!$G$2:$I$46,MATCH($S42,'Ontology and concepts per UC'!$F$2:$F$46,0),MATCH(LEFT($A42,3),'Ontology and concepts per UC'!$G$1:$I$1,0))=0)</f>
        <v>0</v>
      </c>
      <c r="V42" s="1" t="b">
        <f t="shared" si="6"/>
        <v>0</v>
      </c>
      <c r="W42" s="1" t="b">
        <v>0</v>
      </c>
      <c r="X42" s="1" t="b">
        <v>0</v>
      </c>
      <c r="Y42" s="1" t="b">
        <v>0</v>
      </c>
      <c r="Z42" s="1" t="b">
        <v>0</v>
      </c>
      <c r="AA42" s="1" t="s">
        <v>205</v>
      </c>
    </row>
    <row r="43" spans="1:27" x14ac:dyDescent="0.25">
      <c r="A43" s="1" t="s">
        <v>190</v>
      </c>
      <c r="B43" s="2" t="s">
        <v>206</v>
      </c>
      <c r="C43" s="2" t="s">
        <v>23</v>
      </c>
      <c r="D43" s="6">
        <f t="shared" si="0"/>
        <v>1</v>
      </c>
      <c r="E43" s="7" t="str">
        <f t="shared" si="1"/>
        <v>DiagnosisIntervention</v>
      </c>
      <c r="F43" s="8" t="b">
        <f>IF(D43&lt;1,FALSE,ISERROR(MATCH(E43,'Ontology and concepts per UC'!$A$2:$A$62,0)))</f>
        <v>0</v>
      </c>
      <c r="G43" s="9" t="str">
        <f t="shared" si="2"/>
        <v/>
      </c>
      <c r="H43" s="9" t="str">
        <f t="shared" si="3"/>
        <v/>
      </c>
      <c r="I43" s="8" t="b">
        <f>IF(D43&lt;2,FALSE,ISERROR(MATCH(H43,'Ontology and concepts per UC'!$A$2:$A$62,0)))</f>
        <v>0</v>
      </c>
      <c r="J43" s="9" t="str">
        <f t="shared" si="4"/>
        <v/>
      </c>
      <c r="K43" s="8" t="b">
        <f>IF(D43&lt;3,FALSE,ISERROR(MATCH(J43,'Ontology and concepts per UC'!$A$2:$A$62,0)))</f>
        <v>0</v>
      </c>
      <c r="L43" s="2"/>
      <c r="M43" s="2"/>
      <c r="N43" s="2"/>
      <c r="O43" s="1" t="b">
        <v>0</v>
      </c>
      <c r="P43" s="1">
        <v>0</v>
      </c>
      <c r="Q43" s="1">
        <v>0</v>
      </c>
      <c r="R43" s="1" t="b">
        <f t="shared" si="5"/>
        <v>0</v>
      </c>
      <c r="S43" s="2" t="s">
        <v>22</v>
      </c>
      <c r="T43" s="1" t="str">
        <f>IF(S43="","",VLOOKUP(S43,'Ontology and concepts per UC'!$F$2:$J$46,5,FALSE))</f>
        <v>Modelo Conceptual</v>
      </c>
      <c r="U43" s="1" t="b">
        <f t="array" ref="U43">(INDEX('Ontology and concepts per UC'!$G$2:$I$46,MATCH($S43,'Ontology and concepts per UC'!$F$2:$F$46,0),MATCH(LEFT($A43,3),'Ontology and concepts per UC'!$G$1:$I$1,0))=0)</f>
        <v>0</v>
      </c>
      <c r="V43" s="1" t="b">
        <f t="shared" si="6"/>
        <v>0</v>
      </c>
      <c r="W43" s="1" t="b">
        <v>0</v>
      </c>
      <c r="X43" s="1" t="b">
        <v>0</v>
      </c>
      <c r="Y43" s="1" t="b">
        <v>0</v>
      </c>
      <c r="Z43" s="1" t="b">
        <v>0</v>
      </c>
      <c r="AA43" s="1"/>
    </row>
    <row r="44" spans="1:27" x14ac:dyDescent="0.25">
      <c r="A44" s="1" t="s">
        <v>190</v>
      </c>
      <c r="B44" s="2" t="s">
        <v>207</v>
      </c>
      <c r="C44" s="2" t="s">
        <v>208</v>
      </c>
      <c r="D44" s="6">
        <f t="shared" si="0"/>
        <v>1</v>
      </c>
      <c r="E44" s="7" t="str">
        <f t="shared" si="1"/>
        <v>EpidemiologicalParameter</v>
      </c>
      <c r="F44" s="8" t="b">
        <f>IF(D44&lt;1,FALSE,ISERROR(MATCH(E44,'Ontology and concepts per UC'!$A$2:$A$62,0)))</f>
        <v>0</v>
      </c>
      <c r="G44" s="9" t="str">
        <f t="shared" si="2"/>
        <v/>
      </c>
      <c r="H44" s="9" t="str">
        <f t="shared" si="3"/>
        <v/>
      </c>
      <c r="I44" s="8" t="b">
        <f>IF(D44&lt;2,FALSE,ISERROR(MATCH(H44,'Ontology and concepts per UC'!$A$2:$A$62,0)))</f>
        <v>0</v>
      </c>
      <c r="J44" s="9" t="str">
        <f t="shared" si="4"/>
        <v/>
      </c>
      <c r="K44" s="8" t="b">
        <f>IF(D44&lt;3,FALSE,ISERROR(MATCH(J44,'Ontology and concepts per UC'!$A$2:$A$62,0)))</f>
        <v>0</v>
      </c>
      <c r="L44" s="2"/>
      <c r="M44" s="2" t="s">
        <v>209</v>
      </c>
      <c r="N44" s="2"/>
      <c r="O44" s="1" t="b">
        <v>0</v>
      </c>
      <c r="P44" s="1">
        <v>0</v>
      </c>
      <c r="Q44" s="1">
        <v>0</v>
      </c>
      <c r="R44" s="1" t="b">
        <f t="shared" si="5"/>
        <v>1</v>
      </c>
      <c r="S44" s="2" t="s">
        <v>38</v>
      </c>
      <c r="T44" s="1" t="str">
        <f>IF(S44="","",VLOOKUP(S44,'Ontology and concepts per UC'!$F$2:$J$46,5,FALSE))</f>
        <v>Parámetro epidemiológico</v>
      </c>
      <c r="U44" s="1" t="b">
        <f t="array" ref="U44">(INDEX('Ontology and concepts per UC'!$G$2:$I$46,MATCH($S44,'Ontology and concepts per UC'!$F$2:$F$46,0),MATCH(LEFT($A44,3),'Ontology and concepts per UC'!$G$1:$I$1,0))=0)</f>
        <v>0</v>
      </c>
      <c r="V44" s="1" t="b">
        <f t="shared" si="6"/>
        <v>0</v>
      </c>
      <c r="W44" s="1" t="b">
        <v>0</v>
      </c>
      <c r="X44" s="1" t="b">
        <v>0</v>
      </c>
      <c r="Y44" s="1" t="b">
        <v>0</v>
      </c>
      <c r="Z44" s="1" t="b">
        <v>0</v>
      </c>
      <c r="AA44" s="1" t="s">
        <v>205</v>
      </c>
    </row>
    <row r="45" spans="1:27" x14ac:dyDescent="0.25">
      <c r="A45" s="1" t="s">
        <v>190</v>
      </c>
      <c r="B45" s="2" t="s">
        <v>210</v>
      </c>
      <c r="C45" s="2" t="s">
        <v>208</v>
      </c>
      <c r="D45" s="6">
        <f t="shared" si="0"/>
        <v>1</v>
      </c>
      <c r="E45" s="7" t="str">
        <f t="shared" si="1"/>
        <v>EpidemiologicalParameter</v>
      </c>
      <c r="F45" s="8" t="b">
        <f>IF(D45&lt;1,FALSE,ISERROR(MATCH(E45,'Ontology and concepts per UC'!$A$2:$A$62,0)))</f>
        <v>0</v>
      </c>
      <c r="G45" s="9" t="str">
        <f t="shared" si="2"/>
        <v/>
      </c>
      <c r="H45" s="9" t="str">
        <f t="shared" si="3"/>
        <v/>
      </c>
      <c r="I45" s="8" t="b">
        <f>IF(D45&lt;2,FALSE,ISERROR(MATCH(H45,'Ontology and concepts per UC'!$A$2:$A$62,0)))</f>
        <v>0</v>
      </c>
      <c r="J45" s="9" t="str">
        <f t="shared" si="4"/>
        <v/>
      </c>
      <c r="K45" s="8" t="b">
        <f>IF(D45&lt;3,FALSE,ISERROR(MATCH(J45,'Ontology and concepts per UC'!$A$2:$A$62,0)))</f>
        <v>0</v>
      </c>
      <c r="L45" s="2"/>
      <c r="M45" s="2"/>
      <c r="N45" s="2"/>
      <c r="O45" s="1" t="b">
        <v>0</v>
      </c>
      <c r="P45" s="1">
        <v>0</v>
      </c>
      <c r="Q45" s="1">
        <v>0</v>
      </c>
      <c r="R45" s="1" t="b">
        <f t="shared" si="5"/>
        <v>0</v>
      </c>
      <c r="S45" s="2" t="s">
        <v>38</v>
      </c>
      <c r="T45" s="1" t="str">
        <f>IF(S45="","",VLOOKUP(S45,'Ontology and concepts per UC'!$F$2:$J$46,5,FALSE))</f>
        <v>Parámetro epidemiológico</v>
      </c>
      <c r="U45" s="1" t="b">
        <f t="array" ref="U45">(INDEX('Ontology and concepts per UC'!$G$2:$I$46,MATCH($S45,'Ontology and concepts per UC'!$F$2:$F$46,0),MATCH(LEFT($A45,3),'Ontology and concepts per UC'!$G$1:$I$1,0))=0)</f>
        <v>0</v>
      </c>
      <c r="V45" s="1" t="b">
        <f t="shared" si="6"/>
        <v>0</v>
      </c>
      <c r="W45" s="1" t="b">
        <v>0</v>
      </c>
      <c r="X45" s="1" t="b">
        <v>0</v>
      </c>
      <c r="Y45" s="1" t="b">
        <v>0</v>
      </c>
      <c r="Z45" s="1" t="b">
        <v>0</v>
      </c>
      <c r="AA45" s="1"/>
    </row>
    <row r="46" spans="1:27" x14ac:dyDescent="0.25">
      <c r="A46" s="1" t="s">
        <v>190</v>
      </c>
      <c r="B46" s="2" t="s">
        <v>211</v>
      </c>
      <c r="C46" s="2" t="s">
        <v>14</v>
      </c>
      <c r="D46" s="6">
        <f t="shared" si="0"/>
        <v>1</v>
      </c>
      <c r="E46" s="7" t="str">
        <f t="shared" si="1"/>
        <v>Population</v>
      </c>
      <c r="F46" s="8" t="b">
        <f>IF(D46&lt;1,FALSE,ISERROR(MATCH(E46,'Ontology and concepts per UC'!$A$2:$A$62,0)))</f>
        <v>0</v>
      </c>
      <c r="G46" s="9" t="str">
        <f t="shared" si="2"/>
        <v/>
      </c>
      <c r="H46" s="9" t="str">
        <f t="shared" si="3"/>
        <v/>
      </c>
      <c r="I46" s="8" t="b">
        <f>IF(D46&lt;2,FALSE,ISERROR(MATCH(H46,'Ontology and concepts per UC'!$A$2:$A$62,0)))</f>
        <v>0</v>
      </c>
      <c r="J46" s="9" t="str">
        <f t="shared" si="4"/>
        <v/>
      </c>
      <c r="K46" s="8" t="b">
        <f>IF(D46&lt;3,FALSE,ISERROR(MATCH(J46,'Ontology and concepts per UC'!$A$2:$A$62,0)))</f>
        <v>0</v>
      </c>
      <c r="L46" s="2"/>
      <c r="M46" s="2" t="s">
        <v>212</v>
      </c>
      <c r="N46" s="2"/>
      <c r="O46" s="1" t="b">
        <v>0</v>
      </c>
      <c r="P46" s="1">
        <v>0</v>
      </c>
      <c r="Q46" s="1">
        <v>0</v>
      </c>
      <c r="R46" s="1" t="b">
        <f t="shared" si="5"/>
        <v>0</v>
      </c>
      <c r="S46" s="2" t="s">
        <v>13</v>
      </c>
      <c r="T46" s="1" t="str">
        <f>IF(S46="","",VLOOKUP(S46,'Ontology and concepts per UC'!$F$2:$J$46,5,FALSE))</f>
        <v>Modelo Conceptual</v>
      </c>
      <c r="U46" s="1" t="b">
        <f t="array" ref="U46">(INDEX('Ontology and concepts per UC'!$G$2:$I$46,MATCH($S46,'Ontology and concepts per UC'!$F$2:$F$46,0),MATCH(LEFT($A46,3),'Ontology and concepts per UC'!$G$1:$I$1,0))=0)</f>
        <v>0</v>
      </c>
      <c r="V46" s="1" t="b">
        <f t="shared" si="6"/>
        <v>0</v>
      </c>
      <c r="W46" s="1" t="b">
        <v>0</v>
      </c>
      <c r="X46" s="1" t="b">
        <v>0</v>
      </c>
      <c r="Y46" s="1" t="b">
        <v>0</v>
      </c>
      <c r="Z46" s="1" t="b">
        <v>0</v>
      </c>
      <c r="AA46" s="1"/>
    </row>
    <row r="47" spans="1:27" x14ac:dyDescent="0.25">
      <c r="A47" s="1" t="s">
        <v>190</v>
      </c>
      <c r="B47" s="2" t="s">
        <v>213</v>
      </c>
      <c r="C47" s="2" t="s">
        <v>36</v>
      </c>
      <c r="D47" s="6">
        <f t="shared" si="0"/>
        <v>1</v>
      </c>
      <c r="E47" s="7" t="str">
        <f t="shared" si="1"/>
        <v>RareDisease</v>
      </c>
      <c r="F47" s="8" t="b">
        <f>IF(D47&lt;1,FALSE,ISERROR(MATCH(E47,'Ontology and concepts per UC'!$A$2:$A$62,0)))</f>
        <v>0</v>
      </c>
      <c r="G47" s="9" t="str">
        <f t="shared" si="2"/>
        <v/>
      </c>
      <c r="H47" s="9" t="str">
        <f t="shared" si="3"/>
        <v/>
      </c>
      <c r="I47" s="8" t="b">
        <f>IF(D47&lt;2,FALSE,ISERROR(MATCH(H47,'Ontology and concepts per UC'!$A$2:$A$62,0)))</f>
        <v>0</v>
      </c>
      <c r="J47" s="9" t="str">
        <f t="shared" si="4"/>
        <v/>
      </c>
      <c r="K47" s="8" t="b">
        <f>IF(D47&lt;3,FALSE,ISERROR(MATCH(J47,'Ontology and concepts per UC'!$A$2:$A$62,0)))</f>
        <v>0</v>
      </c>
      <c r="L47" s="2" t="s">
        <v>214</v>
      </c>
      <c r="M47" s="2" t="s">
        <v>215</v>
      </c>
      <c r="N47" s="2"/>
      <c r="O47" s="1" t="b">
        <v>0</v>
      </c>
      <c r="P47" s="1">
        <v>0</v>
      </c>
      <c r="Q47" s="1">
        <v>0</v>
      </c>
      <c r="R47" s="1" t="b">
        <f t="shared" si="5"/>
        <v>0</v>
      </c>
      <c r="S47" s="2" t="s">
        <v>35</v>
      </c>
      <c r="T47" s="1" t="str">
        <f>IF(S47="","",VLOOKUP(S47,'Ontology and concepts per UC'!$F$2:$J$46,5,FALSE))</f>
        <v>Modelo Conceptual</v>
      </c>
      <c r="U47" s="1" t="b">
        <f t="array" ref="U47">(INDEX('Ontology and concepts per UC'!$G$2:$I$46,MATCH($S47,'Ontology and concepts per UC'!$F$2:$F$46,0),MATCH(LEFT($A47,3),'Ontology and concepts per UC'!$G$1:$I$1,0))=0)</f>
        <v>0</v>
      </c>
      <c r="V47" s="1" t="b">
        <f t="shared" si="6"/>
        <v>1</v>
      </c>
      <c r="W47" s="1" t="b">
        <v>0</v>
      </c>
      <c r="X47" s="1" t="b">
        <v>0</v>
      </c>
      <c r="Y47" s="1" t="b">
        <v>0</v>
      </c>
      <c r="Z47" s="1" t="b">
        <v>1</v>
      </c>
      <c r="AA47" s="1" t="s">
        <v>197</v>
      </c>
    </row>
    <row r="48" spans="1:27" x14ac:dyDescent="0.25">
      <c r="A48" s="1" t="s">
        <v>190</v>
      </c>
      <c r="B48" s="2" t="s">
        <v>216</v>
      </c>
      <c r="C48" s="2" t="s">
        <v>25</v>
      </c>
      <c r="D48" s="6">
        <f t="shared" si="0"/>
        <v>1</v>
      </c>
      <c r="E48" s="7" t="str">
        <f t="shared" si="1"/>
        <v>ScreeningIntervention</v>
      </c>
      <c r="F48" s="8" t="b">
        <f>IF(D48&lt;1,FALSE,ISERROR(MATCH(E48,'Ontology and concepts per UC'!$A$2:$A$62,0)))</f>
        <v>0</v>
      </c>
      <c r="G48" s="9" t="str">
        <f t="shared" si="2"/>
        <v/>
      </c>
      <c r="H48" s="9" t="str">
        <f t="shared" si="3"/>
        <v/>
      </c>
      <c r="I48" s="8" t="b">
        <f>IF(D48&lt;2,FALSE,ISERROR(MATCH(H48,'Ontology and concepts per UC'!$A$2:$A$62,0)))</f>
        <v>0</v>
      </c>
      <c r="J48" s="9" t="str">
        <f t="shared" si="4"/>
        <v/>
      </c>
      <c r="K48" s="8" t="b">
        <f>IF(D48&lt;3,FALSE,ISERROR(MATCH(J48,'Ontology and concepts per UC'!$A$2:$A$62,0)))</f>
        <v>0</v>
      </c>
      <c r="L48" s="2" t="s">
        <v>217</v>
      </c>
      <c r="M48" s="2"/>
      <c r="N48" s="2"/>
      <c r="O48" s="1" t="b">
        <v>0</v>
      </c>
      <c r="P48" s="1">
        <v>0</v>
      </c>
      <c r="Q48" s="1">
        <v>0</v>
      </c>
      <c r="R48" s="1" t="b">
        <f t="shared" si="5"/>
        <v>0</v>
      </c>
      <c r="S48" s="2" t="s">
        <v>24</v>
      </c>
      <c r="T48" s="1" t="str">
        <f>IF(S48="","",VLOOKUP(S48,'Ontology and concepts per UC'!$F$2:$J$46,5,FALSE))</f>
        <v>Modelo Conceptual</v>
      </c>
      <c r="U48" s="1" t="b">
        <f t="array" ref="U48">(INDEX('Ontology and concepts per UC'!$G$2:$I$46,MATCH($S48,'Ontology and concepts per UC'!$F$2:$F$46,0),MATCH(LEFT($A48,3),'Ontology and concepts per UC'!$G$1:$I$1,0))=0)</f>
        <v>0</v>
      </c>
      <c r="V48" s="1" t="b">
        <f t="shared" si="6"/>
        <v>0</v>
      </c>
      <c r="W48" s="1" t="b">
        <v>0</v>
      </c>
      <c r="X48" s="1" t="b">
        <v>0</v>
      </c>
      <c r="Y48" s="1" t="b">
        <v>0</v>
      </c>
      <c r="Z48" s="1" t="b">
        <v>0</v>
      </c>
      <c r="AA48" s="1"/>
    </row>
    <row r="49" spans="1:27" x14ac:dyDescent="0.25">
      <c r="A49" s="1" t="s">
        <v>190</v>
      </c>
      <c r="B49" s="2" t="s">
        <v>218</v>
      </c>
      <c r="C49" s="2" t="s">
        <v>219</v>
      </c>
      <c r="D49" s="6">
        <f t="shared" si="0"/>
        <v>1</v>
      </c>
      <c r="E49" s="7" t="str">
        <f t="shared" si="1"/>
        <v>Utility</v>
      </c>
      <c r="F49" s="8" t="b">
        <f>IF(D49&lt;1,FALSE,ISERROR(MATCH(E49,'Ontology and concepts per UC'!$A$2:$A$62,0)))</f>
        <v>0</v>
      </c>
      <c r="G49" s="9" t="str">
        <f t="shared" si="2"/>
        <v/>
      </c>
      <c r="H49" s="9" t="str">
        <f t="shared" si="3"/>
        <v/>
      </c>
      <c r="I49" s="8" t="b">
        <f>IF(D49&lt;2,FALSE,ISERROR(MATCH(H49,'Ontology and concepts per UC'!$A$2:$A$62,0)))</f>
        <v>0</v>
      </c>
      <c r="J49" s="9" t="str">
        <f t="shared" si="4"/>
        <v/>
      </c>
      <c r="K49" s="8" t="b">
        <f>IF(D49&lt;3,FALSE,ISERROR(MATCH(J49,'Ontology and concepts per UC'!$A$2:$A$62,0)))</f>
        <v>0</v>
      </c>
      <c r="L49" s="2"/>
      <c r="M49" s="2" t="s">
        <v>220</v>
      </c>
      <c r="N49" s="2"/>
      <c r="O49" s="1" t="b">
        <v>0</v>
      </c>
      <c r="P49" s="1">
        <v>0</v>
      </c>
      <c r="Q49" s="1">
        <v>0</v>
      </c>
      <c r="R49" s="1" t="b">
        <f t="shared" si="5"/>
        <v>0</v>
      </c>
      <c r="S49" s="2" t="s">
        <v>70</v>
      </c>
      <c r="T49" s="1" t="str">
        <f>IF(S49="","",VLOOKUP(S49,'Ontology and concepts per UC'!$F$2:$J$46,5,FALSE))</f>
        <v>Utilidad</v>
      </c>
      <c r="U49" s="1" t="b">
        <f t="array" ref="U49">(INDEX('Ontology and concepts per UC'!$G$2:$I$46,MATCH($S49,'Ontology and concepts per UC'!$F$2:$F$46,0),MATCH(LEFT($A49,3),'Ontology and concepts per UC'!$G$1:$I$1,0))=0)</f>
        <v>0</v>
      </c>
      <c r="V49" s="1" t="b">
        <f t="shared" si="6"/>
        <v>0</v>
      </c>
      <c r="W49" s="1" t="b">
        <v>0</v>
      </c>
      <c r="X49" s="1" t="b">
        <v>0</v>
      </c>
      <c r="Y49" s="1" t="b">
        <v>0</v>
      </c>
      <c r="Z49" s="1" t="b">
        <v>0</v>
      </c>
      <c r="AA49" s="1"/>
    </row>
    <row r="50" spans="1:27" x14ac:dyDescent="0.25">
      <c r="A50" s="1" t="s">
        <v>190</v>
      </c>
      <c r="B50" s="2" t="s">
        <v>221</v>
      </c>
      <c r="C50" s="2" t="s">
        <v>219</v>
      </c>
      <c r="D50" s="6">
        <f t="shared" si="0"/>
        <v>1</v>
      </c>
      <c r="E50" s="7" t="str">
        <f t="shared" si="1"/>
        <v>Utility</v>
      </c>
      <c r="F50" s="8" t="b">
        <f>IF(D50&lt;1,FALSE,ISERROR(MATCH(E50,'Ontology and concepts per UC'!$A$2:$A$62,0)))</f>
        <v>0</v>
      </c>
      <c r="G50" s="9" t="str">
        <f t="shared" si="2"/>
        <v/>
      </c>
      <c r="H50" s="9" t="str">
        <f t="shared" si="3"/>
        <v/>
      </c>
      <c r="I50" s="8" t="b">
        <f>IF(D50&lt;2,FALSE,ISERROR(MATCH(H50,'Ontology and concepts per UC'!$A$2:$A$62,0)))</f>
        <v>0</v>
      </c>
      <c r="J50" s="9" t="str">
        <f t="shared" si="4"/>
        <v/>
      </c>
      <c r="K50" s="8" t="b">
        <f>IF(D50&lt;3,FALSE,ISERROR(MATCH(J50,'Ontology and concepts per UC'!$A$2:$A$62,0)))</f>
        <v>0</v>
      </c>
      <c r="L50" s="2"/>
      <c r="M50" s="2" t="s">
        <v>222</v>
      </c>
      <c r="N50" s="2"/>
      <c r="O50" s="1" t="b">
        <v>0</v>
      </c>
      <c r="P50" s="1">
        <v>0</v>
      </c>
      <c r="Q50" s="1">
        <v>0</v>
      </c>
      <c r="R50" s="1" t="b">
        <f t="shared" si="5"/>
        <v>0</v>
      </c>
      <c r="S50" s="2" t="s">
        <v>68</v>
      </c>
      <c r="T50" s="1" t="str">
        <f>IF(S50="","",VLOOKUP(S50,'Ontology and concepts per UC'!$F$2:$J$46,5,FALSE))</f>
        <v>Utilidad</v>
      </c>
      <c r="U50" s="1" t="b">
        <f t="array" ref="U50">(INDEX('Ontology and concepts per UC'!$G$2:$I$46,MATCH($S50,'Ontology and concepts per UC'!$F$2:$F$46,0),MATCH(LEFT($A50,3),'Ontology and concepts per UC'!$G$1:$I$1,0))=0)</f>
        <v>0</v>
      </c>
      <c r="V50" s="1" t="b">
        <f t="shared" si="6"/>
        <v>0</v>
      </c>
      <c r="W50" s="1" t="b">
        <v>0</v>
      </c>
      <c r="X50" s="1" t="b">
        <v>0</v>
      </c>
      <c r="Y50" s="1" t="b">
        <v>0</v>
      </c>
      <c r="Z50" s="1" t="b">
        <v>0</v>
      </c>
      <c r="AA50" s="1"/>
    </row>
    <row r="51" spans="1:27" x14ac:dyDescent="0.25">
      <c r="A51" s="1" t="s">
        <v>223</v>
      </c>
      <c r="B51" s="2" t="s">
        <v>224</v>
      </c>
      <c r="C51" s="2" t="s">
        <v>27</v>
      </c>
      <c r="D51" s="6">
        <f t="shared" si="0"/>
        <v>1</v>
      </c>
      <c r="E51" s="7" t="str">
        <f t="shared" si="1"/>
        <v>ChronicManifestation</v>
      </c>
      <c r="F51" s="8" t="b">
        <f>IF(D51&lt;1,FALSE,ISERROR(MATCH(E51,'Ontology and concepts per UC'!$A$2:$A$62,0)))</f>
        <v>0</v>
      </c>
      <c r="G51" s="9" t="str">
        <f t="shared" si="2"/>
        <v/>
      </c>
      <c r="H51" s="9" t="str">
        <f t="shared" si="3"/>
        <v/>
      </c>
      <c r="I51" s="8" t="b">
        <f>IF(D51&lt;2,FALSE,ISERROR(MATCH(H51,'Ontology and concepts per UC'!$A$2:$A$62,0)))</f>
        <v>0</v>
      </c>
      <c r="J51" s="9" t="str">
        <f t="shared" si="4"/>
        <v/>
      </c>
      <c r="K51" s="8" t="b">
        <f>IF(D51&lt;3,FALSE,ISERROR(MATCH(J51,'Ontology and concepts per UC'!$A$2:$A$62,0)))</f>
        <v>0</v>
      </c>
      <c r="L51" s="2"/>
      <c r="M51" s="2" t="s">
        <v>225</v>
      </c>
      <c r="N51" s="2"/>
      <c r="O51" s="1" t="b">
        <v>0</v>
      </c>
      <c r="P51" s="1">
        <v>0</v>
      </c>
      <c r="Q51" s="1">
        <v>0</v>
      </c>
      <c r="R51" s="1" t="b">
        <f t="shared" si="5"/>
        <v>1</v>
      </c>
      <c r="S51" s="2" t="s">
        <v>26</v>
      </c>
      <c r="T51" s="1" t="str">
        <f>IF(S51="","",VLOOKUP(S51,'Ontology and concepts per UC'!$F$2:$J$46,5,FALSE))</f>
        <v>Modelo Conceptual</v>
      </c>
      <c r="U51" s="1" t="b">
        <f t="array" ref="U51">(INDEX('Ontology and concepts per UC'!$G$2:$I$46,MATCH($S51,'Ontology and concepts per UC'!$F$2:$F$46,0),MATCH(LEFT($A51,3),'Ontology and concepts per UC'!$G$1:$I$1,0))=0)</f>
        <v>0</v>
      </c>
      <c r="V51" s="1" t="b">
        <f t="shared" si="6"/>
        <v>0</v>
      </c>
      <c r="W51" s="1" t="b">
        <v>0</v>
      </c>
      <c r="X51" s="1" t="b">
        <v>0</v>
      </c>
      <c r="Y51" s="1" t="b">
        <v>0</v>
      </c>
      <c r="Z51" s="1" t="b">
        <v>0</v>
      </c>
      <c r="AA51" s="1"/>
    </row>
    <row r="52" spans="1:27" x14ac:dyDescent="0.25">
      <c r="A52" s="1" t="s">
        <v>223</v>
      </c>
      <c r="B52" s="2" t="s">
        <v>226</v>
      </c>
      <c r="C52" s="2" t="s">
        <v>27</v>
      </c>
      <c r="D52" s="6">
        <f t="shared" si="0"/>
        <v>1</v>
      </c>
      <c r="E52" s="7" t="str">
        <f t="shared" si="1"/>
        <v>ChronicManifestation</v>
      </c>
      <c r="F52" s="8" t="b">
        <f>IF(D52&lt;1,FALSE,ISERROR(MATCH(E52,'Ontology and concepts per UC'!$A$2:$A$62,0)))</f>
        <v>0</v>
      </c>
      <c r="G52" s="9" t="str">
        <f t="shared" si="2"/>
        <v/>
      </c>
      <c r="H52" s="9" t="str">
        <f t="shared" si="3"/>
        <v/>
      </c>
      <c r="I52" s="8" t="b">
        <f>IF(D52&lt;2,FALSE,ISERROR(MATCH(H52,'Ontology and concepts per UC'!$A$2:$A$62,0)))</f>
        <v>0</v>
      </c>
      <c r="J52" s="9" t="str">
        <f t="shared" si="4"/>
        <v/>
      </c>
      <c r="K52" s="8" t="b">
        <f>IF(D52&lt;3,FALSE,ISERROR(MATCH(J52,'Ontology and concepts per UC'!$A$2:$A$62,0)))</f>
        <v>0</v>
      </c>
      <c r="L52" s="2"/>
      <c r="M52" s="2" t="s">
        <v>227</v>
      </c>
      <c r="N52" s="2"/>
      <c r="O52" s="1" t="b">
        <v>0</v>
      </c>
      <c r="P52" s="1">
        <v>0</v>
      </c>
      <c r="Q52" s="1">
        <v>0</v>
      </c>
      <c r="R52" s="1" t="b">
        <f t="shared" si="5"/>
        <v>1</v>
      </c>
      <c r="S52" s="2" t="s">
        <v>28</v>
      </c>
      <c r="T52" s="1" t="str">
        <f>IF(S52="","",VLOOKUP(S52,'Ontology and concepts per UC'!$F$2:$J$46,5,FALSE))</f>
        <v>Modelo Conceptual</v>
      </c>
      <c r="U52" s="1" t="b">
        <f t="array" ref="U52">(INDEX('Ontology and concepts per UC'!$G$2:$I$46,MATCH($S52,'Ontology and concepts per UC'!$F$2:$F$46,0),MATCH(LEFT($A52,3),'Ontology and concepts per UC'!$G$1:$I$1,0))=0)</f>
        <v>0</v>
      </c>
      <c r="V52" s="1" t="b">
        <f t="shared" si="6"/>
        <v>0</v>
      </c>
      <c r="W52" s="1" t="b">
        <v>0</v>
      </c>
      <c r="X52" s="1" t="b">
        <v>0</v>
      </c>
      <c r="Y52" s="1" t="b">
        <v>0</v>
      </c>
      <c r="Z52" s="1" t="b">
        <v>0</v>
      </c>
      <c r="AA52" s="1"/>
    </row>
    <row r="53" spans="1:27" x14ac:dyDescent="0.25">
      <c r="A53" s="1" t="s">
        <v>223</v>
      </c>
      <c r="B53" s="2" t="s">
        <v>228</v>
      </c>
      <c r="C53" s="2" t="s">
        <v>229</v>
      </c>
      <c r="D53" s="6">
        <f t="shared" si="0"/>
        <v>2</v>
      </c>
      <c r="E53" s="7" t="str">
        <f t="shared" si="1"/>
        <v>ChronicManifestation</v>
      </c>
      <c r="F53" s="8" t="b">
        <f>IF(D53&lt;1,FALSE,ISERROR(MATCH(E53,'Ontology and concepts per UC'!$A$2:$A$62,0)))</f>
        <v>0</v>
      </c>
      <c r="G53" s="9" t="str">
        <f t="shared" si="2"/>
        <v>ManifestacionClinica</v>
      </c>
      <c r="H53" s="9" t="str">
        <f t="shared" si="3"/>
        <v>ManifestacionClinica</v>
      </c>
      <c r="I53" s="8" t="b">
        <f>IF(D53&lt;2,FALSE,ISERROR(MATCH(H53,'Ontology and concepts per UC'!$A$2:$A$62,0)))</f>
        <v>1</v>
      </c>
      <c r="J53" s="9" t="str">
        <f t="shared" si="4"/>
        <v/>
      </c>
      <c r="K53" s="8" t="b">
        <f>IF(D53&lt;3,FALSE,ISERROR(MATCH(J53,'Ontology and concepts per UC'!$A$2:$A$62,0)))</f>
        <v>0</v>
      </c>
      <c r="L53" s="2" t="s">
        <v>230</v>
      </c>
      <c r="M53" s="2" t="s">
        <v>231</v>
      </c>
      <c r="N53" s="2"/>
      <c r="O53" s="1" t="b">
        <v>0</v>
      </c>
      <c r="P53" s="1">
        <v>1</v>
      </c>
      <c r="Q53" s="1">
        <v>2</v>
      </c>
      <c r="R53" s="1" t="b">
        <f t="shared" si="5"/>
        <v>1</v>
      </c>
      <c r="S53" s="2" t="s">
        <v>32</v>
      </c>
      <c r="T53" s="1" t="str">
        <f>IF(S53="","",VLOOKUP(S53,'Ontology and concepts per UC'!$F$2:$J$46,5,FALSE))</f>
        <v>Modelo Conceptual</v>
      </c>
      <c r="U53" s="1" t="b">
        <f t="array" ref="U53">(INDEX('Ontology and concepts per UC'!$G$2:$I$46,MATCH($S53,'Ontology and concepts per UC'!$F$2:$F$46,0),MATCH(LEFT($A53,3),'Ontology and concepts per UC'!$G$1:$I$1,0))=0)</f>
        <v>0</v>
      </c>
      <c r="V53" s="1" t="b">
        <f t="shared" si="6"/>
        <v>1</v>
      </c>
      <c r="W53" s="1" t="b">
        <v>1</v>
      </c>
      <c r="X53" s="1" t="b">
        <v>0</v>
      </c>
      <c r="Y53" s="1" t="b">
        <v>0</v>
      </c>
      <c r="Z53" s="1" t="b">
        <v>1</v>
      </c>
      <c r="AA53" s="1" t="s">
        <v>232</v>
      </c>
    </row>
    <row r="54" spans="1:27" x14ac:dyDescent="0.25">
      <c r="A54" s="1" t="s">
        <v>223</v>
      </c>
      <c r="B54" s="2" t="s">
        <v>233</v>
      </c>
      <c r="C54" s="2" t="s">
        <v>234</v>
      </c>
      <c r="D54" s="6">
        <f t="shared" si="0"/>
        <v>1</v>
      </c>
      <c r="E54" s="7" t="str">
        <f t="shared" si="1"/>
        <v>DiseaseProgressionModel</v>
      </c>
      <c r="F54" s="8" t="b">
        <f>IF(D54&lt;1,FALSE,ISERROR(MATCH(E54,'Ontology and concepts per UC'!$A$2:$A$62,0)))</f>
        <v>1</v>
      </c>
      <c r="G54" s="9" t="str">
        <f t="shared" si="2"/>
        <v/>
      </c>
      <c r="H54" s="9" t="str">
        <f t="shared" si="3"/>
        <v/>
      </c>
      <c r="I54" s="8" t="b">
        <f>IF(D54&lt;2,FALSE,ISERROR(MATCH(H54,'Ontology and concepts per UC'!$A$2:$A$62,0)))</f>
        <v>0</v>
      </c>
      <c r="J54" s="9" t="str">
        <f t="shared" si="4"/>
        <v/>
      </c>
      <c r="K54" s="8" t="b">
        <f>IF(D54&lt;3,FALSE,ISERROR(MATCH(J54,'Ontology and concepts per UC'!$A$2:$A$62,0)))</f>
        <v>0</v>
      </c>
      <c r="L54" s="2" t="s">
        <v>235</v>
      </c>
      <c r="M54" s="2"/>
      <c r="N54" s="2"/>
      <c r="O54" s="1" t="b">
        <v>0</v>
      </c>
      <c r="P54" s="1">
        <v>1</v>
      </c>
      <c r="Q54" s="1">
        <v>2</v>
      </c>
      <c r="R54" s="1" t="b">
        <f t="shared" si="5"/>
        <v>0</v>
      </c>
      <c r="S54" s="2" t="s">
        <v>187</v>
      </c>
      <c r="T54" s="1" t="str">
        <f>IF(S54="","",VLOOKUP(S54,'Ontology and concepts per UC'!$F$2:$J$46,5,FALSE))</f>
        <v>Otros</v>
      </c>
      <c r="U54" s="1" t="b">
        <f t="array" ref="U54">(INDEX('Ontology and concepts per UC'!$G$2:$I$46,MATCH($S54,'Ontology and concepts per UC'!$F$2:$F$46,0),MATCH(LEFT($A54,3),'Ontology and concepts per UC'!$G$1:$I$1,0))=0)</f>
        <v>1</v>
      </c>
      <c r="V54" s="1" t="b">
        <f t="shared" si="6"/>
        <v>1</v>
      </c>
      <c r="W54" s="1" t="b">
        <v>1</v>
      </c>
      <c r="X54" s="1" t="b">
        <v>0</v>
      </c>
      <c r="Y54" s="1" t="b">
        <v>0</v>
      </c>
      <c r="Z54" s="1" t="b">
        <v>0</v>
      </c>
      <c r="AA54" s="1" t="s">
        <v>236</v>
      </c>
    </row>
    <row r="55" spans="1:27" x14ac:dyDescent="0.25">
      <c r="A55" s="1" t="s">
        <v>223</v>
      </c>
      <c r="B55" s="2" t="s">
        <v>237</v>
      </c>
      <c r="C55" s="2" t="s">
        <v>238</v>
      </c>
      <c r="D55" s="6">
        <f t="shared" si="0"/>
        <v>1</v>
      </c>
      <c r="E55" s="7" t="str">
        <f t="shared" si="1"/>
        <v>DisutilityParameter</v>
      </c>
      <c r="F55" s="8" t="b">
        <f>IF(D55&lt;1,FALSE,ISERROR(MATCH(E55,'Ontology and concepts per UC'!$A$2:$A$62,0)))</f>
        <v>1</v>
      </c>
      <c r="G55" s="9" t="str">
        <f t="shared" si="2"/>
        <v/>
      </c>
      <c r="H55" s="9" t="str">
        <f t="shared" si="3"/>
        <v/>
      </c>
      <c r="I55" s="8" t="b">
        <f>IF(D55&lt;2,FALSE,ISERROR(MATCH(H55,'Ontology and concepts per UC'!$A$2:$A$62,0)))</f>
        <v>0</v>
      </c>
      <c r="J55" s="9" t="str">
        <f t="shared" si="4"/>
        <v/>
      </c>
      <c r="K55" s="8" t="b">
        <f>IF(D55&lt;3,FALSE,ISERROR(MATCH(J55,'Ontology and concepts per UC'!$A$2:$A$62,0)))</f>
        <v>0</v>
      </c>
      <c r="L55" s="2"/>
      <c r="M55" s="2" t="s">
        <v>239</v>
      </c>
      <c r="N55" s="2"/>
      <c r="O55" s="1" t="b">
        <v>0</v>
      </c>
      <c r="P55" s="1">
        <v>1</v>
      </c>
      <c r="Q55" s="1">
        <v>0</v>
      </c>
      <c r="R55" s="1" t="b">
        <f t="shared" si="5"/>
        <v>1</v>
      </c>
      <c r="S55" s="2" t="s">
        <v>67</v>
      </c>
      <c r="T55" s="1" t="str">
        <f>IF(S55="","",VLOOKUP(S55,'Ontology and concepts per UC'!$F$2:$J$46,5,FALSE))</f>
        <v>Utilidad</v>
      </c>
      <c r="U55" s="1" t="b">
        <f t="array" ref="U55">(INDEX('Ontology and concepts per UC'!$G$2:$I$46,MATCH($S55,'Ontology and concepts per UC'!$F$2:$F$46,0),MATCH(LEFT($A55,3),'Ontology and concepts per UC'!$G$1:$I$1,0))=0)</f>
        <v>0</v>
      </c>
      <c r="V55" s="1" t="b">
        <f t="shared" si="6"/>
        <v>1</v>
      </c>
      <c r="W55" s="1" t="b">
        <v>1</v>
      </c>
      <c r="X55" s="1" t="b">
        <v>0</v>
      </c>
      <c r="Y55" s="1" t="b">
        <v>0</v>
      </c>
      <c r="Z55" s="1" t="b">
        <v>1</v>
      </c>
      <c r="AA55" s="1" t="s">
        <v>240</v>
      </c>
    </row>
    <row r="56" spans="1:27" x14ac:dyDescent="0.25">
      <c r="A56" s="1" t="s">
        <v>223</v>
      </c>
      <c r="B56" s="2" t="s">
        <v>241</v>
      </c>
      <c r="C56" s="2" t="s">
        <v>238</v>
      </c>
      <c r="D56" s="6">
        <f t="shared" si="0"/>
        <v>1</v>
      </c>
      <c r="E56" s="7" t="str">
        <f t="shared" si="1"/>
        <v>DisutilityParameter</v>
      </c>
      <c r="F56" s="8" t="b">
        <f>IF(D56&lt;1,FALSE,ISERROR(MATCH(E56,'Ontology and concepts per UC'!$A$2:$A$62,0)))</f>
        <v>1</v>
      </c>
      <c r="G56" s="9" t="str">
        <f t="shared" si="2"/>
        <v/>
      </c>
      <c r="H56" s="9" t="str">
        <f t="shared" si="3"/>
        <v/>
      </c>
      <c r="I56" s="8" t="b">
        <f>IF(D56&lt;2,FALSE,ISERROR(MATCH(H56,'Ontology and concepts per UC'!$A$2:$A$62,0)))</f>
        <v>0</v>
      </c>
      <c r="J56" s="9" t="str">
        <f t="shared" si="4"/>
        <v/>
      </c>
      <c r="K56" s="8" t="b">
        <f>IF(D56&lt;3,FALSE,ISERROR(MATCH(J56,'Ontology and concepts per UC'!$A$2:$A$62,0)))</f>
        <v>0</v>
      </c>
      <c r="L56" s="2"/>
      <c r="M56" s="2" t="s">
        <v>242</v>
      </c>
      <c r="N56" s="2"/>
      <c r="O56" s="1" t="b">
        <v>0</v>
      </c>
      <c r="P56" s="1">
        <v>1</v>
      </c>
      <c r="Q56" s="1">
        <v>0</v>
      </c>
      <c r="R56" s="1" t="b">
        <f t="shared" si="5"/>
        <v>1</v>
      </c>
      <c r="S56" s="2" t="s">
        <v>68</v>
      </c>
      <c r="T56" s="1" t="str">
        <f>IF(S56="","",VLOOKUP(S56,'Ontology and concepts per UC'!$F$2:$J$46,5,FALSE))</f>
        <v>Utilidad</v>
      </c>
      <c r="U56" s="1" t="b">
        <f t="array" ref="U56">(INDEX('Ontology and concepts per UC'!$G$2:$I$46,MATCH($S56,'Ontology and concepts per UC'!$F$2:$F$46,0),MATCH(LEFT($A56,3),'Ontology and concepts per UC'!$G$1:$I$1,0))=0)</f>
        <v>0</v>
      </c>
      <c r="V56" s="1" t="b">
        <f t="shared" si="6"/>
        <v>1</v>
      </c>
      <c r="W56" s="1" t="b">
        <v>1</v>
      </c>
      <c r="X56" s="1" t="b">
        <v>0</v>
      </c>
      <c r="Y56" s="1" t="b">
        <v>0</v>
      </c>
      <c r="Z56" s="1" t="b">
        <v>1</v>
      </c>
      <c r="AA56" s="1" t="s">
        <v>240</v>
      </c>
    </row>
    <row r="57" spans="1:27" x14ac:dyDescent="0.25">
      <c r="A57" s="1" t="s">
        <v>223</v>
      </c>
      <c r="B57" s="2" t="s">
        <v>243</v>
      </c>
      <c r="C57" s="2" t="s">
        <v>238</v>
      </c>
      <c r="D57" s="6">
        <f t="shared" si="0"/>
        <v>1</v>
      </c>
      <c r="E57" s="7" t="str">
        <f t="shared" si="1"/>
        <v>DisutilityParameter</v>
      </c>
      <c r="F57" s="8" t="b">
        <f>IF(D57&lt;1,FALSE,ISERROR(MATCH(E57,'Ontology and concepts per UC'!$A$2:$A$62,0)))</f>
        <v>1</v>
      </c>
      <c r="G57" s="9" t="str">
        <f t="shared" si="2"/>
        <v/>
      </c>
      <c r="H57" s="9" t="str">
        <f t="shared" si="3"/>
        <v/>
      </c>
      <c r="I57" s="8" t="b">
        <f>IF(D57&lt;2,FALSE,ISERROR(MATCH(H57,'Ontology and concepts per UC'!$A$2:$A$62,0)))</f>
        <v>0</v>
      </c>
      <c r="J57" s="9" t="str">
        <f t="shared" si="4"/>
        <v/>
      </c>
      <c r="K57" s="8" t="b">
        <f>IF(D57&lt;3,FALSE,ISERROR(MATCH(J57,'Ontology and concepts per UC'!$A$2:$A$62,0)))</f>
        <v>0</v>
      </c>
      <c r="L57" s="2"/>
      <c r="M57" s="2" t="s">
        <v>244</v>
      </c>
      <c r="N57" s="2"/>
      <c r="O57" s="1" t="b">
        <v>0</v>
      </c>
      <c r="P57" s="1">
        <v>1</v>
      </c>
      <c r="Q57" s="1">
        <v>0</v>
      </c>
      <c r="R57" s="1" t="b">
        <f t="shared" si="5"/>
        <v>1</v>
      </c>
      <c r="S57" s="2" t="s">
        <v>69</v>
      </c>
      <c r="T57" s="1" t="str">
        <f>IF(S57="","",VLOOKUP(S57,'Ontology and concepts per UC'!$F$2:$J$46,5,FALSE))</f>
        <v>Utilidad</v>
      </c>
      <c r="U57" s="1" t="b">
        <f t="array" ref="U57">(INDEX('Ontology and concepts per UC'!$G$2:$I$46,MATCH($S57,'Ontology and concepts per UC'!$F$2:$F$46,0),MATCH(LEFT($A57,3),'Ontology and concepts per UC'!$G$1:$I$1,0))=0)</f>
        <v>0</v>
      </c>
      <c r="V57" s="1" t="b">
        <f t="shared" si="6"/>
        <v>1</v>
      </c>
      <c r="W57" s="1" t="b">
        <v>1</v>
      </c>
      <c r="X57" s="1" t="b">
        <v>0</v>
      </c>
      <c r="Y57" s="1" t="b">
        <v>0</v>
      </c>
      <c r="Z57" s="1" t="b">
        <v>1</v>
      </c>
      <c r="AA57" s="1" t="s">
        <v>240</v>
      </c>
    </row>
    <row r="58" spans="1:27" x14ac:dyDescent="0.25">
      <c r="A58" s="1" t="s">
        <v>223</v>
      </c>
      <c r="B58" s="2" t="s">
        <v>245</v>
      </c>
      <c r="C58" s="2" t="s">
        <v>246</v>
      </c>
      <c r="D58" s="6">
        <f t="shared" si="0"/>
        <v>2</v>
      </c>
      <c r="E58" s="7" t="str">
        <f t="shared" si="1"/>
        <v>DisutilityParameter</v>
      </c>
      <c r="F58" s="8" t="b">
        <f>IF(D58&lt;1,FALSE,ISERROR(MATCH(E58,'Ontology and concepts per UC'!$A$2:$A$62,0)))</f>
        <v>1</v>
      </c>
      <c r="G58" s="9" t="str">
        <f t="shared" si="2"/>
        <v>UtilityParameter</v>
      </c>
      <c r="H58" s="9" t="str">
        <f t="shared" si="3"/>
        <v>UtilityParameter</v>
      </c>
      <c r="I58" s="8" t="b">
        <f>IF(D58&lt;2,FALSE,ISERROR(MATCH(H58,'Ontology and concepts per UC'!$A$2:$A$62,0)))</f>
        <v>1</v>
      </c>
      <c r="J58" s="9" t="str">
        <f t="shared" si="4"/>
        <v/>
      </c>
      <c r="K58" s="8" t="b">
        <f>IF(D58&lt;3,FALSE,ISERROR(MATCH(J58,'Ontology and concepts per UC'!$A$2:$A$62,0)))</f>
        <v>0</v>
      </c>
      <c r="L58" s="2"/>
      <c r="M58" s="2" t="s">
        <v>247</v>
      </c>
      <c r="N58" s="2"/>
      <c r="O58" s="1" t="b">
        <v>0</v>
      </c>
      <c r="P58" s="1">
        <v>2</v>
      </c>
      <c r="Q58" s="1">
        <v>0</v>
      </c>
      <c r="R58" s="1" t="b">
        <f t="shared" si="5"/>
        <v>1</v>
      </c>
      <c r="S58" s="2" t="s">
        <v>65</v>
      </c>
      <c r="T58" s="1" t="str">
        <f>IF(S58="","",VLOOKUP(S58,'Ontology and concepts per UC'!$F$2:$J$46,5,FALSE))</f>
        <v>Utilidad</v>
      </c>
      <c r="U58" s="1" t="b">
        <f t="array" ref="U58">(INDEX('Ontology and concepts per UC'!$G$2:$I$46,MATCH($S58,'Ontology and concepts per UC'!$F$2:$F$46,0),MATCH(LEFT($A58,3),'Ontology and concepts per UC'!$G$1:$I$1,0))=0)</f>
        <v>0</v>
      </c>
      <c r="V58" s="1" t="b">
        <f t="shared" si="6"/>
        <v>1</v>
      </c>
      <c r="W58" s="1" t="b">
        <v>1</v>
      </c>
      <c r="X58" s="1" t="b">
        <v>0</v>
      </c>
      <c r="Y58" s="1" t="b">
        <v>0</v>
      </c>
      <c r="Z58" s="1" t="b">
        <v>1</v>
      </c>
      <c r="AA58" s="1" t="s">
        <v>248</v>
      </c>
    </row>
    <row r="59" spans="1:27" x14ac:dyDescent="0.25">
      <c r="A59" s="1" t="s">
        <v>223</v>
      </c>
      <c r="B59" s="2" t="s">
        <v>249</v>
      </c>
      <c r="C59" s="2" t="s">
        <v>250</v>
      </c>
      <c r="D59" s="6">
        <f t="shared" si="0"/>
        <v>1</v>
      </c>
      <c r="E59" s="7" t="str">
        <f t="shared" si="1"/>
        <v>EfficacyParameter</v>
      </c>
      <c r="F59" s="8" t="b">
        <f>IF(D59&lt;1,FALSE,ISERROR(MATCH(E59,'Ontology and concepts per UC'!$A$2:$A$62,0)))</f>
        <v>1</v>
      </c>
      <c r="G59" s="9" t="str">
        <f t="shared" si="2"/>
        <v/>
      </c>
      <c r="H59" s="9" t="str">
        <f t="shared" si="3"/>
        <v/>
      </c>
      <c r="I59" s="8" t="b">
        <f>IF(D59&lt;2,FALSE,ISERROR(MATCH(H59,'Ontology and concepts per UC'!$A$2:$A$62,0)))</f>
        <v>0</v>
      </c>
      <c r="J59" s="9" t="str">
        <f t="shared" si="4"/>
        <v/>
      </c>
      <c r="K59" s="8" t="b">
        <f>IF(D59&lt;3,FALSE,ISERROR(MATCH(J59,'Ontology and concepts per UC'!$A$2:$A$62,0)))</f>
        <v>0</v>
      </c>
      <c r="L59" s="2"/>
      <c r="M59" s="2" t="s">
        <v>251</v>
      </c>
      <c r="N59" s="2"/>
      <c r="O59" s="1" t="b">
        <v>0</v>
      </c>
      <c r="P59" s="1">
        <v>1</v>
      </c>
      <c r="Q59" s="1">
        <v>0</v>
      </c>
      <c r="R59" s="1" t="b">
        <f t="shared" si="5"/>
        <v>1</v>
      </c>
      <c r="S59" s="2" t="s">
        <v>45</v>
      </c>
      <c r="T59" s="1" t="str">
        <f>IF(S59="","",VLOOKUP(S59,'Ontology and concepts per UC'!$F$2:$J$46,5,FALSE))</f>
        <v>Parámetros de intervención</v>
      </c>
      <c r="U59" s="1" t="b">
        <f t="array" ref="U59">(INDEX('Ontology and concepts per UC'!$G$2:$I$46,MATCH($S59,'Ontology and concepts per UC'!$F$2:$F$46,0),MATCH(LEFT($A59,3),'Ontology and concepts per UC'!$G$1:$I$1,0))=0)</f>
        <v>0</v>
      </c>
      <c r="V59" s="1" t="b">
        <f t="shared" si="6"/>
        <v>1</v>
      </c>
      <c r="W59" s="1" t="b">
        <v>1</v>
      </c>
      <c r="X59" s="1" t="b">
        <v>0</v>
      </c>
      <c r="Y59" s="1" t="b">
        <v>0</v>
      </c>
      <c r="Z59" s="1" t="b">
        <v>1</v>
      </c>
      <c r="AA59" s="1" t="s">
        <v>252</v>
      </c>
    </row>
    <row r="60" spans="1:27" x14ac:dyDescent="0.25">
      <c r="A60" s="1" t="s">
        <v>223</v>
      </c>
      <c r="B60" s="2" t="s">
        <v>253</v>
      </c>
      <c r="C60" s="2" t="s">
        <v>35</v>
      </c>
      <c r="D60" s="6">
        <f t="shared" si="0"/>
        <v>1</v>
      </c>
      <c r="E60" s="7" t="str">
        <f t="shared" si="1"/>
        <v>Enfermedad</v>
      </c>
      <c r="F60" s="8" t="b">
        <f>IF(D60&lt;1,FALSE,ISERROR(MATCH(E60,'Ontology and concepts per UC'!$A$2:$A$62,0)))</f>
        <v>1</v>
      </c>
      <c r="G60" s="9" t="str">
        <f t="shared" si="2"/>
        <v/>
      </c>
      <c r="H60" s="9" t="str">
        <f t="shared" si="3"/>
        <v/>
      </c>
      <c r="I60" s="8" t="b">
        <f>IF(D60&lt;2,FALSE,ISERROR(MATCH(H60,'Ontology and concepts per UC'!$A$2:$A$62,0)))</f>
        <v>0</v>
      </c>
      <c r="J60" s="9" t="str">
        <f t="shared" si="4"/>
        <v/>
      </c>
      <c r="K60" s="8" t="b">
        <f>IF(D60&lt;3,FALSE,ISERROR(MATCH(J60,'Ontology and concepts per UC'!$A$2:$A$62,0)))</f>
        <v>0</v>
      </c>
      <c r="L60" s="2" t="s">
        <v>254</v>
      </c>
      <c r="M60" s="2" t="s">
        <v>255</v>
      </c>
      <c r="N60" s="2"/>
      <c r="O60" s="1" t="b">
        <v>0</v>
      </c>
      <c r="P60" s="1">
        <v>1</v>
      </c>
      <c r="Q60" s="1">
        <v>0</v>
      </c>
      <c r="R60" s="1" t="b">
        <f t="shared" si="5"/>
        <v>1</v>
      </c>
      <c r="S60" s="2" t="s">
        <v>107</v>
      </c>
      <c r="T60" s="1" t="str">
        <f>IF(S60="","",VLOOKUP(S60,'Ontology and concepts per UC'!$F$2:$J$46,5,FALSE))</f>
        <v>Parcial</v>
      </c>
      <c r="U60" s="1" t="b">
        <f t="array" ref="U60">(INDEX('Ontology and concepts per UC'!$G$2:$I$46,MATCH($S60,'Ontology and concepts per UC'!$F$2:$F$46,0),MATCH(LEFT($A60,3),'Ontology and concepts per UC'!$G$1:$I$1,0))=0)</f>
        <v>0</v>
      </c>
      <c r="V60" s="1" t="b">
        <f t="shared" si="6"/>
        <v>1</v>
      </c>
      <c r="W60" s="1" t="b">
        <v>1</v>
      </c>
      <c r="X60" s="1" t="b">
        <v>0</v>
      </c>
      <c r="Y60" s="1" t="b">
        <v>0</v>
      </c>
      <c r="Z60" s="1" t="b">
        <v>0</v>
      </c>
      <c r="AA60" s="1" t="s">
        <v>256</v>
      </c>
    </row>
    <row r="61" spans="1:27" x14ac:dyDescent="0.25">
      <c r="A61" s="1" t="s">
        <v>223</v>
      </c>
      <c r="B61" s="2" t="s">
        <v>257</v>
      </c>
      <c r="C61" s="2" t="s">
        <v>258</v>
      </c>
      <c r="D61" s="6">
        <f t="shared" si="0"/>
        <v>2</v>
      </c>
      <c r="E61" s="7" t="str">
        <f t="shared" si="1"/>
        <v>Enfermedad</v>
      </c>
      <c r="F61" s="8" t="b">
        <f>IF(D61&lt;1,FALSE,ISERROR(MATCH(E61,'Ontology and concepts per UC'!$A$2:$A$62,0)))</f>
        <v>1</v>
      </c>
      <c r="G61" s="9" t="str">
        <f t="shared" si="2"/>
        <v>EnfermedadMetabolica</v>
      </c>
      <c r="H61" s="9" t="str">
        <f t="shared" si="3"/>
        <v>EnfermedadMetabolica</v>
      </c>
      <c r="I61" s="8" t="b">
        <f>IF(D61&lt;2,FALSE,ISERROR(MATCH(H61,'Ontology and concepts per UC'!$A$2:$A$62,0)))</f>
        <v>1</v>
      </c>
      <c r="J61" s="9" t="str">
        <f t="shared" si="4"/>
        <v/>
      </c>
      <c r="K61" s="8" t="b">
        <f>IF(D61&lt;3,FALSE,ISERROR(MATCH(J61,'Ontology and concepts per UC'!$A$2:$A$62,0)))</f>
        <v>0</v>
      </c>
      <c r="L61" s="2" t="s">
        <v>259</v>
      </c>
      <c r="M61" s="2" t="s">
        <v>260</v>
      </c>
      <c r="N61" s="2"/>
      <c r="O61" s="1" t="b">
        <v>0</v>
      </c>
      <c r="P61" s="1">
        <v>2</v>
      </c>
      <c r="Q61" s="1">
        <v>3</v>
      </c>
      <c r="R61" s="1" t="b">
        <f t="shared" si="5"/>
        <v>0</v>
      </c>
      <c r="S61" s="2" t="s">
        <v>35</v>
      </c>
      <c r="T61" s="1" t="str">
        <f>IF(S61="","",VLOOKUP(S61,'Ontology and concepts per UC'!$F$2:$J$46,5,FALSE))</f>
        <v>Modelo Conceptual</v>
      </c>
      <c r="U61" s="1" t="b">
        <f t="array" ref="U61">(INDEX('Ontology and concepts per UC'!$G$2:$I$46,MATCH($S61,'Ontology and concepts per UC'!$F$2:$F$46,0),MATCH(LEFT($A61,3),'Ontology and concepts per UC'!$G$1:$I$1,0))=0)</f>
        <v>0</v>
      </c>
      <c r="V61" s="1" t="b">
        <f t="shared" si="6"/>
        <v>1</v>
      </c>
      <c r="W61" s="1" t="b">
        <v>1</v>
      </c>
      <c r="X61" s="1" t="b">
        <v>0</v>
      </c>
      <c r="Y61" s="1" t="b">
        <v>0</v>
      </c>
      <c r="Z61" s="1" t="b">
        <v>0</v>
      </c>
      <c r="AA61" s="1" t="s">
        <v>261</v>
      </c>
    </row>
    <row r="62" spans="1:27" x14ac:dyDescent="0.25">
      <c r="A62" s="1" t="s">
        <v>223</v>
      </c>
      <c r="B62" s="2" t="s">
        <v>262</v>
      </c>
      <c r="C62" s="2" t="s">
        <v>208</v>
      </c>
      <c r="D62" s="6">
        <f t="shared" si="0"/>
        <v>1</v>
      </c>
      <c r="E62" s="7" t="str">
        <f t="shared" si="1"/>
        <v>EpidemiologicalParameter</v>
      </c>
      <c r="F62" s="8" t="b">
        <f>IF(D62&lt;1,FALSE,ISERROR(MATCH(E62,'Ontology and concepts per UC'!$A$2:$A$62,0)))</f>
        <v>0</v>
      </c>
      <c r="G62" s="9" t="str">
        <f t="shared" si="2"/>
        <v/>
      </c>
      <c r="H62" s="9" t="str">
        <f t="shared" si="3"/>
        <v/>
      </c>
      <c r="I62" s="8" t="b">
        <f>IF(D62&lt;2,FALSE,ISERROR(MATCH(H62,'Ontology and concepts per UC'!$A$2:$A$62,0)))</f>
        <v>0</v>
      </c>
      <c r="J62" s="9" t="str">
        <f t="shared" si="4"/>
        <v/>
      </c>
      <c r="K62" s="8" t="b">
        <f>IF(D62&lt;3,FALSE,ISERROR(MATCH(J62,'Ontology and concepts per UC'!$A$2:$A$62,0)))</f>
        <v>0</v>
      </c>
      <c r="L62" s="2"/>
      <c r="M62" s="2" t="s">
        <v>263</v>
      </c>
      <c r="N62" s="2"/>
      <c r="O62" s="1" t="b">
        <v>0</v>
      </c>
      <c r="P62" s="1">
        <v>0</v>
      </c>
      <c r="Q62" s="1">
        <v>0</v>
      </c>
      <c r="R62" s="1" t="b">
        <f t="shared" si="5"/>
        <v>1</v>
      </c>
      <c r="S62" s="2" t="s">
        <v>38</v>
      </c>
      <c r="T62" s="1" t="str">
        <f>IF(S62="","",VLOOKUP(S62,'Ontology and concepts per UC'!$F$2:$J$46,5,FALSE))</f>
        <v>Parámetro epidemiológico</v>
      </c>
      <c r="U62" s="1" t="b">
        <f t="array" ref="U62">(INDEX('Ontology and concepts per UC'!$G$2:$I$46,MATCH($S62,'Ontology and concepts per UC'!$F$2:$F$46,0),MATCH(LEFT($A62,3),'Ontology and concepts per UC'!$G$1:$I$1,0))=0)</f>
        <v>0</v>
      </c>
      <c r="V62" s="1" t="b">
        <f t="shared" si="6"/>
        <v>0</v>
      </c>
      <c r="W62" s="1" t="b">
        <v>0</v>
      </c>
      <c r="X62" s="1" t="b">
        <v>0</v>
      </c>
      <c r="Y62" s="1" t="b">
        <v>0</v>
      </c>
      <c r="Z62" s="1" t="b">
        <v>0</v>
      </c>
      <c r="AA62" s="1"/>
    </row>
    <row r="63" spans="1:27" x14ac:dyDescent="0.25">
      <c r="A63" s="1" t="s">
        <v>223</v>
      </c>
      <c r="B63" s="2" t="s">
        <v>264</v>
      </c>
      <c r="C63" s="2" t="s">
        <v>208</v>
      </c>
      <c r="D63" s="6">
        <f t="shared" si="0"/>
        <v>1</v>
      </c>
      <c r="E63" s="7" t="str">
        <f t="shared" si="1"/>
        <v>EpidemiologicalParameter</v>
      </c>
      <c r="F63" s="8" t="b">
        <f>IF(D63&lt;1,FALSE,ISERROR(MATCH(E63,'Ontology and concepts per UC'!$A$2:$A$62,0)))</f>
        <v>0</v>
      </c>
      <c r="G63" s="9" t="str">
        <f t="shared" si="2"/>
        <v/>
      </c>
      <c r="H63" s="9" t="str">
        <f t="shared" si="3"/>
        <v/>
      </c>
      <c r="I63" s="8" t="b">
        <f>IF(D63&lt;2,FALSE,ISERROR(MATCH(H63,'Ontology and concepts per UC'!$A$2:$A$62,0)))</f>
        <v>0</v>
      </c>
      <c r="J63" s="9" t="str">
        <f t="shared" si="4"/>
        <v/>
      </c>
      <c r="K63" s="8" t="b">
        <f>IF(D63&lt;3,FALSE,ISERROR(MATCH(J63,'Ontology and concepts per UC'!$A$2:$A$62,0)))</f>
        <v>0</v>
      </c>
      <c r="L63" s="2"/>
      <c r="M63" s="2" t="s">
        <v>265</v>
      </c>
      <c r="N63" s="2"/>
      <c r="O63" s="1" t="b">
        <v>0</v>
      </c>
      <c r="P63" s="1">
        <v>0</v>
      </c>
      <c r="Q63" s="1">
        <v>0</v>
      </c>
      <c r="R63" s="1" t="b">
        <f t="shared" si="5"/>
        <v>1</v>
      </c>
      <c r="S63" s="2" t="s">
        <v>38</v>
      </c>
      <c r="T63" s="1" t="str">
        <f>IF(S63="","",VLOOKUP(S63,'Ontology and concepts per UC'!$F$2:$J$46,5,FALSE))</f>
        <v>Parámetro epidemiológico</v>
      </c>
      <c r="U63" s="1" t="b">
        <f t="array" ref="U63">(INDEX('Ontology and concepts per UC'!$G$2:$I$46,MATCH($S63,'Ontology and concepts per UC'!$F$2:$F$46,0),MATCH(LEFT($A63,3),'Ontology and concepts per UC'!$G$1:$I$1,0))=0)</f>
        <v>0</v>
      </c>
      <c r="V63" s="1" t="b">
        <f t="shared" si="6"/>
        <v>0</v>
      </c>
      <c r="W63" s="1" t="b">
        <v>0</v>
      </c>
      <c r="X63" s="1" t="b">
        <v>0</v>
      </c>
      <c r="Y63" s="1" t="b">
        <v>0</v>
      </c>
      <c r="Z63" s="1" t="b">
        <v>0</v>
      </c>
      <c r="AA63" s="1"/>
    </row>
    <row r="64" spans="1:27" x14ac:dyDescent="0.25">
      <c r="A64" s="1" t="s">
        <v>223</v>
      </c>
      <c r="B64" s="2" t="s">
        <v>266</v>
      </c>
      <c r="C64" s="2" t="s">
        <v>208</v>
      </c>
      <c r="D64" s="6">
        <f t="shared" si="0"/>
        <v>1</v>
      </c>
      <c r="E64" s="7" t="str">
        <f t="shared" si="1"/>
        <v>EpidemiologicalParameter</v>
      </c>
      <c r="F64" s="8" t="b">
        <f>IF(D64&lt;1,FALSE,ISERROR(MATCH(E64,'Ontology and concepts per UC'!$A$2:$A$62,0)))</f>
        <v>0</v>
      </c>
      <c r="G64" s="9" t="str">
        <f t="shared" si="2"/>
        <v/>
      </c>
      <c r="H64" s="9" t="str">
        <f t="shared" si="3"/>
        <v/>
      </c>
      <c r="I64" s="8" t="b">
        <f>IF(D64&lt;2,FALSE,ISERROR(MATCH(H64,'Ontology and concepts per UC'!$A$2:$A$62,0)))</f>
        <v>0</v>
      </c>
      <c r="J64" s="9" t="str">
        <f t="shared" si="4"/>
        <v/>
      </c>
      <c r="K64" s="8" t="b">
        <f>IF(D64&lt;3,FALSE,ISERROR(MATCH(J64,'Ontology and concepts per UC'!$A$2:$A$62,0)))</f>
        <v>0</v>
      </c>
      <c r="L64" s="2"/>
      <c r="M64" s="2" t="s">
        <v>267</v>
      </c>
      <c r="N64" s="2"/>
      <c r="O64" s="1" t="b">
        <v>0</v>
      </c>
      <c r="P64" s="1">
        <v>0</v>
      </c>
      <c r="Q64" s="1">
        <v>0</v>
      </c>
      <c r="R64" s="1" t="b">
        <f t="shared" si="5"/>
        <v>1</v>
      </c>
      <c r="S64" s="2" t="s">
        <v>50</v>
      </c>
      <c r="T64" s="1" t="str">
        <f>IF(S64="","",VLOOKUP(S64,'Ontology and concepts per UC'!$F$2:$J$46,5,FALSE))</f>
        <v>Parámetros de progresión</v>
      </c>
      <c r="U64" s="1" t="b">
        <f t="array" ref="U64">(INDEX('Ontology and concepts per UC'!$G$2:$I$46,MATCH($S64,'Ontology and concepts per UC'!$F$2:$F$46,0),MATCH(LEFT($A64,3),'Ontology and concepts per UC'!$G$1:$I$1,0))=0)</f>
        <v>0</v>
      </c>
      <c r="V64" s="1" t="b">
        <f t="shared" si="6"/>
        <v>0</v>
      </c>
      <c r="W64" s="1" t="b">
        <v>0</v>
      </c>
      <c r="X64" s="1" t="b">
        <v>0</v>
      </c>
      <c r="Y64" s="1" t="b">
        <v>0</v>
      </c>
      <c r="Z64" s="1" t="b">
        <v>0</v>
      </c>
      <c r="AA64" s="1"/>
    </row>
    <row r="65" spans="1:27" x14ac:dyDescent="0.25">
      <c r="A65" s="1" t="s">
        <v>223</v>
      </c>
      <c r="B65" s="2" t="s">
        <v>268</v>
      </c>
      <c r="C65" s="2" t="s">
        <v>208</v>
      </c>
      <c r="D65" s="6">
        <f t="shared" si="0"/>
        <v>1</v>
      </c>
      <c r="E65" s="7" t="str">
        <f t="shared" si="1"/>
        <v>EpidemiologicalParameter</v>
      </c>
      <c r="F65" s="8" t="b">
        <f>IF(D65&lt;1,FALSE,ISERROR(MATCH(E65,'Ontology and concepts per UC'!$A$2:$A$62,0)))</f>
        <v>0</v>
      </c>
      <c r="G65" s="9" t="str">
        <f t="shared" si="2"/>
        <v/>
      </c>
      <c r="H65" s="9" t="str">
        <f t="shared" si="3"/>
        <v/>
      </c>
      <c r="I65" s="8" t="b">
        <f>IF(D65&lt;2,FALSE,ISERROR(MATCH(H65,'Ontology and concepts per UC'!$A$2:$A$62,0)))</f>
        <v>0</v>
      </c>
      <c r="J65" s="9" t="str">
        <f t="shared" si="4"/>
        <v/>
      </c>
      <c r="K65" s="8" t="b">
        <f>IF(D65&lt;3,FALSE,ISERROR(MATCH(J65,'Ontology and concepts per UC'!$A$2:$A$62,0)))</f>
        <v>0</v>
      </c>
      <c r="L65" s="2"/>
      <c r="M65" s="2" t="s">
        <v>269</v>
      </c>
      <c r="N65" s="2"/>
      <c r="O65" s="1" t="b">
        <v>0</v>
      </c>
      <c r="P65" s="1">
        <v>0</v>
      </c>
      <c r="Q65" s="1">
        <v>0</v>
      </c>
      <c r="R65" s="1" t="b">
        <f t="shared" si="5"/>
        <v>1</v>
      </c>
      <c r="S65" s="2" t="s">
        <v>107</v>
      </c>
      <c r="T65" s="1" t="str">
        <f>IF(S65="","",VLOOKUP(S65,'Ontology and concepts per UC'!$F$2:$J$46,5,FALSE))</f>
        <v>Parcial</v>
      </c>
      <c r="U65" s="1" t="b">
        <f t="array" ref="U65">(INDEX('Ontology and concepts per UC'!$G$2:$I$46,MATCH($S65,'Ontology and concepts per UC'!$F$2:$F$46,0),MATCH(LEFT($A65,3),'Ontology and concepts per UC'!$G$1:$I$1,0))=0)</f>
        <v>0</v>
      </c>
      <c r="V65" s="1" t="b">
        <f t="shared" si="6"/>
        <v>0</v>
      </c>
      <c r="W65" s="1" t="b">
        <v>0</v>
      </c>
      <c r="X65" s="1" t="b">
        <v>0</v>
      </c>
      <c r="Y65" s="1" t="b">
        <v>0</v>
      </c>
      <c r="Z65" s="1" t="b">
        <v>0</v>
      </c>
      <c r="AA65" s="1"/>
    </row>
    <row r="66" spans="1:27" x14ac:dyDescent="0.25">
      <c r="A66" s="1" t="s">
        <v>223</v>
      </c>
      <c r="B66" s="2" t="s">
        <v>270</v>
      </c>
      <c r="C66" s="2" t="s">
        <v>208</v>
      </c>
      <c r="D66" s="6">
        <f t="shared" si="0"/>
        <v>1</v>
      </c>
      <c r="E66" s="7" t="str">
        <f t="shared" si="1"/>
        <v>EpidemiologicalParameter</v>
      </c>
      <c r="F66" s="8" t="b">
        <f>IF(D66&lt;1,FALSE,ISERROR(MATCH(E66,'Ontology and concepts per UC'!$A$2:$A$62,0)))</f>
        <v>0</v>
      </c>
      <c r="G66" s="9" t="str">
        <f t="shared" si="2"/>
        <v/>
      </c>
      <c r="H66" s="9" t="str">
        <f t="shared" si="3"/>
        <v/>
      </c>
      <c r="I66" s="8" t="b">
        <f>IF(D66&lt;2,FALSE,ISERROR(MATCH(H66,'Ontology and concepts per UC'!$A$2:$A$62,0)))</f>
        <v>0</v>
      </c>
      <c r="J66" s="9" t="str">
        <f t="shared" si="4"/>
        <v/>
      </c>
      <c r="K66" s="8" t="b">
        <f>IF(D66&lt;3,FALSE,ISERROR(MATCH(J66,'Ontology and concepts per UC'!$A$2:$A$62,0)))</f>
        <v>0</v>
      </c>
      <c r="L66" s="2"/>
      <c r="M66" s="2" t="s">
        <v>271</v>
      </c>
      <c r="N66" s="2"/>
      <c r="O66" s="1" t="b">
        <v>0</v>
      </c>
      <c r="P66" s="1">
        <v>0</v>
      </c>
      <c r="Q66" s="1">
        <v>0</v>
      </c>
      <c r="R66" s="1" t="b">
        <f t="shared" si="5"/>
        <v>1</v>
      </c>
      <c r="S66" s="2" t="s">
        <v>38</v>
      </c>
      <c r="T66" s="1" t="str">
        <f>IF(S66="","",VLOOKUP(S66,'Ontology and concepts per UC'!$F$2:$J$46,5,FALSE))</f>
        <v>Parámetro epidemiológico</v>
      </c>
      <c r="U66" s="1" t="b">
        <f t="array" ref="U66">(INDEX('Ontology and concepts per UC'!$G$2:$I$46,MATCH($S66,'Ontology and concepts per UC'!$F$2:$F$46,0),MATCH(LEFT($A66,3),'Ontology and concepts per UC'!$G$1:$I$1,0))=0)</f>
        <v>0</v>
      </c>
      <c r="V66" s="1" t="b">
        <f t="shared" si="6"/>
        <v>1</v>
      </c>
      <c r="W66" s="1" t="b">
        <v>0</v>
      </c>
      <c r="X66" s="1" t="b">
        <v>0</v>
      </c>
      <c r="Y66" s="1" t="b">
        <v>0</v>
      </c>
      <c r="Z66" s="1" t="b">
        <v>1</v>
      </c>
      <c r="AA66" s="1" t="s">
        <v>197</v>
      </c>
    </row>
    <row r="67" spans="1:27" x14ac:dyDescent="0.25">
      <c r="A67" s="1" t="s">
        <v>223</v>
      </c>
      <c r="B67" s="2" t="s">
        <v>272</v>
      </c>
      <c r="C67" s="2" t="s">
        <v>273</v>
      </c>
      <c r="D67" s="6">
        <f t="shared" si="0"/>
        <v>1</v>
      </c>
      <c r="E67" s="7" t="str">
        <f t="shared" si="1"/>
        <v>EstadioEnfermedad</v>
      </c>
      <c r="F67" s="8" t="b">
        <f>IF(D67&lt;1,FALSE,ISERROR(MATCH(E67,'Ontology and concepts per UC'!$A$2:$A$62,0)))</f>
        <v>1</v>
      </c>
      <c r="G67" s="9" t="str">
        <f t="shared" si="2"/>
        <v/>
      </c>
      <c r="H67" s="9" t="str">
        <f t="shared" si="3"/>
        <v/>
      </c>
      <c r="I67" s="8" t="b">
        <f>IF(D67&lt;2,FALSE,ISERROR(MATCH(H67,'Ontology and concepts per UC'!$A$2:$A$62,0)))</f>
        <v>0</v>
      </c>
      <c r="J67" s="9" t="str">
        <f t="shared" si="4"/>
        <v/>
      </c>
      <c r="K67" s="8" t="b">
        <f>IF(D67&lt;3,FALSE,ISERROR(MATCH(J67,'Ontology and concepts per UC'!$A$2:$A$62,0)))</f>
        <v>0</v>
      </c>
      <c r="L67" s="2" t="s">
        <v>274</v>
      </c>
      <c r="M67" s="2" t="s">
        <v>275</v>
      </c>
      <c r="N67" s="2"/>
      <c r="O67" s="1" t="b">
        <v>0</v>
      </c>
      <c r="P67" s="1">
        <v>1</v>
      </c>
      <c r="Q67" s="1">
        <v>0</v>
      </c>
      <c r="R67" s="1" t="b">
        <f t="shared" si="5"/>
        <v>0</v>
      </c>
      <c r="S67" s="2" t="s">
        <v>187</v>
      </c>
      <c r="T67" s="1" t="str">
        <f>IF(S67="","",VLOOKUP(S67,'Ontology and concepts per UC'!$F$2:$J$46,5,FALSE))</f>
        <v>Otros</v>
      </c>
      <c r="U67" s="1" t="b">
        <f t="array" ref="U67">(INDEX('Ontology and concepts per UC'!$G$2:$I$46,MATCH($S67,'Ontology and concepts per UC'!$F$2:$F$46,0),MATCH(LEFT($A67,3),'Ontology and concepts per UC'!$G$1:$I$1,0))=0)</f>
        <v>1</v>
      </c>
      <c r="V67" s="1" t="b">
        <f t="shared" si="6"/>
        <v>1</v>
      </c>
      <c r="W67" s="1" t="b">
        <v>1</v>
      </c>
      <c r="X67" s="1" t="b">
        <v>0</v>
      </c>
      <c r="Y67" s="1" t="b">
        <v>0</v>
      </c>
      <c r="Z67" s="1" t="b">
        <v>0</v>
      </c>
      <c r="AA67" s="1" t="s">
        <v>276</v>
      </c>
    </row>
    <row r="68" spans="1:27" x14ac:dyDescent="0.25">
      <c r="A68" s="1" t="s">
        <v>223</v>
      </c>
      <c r="B68" s="2" t="s">
        <v>277</v>
      </c>
      <c r="C68" s="2" t="s">
        <v>278</v>
      </c>
      <c r="D68" s="6">
        <f t="shared" si="0"/>
        <v>1</v>
      </c>
      <c r="E68" s="7" t="str">
        <f t="shared" si="1"/>
        <v>EstrategiaSeguimiento</v>
      </c>
      <c r="F68" s="8" t="b">
        <f>IF(D68&lt;1,FALSE,ISERROR(MATCH(E68,'Ontology and concepts per UC'!$A$2:$A$62,0)))</f>
        <v>1</v>
      </c>
      <c r="G68" s="9" t="str">
        <f t="shared" si="2"/>
        <v/>
      </c>
      <c r="H68" s="9" t="str">
        <f t="shared" si="3"/>
        <v/>
      </c>
      <c r="I68" s="8" t="b">
        <f>IF(D68&lt;2,FALSE,ISERROR(MATCH(H68,'Ontology and concepts per UC'!$A$2:$A$62,0)))</f>
        <v>0</v>
      </c>
      <c r="J68" s="9" t="str">
        <f t="shared" si="4"/>
        <v/>
      </c>
      <c r="K68" s="8" t="b">
        <f>IF(D68&lt;3,FALSE,ISERROR(MATCH(J68,'Ontology and concepts per UC'!$A$2:$A$62,0)))</f>
        <v>0</v>
      </c>
      <c r="L68" s="2" t="s">
        <v>279</v>
      </c>
      <c r="M68" s="2" t="s">
        <v>280</v>
      </c>
      <c r="N68" s="2"/>
      <c r="O68" s="1" t="b">
        <v>0</v>
      </c>
      <c r="P68" s="1">
        <v>1</v>
      </c>
      <c r="Q68" s="1">
        <v>1</v>
      </c>
      <c r="R68" s="1" t="b">
        <f t="shared" si="5"/>
        <v>1</v>
      </c>
      <c r="S68" s="2" t="s">
        <v>107</v>
      </c>
      <c r="T68" s="1" t="str">
        <f>IF(S68="","",VLOOKUP(S68,'Ontology and concepts per UC'!$F$2:$J$46,5,FALSE))</f>
        <v>Parcial</v>
      </c>
      <c r="U68" s="1" t="b">
        <f t="array" ref="U68">(INDEX('Ontology and concepts per UC'!$G$2:$I$46,MATCH($S68,'Ontology and concepts per UC'!$F$2:$F$46,0),MATCH(LEFT($A68,3),'Ontology and concepts per UC'!$G$1:$I$1,0))=0)</f>
        <v>0</v>
      </c>
      <c r="V68" s="1" t="b">
        <f t="shared" si="6"/>
        <v>1</v>
      </c>
      <c r="W68" s="1" t="b">
        <v>1</v>
      </c>
      <c r="X68" s="1" t="b">
        <v>0</v>
      </c>
      <c r="Y68" s="1" t="b">
        <v>0</v>
      </c>
      <c r="Z68" s="1" t="b">
        <v>0</v>
      </c>
      <c r="AA68" s="1" t="s">
        <v>281</v>
      </c>
    </row>
    <row r="69" spans="1:27" x14ac:dyDescent="0.25">
      <c r="A69" s="1" t="s">
        <v>223</v>
      </c>
      <c r="B69" s="2" t="s">
        <v>282</v>
      </c>
      <c r="C69" s="2" t="s">
        <v>278</v>
      </c>
      <c r="D69" s="6">
        <f t="shared" si="0"/>
        <v>1</v>
      </c>
      <c r="E69" s="7" t="str">
        <f t="shared" si="1"/>
        <v>EstrategiaSeguimiento</v>
      </c>
      <c r="F69" s="8" t="b">
        <f>IF(D69&lt;1,FALSE,ISERROR(MATCH(E69,'Ontology and concepts per UC'!$A$2:$A$62,0)))</f>
        <v>1</v>
      </c>
      <c r="G69" s="9" t="str">
        <f t="shared" si="2"/>
        <v/>
      </c>
      <c r="H69" s="9" t="str">
        <f t="shared" si="3"/>
        <v/>
      </c>
      <c r="I69" s="8" t="b">
        <f>IF(D69&lt;2,FALSE,ISERROR(MATCH(H69,'Ontology and concepts per UC'!$A$2:$A$62,0)))</f>
        <v>0</v>
      </c>
      <c r="J69" s="9" t="str">
        <f t="shared" si="4"/>
        <v/>
      </c>
      <c r="K69" s="8" t="b">
        <f>IF(D69&lt;3,FALSE,ISERROR(MATCH(J69,'Ontology and concepts per UC'!$A$2:$A$62,0)))</f>
        <v>0</v>
      </c>
      <c r="L69" s="2" t="s">
        <v>283</v>
      </c>
      <c r="M69" s="2" t="s">
        <v>284</v>
      </c>
      <c r="N69" s="2"/>
      <c r="O69" s="1" t="b">
        <v>0</v>
      </c>
      <c r="P69" s="1">
        <v>1</v>
      </c>
      <c r="Q69" s="1">
        <v>1</v>
      </c>
      <c r="R69" s="1" t="b">
        <f t="shared" si="5"/>
        <v>1</v>
      </c>
      <c r="S69" s="2" t="s">
        <v>60</v>
      </c>
      <c r="T69" s="1" t="str">
        <f>IF(S69="","",VLOOKUP(S69,'Ontology and concepts per UC'!$F$2:$J$46,5,FALSE))</f>
        <v>Tratamiento/seguimiento</v>
      </c>
      <c r="U69" s="1" t="b">
        <f t="array" ref="U69">(INDEX('Ontology and concepts per UC'!$G$2:$I$46,MATCH($S69,'Ontology and concepts per UC'!$F$2:$F$46,0),MATCH(LEFT($A69,3),'Ontology and concepts per UC'!$G$1:$I$1,0))=0)</f>
        <v>0</v>
      </c>
      <c r="V69" s="1" t="b">
        <f t="shared" si="6"/>
        <v>1</v>
      </c>
      <c r="W69" s="1" t="b">
        <v>1</v>
      </c>
      <c r="X69" s="1" t="b">
        <v>0</v>
      </c>
      <c r="Y69" s="1" t="b">
        <v>0</v>
      </c>
      <c r="Z69" s="1" t="b">
        <v>0</v>
      </c>
      <c r="AA69" s="1" t="s">
        <v>281</v>
      </c>
    </row>
    <row r="70" spans="1:27" x14ac:dyDescent="0.25">
      <c r="A70" s="1" t="s">
        <v>223</v>
      </c>
      <c r="B70" s="2" t="s">
        <v>285</v>
      </c>
      <c r="C70" s="2" t="s">
        <v>286</v>
      </c>
      <c r="D70" s="6">
        <f t="shared" si="0"/>
        <v>1</v>
      </c>
      <c r="E70" s="7" t="str">
        <f t="shared" si="1"/>
        <v>EvaluacionClinica</v>
      </c>
      <c r="F70" s="8" t="b">
        <f>IF(D70&lt;1,FALSE,ISERROR(MATCH(E70,'Ontology and concepts per UC'!$A$2:$A$62,0)))</f>
        <v>1</v>
      </c>
      <c r="G70" s="9" t="str">
        <f t="shared" si="2"/>
        <v/>
      </c>
      <c r="H70" s="9" t="str">
        <f t="shared" si="3"/>
        <v/>
      </c>
      <c r="I70" s="8" t="b">
        <f>IF(D70&lt;2,FALSE,ISERROR(MATCH(H70,'Ontology and concepts per UC'!$A$2:$A$62,0)))</f>
        <v>0</v>
      </c>
      <c r="J70" s="9" t="str">
        <f t="shared" si="4"/>
        <v/>
      </c>
      <c r="K70" s="8" t="b">
        <f>IF(D70&lt;3,FALSE,ISERROR(MATCH(J70,'Ontology and concepts per UC'!$A$2:$A$62,0)))</f>
        <v>0</v>
      </c>
      <c r="L70" s="2"/>
      <c r="M70" s="2" t="s">
        <v>287</v>
      </c>
      <c r="N70" s="2"/>
      <c r="O70" s="1" t="b">
        <v>0</v>
      </c>
      <c r="P70" s="1">
        <v>1</v>
      </c>
      <c r="Q70" s="1">
        <v>0</v>
      </c>
      <c r="R70" s="1" t="b">
        <f t="shared" si="5"/>
        <v>1</v>
      </c>
      <c r="S70" s="2" t="s">
        <v>60</v>
      </c>
      <c r="T70" s="1" t="str">
        <f>IF(S70="","",VLOOKUP(S70,'Ontology and concepts per UC'!$F$2:$J$46,5,FALSE))</f>
        <v>Tratamiento/seguimiento</v>
      </c>
      <c r="U70" s="1" t="b">
        <f t="array" ref="U70">(INDEX('Ontology and concepts per UC'!$G$2:$I$46,MATCH($S70,'Ontology and concepts per UC'!$F$2:$F$46,0),MATCH(LEFT($A70,3),'Ontology and concepts per UC'!$G$1:$I$1,0))=0)</f>
        <v>0</v>
      </c>
      <c r="V70" s="1" t="b">
        <f t="shared" si="6"/>
        <v>1</v>
      </c>
      <c r="W70" s="1" t="b">
        <v>1</v>
      </c>
      <c r="X70" s="1" t="b">
        <v>0</v>
      </c>
      <c r="Y70" s="1" t="b">
        <v>0</v>
      </c>
      <c r="Z70" s="1" t="b">
        <v>0</v>
      </c>
      <c r="AA70" s="1" t="s">
        <v>288</v>
      </c>
    </row>
    <row r="71" spans="1:27" x14ac:dyDescent="0.25">
      <c r="A71" s="1" t="s">
        <v>223</v>
      </c>
      <c r="B71" s="2" t="s">
        <v>289</v>
      </c>
      <c r="C71" s="2" t="s">
        <v>290</v>
      </c>
      <c r="D71" s="6">
        <f t="shared" si="0"/>
        <v>1</v>
      </c>
      <c r="E71" s="7" t="str">
        <f t="shared" si="1"/>
        <v>IntervencionCribado</v>
      </c>
      <c r="F71" s="8" t="b">
        <f>IF(D71&lt;1,FALSE,ISERROR(MATCH(E71,'Ontology and concepts per UC'!$A$2:$A$62,0)))</f>
        <v>1</v>
      </c>
      <c r="G71" s="9" t="str">
        <f t="shared" si="2"/>
        <v/>
      </c>
      <c r="H71" s="9" t="str">
        <f t="shared" si="3"/>
        <v/>
      </c>
      <c r="I71" s="8" t="b">
        <f>IF(D71&lt;2,FALSE,ISERROR(MATCH(H71,'Ontology and concepts per UC'!$A$2:$A$62,0)))</f>
        <v>0</v>
      </c>
      <c r="J71" s="9" t="str">
        <f t="shared" si="4"/>
        <v/>
      </c>
      <c r="K71" s="8" t="b">
        <f>IF(D71&lt;3,FALSE,ISERROR(MATCH(J71,'Ontology and concepts per UC'!$A$2:$A$62,0)))</f>
        <v>0</v>
      </c>
      <c r="L71" s="2" t="s">
        <v>291</v>
      </c>
      <c r="M71" s="2" t="s">
        <v>292</v>
      </c>
      <c r="N71" s="2"/>
      <c r="O71" s="1" t="b">
        <v>0</v>
      </c>
      <c r="P71" s="1">
        <v>1</v>
      </c>
      <c r="Q71" s="1">
        <v>3</v>
      </c>
      <c r="R71" s="1" t="b">
        <f t="shared" si="5"/>
        <v>1</v>
      </c>
      <c r="S71" s="2" t="s">
        <v>47</v>
      </c>
      <c r="T71" s="1" t="str">
        <f>IF(S71="","",VLOOKUP(S71,'Ontology and concepts per UC'!$F$2:$J$46,5,FALSE))</f>
        <v>Parámetros de intervención</v>
      </c>
      <c r="U71" s="1" t="b">
        <f t="array" ref="U71">(INDEX('Ontology and concepts per UC'!$G$2:$I$46,MATCH($S71,'Ontology and concepts per UC'!$F$2:$F$46,0),MATCH(LEFT($A71,3),'Ontology and concepts per UC'!$G$1:$I$1,0))=0)</f>
        <v>0</v>
      </c>
      <c r="V71" s="1" t="b">
        <f t="shared" si="6"/>
        <v>1</v>
      </c>
      <c r="W71" s="1" t="b">
        <v>1</v>
      </c>
      <c r="X71" s="1" t="b">
        <v>0</v>
      </c>
      <c r="Y71" s="1" t="b">
        <v>0</v>
      </c>
      <c r="Z71" s="1" t="b">
        <v>0</v>
      </c>
      <c r="AA71" s="1" t="s">
        <v>293</v>
      </c>
    </row>
    <row r="72" spans="1:27" x14ac:dyDescent="0.25">
      <c r="A72" s="1" t="s">
        <v>223</v>
      </c>
      <c r="B72" s="2" t="s">
        <v>294</v>
      </c>
      <c r="C72" s="2" t="s">
        <v>295</v>
      </c>
      <c r="D72" s="6">
        <f t="shared" si="0"/>
        <v>2</v>
      </c>
      <c r="E72" s="7" t="str">
        <f t="shared" si="1"/>
        <v>IntervencionCribado</v>
      </c>
      <c r="F72" s="8" t="b">
        <f>IF(D72&lt;1,FALSE,ISERROR(MATCH(E72,'Ontology and concepts per UC'!$A$2:$A$62,0)))</f>
        <v>1</v>
      </c>
      <c r="G72" s="9" t="str">
        <f t="shared" si="2"/>
        <v>Intervencion</v>
      </c>
      <c r="H72" s="9" t="str">
        <f t="shared" si="3"/>
        <v>Intervencion</v>
      </c>
      <c r="I72" s="8" t="b">
        <f>IF(D72&lt;2,FALSE,ISERROR(MATCH(H72,'Ontology and concepts per UC'!$A$2:$A$62,0)))</f>
        <v>1</v>
      </c>
      <c r="J72" s="9" t="str">
        <f t="shared" si="4"/>
        <v/>
      </c>
      <c r="K72" s="8" t="b">
        <f>IF(D72&lt;3,FALSE,ISERROR(MATCH(J72,'Ontology and concepts per UC'!$A$2:$A$62,0)))</f>
        <v>0</v>
      </c>
      <c r="L72" s="2" t="s">
        <v>296</v>
      </c>
      <c r="M72" s="2" t="s">
        <v>297</v>
      </c>
      <c r="N72" s="2"/>
      <c r="O72" s="1" t="b">
        <v>0</v>
      </c>
      <c r="P72" s="1">
        <v>2</v>
      </c>
      <c r="Q72" s="1">
        <v>4</v>
      </c>
      <c r="R72" s="1" t="b">
        <f t="shared" si="5"/>
        <v>0</v>
      </c>
      <c r="S72" s="2" t="s">
        <v>24</v>
      </c>
      <c r="T72" s="1" t="str">
        <f>IF(S72="","",VLOOKUP(S72,'Ontology and concepts per UC'!$F$2:$J$46,5,FALSE))</f>
        <v>Modelo Conceptual</v>
      </c>
      <c r="U72" s="1" t="b">
        <f t="array" ref="U72">(INDEX('Ontology and concepts per UC'!$G$2:$I$46,MATCH($S72,'Ontology and concepts per UC'!$F$2:$F$46,0),MATCH(LEFT($A72,3),'Ontology and concepts per UC'!$G$1:$I$1,0))=0)</f>
        <v>0</v>
      </c>
      <c r="V72" s="1" t="b">
        <f t="shared" si="6"/>
        <v>1</v>
      </c>
      <c r="W72" s="1" t="b">
        <v>1</v>
      </c>
      <c r="X72" s="1" t="b">
        <v>0</v>
      </c>
      <c r="Y72" s="1" t="b">
        <v>0</v>
      </c>
      <c r="Z72" s="1" t="b">
        <v>0</v>
      </c>
      <c r="AA72" s="1" t="s">
        <v>298</v>
      </c>
    </row>
    <row r="73" spans="1:27" x14ac:dyDescent="0.25">
      <c r="A73" s="1" t="s">
        <v>223</v>
      </c>
      <c r="B73" s="2" t="s">
        <v>299</v>
      </c>
      <c r="C73" s="2" t="s">
        <v>300</v>
      </c>
      <c r="D73" s="6">
        <f t="shared" si="0"/>
        <v>1</v>
      </c>
      <c r="E73" s="7" t="str">
        <f t="shared" si="1"/>
        <v>IntervencionFarmacologica</v>
      </c>
      <c r="F73" s="8" t="b">
        <f>IF(D73&lt;1,FALSE,ISERROR(MATCH(E73,'Ontology and concepts per UC'!$A$2:$A$62,0)))</f>
        <v>1</v>
      </c>
      <c r="G73" s="9" t="str">
        <f t="shared" si="2"/>
        <v/>
      </c>
      <c r="H73" s="9" t="str">
        <f t="shared" si="3"/>
        <v/>
      </c>
      <c r="I73" s="8" t="b">
        <f>IF(D73&lt;2,FALSE,ISERROR(MATCH(H73,'Ontology and concepts per UC'!$A$2:$A$62,0)))</f>
        <v>0</v>
      </c>
      <c r="J73" s="9" t="str">
        <f t="shared" si="4"/>
        <v/>
      </c>
      <c r="K73" s="8" t="b">
        <f>IF(D73&lt;3,FALSE,ISERROR(MATCH(J73,'Ontology and concepts per UC'!$A$2:$A$62,0)))</f>
        <v>0</v>
      </c>
      <c r="L73" s="2" t="s">
        <v>301</v>
      </c>
      <c r="M73" s="2" t="s">
        <v>302</v>
      </c>
      <c r="N73" s="2"/>
      <c r="O73" s="1" t="b">
        <v>0</v>
      </c>
      <c r="P73" s="1">
        <v>1</v>
      </c>
      <c r="Q73" s="1">
        <v>3</v>
      </c>
      <c r="R73" s="1" t="b">
        <f t="shared" si="5"/>
        <v>0</v>
      </c>
      <c r="S73" s="2" t="s">
        <v>62</v>
      </c>
      <c r="T73" s="1" t="str">
        <f>IF(S73="","",VLOOKUP(S73,'Ontology and concepts per UC'!$F$2:$J$46,5,FALSE))</f>
        <v>Tratamiento/seguimiento</v>
      </c>
      <c r="U73" s="1" t="b">
        <f t="array" ref="U73">(INDEX('Ontology and concepts per UC'!$G$2:$I$46,MATCH($S73,'Ontology and concepts per UC'!$F$2:$F$46,0),MATCH(LEFT($A73,3),'Ontology and concepts per UC'!$G$1:$I$1,0))=0)</f>
        <v>0</v>
      </c>
      <c r="V73" s="1" t="b">
        <f t="shared" si="6"/>
        <v>1</v>
      </c>
      <c r="W73" s="1" t="b">
        <v>1</v>
      </c>
      <c r="X73" s="1" t="b">
        <v>0</v>
      </c>
      <c r="Y73" s="1" t="b">
        <v>0</v>
      </c>
      <c r="Z73" s="1" t="b">
        <v>1</v>
      </c>
      <c r="AA73" s="1" t="s">
        <v>303</v>
      </c>
    </row>
    <row r="74" spans="1:27" x14ac:dyDescent="0.25">
      <c r="A74" s="1" t="s">
        <v>223</v>
      </c>
      <c r="B74" s="2" t="s">
        <v>304</v>
      </c>
      <c r="C74" s="2" t="s">
        <v>305</v>
      </c>
      <c r="D74" s="6">
        <f t="shared" si="0"/>
        <v>1</v>
      </c>
      <c r="E74" s="7" t="str">
        <f t="shared" si="1"/>
        <v>ManifestacionAguda</v>
      </c>
      <c r="F74" s="8" t="b">
        <f>IF(D74&lt;1,FALSE,ISERROR(MATCH(E74,'Ontology and concepts per UC'!$A$2:$A$62,0)))</f>
        <v>1</v>
      </c>
      <c r="G74" s="9" t="str">
        <f t="shared" si="2"/>
        <v/>
      </c>
      <c r="H74" s="9" t="str">
        <f t="shared" si="3"/>
        <v/>
      </c>
      <c r="I74" s="8" t="b">
        <f>IF(D74&lt;2,FALSE,ISERROR(MATCH(H74,'Ontology and concepts per UC'!$A$2:$A$62,0)))</f>
        <v>0</v>
      </c>
      <c r="J74" s="9" t="str">
        <f t="shared" si="4"/>
        <v/>
      </c>
      <c r="K74" s="8" t="b">
        <f>IF(D74&lt;3,FALSE,ISERROR(MATCH(J74,'Ontology and concepts per UC'!$A$2:$A$62,0)))</f>
        <v>0</v>
      </c>
      <c r="L74" s="2"/>
      <c r="M74" s="2" t="s">
        <v>306</v>
      </c>
      <c r="N74" s="2"/>
      <c r="O74" s="1" t="b">
        <v>0</v>
      </c>
      <c r="P74" s="1">
        <v>1</v>
      </c>
      <c r="Q74" s="1">
        <v>1</v>
      </c>
      <c r="R74" s="1" t="b">
        <f t="shared" si="5"/>
        <v>0</v>
      </c>
      <c r="S74" s="2" t="s">
        <v>30</v>
      </c>
      <c r="T74" s="1" t="str">
        <f>IF(S74="","",VLOOKUP(S74,'Ontology and concepts per UC'!$F$2:$J$46,5,FALSE))</f>
        <v>Modelo Conceptual</v>
      </c>
      <c r="U74" s="1" t="b">
        <f t="array" ref="U74">(INDEX('Ontology and concepts per UC'!$G$2:$I$46,MATCH($S74,'Ontology and concepts per UC'!$F$2:$F$46,0),MATCH(LEFT($A74,3),'Ontology and concepts per UC'!$G$1:$I$1,0))=0)</f>
        <v>0</v>
      </c>
      <c r="V74" s="1" t="b">
        <f t="shared" si="6"/>
        <v>1</v>
      </c>
      <c r="W74" s="1" t="b">
        <v>1</v>
      </c>
      <c r="X74" s="1" t="b">
        <v>0</v>
      </c>
      <c r="Y74" s="1" t="b">
        <v>0</v>
      </c>
      <c r="Z74" s="1" t="b">
        <v>0</v>
      </c>
      <c r="AA74" s="1" t="s">
        <v>307</v>
      </c>
    </row>
    <row r="75" spans="1:27" x14ac:dyDescent="0.25">
      <c r="A75" s="1" t="s">
        <v>223</v>
      </c>
      <c r="B75" s="2" t="s">
        <v>308</v>
      </c>
      <c r="C75" s="2" t="s">
        <v>305</v>
      </c>
      <c r="D75" s="6">
        <f t="shared" si="0"/>
        <v>1</v>
      </c>
      <c r="E75" s="7" t="str">
        <f t="shared" si="1"/>
        <v>ManifestacionAguda</v>
      </c>
      <c r="F75" s="8" t="b">
        <f>IF(D75&lt;1,FALSE,ISERROR(MATCH(E75,'Ontology and concepts per UC'!$A$2:$A$62,0)))</f>
        <v>1</v>
      </c>
      <c r="G75" s="9" t="str">
        <f t="shared" si="2"/>
        <v/>
      </c>
      <c r="H75" s="9" t="str">
        <f t="shared" si="3"/>
        <v/>
      </c>
      <c r="I75" s="8" t="b">
        <f>IF(D75&lt;2,FALSE,ISERROR(MATCH(H75,'Ontology and concepts per UC'!$A$2:$A$62,0)))</f>
        <v>0</v>
      </c>
      <c r="J75" s="9" t="str">
        <f t="shared" si="4"/>
        <v/>
      </c>
      <c r="K75" s="8" t="b">
        <f>IF(D75&lt;3,FALSE,ISERROR(MATCH(J75,'Ontology and concepts per UC'!$A$2:$A$62,0)))</f>
        <v>0</v>
      </c>
      <c r="L75" s="2"/>
      <c r="M75" s="2" t="s">
        <v>309</v>
      </c>
      <c r="N75" s="2"/>
      <c r="O75" s="1" t="b">
        <v>0</v>
      </c>
      <c r="P75" s="1">
        <v>1</v>
      </c>
      <c r="Q75" s="1">
        <v>1</v>
      </c>
      <c r="R75" s="1" t="b">
        <f t="shared" si="5"/>
        <v>0</v>
      </c>
      <c r="S75" s="2" t="s">
        <v>31</v>
      </c>
      <c r="T75" s="1" t="str">
        <f>IF(S75="","",VLOOKUP(S75,'Ontology and concepts per UC'!$F$2:$J$46,5,FALSE))</f>
        <v>Modelo Conceptual</v>
      </c>
      <c r="U75" s="1" t="b">
        <f t="array" ref="U75">(INDEX('Ontology and concepts per UC'!$G$2:$I$46,MATCH($S75,'Ontology and concepts per UC'!$F$2:$F$46,0),MATCH(LEFT($A75,3),'Ontology and concepts per UC'!$G$1:$I$1,0))=0)</f>
        <v>0</v>
      </c>
      <c r="V75" s="1" t="b">
        <f t="shared" si="6"/>
        <v>1</v>
      </c>
      <c r="W75" s="1" t="b">
        <v>1</v>
      </c>
      <c r="X75" s="1" t="b">
        <v>0</v>
      </c>
      <c r="Y75" s="1" t="b">
        <v>0</v>
      </c>
      <c r="Z75" s="1" t="b">
        <v>0</v>
      </c>
      <c r="AA75" s="1" t="s">
        <v>307</v>
      </c>
    </row>
    <row r="76" spans="1:27" x14ac:dyDescent="0.25">
      <c r="A76" s="1" t="s">
        <v>223</v>
      </c>
      <c r="B76" s="2" t="s">
        <v>310</v>
      </c>
      <c r="C76" s="2" t="s">
        <v>311</v>
      </c>
      <c r="D76" s="6">
        <f t="shared" si="0"/>
        <v>1</v>
      </c>
      <c r="E76" s="7" t="str">
        <f t="shared" si="1"/>
        <v>ManifestacionClinica</v>
      </c>
      <c r="F76" s="8" t="b">
        <f>IF(D76&lt;1,FALSE,ISERROR(MATCH(E76,'Ontology and concepts per UC'!$A$2:$A$62,0)))</f>
        <v>1</v>
      </c>
      <c r="G76" s="9" t="str">
        <f t="shared" si="2"/>
        <v/>
      </c>
      <c r="H76" s="9" t="str">
        <f t="shared" si="3"/>
        <v/>
      </c>
      <c r="I76" s="8" t="b">
        <f>IF(D76&lt;2,FALSE,ISERROR(MATCH(H76,'Ontology and concepts per UC'!$A$2:$A$62,0)))</f>
        <v>0</v>
      </c>
      <c r="J76" s="9" t="str">
        <f t="shared" si="4"/>
        <v/>
      </c>
      <c r="K76" s="8" t="b">
        <f>IF(D76&lt;3,FALSE,ISERROR(MATCH(J76,'Ontology and concepts per UC'!$A$2:$A$62,0)))</f>
        <v>0</v>
      </c>
      <c r="L76" s="2" t="s">
        <v>312</v>
      </c>
      <c r="M76" s="2" t="s">
        <v>313</v>
      </c>
      <c r="N76" s="2"/>
      <c r="O76" s="1" t="b">
        <v>0</v>
      </c>
      <c r="P76" s="1">
        <v>1</v>
      </c>
      <c r="Q76" s="1">
        <v>2</v>
      </c>
      <c r="R76" s="1" t="b">
        <f t="shared" si="5"/>
        <v>1</v>
      </c>
      <c r="S76" s="2" t="s">
        <v>30</v>
      </c>
      <c r="T76" s="1" t="str">
        <f>IF(S76="","",VLOOKUP(S76,'Ontology and concepts per UC'!$F$2:$J$46,5,FALSE))</f>
        <v>Modelo Conceptual</v>
      </c>
      <c r="U76" s="1" t="b">
        <f t="array" ref="U76">(INDEX('Ontology and concepts per UC'!$G$2:$I$46,MATCH($S76,'Ontology and concepts per UC'!$F$2:$F$46,0),MATCH(LEFT($A76,3),'Ontology and concepts per UC'!$G$1:$I$1,0))=0)</f>
        <v>0</v>
      </c>
      <c r="V76" s="1" t="b">
        <f t="shared" si="6"/>
        <v>1</v>
      </c>
      <c r="W76" s="1" t="b">
        <v>1</v>
      </c>
      <c r="X76" s="1" t="b">
        <v>0</v>
      </c>
      <c r="Y76" s="1" t="b">
        <v>0</v>
      </c>
      <c r="Z76" s="1" t="b">
        <v>0</v>
      </c>
      <c r="AA76" s="1" t="s">
        <v>314</v>
      </c>
    </row>
    <row r="77" spans="1:27" x14ac:dyDescent="0.25">
      <c r="A77" s="1" t="s">
        <v>223</v>
      </c>
      <c r="B77" s="2" t="s">
        <v>315</v>
      </c>
      <c r="C77" s="2" t="s">
        <v>311</v>
      </c>
      <c r="D77" s="6">
        <f t="shared" si="0"/>
        <v>1</v>
      </c>
      <c r="E77" s="7" t="str">
        <f t="shared" si="1"/>
        <v>ManifestacionClinica</v>
      </c>
      <c r="F77" s="8" t="b">
        <f>IF(D77&lt;1,FALSE,ISERROR(MATCH(E77,'Ontology and concepts per UC'!$A$2:$A$62,0)))</f>
        <v>1</v>
      </c>
      <c r="G77" s="9" t="str">
        <f t="shared" si="2"/>
        <v/>
      </c>
      <c r="H77" s="9" t="str">
        <f t="shared" si="3"/>
        <v/>
      </c>
      <c r="I77" s="8" t="b">
        <f>IF(D77&lt;2,FALSE,ISERROR(MATCH(H77,'Ontology and concepts per UC'!$A$2:$A$62,0)))</f>
        <v>0</v>
      </c>
      <c r="J77" s="9" t="str">
        <f t="shared" si="4"/>
        <v/>
      </c>
      <c r="K77" s="8" t="b">
        <f>IF(D77&lt;3,FALSE,ISERROR(MATCH(J77,'Ontology and concepts per UC'!$A$2:$A$62,0)))</f>
        <v>0</v>
      </c>
      <c r="L77" s="2"/>
      <c r="M77" s="2" t="s">
        <v>316</v>
      </c>
      <c r="N77" s="2"/>
      <c r="O77" s="1" t="b">
        <v>0</v>
      </c>
      <c r="P77" s="1">
        <v>1</v>
      </c>
      <c r="Q77" s="1">
        <v>0</v>
      </c>
      <c r="R77" s="1" t="b">
        <f t="shared" si="5"/>
        <v>1</v>
      </c>
      <c r="S77" s="2" t="s">
        <v>30</v>
      </c>
      <c r="T77" s="1" t="str">
        <f>IF(S77="","",VLOOKUP(S77,'Ontology and concepts per UC'!$F$2:$J$46,5,FALSE))</f>
        <v>Modelo Conceptual</v>
      </c>
      <c r="U77" s="1" t="b">
        <f t="array" ref="U77">(INDEX('Ontology and concepts per UC'!$G$2:$I$46,MATCH($S77,'Ontology and concepts per UC'!$F$2:$F$46,0),MATCH(LEFT($A77,3),'Ontology and concepts per UC'!$G$1:$I$1,0))=0)</f>
        <v>0</v>
      </c>
      <c r="V77" s="1" t="b">
        <f t="shared" si="6"/>
        <v>1</v>
      </c>
      <c r="W77" s="1" t="b">
        <v>1</v>
      </c>
      <c r="X77" s="1" t="b">
        <v>0</v>
      </c>
      <c r="Y77" s="1" t="b">
        <v>0</v>
      </c>
      <c r="Z77" s="1" t="b">
        <v>0</v>
      </c>
      <c r="AA77" s="1" t="s">
        <v>317</v>
      </c>
    </row>
    <row r="78" spans="1:27" x14ac:dyDescent="0.25">
      <c r="A78" s="1" t="s">
        <v>223</v>
      </c>
      <c r="B78" s="2" t="s">
        <v>318</v>
      </c>
      <c r="C78" s="2" t="s">
        <v>311</v>
      </c>
      <c r="D78" s="6">
        <f t="shared" si="0"/>
        <v>1</v>
      </c>
      <c r="E78" s="7" t="str">
        <f t="shared" si="1"/>
        <v>ManifestacionClinica</v>
      </c>
      <c r="F78" s="8" t="b">
        <f>IF(D78&lt;1,FALSE,ISERROR(MATCH(E78,'Ontology and concepts per UC'!$A$2:$A$62,0)))</f>
        <v>1</v>
      </c>
      <c r="G78" s="9" t="str">
        <f t="shared" si="2"/>
        <v/>
      </c>
      <c r="H78" s="9" t="str">
        <f t="shared" si="3"/>
        <v/>
      </c>
      <c r="I78" s="8" t="b">
        <f>IF(D78&lt;2,FALSE,ISERROR(MATCH(H78,'Ontology and concepts per UC'!$A$2:$A$62,0)))</f>
        <v>0</v>
      </c>
      <c r="J78" s="9" t="str">
        <f t="shared" si="4"/>
        <v/>
      </c>
      <c r="K78" s="8" t="b">
        <f>IF(D78&lt;3,FALSE,ISERROR(MATCH(J78,'Ontology and concepts per UC'!$A$2:$A$62,0)))</f>
        <v>0</v>
      </c>
      <c r="L78" s="2" t="s">
        <v>319</v>
      </c>
      <c r="M78" s="2" t="s">
        <v>320</v>
      </c>
      <c r="N78" s="2"/>
      <c r="O78" s="1" t="b">
        <v>0</v>
      </c>
      <c r="P78" s="1">
        <v>1</v>
      </c>
      <c r="Q78" s="1">
        <v>2</v>
      </c>
      <c r="R78" s="1" t="b">
        <f t="shared" si="5"/>
        <v>1</v>
      </c>
      <c r="S78" s="2" t="s">
        <v>31</v>
      </c>
      <c r="T78" s="1" t="str">
        <f>IF(S78="","",VLOOKUP(S78,'Ontology and concepts per UC'!$F$2:$J$46,5,FALSE))</f>
        <v>Modelo Conceptual</v>
      </c>
      <c r="U78" s="1" t="b">
        <f t="array" ref="U78">(INDEX('Ontology and concepts per UC'!$G$2:$I$46,MATCH($S78,'Ontology and concepts per UC'!$F$2:$F$46,0),MATCH(LEFT($A78,3),'Ontology and concepts per UC'!$G$1:$I$1,0))=0)</f>
        <v>0</v>
      </c>
      <c r="V78" s="1" t="b">
        <f t="shared" si="6"/>
        <v>1</v>
      </c>
      <c r="W78" s="1" t="b">
        <v>1</v>
      </c>
      <c r="X78" s="1" t="b">
        <v>0</v>
      </c>
      <c r="Y78" s="1" t="b">
        <v>0</v>
      </c>
      <c r="Z78" s="1" t="b">
        <v>0</v>
      </c>
      <c r="AA78" s="1" t="s">
        <v>314</v>
      </c>
    </row>
    <row r="79" spans="1:27" x14ac:dyDescent="0.25">
      <c r="A79" s="1" t="s">
        <v>223</v>
      </c>
      <c r="B79" s="2" t="s">
        <v>321</v>
      </c>
      <c r="C79" s="2" t="s">
        <v>311</v>
      </c>
      <c r="D79" s="6">
        <f t="shared" si="0"/>
        <v>1</v>
      </c>
      <c r="E79" s="7" t="str">
        <f t="shared" si="1"/>
        <v>ManifestacionClinica</v>
      </c>
      <c r="F79" s="8" t="b">
        <f>IF(D79&lt;1,FALSE,ISERROR(MATCH(E79,'Ontology and concepts per UC'!$A$2:$A$62,0)))</f>
        <v>1</v>
      </c>
      <c r="G79" s="9" t="str">
        <f t="shared" si="2"/>
        <v/>
      </c>
      <c r="H79" s="9" t="str">
        <f t="shared" si="3"/>
        <v/>
      </c>
      <c r="I79" s="8" t="b">
        <f>IF(D79&lt;2,FALSE,ISERROR(MATCH(H79,'Ontology and concepts per UC'!$A$2:$A$62,0)))</f>
        <v>0</v>
      </c>
      <c r="J79" s="9" t="str">
        <f t="shared" si="4"/>
        <v/>
      </c>
      <c r="K79" s="8" t="b">
        <f>IF(D79&lt;3,FALSE,ISERROR(MATCH(J79,'Ontology and concepts per UC'!$A$2:$A$62,0)))</f>
        <v>0</v>
      </c>
      <c r="L79" s="2"/>
      <c r="M79" s="2" t="s">
        <v>322</v>
      </c>
      <c r="N79" s="2"/>
      <c r="O79" s="1" t="b">
        <v>0</v>
      </c>
      <c r="P79" s="1">
        <v>1</v>
      </c>
      <c r="Q79" s="1">
        <v>0</v>
      </c>
      <c r="R79" s="1" t="b">
        <f t="shared" si="5"/>
        <v>1</v>
      </c>
      <c r="S79" s="2" t="s">
        <v>31</v>
      </c>
      <c r="T79" s="1" t="str">
        <f>IF(S79="","",VLOOKUP(S79,'Ontology and concepts per UC'!$F$2:$J$46,5,FALSE))</f>
        <v>Modelo Conceptual</v>
      </c>
      <c r="U79" s="1" t="b">
        <f t="array" ref="U79">(INDEX('Ontology and concepts per UC'!$G$2:$I$46,MATCH($S79,'Ontology and concepts per UC'!$F$2:$F$46,0),MATCH(LEFT($A79,3),'Ontology and concepts per UC'!$G$1:$I$1,0))=0)</f>
        <v>0</v>
      </c>
      <c r="V79" s="1" t="b">
        <f t="shared" si="6"/>
        <v>1</v>
      </c>
      <c r="W79" s="1" t="b">
        <v>1</v>
      </c>
      <c r="X79" s="1" t="b">
        <v>0</v>
      </c>
      <c r="Y79" s="1" t="b">
        <v>0</v>
      </c>
      <c r="Z79" s="1" t="b">
        <v>0</v>
      </c>
      <c r="AA79" s="1" t="s">
        <v>317</v>
      </c>
    </row>
    <row r="80" spans="1:27" x14ac:dyDescent="0.25">
      <c r="A80" s="1" t="s">
        <v>223</v>
      </c>
      <c r="B80" s="2" t="s">
        <v>323</v>
      </c>
      <c r="C80" s="2" t="s">
        <v>311</v>
      </c>
      <c r="D80" s="6">
        <f t="shared" si="0"/>
        <v>1</v>
      </c>
      <c r="E80" s="7" t="str">
        <f t="shared" si="1"/>
        <v>ManifestacionClinica</v>
      </c>
      <c r="F80" s="8" t="b">
        <f>IF(D80&lt;1,FALSE,ISERROR(MATCH(E80,'Ontology and concepts per UC'!$A$2:$A$62,0)))</f>
        <v>1</v>
      </c>
      <c r="G80" s="9" t="str">
        <f t="shared" si="2"/>
        <v/>
      </c>
      <c r="H80" s="9" t="str">
        <f t="shared" si="3"/>
        <v/>
      </c>
      <c r="I80" s="8" t="b">
        <f>IF(D80&lt;2,FALSE,ISERROR(MATCH(H80,'Ontology and concepts per UC'!$A$2:$A$62,0)))</f>
        <v>0</v>
      </c>
      <c r="J80" s="9" t="str">
        <f t="shared" si="4"/>
        <v/>
      </c>
      <c r="K80" s="8" t="b">
        <f>IF(D80&lt;3,FALSE,ISERROR(MATCH(J80,'Ontology and concepts per UC'!$A$2:$A$62,0)))</f>
        <v>0</v>
      </c>
      <c r="L80" s="2"/>
      <c r="M80" s="2" t="s">
        <v>324</v>
      </c>
      <c r="N80" s="2"/>
      <c r="O80" s="1" t="b">
        <v>0</v>
      </c>
      <c r="P80" s="1">
        <v>1</v>
      </c>
      <c r="Q80" s="1">
        <v>0</v>
      </c>
      <c r="R80" s="1" t="b">
        <f t="shared" si="5"/>
        <v>1</v>
      </c>
      <c r="S80" s="2" t="s">
        <v>325</v>
      </c>
      <c r="T80" s="1" t="str">
        <f>IF(S80="","",VLOOKUP(S80,'Ontology and concepts per UC'!$F$2:$J$46,5,FALSE))</f>
        <v>Modelo Conceptual</v>
      </c>
      <c r="U80" s="1" t="b">
        <f t="array" ref="U80">(INDEX('Ontology and concepts per UC'!$G$2:$I$46,MATCH($S80,'Ontology and concepts per UC'!$F$2:$F$46,0),MATCH(LEFT($A80,3),'Ontology and concepts per UC'!$G$1:$I$1,0))=0)</f>
        <v>0</v>
      </c>
      <c r="V80" s="1" t="b">
        <f t="shared" si="6"/>
        <v>1</v>
      </c>
      <c r="W80" s="1" t="b">
        <v>1</v>
      </c>
      <c r="X80" s="1" t="b">
        <v>0</v>
      </c>
      <c r="Y80" s="1" t="b">
        <v>0</v>
      </c>
      <c r="Z80" s="1" t="b">
        <v>0</v>
      </c>
      <c r="AA80" s="1" t="s">
        <v>317</v>
      </c>
    </row>
    <row r="81" spans="1:27" x14ac:dyDescent="0.25">
      <c r="A81" s="1" t="s">
        <v>223</v>
      </c>
      <c r="B81" s="2" t="s">
        <v>326</v>
      </c>
      <c r="C81" s="2" t="s">
        <v>311</v>
      </c>
      <c r="D81" s="6">
        <f t="shared" si="0"/>
        <v>1</v>
      </c>
      <c r="E81" s="7" t="str">
        <f t="shared" si="1"/>
        <v>ManifestacionClinica</v>
      </c>
      <c r="F81" s="8" t="b">
        <f>IF(D81&lt;1,FALSE,ISERROR(MATCH(E81,'Ontology and concepts per UC'!$A$2:$A$62,0)))</f>
        <v>1</v>
      </c>
      <c r="G81" s="9" t="str">
        <f t="shared" si="2"/>
        <v/>
      </c>
      <c r="H81" s="9" t="str">
        <f t="shared" si="3"/>
        <v/>
      </c>
      <c r="I81" s="8" t="b">
        <f>IF(D81&lt;2,FALSE,ISERROR(MATCH(H81,'Ontology and concepts per UC'!$A$2:$A$62,0)))</f>
        <v>0</v>
      </c>
      <c r="J81" s="9" t="str">
        <f t="shared" si="4"/>
        <v/>
      </c>
      <c r="K81" s="8" t="b">
        <f>IF(D81&lt;3,FALSE,ISERROR(MATCH(J81,'Ontology and concepts per UC'!$A$2:$A$62,0)))</f>
        <v>0</v>
      </c>
      <c r="L81" s="2" t="s">
        <v>327</v>
      </c>
      <c r="M81" s="2" t="s">
        <v>328</v>
      </c>
      <c r="N81" s="2"/>
      <c r="O81" s="1" t="b">
        <v>0</v>
      </c>
      <c r="P81" s="1">
        <v>1</v>
      </c>
      <c r="Q81" s="1">
        <v>3</v>
      </c>
      <c r="R81" s="1" t="b">
        <f t="shared" si="5"/>
        <v>1</v>
      </c>
      <c r="S81" s="2" t="s">
        <v>26</v>
      </c>
      <c r="T81" s="1" t="str">
        <f>IF(S81="","",VLOOKUP(S81,'Ontology and concepts per UC'!$F$2:$J$46,5,FALSE))</f>
        <v>Modelo Conceptual</v>
      </c>
      <c r="U81" s="1" t="b">
        <f t="array" ref="U81">(INDEX('Ontology and concepts per UC'!$G$2:$I$46,MATCH($S81,'Ontology and concepts per UC'!$F$2:$F$46,0),MATCH(LEFT($A81,3),'Ontology and concepts per UC'!$G$1:$I$1,0))=0)</f>
        <v>0</v>
      </c>
      <c r="V81" s="1" t="b">
        <f t="shared" si="6"/>
        <v>1</v>
      </c>
      <c r="W81" s="1" t="b">
        <v>1</v>
      </c>
      <c r="X81" s="1" t="b">
        <v>0</v>
      </c>
      <c r="Y81" s="1" t="b">
        <v>0</v>
      </c>
      <c r="Z81" s="1" t="b">
        <v>0</v>
      </c>
      <c r="AA81" s="1" t="s">
        <v>329</v>
      </c>
    </row>
    <row r="82" spans="1:27" x14ac:dyDescent="0.25">
      <c r="A82" s="1" t="s">
        <v>223</v>
      </c>
      <c r="B82" s="2" t="s">
        <v>330</v>
      </c>
      <c r="C82" s="2" t="s">
        <v>311</v>
      </c>
      <c r="D82" s="6">
        <f t="shared" si="0"/>
        <v>1</v>
      </c>
      <c r="E82" s="7" t="str">
        <f t="shared" si="1"/>
        <v>ManifestacionClinica</v>
      </c>
      <c r="F82" s="8" t="b">
        <f>IF(D82&lt;1,FALSE,ISERROR(MATCH(E82,'Ontology and concepts per UC'!$A$2:$A$62,0)))</f>
        <v>1</v>
      </c>
      <c r="G82" s="9" t="str">
        <f t="shared" si="2"/>
        <v/>
      </c>
      <c r="H82" s="9" t="str">
        <f t="shared" si="3"/>
        <v/>
      </c>
      <c r="I82" s="8" t="b">
        <f>IF(D82&lt;2,FALSE,ISERROR(MATCH(H82,'Ontology and concepts per UC'!$A$2:$A$62,0)))</f>
        <v>0</v>
      </c>
      <c r="J82" s="9" t="str">
        <f t="shared" si="4"/>
        <v/>
      </c>
      <c r="K82" s="8" t="b">
        <f>IF(D82&lt;3,FALSE,ISERROR(MATCH(J82,'Ontology and concepts per UC'!$A$2:$A$62,0)))</f>
        <v>0</v>
      </c>
      <c r="L82" s="2"/>
      <c r="M82" s="2" t="s">
        <v>331</v>
      </c>
      <c r="N82" s="2"/>
      <c r="O82" s="1" t="b">
        <v>0</v>
      </c>
      <c r="P82" s="1">
        <v>1</v>
      </c>
      <c r="Q82" s="1">
        <v>1</v>
      </c>
      <c r="R82" s="1" t="b">
        <f t="shared" si="5"/>
        <v>1</v>
      </c>
      <c r="S82" s="2" t="s">
        <v>28</v>
      </c>
      <c r="T82" s="1" t="str">
        <f>IF(S82="","",VLOOKUP(S82,'Ontology and concepts per UC'!$F$2:$J$46,5,FALSE))</f>
        <v>Modelo Conceptual</v>
      </c>
      <c r="U82" s="1" t="b">
        <f t="array" ref="U82">(INDEX('Ontology and concepts per UC'!$G$2:$I$46,MATCH($S82,'Ontology and concepts per UC'!$F$2:$F$46,0),MATCH(LEFT($A82,3),'Ontology and concepts per UC'!$G$1:$I$1,0))=0)</f>
        <v>0</v>
      </c>
      <c r="V82" s="1" t="b">
        <f t="shared" si="6"/>
        <v>1</v>
      </c>
      <c r="W82" s="1" t="b">
        <v>1</v>
      </c>
      <c r="X82" s="1" t="b">
        <v>0</v>
      </c>
      <c r="Y82" s="1" t="b">
        <v>0</v>
      </c>
      <c r="Z82" s="1" t="b">
        <v>0</v>
      </c>
      <c r="AA82" s="1" t="s">
        <v>332</v>
      </c>
    </row>
    <row r="83" spans="1:27" x14ac:dyDescent="0.25">
      <c r="A83" s="1" t="s">
        <v>223</v>
      </c>
      <c r="B83" s="2" t="s">
        <v>333</v>
      </c>
      <c r="C83" s="2" t="s">
        <v>311</v>
      </c>
      <c r="D83" s="6">
        <f t="shared" si="0"/>
        <v>1</v>
      </c>
      <c r="E83" s="7" t="str">
        <f t="shared" si="1"/>
        <v>ManifestacionClinica</v>
      </c>
      <c r="F83" s="8" t="b">
        <f>IF(D83&lt;1,FALSE,ISERROR(MATCH(E83,'Ontology and concepts per UC'!$A$2:$A$62,0)))</f>
        <v>1</v>
      </c>
      <c r="G83" s="9" t="str">
        <f t="shared" si="2"/>
        <v/>
      </c>
      <c r="H83" s="9" t="str">
        <f t="shared" si="3"/>
        <v/>
      </c>
      <c r="I83" s="8" t="b">
        <f>IF(D83&lt;2,FALSE,ISERROR(MATCH(H83,'Ontology and concepts per UC'!$A$2:$A$62,0)))</f>
        <v>0</v>
      </c>
      <c r="J83" s="9" t="str">
        <f t="shared" si="4"/>
        <v/>
      </c>
      <c r="K83" s="8" t="b">
        <f>IF(D83&lt;3,FALSE,ISERROR(MATCH(J83,'Ontology and concepts per UC'!$A$2:$A$62,0)))</f>
        <v>0</v>
      </c>
      <c r="L83" s="2"/>
      <c r="M83" s="2" t="s">
        <v>334</v>
      </c>
      <c r="N83" s="2"/>
      <c r="O83" s="1" t="b">
        <v>0</v>
      </c>
      <c r="P83" s="1">
        <v>1</v>
      </c>
      <c r="Q83" s="1">
        <v>1</v>
      </c>
      <c r="R83" s="1" t="b">
        <f t="shared" si="5"/>
        <v>1</v>
      </c>
      <c r="S83" s="2" t="s">
        <v>107</v>
      </c>
      <c r="T83" s="1" t="str">
        <f>IF(S83="","",VLOOKUP(S83,'Ontology and concepts per UC'!$F$2:$J$46,5,FALSE))</f>
        <v>Parcial</v>
      </c>
      <c r="U83" s="1" t="b">
        <f t="array" ref="U83">(INDEX('Ontology and concepts per UC'!$G$2:$I$46,MATCH($S83,'Ontology and concepts per UC'!$F$2:$F$46,0),MATCH(LEFT($A83,3),'Ontology and concepts per UC'!$G$1:$I$1,0))=0)</f>
        <v>0</v>
      </c>
      <c r="V83" s="1" t="b">
        <f t="shared" si="6"/>
        <v>1</v>
      </c>
      <c r="W83" s="1" t="b">
        <v>1</v>
      </c>
      <c r="X83" s="1" t="b">
        <v>0</v>
      </c>
      <c r="Y83" s="1" t="b">
        <v>0</v>
      </c>
      <c r="Z83" s="1" t="b">
        <v>0</v>
      </c>
      <c r="AA83" s="1" t="s">
        <v>332</v>
      </c>
    </row>
    <row r="84" spans="1:27" x14ac:dyDescent="0.25">
      <c r="A84" s="1" t="s">
        <v>223</v>
      </c>
      <c r="B84" s="2" t="s">
        <v>335</v>
      </c>
      <c r="C84" s="2" t="s">
        <v>311</v>
      </c>
      <c r="D84" s="6">
        <f t="shared" si="0"/>
        <v>1</v>
      </c>
      <c r="E84" s="7" t="str">
        <f t="shared" si="1"/>
        <v>ManifestacionClinica</v>
      </c>
      <c r="F84" s="8" t="b">
        <f>IF(D84&lt;1,FALSE,ISERROR(MATCH(E84,'Ontology and concepts per UC'!$A$2:$A$62,0)))</f>
        <v>1</v>
      </c>
      <c r="G84" s="9" t="str">
        <f t="shared" si="2"/>
        <v/>
      </c>
      <c r="H84" s="9" t="str">
        <f t="shared" si="3"/>
        <v/>
      </c>
      <c r="I84" s="8" t="b">
        <f>IF(D84&lt;2,FALSE,ISERROR(MATCH(H84,'Ontology and concepts per UC'!$A$2:$A$62,0)))</f>
        <v>0</v>
      </c>
      <c r="J84" s="9" t="str">
        <f t="shared" si="4"/>
        <v/>
      </c>
      <c r="K84" s="8" t="b">
        <f>IF(D84&lt;3,FALSE,ISERROR(MATCH(J84,'Ontology and concepts per UC'!$A$2:$A$62,0)))</f>
        <v>0</v>
      </c>
      <c r="L84" s="2"/>
      <c r="M84" s="2" t="s">
        <v>336</v>
      </c>
      <c r="N84" s="2"/>
      <c r="O84" s="1" t="b">
        <v>0</v>
      </c>
      <c r="P84" s="1">
        <v>1</v>
      </c>
      <c r="Q84" s="1">
        <v>1</v>
      </c>
      <c r="R84" s="1" t="b">
        <f t="shared" si="5"/>
        <v>1</v>
      </c>
      <c r="S84" s="2" t="s">
        <v>107</v>
      </c>
      <c r="T84" s="1" t="str">
        <f>IF(S84="","",VLOOKUP(S84,'Ontology and concepts per UC'!$F$2:$J$46,5,FALSE))</f>
        <v>Parcial</v>
      </c>
      <c r="U84" s="1" t="b">
        <f t="array" ref="U84">(INDEX('Ontology and concepts per UC'!$G$2:$I$46,MATCH($S84,'Ontology and concepts per UC'!$F$2:$F$46,0),MATCH(LEFT($A84,3),'Ontology and concepts per UC'!$G$1:$I$1,0))=0)</f>
        <v>0</v>
      </c>
      <c r="V84" s="1" t="b">
        <f t="shared" si="6"/>
        <v>1</v>
      </c>
      <c r="W84" s="1" t="b">
        <v>1</v>
      </c>
      <c r="X84" s="1" t="b">
        <v>0</v>
      </c>
      <c r="Y84" s="1" t="b">
        <v>0</v>
      </c>
      <c r="Z84" s="1" t="b">
        <v>0</v>
      </c>
      <c r="AA84" s="1" t="s">
        <v>332</v>
      </c>
    </row>
    <row r="85" spans="1:27" x14ac:dyDescent="0.25">
      <c r="A85" s="1" t="s">
        <v>223</v>
      </c>
      <c r="B85" s="2" t="s">
        <v>337</v>
      </c>
      <c r="C85" s="2" t="s">
        <v>311</v>
      </c>
      <c r="D85" s="6">
        <f t="shared" si="0"/>
        <v>1</v>
      </c>
      <c r="E85" s="7" t="str">
        <f t="shared" si="1"/>
        <v>ManifestacionClinica</v>
      </c>
      <c r="F85" s="8" t="b">
        <f>IF(D85&lt;1,FALSE,ISERROR(MATCH(E85,'Ontology and concepts per UC'!$A$2:$A$62,0)))</f>
        <v>1</v>
      </c>
      <c r="G85" s="9" t="str">
        <f t="shared" si="2"/>
        <v/>
      </c>
      <c r="H85" s="9" t="str">
        <f t="shared" si="3"/>
        <v/>
      </c>
      <c r="I85" s="8" t="b">
        <f>IF(D85&lt;2,FALSE,ISERROR(MATCH(H85,'Ontology and concepts per UC'!$A$2:$A$62,0)))</f>
        <v>0</v>
      </c>
      <c r="J85" s="9" t="str">
        <f t="shared" si="4"/>
        <v/>
      </c>
      <c r="K85" s="8" t="b">
        <f>IF(D85&lt;3,FALSE,ISERROR(MATCH(J85,'Ontology and concepts per UC'!$A$2:$A$62,0)))</f>
        <v>0</v>
      </c>
      <c r="L85" s="2"/>
      <c r="M85" s="2" t="s">
        <v>338</v>
      </c>
      <c r="N85" s="2"/>
      <c r="O85" s="1" t="b">
        <v>0</v>
      </c>
      <c r="P85" s="1">
        <v>1</v>
      </c>
      <c r="Q85" s="1">
        <v>1</v>
      </c>
      <c r="R85" s="1" t="b">
        <f t="shared" si="5"/>
        <v>1</v>
      </c>
      <c r="S85" s="2" t="s">
        <v>107</v>
      </c>
      <c r="T85" s="1" t="str">
        <f>IF(S85="","",VLOOKUP(S85,'Ontology and concepts per UC'!$F$2:$J$46,5,FALSE))</f>
        <v>Parcial</v>
      </c>
      <c r="U85" s="1" t="b">
        <f t="array" ref="U85">(INDEX('Ontology and concepts per UC'!$G$2:$I$46,MATCH($S85,'Ontology and concepts per UC'!$F$2:$F$46,0),MATCH(LEFT($A85,3),'Ontology and concepts per UC'!$G$1:$I$1,0))=0)</f>
        <v>0</v>
      </c>
      <c r="V85" s="1" t="b">
        <f t="shared" si="6"/>
        <v>1</v>
      </c>
      <c r="W85" s="1" t="b">
        <v>1</v>
      </c>
      <c r="X85" s="1" t="b">
        <v>0</v>
      </c>
      <c r="Y85" s="1" t="b">
        <v>0</v>
      </c>
      <c r="Z85" s="1" t="b">
        <v>0</v>
      </c>
      <c r="AA85" s="1" t="s">
        <v>332</v>
      </c>
    </row>
    <row r="86" spans="1:27" x14ac:dyDescent="0.25">
      <c r="A86" s="1" t="s">
        <v>223</v>
      </c>
      <c r="B86" s="2" t="s">
        <v>339</v>
      </c>
      <c r="C86" s="2" t="s">
        <v>311</v>
      </c>
      <c r="D86" s="6">
        <f t="shared" si="0"/>
        <v>1</v>
      </c>
      <c r="E86" s="7" t="str">
        <f t="shared" si="1"/>
        <v>ManifestacionClinica</v>
      </c>
      <c r="F86" s="8" t="b">
        <f>IF(D86&lt;1,FALSE,ISERROR(MATCH(E86,'Ontology and concepts per UC'!$A$2:$A$62,0)))</f>
        <v>1</v>
      </c>
      <c r="G86" s="9" t="str">
        <f t="shared" si="2"/>
        <v/>
      </c>
      <c r="H86" s="9" t="str">
        <f t="shared" si="3"/>
        <v/>
      </c>
      <c r="I86" s="8" t="b">
        <f>IF(D86&lt;2,FALSE,ISERROR(MATCH(H86,'Ontology and concepts per UC'!$A$2:$A$62,0)))</f>
        <v>0</v>
      </c>
      <c r="J86" s="9" t="str">
        <f t="shared" si="4"/>
        <v/>
      </c>
      <c r="K86" s="8" t="b">
        <f>IF(D86&lt;3,FALSE,ISERROR(MATCH(J86,'Ontology and concepts per UC'!$A$2:$A$62,0)))</f>
        <v>0</v>
      </c>
      <c r="L86" s="2"/>
      <c r="M86" s="2" t="s">
        <v>340</v>
      </c>
      <c r="N86" s="2"/>
      <c r="O86" s="1" t="b">
        <v>0</v>
      </c>
      <c r="P86" s="1">
        <v>1</v>
      </c>
      <c r="Q86" s="1">
        <v>1</v>
      </c>
      <c r="R86" s="1" t="b">
        <f t="shared" si="5"/>
        <v>1</v>
      </c>
      <c r="S86" s="2" t="s">
        <v>107</v>
      </c>
      <c r="T86" s="1" t="str">
        <f>IF(S86="","",VLOOKUP(S86,'Ontology and concepts per UC'!$F$2:$J$46,5,FALSE))</f>
        <v>Parcial</v>
      </c>
      <c r="U86" s="1" t="b">
        <f t="array" ref="U86">(INDEX('Ontology and concepts per UC'!$G$2:$I$46,MATCH($S86,'Ontology and concepts per UC'!$F$2:$F$46,0),MATCH(LEFT($A86,3),'Ontology and concepts per UC'!$G$1:$I$1,0))=0)</f>
        <v>0</v>
      </c>
      <c r="V86" s="1" t="b">
        <f t="shared" si="6"/>
        <v>1</v>
      </c>
      <c r="W86" s="1" t="b">
        <v>1</v>
      </c>
      <c r="X86" s="1" t="b">
        <v>0</v>
      </c>
      <c r="Y86" s="1" t="b">
        <v>0</v>
      </c>
      <c r="Z86" s="1" t="b">
        <v>0</v>
      </c>
      <c r="AA86" s="1" t="s">
        <v>332</v>
      </c>
    </row>
    <row r="87" spans="1:27" x14ac:dyDescent="0.25">
      <c r="A87" s="1" t="s">
        <v>223</v>
      </c>
      <c r="B87" s="2" t="s">
        <v>341</v>
      </c>
      <c r="C87" s="2" t="s">
        <v>342</v>
      </c>
      <c r="D87" s="6">
        <f t="shared" si="0"/>
        <v>2</v>
      </c>
      <c r="E87" s="7" t="str">
        <f t="shared" si="1"/>
        <v>ManifestacionClinica</v>
      </c>
      <c r="F87" s="8" t="b">
        <f>IF(D87&lt;1,FALSE,ISERROR(MATCH(E87,'Ontology and concepts per UC'!$A$2:$A$62,0)))</f>
        <v>1</v>
      </c>
      <c r="G87" s="9" t="str">
        <f t="shared" si="2"/>
        <v>ChronicManifestation</v>
      </c>
      <c r="H87" s="9" t="str">
        <f t="shared" si="3"/>
        <v>ChronicManifestation</v>
      </c>
      <c r="I87" s="8" t="b">
        <f>IF(D87&lt;2,FALSE,ISERROR(MATCH(H87,'Ontology and concepts per UC'!$A$2:$A$62,0)))</f>
        <v>0</v>
      </c>
      <c r="J87" s="9" t="str">
        <f t="shared" si="4"/>
        <v/>
      </c>
      <c r="K87" s="8" t="b">
        <f>IF(D87&lt;3,FALSE,ISERROR(MATCH(J87,'Ontology and concepts per UC'!$A$2:$A$62,0)))</f>
        <v>0</v>
      </c>
      <c r="L87" s="2" t="s">
        <v>343</v>
      </c>
      <c r="M87" s="2" t="s">
        <v>344</v>
      </c>
      <c r="N87" s="2"/>
      <c r="O87" s="1" t="b">
        <v>0</v>
      </c>
      <c r="P87" s="1">
        <v>1</v>
      </c>
      <c r="Q87" s="1">
        <v>3</v>
      </c>
      <c r="R87" s="1" t="b">
        <f t="shared" si="5"/>
        <v>1</v>
      </c>
      <c r="S87" s="2" t="s">
        <v>29</v>
      </c>
      <c r="T87" s="1" t="str">
        <f>IF(S87="","",VLOOKUP(S87,'Ontology and concepts per UC'!$F$2:$J$46,5,FALSE))</f>
        <v>Modelo Conceptual</v>
      </c>
      <c r="U87" s="1" t="b">
        <f t="array" ref="U87">(INDEX('Ontology and concepts per UC'!$G$2:$I$46,MATCH($S87,'Ontology and concepts per UC'!$F$2:$F$46,0),MATCH(LEFT($A87,3),'Ontology and concepts per UC'!$G$1:$I$1,0))=0)</f>
        <v>0</v>
      </c>
      <c r="V87" s="1" t="b">
        <f t="shared" si="6"/>
        <v>1</v>
      </c>
      <c r="W87" s="1" t="b">
        <v>1</v>
      </c>
      <c r="X87" s="1" t="b">
        <v>0</v>
      </c>
      <c r="Y87" s="1" t="b">
        <v>0</v>
      </c>
      <c r="Z87" s="1" t="b">
        <v>0</v>
      </c>
      <c r="AA87" s="1" t="s">
        <v>345</v>
      </c>
    </row>
    <row r="88" spans="1:27" x14ac:dyDescent="0.25">
      <c r="A88" s="1" t="s">
        <v>223</v>
      </c>
      <c r="B88" s="2" t="s">
        <v>346</v>
      </c>
      <c r="C88" s="2" t="s">
        <v>347</v>
      </c>
      <c r="D88" s="6">
        <f t="shared" si="0"/>
        <v>1</v>
      </c>
      <c r="E88" s="7" t="str">
        <f t="shared" si="1"/>
        <v>ManifestacionCronica</v>
      </c>
      <c r="F88" s="8" t="b">
        <f>IF(D88&lt;1,FALSE,ISERROR(MATCH(E88,'Ontology and concepts per UC'!$A$2:$A$62,0)))</f>
        <v>1</v>
      </c>
      <c r="G88" s="9" t="str">
        <f t="shared" si="2"/>
        <v/>
      </c>
      <c r="H88" s="9" t="str">
        <f t="shared" si="3"/>
        <v/>
      </c>
      <c r="I88" s="8" t="b">
        <f>IF(D88&lt;2,FALSE,ISERROR(MATCH(H88,'Ontology and concepts per UC'!$A$2:$A$62,0)))</f>
        <v>0</v>
      </c>
      <c r="J88" s="9" t="str">
        <f t="shared" si="4"/>
        <v/>
      </c>
      <c r="K88" s="8" t="b">
        <f>IF(D88&lt;3,FALSE,ISERROR(MATCH(J88,'Ontology and concepts per UC'!$A$2:$A$62,0)))</f>
        <v>0</v>
      </c>
      <c r="L88" s="2"/>
      <c r="M88" s="2" t="s">
        <v>348</v>
      </c>
      <c r="N88" s="2"/>
      <c r="O88" s="1" t="b">
        <v>0</v>
      </c>
      <c r="P88" s="1">
        <v>1</v>
      </c>
      <c r="Q88" s="1">
        <v>1</v>
      </c>
      <c r="R88" s="1" t="b">
        <f t="shared" si="5"/>
        <v>0</v>
      </c>
      <c r="S88" s="2" t="s">
        <v>32</v>
      </c>
      <c r="T88" s="1" t="str">
        <f>IF(S88="","",VLOOKUP(S88,'Ontology and concepts per UC'!$F$2:$J$46,5,FALSE))</f>
        <v>Modelo Conceptual</v>
      </c>
      <c r="U88" s="1" t="b">
        <f t="array" ref="U88">(INDEX('Ontology and concepts per UC'!$G$2:$I$46,MATCH($S88,'Ontology and concepts per UC'!$F$2:$F$46,0),MATCH(LEFT($A88,3),'Ontology and concepts per UC'!$G$1:$I$1,0))=0)</f>
        <v>0</v>
      </c>
      <c r="V88" s="1" t="b">
        <f t="shared" si="6"/>
        <v>1</v>
      </c>
      <c r="W88" s="1" t="b">
        <v>1</v>
      </c>
      <c r="X88" s="1" t="b">
        <v>0</v>
      </c>
      <c r="Y88" s="1" t="b">
        <v>0</v>
      </c>
      <c r="Z88" s="1" t="b">
        <v>0</v>
      </c>
      <c r="AA88" s="1" t="s">
        <v>349</v>
      </c>
    </row>
    <row r="89" spans="1:27" x14ac:dyDescent="0.25">
      <c r="A89" s="1" t="s">
        <v>223</v>
      </c>
      <c r="B89" s="2" t="s">
        <v>350</v>
      </c>
      <c r="C89" s="2" t="s">
        <v>347</v>
      </c>
      <c r="D89" s="6">
        <f t="shared" si="0"/>
        <v>1</v>
      </c>
      <c r="E89" s="7" t="str">
        <f t="shared" si="1"/>
        <v>ManifestacionCronica</v>
      </c>
      <c r="F89" s="8" t="b">
        <f>IF(D89&lt;1,FALSE,ISERROR(MATCH(E89,'Ontology and concepts per UC'!$A$2:$A$62,0)))</f>
        <v>1</v>
      </c>
      <c r="G89" s="9" t="str">
        <f t="shared" si="2"/>
        <v/>
      </c>
      <c r="H89" s="9" t="str">
        <f t="shared" si="3"/>
        <v/>
      </c>
      <c r="I89" s="8" t="b">
        <f>IF(D89&lt;2,FALSE,ISERROR(MATCH(H89,'Ontology and concepts per UC'!$A$2:$A$62,0)))</f>
        <v>0</v>
      </c>
      <c r="J89" s="9" t="str">
        <f t="shared" si="4"/>
        <v/>
      </c>
      <c r="K89" s="8" t="b">
        <f>IF(D89&lt;3,FALSE,ISERROR(MATCH(J89,'Ontology and concepts per UC'!$A$2:$A$62,0)))</f>
        <v>0</v>
      </c>
      <c r="L89" s="2"/>
      <c r="M89" s="2" t="s">
        <v>351</v>
      </c>
      <c r="N89" s="2"/>
      <c r="O89" s="1" t="b">
        <v>0</v>
      </c>
      <c r="P89" s="1">
        <v>1</v>
      </c>
      <c r="Q89" s="1">
        <v>1</v>
      </c>
      <c r="R89" s="1" t="b">
        <f t="shared" si="5"/>
        <v>1</v>
      </c>
      <c r="S89" s="2" t="s">
        <v>26</v>
      </c>
      <c r="T89" s="1" t="str">
        <f>IF(S89="","",VLOOKUP(S89,'Ontology and concepts per UC'!$F$2:$J$46,5,FALSE))</f>
        <v>Modelo Conceptual</v>
      </c>
      <c r="U89" s="1" t="b">
        <f t="array" ref="U89">(INDEX('Ontology and concepts per UC'!$G$2:$I$46,MATCH($S89,'Ontology and concepts per UC'!$F$2:$F$46,0),MATCH(LEFT($A89,3),'Ontology and concepts per UC'!$G$1:$I$1,0))=0)</f>
        <v>0</v>
      </c>
      <c r="V89" s="1" t="b">
        <f t="shared" si="6"/>
        <v>1</v>
      </c>
      <c r="W89" s="1" t="b">
        <v>1</v>
      </c>
      <c r="X89" s="1" t="b">
        <v>0</v>
      </c>
      <c r="Y89" s="1" t="b">
        <v>0</v>
      </c>
      <c r="Z89" s="1" t="b">
        <v>0</v>
      </c>
      <c r="AA89" s="1" t="s">
        <v>349</v>
      </c>
    </row>
    <row r="90" spans="1:27" x14ac:dyDescent="0.25">
      <c r="A90" s="1" t="s">
        <v>223</v>
      </c>
      <c r="B90" s="2" t="s">
        <v>352</v>
      </c>
      <c r="C90" s="2" t="s">
        <v>353</v>
      </c>
      <c r="D90" s="6">
        <f t="shared" si="0"/>
        <v>1</v>
      </c>
      <c r="E90" s="7" t="str">
        <f t="shared" si="1"/>
        <v>MutacionGenetica</v>
      </c>
      <c r="F90" s="8" t="b">
        <f>IF(D90&lt;1,FALSE,ISERROR(MATCH(E90,'Ontology and concepts per UC'!$A$2:$A$62,0)))</f>
        <v>1</v>
      </c>
      <c r="G90" s="9" t="str">
        <f t="shared" si="2"/>
        <v/>
      </c>
      <c r="H90" s="9" t="str">
        <f t="shared" si="3"/>
        <v/>
      </c>
      <c r="I90" s="8" t="b">
        <f>IF(D90&lt;2,FALSE,ISERROR(MATCH(H90,'Ontology and concepts per UC'!$A$2:$A$62,0)))</f>
        <v>0</v>
      </c>
      <c r="J90" s="9" t="str">
        <f t="shared" si="4"/>
        <v/>
      </c>
      <c r="K90" s="8" t="b">
        <f>IF(D90&lt;3,FALSE,ISERROR(MATCH(J90,'Ontology and concepts per UC'!$A$2:$A$62,0)))</f>
        <v>0</v>
      </c>
      <c r="L90" s="2"/>
      <c r="M90" s="2" t="s">
        <v>354</v>
      </c>
      <c r="N90" s="2"/>
      <c r="O90" s="1" t="b">
        <v>0</v>
      </c>
      <c r="P90" s="1">
        <v>1</v>
      </c>
      <c r="Q90" s="1">
        <v>2</v>
      </c>
      <c r="R90" s="1" t="b">
        <f t="shared" si="5"/>
        <v>0</v>
      </c>
      <c r="S90" s="2" t="s">
        <v>187</v>
      </c>
      <c r="T90" s="1" t="str">
        <f>IF(S90="","",VLOOKUP(S90,'Ontology and concepts per UC'!$F$2:$J$46,5,FALSE))</f>
        <v>Otros</v>
      </c>
      <c r="U90" s="1" t="b">
        <f t="array" ref="U90">(INDEX('Ontology and concepts per UC'!$G$2:$I$46,MATCH($S90,'Ontology and concepts per UC'!$F$2:$F$46,0),MATCH(LEFT($A90,3),'Ontology and concepts per UC'!$G$1:$I$1,0))=0)</f>
        <v>1</v>
      </c>
      <c r="V90" s="1" t="b">
        <f t="shared" si="6"/>
        <v>1</v>
      </c>
      <c r="W90" s="1" t="b">
        <v>1</v>
      </c>
      <c r="X90" s="1" t="b">
        <v>0</v>
      </c>
      <c r="Y90" s="1" t="b">
        <v>0</v>
      </c>
      <c r="Z90" s="1" t="b">
        <v>0</v>
      </c>
      <c r="AA90" s="1" t="s">
        <v>355</v>
      </c>
    </row>
    <row r="91" spans="1:27" x14ac:dyDescent="0.25">
      <c r="A91" s="1" t="s">
        <v>223</v>
      </c>
      <c r="B91" s="2" t="s">
        <v>356</v>
      </c>
      <c r="C91" s="2" t="s">
        <v>357</v>
      </c>
      <c r="D91" s="6">
        <f t="shared" si="0"/>
        <v>1</v>
      </c>
      <c r="E91" s="7" t="str">
        <f t="shared" si="1"/>
        <v>ParametroSeguimiento</v>
      </c>
      <c r="F91" s="8" t="b">
        <f>IF(D91&lt;1,FALSE,ISERROR(MATCH(E91,'Ontology and concepts per UC'!$A$2:$A$62,0)))</f>
        <v>1</v>
      </c>
      <c r="G91" s="9" t="str">
        <f t="shared" si="2"/>
        <v/>
      </c>
      <c r="H91" s="9" t="str">
        <f t="shared" si="3"/>
        <v/>
      </c>
      <c r="I91" s="8" t="b">
        <f>IF(D91&lt;2,FALSE,ISERROR(MATCH(H91,'Ontology and concepts per UC'!$A$2:$A$62,0)))</f>
        <v>0</v>
      </c>
      <c r="J91" s="9" t="str">
        <f t="shared" si="4"/>
        <v/>
      </c>
      <c r="K91" s="8" t="b">
        <f>IF(D91&lt;3,FALSE,ISERROR(MATCH(J91,'Ontology and concepts per UC'!$A$2:$A$62,0)))</f>
        <v>0</v>
      </c>
      <c r="L91" s="2"/>
      <c r="M91" s="2" t="s">
        <v>358</v>
      </c>
      <c r="N91" s="2"/>
      <c r="O91" s="1" t="b">
        <v>0</v>
      </c>
      <c r="P91" s="1">
        <v>1</v>
      </c>
      <c r="Q91" s="1">
        <v>0</v>
      </c>
      <c r="R91" s="1" t="b">
        <f t="shared" si="5"/>
        <v>0</v>
      </c>
      <c r="S91" s="2" t="s">
        <v>60</v>
      </c>
      <c r="T91" s="1" t="str">
        <f>IF(S91="","",VLOOKUP(S91,'Ontology and concepts per UC'!$F$2:$J$46,5,FALSE))</f>
        <v>Tratamiento/seguimiento</v>
      </c>
      <c r="U91" s="1" t="b">
        <f t="array" ref="U91">(INDEX('Ontology and concepts per UC'!$G$2:$I$46,MATCH($S91,'Ontology and concepts per UC'!$F$2:$F$46,0),MATCH(LEFT($A91,3),'Ontology and concepts per UC'!$G$1:$I$1,0))=0)</f>
        <v>0</v>
      </c>
      <c r="V91" s="1" t="b">
        <f t="shared" si="6"/>
        <v>1</v>
      </c>
      <c r="W91" s="1" t="b">
        <v>1</v>
      </c>
      <c r="X91" s="1" t="b">
        <v>0</v>
      </c>
      <c r="Y91" s="1" t="b">
        <v>0</v>
      </c>
      <c r="Z91" s="1" t="b">
        <v>0</v>
      </c>
      <c r="AA91" s="1" t="s">
        <v>359</v>
      </c>
    </row>
    <row r="92" spans="1:27" x14ac:dyDescent="0.25">
      <c r="A92" s="1" t="s">
        <v>223</v>
      </c>
      <c r="B92" s="2" t="s">
        <v>360</v>
      </c>
      <c r="C92" s="2" t="s">
        <v>361</v>
      </c>
      <c r="D92" s="6">
        <f t="shared" si="0"/>
        <v>1</v>
      </c>
      <c r="E92" s="7" t="str">
        <f t="shared" si="1"/>
        <v>ProtocoloIntervencion</v>
      </c>
      <c r="F92" s="8" t="b">
        <f>IF(D92&lt;1,FALSE,ISERROR(MATCH(E92,'Ontology and concepts per UC'!$A$2:$A$62,0)))</f>
        <v>1</v>
      </c>
      <c r="G92" s="9" t="str">
        <f t="shared" si="2"/>
        <v/>
      </c>
      <c r="H92" s="9" t="str">
        <f t="shared" si="3"/>
        <v/>
      </c>
      <c r="I92" s="8" t="b">
        <f>IF(D92&lt;2,FALSE,ISERROR(MATCH(H92,'Ontology and concepts per UC'!$A$2:$A$62,0)))</f>
        <v>0</v>
      </c>
      <c r="J92" s="9" t="str">
        <f t="shared" si="4"/>
        <v/>
      </c>
      <c r="K92" s="8" t="b">
        <f>IF(D92&lt;3,FALSE,ISERROR(MATCH(J92,'Ontology and concepts per UC'!$A$2:$A$62,0)))</f>
        <v>0</v>
      </c>
      <c r="L92" s="2"/>
      <c r="M92" s="2" t="s">
        <v>362</v>
      </c>
      <c r="N92" s="2"/>
      <c r="O92" s="1" t="b">
        <v>0</v>
      </c>
      <c r="P92" s="1">
        <v>1</v>
      </c>
      <c r="Q92" s="1">
        <v>0</v>
      </c>
      <c r="R92" s="1" t="b">
        <f t="shared" si="5"/>
        <v>1</v>
      </c>
      <c r="S92" s="2" t="s">
        <v>187</v>
      </c>
      <c r="T92" s="1" t="str">
        <f>IF(S92="","",VLOOKUP(S92,'Ontology and concepts per UC'!$F$2:$J$46,5,FALSE))</f>
        <v>Otros</v>
      </c>
      <c r="U92" s="1" t="b">
        <f t="array" ref="U92">(INDEX('Ontology and concepts per UC'!$G$2:$I$46,MATCH($S92,'Ontology and concepts per UC'!$F$2:$F$46,0),MATCH(LEFT($A92,3),'Ontology and concepts per UC'!$G$1:$I$1,0))=0)</f>
        <v>1</v>
      </c>
      <c r="V92" s="1" t="b">
        <f t="shared" si="6"/>
        <v>1</v>
      </c>
      <c r="W92" s="1" t="b">
        <v>1</v>
      </c>
      <c r="X92" s="1" t="b">
        <v>0</v>
      </c>
      <c r="Y92" s="1" t="b">
        <v>0</v>
      </c>
      <c r="Z92" s="1" t="b">
        <v>1</v>
      </c>
      <c r="AA92" s="1" t="s">
        <v>363</v>
      </c>
    </row>
    <row r="93" spans="1:27" x14ac:dyDescent="0.25">
      <c r="A93" s="1" t="s">
        <v>223</v>
      </c>
      <c r="B93" s="2" t="s">
        <v>364</v>
      </c>
      <c r="C93" s="2" t="s">
        <v>365</v>
      </c>
      <c r="D93" s="6">
        <f t="shared" si="0"/>
        <v>1</v>
      </c>
      <c r="E93" s="7" t="str">
        <f t="shared" si="1"/>
        <v>TemporalParameter</v>
      </c>
      <c r="F93" s="8" t="b">
        <f>IF(D93&lt;1,FALSE,ISERROR(MATCH(E93,'Ontology and concepts per UC'!$A$2:$A$62,0)))</f>
        <v>1</v>
      </c>
      <c r="G93" s="9" t="str">
        <f t="shared" si="2"/>
        <v/>
      </c>
      <c r="H93" s="9" t="str">
        <f t="shared" si="3"/>
        <v/>
      </c>
      <c r="I93" s="8" t="b">
        <f>IF(D93&lt;2,FALSE,ISERROR(MATCH(H93,'Ontology and concepts per UC'!$A$2:$A$62,0)))</f>
        <v>0</v>
      </c>
      <c r="J93" s="9" t="str">
        <f t="shared" si="4"/>
        <v/>
      </c>
      <c r="K93" s="8" t="b">
        <f>IF(D93&lt;3,FALSE,ISERROR(MATCH(J93,'Ontology and concepts per UC'!$A$2:$A$62,0)))</f>
        <v>0</v>
      </c>
      <c r="L93" s="2"/>
      <c r="M93" s="2" t="s">
        <v>366</v>
      </c>
      <c r="N93" s="2"/>
      <c r="O93" s="1" t="b">
        <v>0</v>
      </c>
      <c r="P93" s="1">
        <v>1</v>
      </c>
      <c r="Q93" s="1">
        <v>0</v>
      </c>
      <c r="R93" s="1" t="b">
        <f t="shared" si="5"/>
        <v>1</v>
      </c>
      <c r="S93" s="2" t="s">
        <v>367</v>
      </c>
      <c r="T93" s="1" t="str">
        <f>IF(S93="","",VLOOKUP(S93,'Ontology and concepts per UC'!$F$2:$J$46,5,FALSE))</f>
        <v>Parámetros de progresión</v>
      </c>
      <c r="U93" s="1" t="b">
        <f t="array" ref="U93">(INDEX('Ontology and concepts per UC'!$G$2:$I$46,MATCH($S93,'Ontology and concepts per UC'!$F$2:$F$46,0),MATCH(LEFT($A93,3),'Ontology and concepts per UC'!$G$1:$I$1,0))=0)</f>
        <v>0</v>
      </c>
      <c r="V93" s="1" t="b">
        <f t="shared" si="6"/>
        <v>1</v>
      </c>
      <c r="W93" s="1" t="b">
        <v>1</v>
      </c>
      <c r="X93" s="1" t="b">
        <v>0</v>
      </c>
      <c r="Y93" s="1" t="b">
        <v>0</v>
      </c>
      <c r="Z93" s="1" t="b">
        <v>0</v>
      </c>
      <c r="AA93" s="1" t="s">
        <v>368</v>
      </c>
    </row>
    <row r="94" spans="1:27" x14ac:dyDescent="0.25">
      <c r="A94" s="1" t="s">
        <v>223</v>
      </c>
      <c r="B94" s="2" t="s">
        <v>369</v>
      </c>
      <c r="C94" s="2" t="s">
        <v>365</v>
      </c>
      <c r="D94" s="6">
        <f t="shared" si="0"/>
        <v>1</v>
      </c>
      <c r="E94" s="7" t="str">
        <f t="shared" si="1"/>
        <v>TemporalParameter</v>
      </c>
      <c r="F94" s="8" t="b">
        <f>IF(D94&lt;1,FALSE,ISERROR(MATCH(E94,'Ontology and concepts per UC'!$A$2:$A$62,0)))</f>
        <v>1</v>
      </c>
      <c r="G94" s="9" t="str">
        <f t="shared" si="2"/>
        <v/>
      </c>
      <c r="H94" s="9" t="str">
        <f t="shared" si="3"/>
        <v/>
      </c>
      <c r="I94" s="8" t="b">
        <f>IF(D94&lt;2,FALSE,ISERROR(MATCH(H94,'Ontology and concepts per UC'!$A$2:$A$62,0)))</f>
        <v>0</v>
      </c>
      <c r="J94" s="9" t="str">
        <f t="shared" si="4"/>
        <v/>
      </c>
      <c r="K94" s="8" t="b">
        <f>IF(D94&lt;3,FALSE,ISERROR(MATCH(J94,'Ontology and concepts per UC'!$A$2:$A$62,0)))</f>
        <v>0</v>
      </c>
      <c r="L94" s="2"/>
      <c r="M94" s="2" t="s">
        <v>370</v>
      </c>
      <c r="N94" s="2"/>
      <c r="O94" s="1" t="b">
        <v>0</v>
      </c>
      <c r="P94" s="1">
        <v>1</v>
      </c>
      <c r="Q94" s="1">
        <v>0</v>
      </c>
      <c r="R94" s="1" t="b">
        <f t="shared" si="5"/>
        <v>1</v>
      </c>
      <c r="S94" s="2" t="s">
        <v>367</v>
      </c>
      <c r="T94" s="1" t="str">
        <f>IF(S94="","",VLOOKUP(S94,'Ontology and concepts per UC'!$F$2:$J$46,5,FALSE))</f>
        <v>Parámetros de progresión</v>
      </c>
      <c r="U94" s="1" t="b">
        <f t="array" ref="U94">(INDEX('Ontology and concepts per UC'!$G$2:$I$46,MATCH($S94,'Ontology and concepts per UC'!$F$2:$F$46,0),MATCH(LEFT($A94,3),'Ontology and concepts per UC'!$G$1:$I$1,0))=0)</f>
        <v>0</v>
      </c>
      <c r="V94" s="1" t="b">
        <f t="shared" si="6"/>
        <v>1</v>
      </c>
      <c r="W94" s="1" t="b">
        <v>1</v>
      </c>
      <c r="X94" s="1" t="b">
        <v>0</v>
      </c>
      <c r="Y94" s="1" t="b">
        <v>0</v>
      </c>
      <c r="Z94" s="1" t="b">
        <v>0</v>
      </c>
      <c r="AA94" s="1" t="s">
        <v>368</v>
      </c>
    </row>
    <row r="95" spans="1:27" x14ac:dyDescent="0.25">
      <c r="A95" s="1" t="s">
        <v>223</v>
      </c>
      <c r="B95" s="2" t="s">
        <v>371</v>
      </c>
      <c r="C95" s="2" t="s">
        <v>172</v>
      </c>
      <c r="D95" s="6">
        <f t="shared" si="0"/>
        <v>1</v>
      </c>
      <c r="E95" s="7" t="str">
        <f t="shared" si="1"/>
        <v>UtilityParameter</v>
      </c>
      <c r="F95" s="8" t="b">
        <f>IF(D95&lt;1,FALSE,ISERROR(MATCH(E95,'Ontology and concepts per UC'!$A$2:$A$62,0)))</f>
        <v>1</v>
      </c>
      <c r="G95" s="9" t="str">
        <f t="shared" si="2"/>
        <v/>
      </c>
      <c r="H95" s="9" t="str">
        <f t="shared" si="3"/>
        <v/>
      </c>
      <c r="I95" s="8" t="b">
        <f>IF(D95&lt;2,FALSE,ISERROR(MATCH(H95,'Ontology and concepts per UC'!$A$2:$A$62,0)))</f>
        <v>0</v>
      </c>
      <c r="J95" s="9" t="str">
        <f t="shared" si="4"/>
        <v/>
      </c>
      <c r="K95" s="8" t="b">
        <f>IF(D95&lt;3,FALSE,ISERROR(MATCH(J95,'Ontology and concepts per UC'!$A$2:$A$62,0)))</f>
        <v>0</v>
      </c>
      <c r="L95" s="2"/>
      <c r="M95" s="2" t="s">
        <v>372</v>
      </c>
      <c r="N95" s="2"/>
      <c r="O95" s="1" t="b">
        <v>0</v>
      </c>
      <c r="P95" s="1">
        <v>1</v>
      </c>
      <c r="Q95" s="1">
        <v>0</v>
      </c>
      <c r="R95" s="1" t="b">
        <f t="shared" si="5"/>
        <v>0</v>
      </c>
      <c r="S95" s="2" t="s">
        <v>20</v>
      </c>
      <c r="T95" s="1" t="str">
        <f>IF(S95="","",VLOOKUP(S95,'Ontology and concepts per UC'!$F$2:$J$46,5,FALSE))</f>
        <v>Modelo Conceptual</v>
      </c>
      <c r="U95" s="1" t="b">
        <f t="array" ref="U95">(INDEX('Ontology and concepts per UC'!$G$2:$I$46,MATCH($S95,'Ontology and concepts per UC'!$F$2:$F$46,0),MATCH(LEFT($A95,3),'Ontology and concepts per UC'!$G$1:$I$1,0))=0)</f>
        <v>0</v>
      </c>
      <c r="V95" s="1" t="b">
        <f t="shared" si="6"/>
        <v>1</v>
      </c>
      <c r="W95" s="1" t="b">
        <v>1</v>
      </c>
      <c r="X95" s="1" t="b">
        <v>0</v>
      </c>
      <c r="Y95" s="1" t="b">
        <v>0</v>
      </c>
      <c r="Z95" s="1" t="b">
        <v>0</v>
      </c>
      <c r="AA95" s="1" t="s">
        <v>175</v>
      </c>
    </row>
    <row r="96" spans="1:27" x14ac:dyDescent="0.25">
      <c r="A96" s="1" t="s">
        <v>223</v>
      </c>
      <c r="B96" s="2" t="s">
        <v>373</v>
      </c>
      <c r="C96" s="2" t="s">
        <v>374</v>
      </c>
      <c r="D96" s="6">
        <f t="shared" si="0"/>
        <v>2</v>
      </c>
      <c r="E96" s="7" t="str">
        <f t="shared" si="1"/>
        <v>UtilityParameter</v>
      </c>
      <c r="F96" s="8" t="b">
        <f>IF(D96&lt;1,FALSE,ISERROR(MATCH(E96,'Ontology and concepts per UC'!$A$2:$A$62,0)))</f>
        <v>1</v>
      </c>
      <c r="G96" s="9" t="str">
        <f t="shared" si="2"/>
        <v>DisutilityParameter</v>
      </c>
      <c r="H96" s="9" t="str">
        <f t="shared" si="3"/>
        <v>DisutilityParameter</v>
      </c>
      <c r="I96" s="8" t="b">
        <f>IF(D96&lt;2,FALSE,ISERROR(MATCH(H96,'Ontology and concepts per UC'!$A$2:$A$62,0)))</f>
        <v>1</v>
      </c>
      <c r="J96" s="9" t="str">
        <f t="shared" si="4"/>
        <v/>
      </c>
      <c r="K96" s="8" t="b">
        <f>IF(D96&lt;3,FALSE,ISERROR(MATCH(J96,'Ontology and concepts per UC'!$A$2:$A$62,0)))</f>
        <v>0</v>
      </c>
      <c r="L96" s="2"/>
      <c r="M96" s="2" t="s">
        <v>375</v>
      </c>
      <c r="N96" s="2"/>
      <c r="O96" s="1" t="b">
        <v>0</v>
      </c>
      <c r="P96" s="1">
        <v>2</v>
      </c>
      <c r="Q96" s="1">
        <v>0</v>
      </c>
      <c r="R96" s="1" t="b">
        <f t="shared" si="5"/>
        <v>1</v>
      </c>
      <c r="S96" s="2" t="s">
        <v>70</v>
      </c>
      <c r="T96" s="1" t="str">
        <f>IF(S96="","",VLOOKUP(S96,'Ontology and concepts per UC'!$F$2:$J$46,5,FALSE))</f>
        <v>Utilidad</v>
      </c>
      <c r="U96" s="1" t="b">
        <f t="array" ref="U96">(INDEX('Ontology and concepts per UC'!$G$2:$I$46,MATCH($S96,'Ontology and concepts per UC'!$F$2:$F$46,0),MATCH(LEFT($A96,3),'Ontology and concepts per UC'!$G$1:$I$1,0))=0)</f>
        <v>0</v>
      </c>
      <c r="V96" s="1" t="b">
        <f t="shared" si="6"/>
        <v>1</v>
      </c>
      <c r="W96" s="1" t="b">
        <v>1</v>
      </c>
      <c r="X96" s="1" t="b">
        <v>0</v>
      </c>
      <c r="Y96" s="1" t="b">
        <v>0</v>
      </c>
      <c r="Z96" s="1" t="b">
        <v>1</v>
      </c>
      <c r="AA96" s="1" t="s">
        <v>376</v>
      </c>
    </row>
    <row r="97" spans="1:27" x14ac:dyDescent="0.25">
      <c r="A97" s="1" t="s">
        <v>223</v>
      </c>
      <c r="B97" s="2" t="s">
        <v>377</v>
      </c>
      <c r="C97" s="2"/>
      <c r="D97" s="6">
        <f t="shared" si="0"/>
        <v>0</v>
      </c>
      <c r="E97" s="7">
        <f t="shared" si="1"/>
        <v>0</v>
      </c>
      <c r="F97" s="8" t="b">
        <f>IF(D97&lt;1,FALSE,ISERROR(MATCH(E97,'Ontology and concepts per UC'!$A$2:$A$62,0)))</f>
        <v>0</v>
      </c>
      <c r="G97" s="9" t="str">
        <f t="shared" si="2"/>
        <v/>
      </c>
      <c r="H97" s="9" t="str">
        <f t="shared" si="3"/>
        <v/>
      </c>
      <c r="I97" s="8" t="b">
        <f>IF(D97&lt;2,FALSE,ISERROR(MATCH(H97,'Ontology and concepts per UC'!$A$2:$A$62,0)))</f>
        <v>0</v>
      </c>
      <c r="J97" s="9" t="str">
        <f t="shared" si="4"/>
        <v/>
      </c>
      <c r="K97" s="8" t="b">
        <f>IF(D97&lt;3,FALSE,ISERROR(MATCH(J97,'Ontology and concepts per UC'!$A$2:$A$62,0)))</f>
        <v>0</v>
      </c>
      <c r="L97" s="2"/>
      <c r="M97" s="2"/>
      <c r="N97" s="2"/>
      <c r="O97" s="1" t="b">
        <v>1</v>
      </c>
      <c r="P97" s="1">
        <v>0</v>
      </c>
      <c r="Q97" s="1">
        <v>0</v>
      </c>
      <c r="R97" s="1" t="b">
        <f t="shared" si="5"/>
        <v>0</v>
      </c>
      <c r="S97" s="2" t="s">
        <v>107</v>
      </c>
      <c r="T97" s="1" t="str">
        <f>IF(S97="","",VLOOKUP(S97,'Ontology and concepts per UC'!$F$2:$J$46,5,FALSE))</f>
        <v>Parcial</v>
      </c>
      <c r="U97" s="1" t="b">
        <f t="array" ref="U97">(INDEX('Ontology and concepts per UC'!$G$2:$I$46,MATCH($S97,'Ontology and concepts per UC'!$F$2:$F$46,0),MATCH(LEFT($A97,3),'Ontology and concepts per UC'!$G$1:$I$1,0))=0)</f>
        <v>0</v>
      </c>
      <c r="V97" s="1" t="b">
        <f t="shared" si="6"/>
        <v>1</v>
      </c>
      <c r="W97" s="1" t="b">
        <v>1</v>
      </c>
      <c r="X97" s="1" t="b">
        <v>0</v>
      </c>
      <c r="Y97" s="1" t="b">
        <v>0</v>
      </c>
      <c r="Z97" s="1" t="b">
        <v>0</v>
      </c>
      <c r="AA97" s="1" t="s">
        <v>188</v>
      </c>
    </row>
    <row r="98" spans="1:27" x14ac:dyDescent="0.25">
      <c r="A98" s="1" t="s">
        <v>223</v>
      </c>
      <c r="B98" s="2" t="s">
        <v>378</v>
      </c>
      <c r="C98" s="2"/>
      <c r="D98" s="6">
        <f t="shared" si="0"/>
        <v>0</v>
      </c>
      <c r="E98" s="7">
        <f t="shared" si="1"/>
        <v>0</v>
      </c>
      <c r="F98" s="8" t="b">
        <f>IF(D98&lt;1,FALSE,ISERROR(MATCH(E98,'Ontology and concepts per UC'!$A$2:$A$62,0)))</f>
        <v>0</v>
      </c>
      <c r="G98" s="9" t="str">
        <f t="shared" si="2"/>
        <v/>
      </c>
      <c r="H98" s="9" t="str">
        <f t="shared" si="3"/>
        <v/>
      </c>
      <c r="I98" s="8" t="b">
        <f>IF(D98&lt;2,FALSE,ISERROR(MATCH(H98,'Ontology and concepts per UC'!$A$2:$A$62,0)))</f>
        <v>0</v>
      </c>
      <c r="J98" s="9" t="str">
        <f t="shared" si="4"/>
        <v/>
      </c>
      <c r="K98" s="8" t="b">
        <f>IF(D98&lt;3,FALSE,ISERROR(MATCH(J98,'Ontology and concepts per UC'!$A$2:$A$62,0)))</f>
        <v>0</v>
      </c>
      <c r="L98" s="2"/>
      <c r="M98" s="2"/>
      <c r="N98" s="2"/>
      <c r="O98" s="1" t="b">
        <v>1</v>
      </c>
      <c r="P98" s="1">
        <v>0</v>
      </c>
      <c r="Q98" s="1">
        <v>0</v>
      </c>
      <c r="R98" s="1" t="b">
        <f t="shared" si="5"/>
        <v>0</v>
      </c>
      <c r="S98" s="2" t="s">
        <v>187</v>
      </c>
      <c r="T98" s="1" t="str">
        <f>IF(S98="","",VLOOKUP(S98,'Ontology and concepts per UC'!$F$2:$J$46,5,FALSE))</f>
        <v>Otros</v>
      </c>
      <c r="U98" s="1" t="b">
        <f t="array" ref="U98">(INDEX('Ontology and concepts per UC'!$G$2:$I$46,MATCH($S98,'Ontology and concepts per UC'!$F$2:$F$46,0),MATCH(LEFT($A98,3),'Ontology and concepts per UC'!$G$1:$I$1,0))=0)</f>
        <v>1</v>
      </c>
      <c r="V98" s="1" t="b">
        <f t="shared" si="6"/>
        <v>1</v>
      </c>
      <c r="W98" s="1" t="b">
        <v>1</v>
      </c>
      <c r="X98" s="1" t="b">
        <v>0</v>
      </c>
      <c r="Y98" s="1" t="b">
        <v>0</v>
      </c>
      <c r="Z98" s="1" t="b">
        <v>0</v>
      </c>
      <c r="AA98" s="1" t="s">
        <v>188</v>
      </c>
    </row>
    <row r="99" spans="1:27" x14ac:dyDescent="0.25">
      <c r="A99" s="1" t="s">
        <v>379</v>
      </c>
      <c r="B99" s="2" t="s">
        <v>380</v>
      </c>
      <c r="C99" s="2" t="s">
        <v>192</v>
      </c>
      <c r="D99" s="6">
        <f t="shared" si="0"/>
        <v>1</v>
      </c>
      <c r="E99" s="7" t="str">
        <f t="shared" si="1"/>
        <v>AcuteManifestation</v>
      </c>
      <c r="F99" s="8" t="b">
        <f>IF(D99&lt;1,FALSE,ISERROR(MATCH(E99,'Ontology and concepts per UC'!$A$2:$A$62,0)))</f>
        <v>0</v>
      </c>
      <c r="G99" s="9" t="str">
        <f t="shared" si="2"/>
        <v/>
      </c>
      <c r="H99" s="9" t="str">
        <f t="shared" si="3"/>
        <v/>
      </c>
      <c r="I99" s="8" t="b">
        <f>IF(D99&lt;2,FALSE,ISERROR(MATCH(H99,'Ontology and concepts per UC'!$A$2:$A$62,0)))</f>
        <v>0</v>
      </c>
      <c r="J99" s="9" t="str">
        <f t="shared" si="4"/>
        <v/>
      </c>
      <c r="K99" s="8" t="b">
        <f>IF(D99&lt;3,FALSE,ISERROR(MATCH(J99,'Ontology and concepts per UC'!$A$2:$A$62,0)))</f>
        <v>0</v>
      </c>
      <c r="L99" s="2"/>
      <c r="M99" s="2" t="s">
        <v>381</v>
      </c>
      <c r="N99" s="2"/>
      <c r="O99" s="1" t="b">
        <v>0</v>
      </c>
      <c r="P99" s="1">
        <v>0</v>
      </c>
      <c r="Q99" s="1">
        <v>0</v>
      </c>
      <c r="R99" s="1" t="b">
        <f t="shared" si="5"/>
        <v>1</v>
      </c>
      <c r="S99" s="2" t="s">
        <v>325</v>
      </c>
      <c r="T99" s="1" t="str">
        <f>IF(S99="","",VLOOKUP(S99,'Ontology and concepts per UC'!$F$2:$J$46,5,FALSE))</f>
        <v>Modelo Conceptual</v>
      </c>
      <c r="U99" s="1" t="b">
        <f t="array" ref="U99">(INDEX('Ontology and concepts per UC'!$G$2:$I$46,MATCH($S99,'Ontology and concepts per UC'!$F$2:$F$46,0),MATCH(LEFT($A99,3),'Ontology and concepts per UC'!$G$1:$I$1,0))=0)</f>
        <v>0</v>
      </c>
      <c r="V99" s="1" t="b">
        <f t="shared" si="6"/>
        <v>0</v>
      </c>
      <c r="W99" s="1" t="b">
        <v>0</v>
      </c>
      <c r="X99" s="1" t="b">
        <v>0</v>
      </c>
      <c r="Y99" s="1" t="b">
        <v>0</v>
      </c>
      <c r="Z99" s="1" t="b">
        <v>0</v>
      </c>
      <c r="AA99" s="1"/>
    </row>
    <row r="100" spans="1:27" x14ac:dyDescent="0.25">
      <c r="A100" s="1" t="s">
        <v>379</v>
      </c>
      <c r="B100" s="2" t="s">
        <v>382</v>
      </c>
      <c r="C100" s="2" t="s">
        <v>192</v>
      </c>
      <c r="D100" s="6">
        <f t="shared" si="0"/>
        <v>1</v>
      </c>
      <c r="E100" s="7" t="str">
        <f t="shared" si="1"/>
        <v>AcuteManifestation</v>
      </c>
      <c r="F100" s="8" t="b">
        <f>IF(D100&lt;1,FALSE,ISERROR(MATCH(E100,'Ontology and concepts per UC'!$A$2:$A$62,0)))</f>
        <v>0</v>
      </c>
      <c r="G100" s="9" t="str">
        <f t="shared" si="2"/>
        <v/>
      </c>
      <c r="H100" s="9" t="str">
        <f t="shared" si="3"/>
        <v/>
      </c>
      <c r="I100" s="8" t="b">
        <f>IF(D100&lt;2,FALSE,ISERROR(MATCH(H100,'Ontology and concepts per UC'!$A$2:$A$62,0)))</f>
        <v>0</v>
      </c>
      <c r="J100" s="9" t="str">
        <f t="shared" si="4"/>
        <v/>
      </c>
      <c r="K100" s="8" t="b">
        <f>IF(D100&lt;3,FALSE,ISERROR(MATCH(J100,'Ontology and concepts per UC'!$A$2:$A$62,0)))</f>
        <v>0</v>
      </c>
      <c r="L100" s="2"/>
      <c r="M100" s="2" t="s">
        <v>383</v>
      </c>
      <c r="N100" s="2"/>
      <c r="O100" s="1" t="b">
        <v>0</v>
      </c>
      <c r="P100" s="1">
        <v>0</v>
      </c>
      <c r="Q100" s="1">
        <v>0</v>
      </c>
      <c r="R100" s="1" t="b">
        <f t="shared" si="5"/>
        <v>1</v>
      </c>
      <c r="S100" s="2" t="s">
        <v>325</v>
      </c>
      <c r="T100" s="1" t="str">
        <f>IF(S100="","",VLOOKUP(S100,'Ontology and concepts per UC'!$F$2:$J$46,5,FALSE))</f>
        <v>Modelo Conceptual</v>
      </c>
      <c r="U100" s="1" t="b">
        <f t="array" ref="U100">(INDEX('Ontology and concepts per UC'!$G$2:$I$46,MATCH($S100,'Ontology and concepts per UC'!$F$2:$F$46,0),MATCH(LEFT($A100,3),'Ontology and concepts per UC'!$G$1:$I$1,0))=0)</f>
        <v>0</v>
      </c>
      <c r="V100" s="1" t="b">
        <f t="shared" si="6"/>
        <v>0</v>
      </c>
      <c r="W100" s="1" t="b">
        <v>0</v>
      </c>
      <c r="X100" s="1" t="b">
        <v>0</v>
      </c>
      <c r="Y100" s="1" t="b">
        <v>0</v>
      </c>
      <c r="Z100" s="1" t="b">
        <v>0</v>
      </c>
      <c r="AA100" s="1"/>
    </row>
    <row r="101" spans="1:27" x14ac:dyDescent="0.25">
      <c r="A101" s="1" t="s">
        <v>379</v>
      </c>
      <c r="B101" s="2" t="s">
        <v>384</v>
      </c>
      <c r="C101" s="2" t="s">
        <v>192</v>
      </c>
      <c r="D101" s="6">
        <f t="shared" si="0"/>
        <v>1</v>
      </c>
      <c r="E101" s="7" t="str">
        <f t="shared" si="1"/>
        <v>AcuteManifestation</v>
      </c>
      <c r="F101" s="8" t="b">
        <f>IF(D101&lt;1,FALSE,ISERROR(MATCH(E101,'Ontology and concepts per UC'!$A$2:$A$62,0)))</f>
        <v>0</v>
      </c>
      <c r="G101" s="9" t="str">
        <f t="shared" si="2"/>
        <v/>
      </c>
      <c r="H101" s="9" t="str">
        <f t="shared" si="3"/>
        <v/>
      </c>
      <c r="I101" s="8" t="b">
        <f>IF(D101&lt;2,FALSE,ISERROR(MATCH(H101,'Ontology and concepts per UC'!$A$2:$A$62,0)))</f>
        <v>0</v>
      </c>
      <c r="J101" s="9" t="str">
        <f t="shared" si="4"/>
        <v/>
      </c>
      <c r="K101" s="8" t="b">
        <f>IF(D101&lt;3,FALSE,ISERROR(MATCH(J101,'Ontology and concepts per UC'!$A$2:$A$62,0)))</f>
        <v>0</v>
      </c>
      <c r="L101" s="2"/>
      <c r="M101" s="2" t="s">
        <v>385</v>
      </c>
      <c r="N101" s="2"/>
      <c r="O101" s="1" t="b">
        <v>0</v>
      </c>
      <c r="P101" s="1">
        <v>0</v>
      </c>
      <c r="Q101" s="1">
        <v>0</v>
      </c>
      <c r="R101" s="1" t="b">
        <f t="shared" si="5"/>
        <v>1</v>
      </c>
      <c r="S101" s="2" t="s">
        <v>325</v>
      </c>
      <c r="T101" s="1" t="str">
        <f>IF(S101="","",VLOOKUP(S101,'Ontology and concepts per UC'!$F$2:$J$46,5,FALSE))</f>
        <v>Modelo Conceptual</v>
      </c>
      <c r="U101" s="1" t="b">
        <f t="array" ref="U101">(INDEX('Ontology and concepts per UC'!$G$2:$I$46,MATCH($S101,'Ontology and concepts per UC'!$F$2:$F$46,0),MATCH(LEFT($A101,3),'Ontology and concepts per UC'!$G$1:$I$1,0))=0)</f>
        <v>0</v>
      </c>
      <c r="V101" s="1" t="b">
        <f t="shared" si="6"/>
        <v>0</v>
      </c>
      <c r="W101" s="1" t="b">
        <v>0</v>
      </c>
      <c r="X101" s="1" t="b">
        <v>0</v>
      </c>
      <c r="Y101" s="1" t="b">
        <v>0</v>
      </c>
      <c r="Z101" s="1" t="b">
        <v>0</v>
      </c>
      <c r="AA101" s="1"/>
    </row>
    <row r="102" spans="1:27" x14ac:dyDescent="0.25">
      <c r="A102" s="1" t="s">
        <v>379</v>
      </c>
      <c r="B102" s="2" t="s">
        <v>386</v>
      </c>
      <c r="C102" s="2" t="s">
        <v>192</v>
      </c>
      <c r="D102" s="6">
        <f t="shared" si="0"/>
        <v>1</v>
      </c>
      <c r="E102" s="7" t="str">
        <f t="shared" si="1"/>
        <v>AcuteManifestation</v>
      </c>
      <c r="F102" s="8" t="b">
        <f>IF(D102&lt;1,FALSE,ISERROR(MATCH(E102,'Ontology and concepts per UC'!$A$2:$A$62,0)))</f>
        <v>0</v>
      </c>
      <c r="G102" s="9" t="str">
        <f t="shared" si="2"/>
        <v/>
      </c>
      <c r="H102" s="9" t="str">
        <f t="shared" si="3"/>
        <v/>
      </c>
      <c r="I102" s="8" t="b">
        <f>IF(D102&lt;2,FALSE,ISERROR(MATCH(H102,'Ontology and concepts per UC'!$A$2:$A$62,0)))</f>
        <v>0</v>
      </c>
      <c r="J102" s="9" t="str">
        <f t="shared" si="4"/>
        <v/>
      </c>
      <c r="K102" s="8" t="b">
        <f>IF(D102&lt;3,FALSE,ISERROR(MATCH(J102,'Ontology and concepts per UC'!$A$2:$A$62,0)))</f>
        <v>0</v>
      </c>
      <c r="L102" s="2"/>
      <c r="M102" s="2" t="s">
        <v>387</v>
      </c>
      <c r="N102" s="2"/>
      <c r="O102" s="1" t="b">
        <v>0</v>
      </c>
      <c r="P102" s="1">
        <v>0</v>
      </c>
      <c r="Q102" s="1">
        <v>0</v>
      </c>
      <c r="R102" s="1" t="b">
        <f t="shared" si="5"/>
        <v>1</v>
      </c>
      <c r="S102" s="2" t="s">
        <v>325</v>
      </c>
      <c r="T102" s="1" t="str">
        <f>IF(S102="","",VLOOKUP(S102,'Ontology and concepts per UC'!$F$2:$J$46,5,FALSE))</f>
        <v>Modelo Conceptual</v>
      </c>
      <c r="U102" s="1" t="b">
        <f t="array" ref="U102">(INDEX('Ontology and concepts per UC'!$G$2:$I$46,MATCH($S102,'Ontology and concepts per UC'!$F$2:$F$46,0),MATCH(LEFT($A102,3),'Ontology and concepts per UC'!$G$1:$I$1,0))=0)</f>
        <v>0</v>
      </c>
      <c r="V102" s="1" t="b">
        <f t="shared" si="6"/>
        <v>0</v>
      </c>
      <c r="W102" s="1" t="b">
        <v>0</v>
      </c>
      <c r="X102" s="1" t="b">
        <v>0</v>
      </c>
      <c r="Y102" s="1" t="b">
        <v>0</v>
      </c>
      <c r="Z102" s="1" t="b">
        <v>0</v>
      </c>
      <c r="AA102" s="1"/>
    </row>
    <row r="103" spans="1:27" x14ac:dyDescent="0.25">
      <c r="A103" s="1" t="s">
        <v>379</v>
      </c>
      <c r="B103" s="2" t="s">
        <v>388</v>
      </c>
      <c r="C103" s="2" t="s">
        <v>192</v>
      </c>
      <c r="D103" s="6">
        <f t="shared" si="0"/>
        <v>1</v>
      </c>
      <c r="E103" s="7" t="str">
        <f t="shared" si="1"/>
        <v>AcuteManifestation</v>
      </c>
      <c r="F103" s="8" t="b">
        <f>IF(D103&lt;1,FALSE,ISERROR(MATCH(E103,'Ontology and concepts per UC'!$A$2:$A$62,0)))</f>
        <v>0</v>
      </c>
      <c r="G103" s="9" t="str">
        <f t="shared" si="2"/>
        <v/>
      </c>
      <c r="H103" s="9" t="str">
        <f t="shared" si="3"/>
        <v/>
      </c>
      <c r="I103" s="8" t="b">
        <f>IF(D103&lt;2,FALSE,ISERROR(MATCH(H103,'Ontology and concepts per UC'!$A$2:$A$62,0)))</f>
        <v>0</v>
      </c>
      <c r="J103" s="9" t="str">
        <f t="shared" si="4"/>
        <v/>
      </c>
      <c r="K103" s="8" t="b">
        <f>IF(D103&lt;3,FALSE,ISERROR(MATCH(J103,'Ontology and concepts per UC'!$A$2:$A$62,0)))</f>
        <v>0</v>
      </c>
      <c r="L103" s="2"/>
      <c r="M103" s="2" t="s">
        <v>389</v>
      </c>
      <c r="N103" s="2"/>
      <c r="O103" s="1" t="b">
        <v>0</v>
      </c>
      <c r="P103" s="1">
        <v>0</v>
      </c>
      <c r="Q103" s="1">
        <v>0</v>
      </c>
      <c r="R103" s="1" t="b">
        <f t="shared" si="5"/>
        <v>1</v>
      </c>
      <c r="S103" s="2" t="s">
        <v>325</v>
      </c>
      <c r="T103" s="1" t="str">
        <f>IF(S103="","",VLOOKUP(S103,'Ontology and concepts per UC'!$F$2:$J$46,5,FALSE))</f>
        <v>Modelo Conceptual</v>
      </c>
      <c r="U103" s="1" t="b">
        <f t="array" ref="U103">(INDEX('Ontology and concepts per UC'!$G$2:$I$46,MATCH($S103,'Ontology and concepts per UC'!$F$2:$F$46,0),MATCH(LEFT($A103,3),'Ontology and concepts per UC'!$G$1:$I$1,0))=0)</f>
        <v>0</v>
      </c>
      <c r="V103" s="1" t="b">
        <f t="shared" si="6"/>
        <v>0</v>
      </c>
      <c r="W103" s="1" t="b">
        <v>0</v>
      </c>
      <c r="X103" s="1" t="b">
        <v>0</v>
      </c>
      <c r="Y103" s="1" t="b">
        <v>0</v>
      </c>
      <c r="Z103" s="1" t="b">
        <v>0</v>
      </c>
      <c r="AA103" s="1"/>
    </row>
    <row r="104" spans="1:27" x14ac:dyDescent="0.25">
      <c r="A104" s="1" t="s">
        <v>379</v>
      </c>
      <c r="B104" s="2" t="s">
        <v>390</v>
      </c>
      <c r="C104" s="2" t="s">
        <v>192</v>
      </c>
      <c r="D104" s="6">
        <f t="shared" si="0"/>
        <v>1</v>
      </c>
      <c r="E104" s="7" t="str">
        <f t="shared" si="1"/>
        <v>AcuteManifestation</v>
      </c>
      <c r="F104" s="8" t="b">
        <f>IF(D104&lt;1,FALSE,ISERROR(MATCH(E104,'Ontology and concepts per UC'!$A$2:$A$62,0)))</f>
        <v>0</v>
      </c>
      <c r="G104" s="9" t="str">
        <f t="shared" si="2"/>
        <v/>
      </c>
      <c r="H104" s="9" t="str">
        <f t="shared" si="3"/>
        <v/>
      </c>
      <c r="I104" s="8" t="b">
        <f>IF(D104&lt;2,FALSE,ISERROR(MATCH(H104,'Ontology and concepts per UC'!$A$2:$A$62,0)))</f>
        <v>0</v>
      </c>
      <c r="J104" s="9" t="str">
        <f t="shared" si="4"/>
        <v/>
      </c>
      <c r="K104" s="8" t="b">
        <f>IF(D104&lt;3,FALSE,ISERROR(MATCH(J104,'Ontology and concepts per UC'!$A$2:$A$62,0)))</f>
        <v>0</v>
      </c>
      <c r="L104" s="2"/>
      <c r="M104" s="2" t="s">
        <v>391</v>
      </c>
      <c r="N104" s="2"/>
      <c r="O104" s="1" t="b">
        <v>0</v>
      </c>
      <c r="P104" s="1">
        <v>0</v>
      </c>
      <c r="Q104" s="1">
        <v>0</v>
      </c>
      <c r="R104" s="1" t="b">
        <f t="shared" si="5"/>
        <v>1</v>
      </c>
      <c r="S104" s="2" t="s">
        <v>17</v>
      </c>
      <c r="T104" s="1" t="str">
        <f>IF(S104="","",VLOOKUP(S104,'Ontology and concepts per UC'!$F$2:$J$46,5,FALSE))</f>
        <v>Modelo Conceptual</v>
      </c>
      <c r="U104" s="1" t="b">
        <f t="array" ref="U104">(INDEX('Ontology and concepts per UC'!$G$2:$I$46,MATCH($S104,'Ontology and concepts per UC'!$F$2:$F$46,0),MATCH(LEFT($A104,3),'Ontology and concepts per UC'!$G$1:$I$1,0))=0)</f>
        <v>0</v>
      </c>
      <c r="V104" s="1" t="b">
        <f t="shared" si="6"/>
        <v>0</v>
      </c>
      <c r="W104" s="1" t="b">
        <v>0</v>
      </c>
      <c r="X104" s="1" t="b">
        <v>0</v>
      </c>
      <c r="Y104" s="1" t="b">
        <v>0</v>
      </c>
      <c r="Z104" s="1" t="b">
        <v>0</v>
      </c>
      <c r="AA104" s="1"/>
    </row>
    <row r="105" spans="1:27" x14ac:dyDescent="0.25">
      <c r="A105" s="1" t="s">
        <v>379</v>
      </c>
      <c r="B105" s="2" t="s">
        <v>392</v>
      </c>
      <c r="C105" s="2" t="s">
        <v>192</v>
      </c>
      <c r="D105" s="6">
        <f t="shared" si="0"/>
        <v>1</v>
      </c>
      <c r="E105" s="7" t="str">
        <f t="shared" si="1"/>
        <v>AcuteManifestation</v>
      </c>
      <c r="F105" s="8" t="b">
        <f>IF(D105&lt;1,FALSE,ISERROR(MATCH(E105,'Ontology and concepts per UC'!$A$2:$A$62,0)))</f>
        <v>0</v>
      </c>
      <c r="G105" s="9" t="str">
        <f t="shared" si="2"/>
        <v/>
      </c>
      <c r="H105" s="9" t="str">
        <f t="shared" si="3"/>
        <v/>
      </c>
      <c r="I105" s="8" t="b">
        <f>IF(D105&lt;2,FALSE,ISERROR(MATCH(H105,'Ontology and concepts per UC'!$A$2:$A$62,0)))</f>
        <v>0</v>
      </c>
      <c r="J105" s="9" t="str">
        <f t="shared" si="4"/>
        <v/>
      </c>
      <c r="K105" s="8" t="b">
        <f>IF(D105&lt;3,FALSE,ISERROR(MATCH(J105,'Ontology and concepts per UC'!$A$2:$A$62,0)))</f>
        <v>0</v>
      </c>
      <c r="L105" s="2"/>
      <c r="M105" s="2" t="s">
        <v>393</v>
      </c>
      <c r="N105" s="2"/>
      <c r="O105" s="1" t="b">
        <v>0</v>
      </c>
      <c r="P105" s="1">
        <v>0</v>
      </c>
      <c r="Q105" s="1">
        <v>0</v>
      </c>
      <c r="R105" s="1" t="b">
        <f t="shared" si="5"/>
        <v>1</v>
      </c>
      <c r="S105" s="2" t="s">
        <v>325</v>
      </c>
      <c r="T105" s="1" t="str">
        <f>IF(S105="","",VLOOKUP(S105,'Ontology and concepts per UC'!$F$2:$J$46,5,FALSE))</f>
        <v>Modelo Conceptual</v>
      </c>
      <c r="U105" s="1" t="b">
        <f t="array" ref="U105">(INDEX('Ontology and concepts per UC'!$G$2:$I$46,MATCH($S105,'Ontology and concepts per UC'!$F$2:$F$46,0),MATCH(LEFT($A105,3),'Ontology and concepts per UC'!$G$1:$I$1,0))=0)</f>
        <v>0</v>
      </c>
      <c r="V105" s="1" t="b">
        <f t="shared" si="6"/>
        <v>0</v>
      </c>
      <c r="W105" s="1" t="b">
        <v>0</v>
      </c>
      <c r="X105" s="1" t="b">
        <v>0</v>
      </c>
      <c r="Y105" s="1" t="b">
        <v>0</v>
      </c>
      <c r="Z105" s="1" t="b">
        <v>0</v>
      </c>
      <c r="AA105" s="1"/>
    </row>
    <row r="106" spans="1:27" x14ac:dyDescent="0.25">
      <c r="A106" s="1" t="s">
        <v>379</v>
      </c>
      <c r="B106" s="2" t="s">
        <v>394</v>
      </c>
      <c r="C106" s="2" t="s">
        <v>192</v>
      </c>
      <c r="D106" s="6">
        <f t="shared" si="0"/>
        <v>1</v>
      </c>
      <c r="E106" s="7" t="str">
        <f t="shared" si="1"/>
        <v>AcuteManifestation</v>
      </c>
      <c r="F106" s="8" t="b">
        <f>IF(D106&lt;1,FALSE,ISERROR(MATCH(E106,'Ontology and concepts per UC'!$A$2:$A$62,0)))</f>
        <v>0</v>
      </c>
      <c r="G106" s="9" t="str">
        <f t="shared" si="2"/>
        <v/>
      </c>
      <c r="H106" s="9" t="str">
        <f t="shared" si="3"/>
        <v/>
      </c>
      <c r="I106" s="8" t="b">
        <f>IF(D106&lt;2,FALSE,ISERROR(MATCH(H106,'Ontology and concepts per UC'!$A$2:$A$62,0)))</f>
        <v>0</v>
      </c>
      <c r="J106" s="9" t="str">
        <f t="shared" si="4"/>
        <v/>
      </c>
      <c r="K106" s="8" t="b">
        <f>IF(D106&lt;3,FALSE,ISERROR(MATCH(J106,'Ontology and concepts per UC'!$A$2:$A$62,0)))</f>
        <v>0</v>
      </c>
      <c r="L106" s="2"/>
      <c r="M106" s="2" t="s">
        <v>395</v>
      </c>
      <c r="N106" s="2"/>
      <c r="O106" s="1" t="b">
        <v>0</v>
      </c>
      <c r="P106" s="1">
        <v>0</v>
      </c>
      <c r="Q106" s="1">
        <v>0</v>
      </c>
      <c r="R106" s="1" t="b">
        <f t="shared" si="5"/>
        <v>1</v>
      </c>
      <c r="S106" s="2" t="s">
        <v>28</v>
      </c>
      <c r="T106" s="1" t="str">
        <f>IF(S106="","",VLOOKUP(S106,'Ontology and concepts per UC'!$F$2:$J$46,5,FALSE))</f>
        <v>Modelo Conceptual</v>
      </c>
      <c r="U106" s="1" t="b">
        <f t="array" ref="U106">(INDEX('Ontology and concepts per UC'!$G$2:$I$46,MATCH($S106,'Ontology and concepts per UC'!$F$2:$F$46,0),MATCH(LEFT($A106,3),'Ontology and concepts per UC'!$G$1:$I$1,0))=0)</f>
        <v>0</v>
      </c>
      <c r="V106" s="1" t="b">
        <f t="shared" si="6"/>
        <v>0</v>
      </c>
      <c r="W106" s="1" t="b">
        <v>0</v>
      </c>
      <c r="X106" s="1" t="b">
        <v>0</v>
      </c>
      <c r="Y106" s="1" t="b">
        <v>0</v>
      </c>
      <c r="Z106" s="1" t="b">
        <v>0</v>
      </c>
      <c r="AA106" s="1"/>
    </row>
    <row r="107" spans="1:27" x14ac:dyDescent="0.25">
      <c r="A107" s="1" t="s">
        <v>379</v>
      </c>
      <c r="B107" s="2" t="s">
        <v>396</v>
      </c>
      <c r="C107" s="2" t="s">
        <v>192</v>
      </c>
      <c r="D107" s="6">
        <f t="shared" si="0"/>
        <v>1</v>
      </c>
      <c r="E107" s="7" t="str">
        <f t="shared" si="1"/>
        <v>AcuteManifestation</v>
      </c>
      <c r="F107" s="8" t="b">
        <f>IF(D107&lt;1,FALSE,ISERROR(MATCH(E107,'Ontology and concepts per UC'!$A$2:$A$62,0)))</f>
        <v>0</v>
      </c>
      <c r="G107" s="9" t="str">
        <f t="shared" si="2"/>
        <v/>
      </c>
      <c r="H107" s="9" t="str">
        <f t="shared" si="3"/>
        <v/>
      </c>
      <c r="I107" s="8" t="b">
        <f>IF(D107&lt;2,FALSE,ISERROR(MATCH(H107,'Ontology and concepts per UC'!$A$2:$A$62,0)))</f>
        <v>0</v>
      </c>
      <c r="J107" s="9" t="str">
        <f t="shared" si="4"/>
        <v/>
      </c>
      <c r="K107" s="8" t="b">
        <f>IF(D107&lt;3,FALSE,ISERROR(MATCH(J107,'Ontology and concepts per UC'!$A$2:$A$62,0)))</f>
        <v>0</v>
      </c>
      <c r="L107" s="2"/>
      <c r="M107" s="2" t="s">
        <v>397</v>
      </c>
      <c r="N107" s="2"/>
      <c r="O107" s="1" t="b">
        <v>0</v>
      </c>
      <c r="P107" s="1">
        <v>0</v>
      </c>
      <c r="Q107" s="1">
        <v>0</v>
      </c>
      <c r="R107" s="1" t="b">
        <f t="shared" si="5"/>
        <v>1</v>
      </c>
      <c r="S107" s="2" t="s">
        <v>325</v>
      </c>
      <c r="T107" s="1" t="str">
        <f>IF(S107="","",VLOOKUP(S107,'Ontology and concepts per UC'!$F$2:$J$46,5,FALSE))</f>
        <v>Modelo Conceptual</v>
      </c>
      <c r="U107" s="1" t="b">
        <f t="array" ref="U107">(INDEX('Ontology and concepts per UC'!$G$2:$I$46,MATCH($S107,'Ontology and concepts per UC'!$F$2:$F$46,0),MATCH(LEFT($A107,3),'Ontology and concepts per UC'!$G$1:$I$1,0))=0)</f>
        <v>0</v>
      </c>
      <c r="V107" s="1" t="b">
        <f t="shared" si="6"/>
        <v>0</v>
      </c>
      <c r="W107" s="1" t="b">
        <v>0</v>
      </c>
      <c r="X107" s="1" t="b">
        <v>0</v>
      </c>
      <c r="Y107" s="1" t="b">
        <v>0</v>
      </c>
      <c r="Z107" s="1" t="b">
        <v>0</v>
      </c>
      <c r="AA107" s="1"/>
    </row>
    <row r="108" spans="1:27" x14ac:dyDescent="0.25">
      <c r="A108" s="1" t="s">
        <v>379</v>
      </c>
      <c r="B108" s="2" t="s">
        <v>398</v>
      </c>
      <c r="C108" s="2" t="s">
        <v>192</v>
      </c>
      <c r="D108" s="6">
        <f t="shared" si="0"/>
        <v>1</v>
      </c>
      <c r="E108" s="7" t="str">
        <f t="shared" si="1"/>
        <v>AcuteManifestation</v>
      </c>
      <c r="F108" s="8" t="b">
        <f>IF(D108&lt;1,FALSE,ISERROR(MATCH(E108,'Ontology and concepts per UC'!$A$2:$A$62,0)))</f>
        <v>0</v>
      </c>
      <c r="G108" s="9" t="str">
        <f t="shared" si="2"/>
        <v/>
      </c>
      <c r="H108" s="9" t="str">
        <f t="shared" si="3"/>
        <v/>
      </c>
      <c r="I108" s="8" t="b">
        <f>IF(D108&lt;2,FALSE,ISERROR(MATCH(H108,'Ontology and concepts per UC'!$A$2:$A$62,0)))</f>
        <v>0</v>
      </c>
      <c r="J108" s="9" t="str">
        <f t="shared" si="4"/>
        <v/>
      </c>
      <c r="K108" s="8" t="b">
        <f>IF(D108&lt;3,FALSE,ISERROR(MATCH(J108,'Ontology and concepts per UC'!$A$2:$A$62,0)))</f>
        <v>0</v>
      </c>
      <c r="L108" s="2"/>
      <c r="M108" s="2" t="s">
        <v>399</v>
      </c>
      <c r="N108" s="2"/>
      <c r="O108" s="1" t="b">
        <v>0</v>
      </c>
      <c r="P108" s="1">
        <v>0</v>
      </c>
      <c r="Q108" s="1">
        <v>0</v>
      </c>
      <c r="R108" s="1" t="b">
        <f t="shared" si="5"/>
        <v>1</v>
      </c>
      <c r="S108" s="2" t="s">
        <v>30</v>
      </c>
      <c r="T108" s="1" t="str">
        <f>IF(S108="","",VLOOKUP(S108,'Ontology and concepts per UC'!$F$2:$J$46,5,FALSE))</f>
        <v>Modelo Conceptual</v>
      </c>
      <c r="U108" s="1" t="b">
        <f t="array" ref="U108">(INDEX('Ontology and concepts per UC'!$G$2:$I$46,MATCH($S108,'Ontology and concepts per UC'!$F$2:$F$46,0),MATCH(LEFT($A108,3),'Ontology and concepts per UC'!$G$1:$I$1,0))=0)</f>
        <v>0</v>
      </c>
      <c r="V108" s="1" t="b">
        <f t="shared" si="6"/>
        <v>0</v>
      </c>
      <c r="W108" s="1" t="b">
        <v>0</v>
      </c>
      <c r="X108" s="1" t="b">
        <v>0</v>
      </c>
      <c r="Y108" s="1" t="b">
        <v>0</v>
      </c>
      <c r="Z108" s="1" t="b">
        <v>0</v>
      </c>
      <c r="AA108" s="1"/>
    </row>
    <row r="109" spans="1:27" x14ac:dyDescent="0.25">
      <c r="A109" s="1" t="s">
        <v>379</v>
      </c>
      <c r="B109" s="2" t="s">
        <v>400</v>
      </c>
      <c r="C109" s="2" t="s">
        <v>192</v>
      </c>
      <c r="D109" s="6">
        <f t="shared" si="0"/>
        <v>1</v>
      </c>
      <c r="E109" s="7" t="str">
        <f t="shared" si="1"/>
        <v>AcuteManifestation</v>
      </c>
      <c r="F109" s="8" t="b">
        <f>IF(D109&lt;1,FALSE,ISERROR(MATCH(E109,'Ontology and concepts per UC'!$A$2:$A$62,0)))</f>
        <v>0</v>
      </c>
      <c r="G109" s="9" t="str">
        <f t="shared" si="2"/>
        <v/>
      </c>
      <c r="H109" s="9" t="str">
        <f t="shared" si="3"/>
        <v/>
      </c>
      <c r="I109" s="8" t="b">
        <f>IF(D109&lt;2,FALSE,ISERROR(MATCH(H109,'Ontology and concepts per UC'!$A$2:$A$62,0)))</f>
        <v>0</v>
      </c>
      <c r="J109" s="9" t="str">
        <f t="shared" si="4"/>
        <v/>
      </c>
      <c r="K109" s="8" t="b">
        <f>IF(D109&lt;3,FALSE,ISERROR(MATCH(J109,'Ontology and concepts per UC'!$A$2:$A$62,0)))</f>
        <v>0</v>
      </c>
      <c r="L109" s="2"/>
      <c r="M109" s="2" t="s">
        <v>401</v>
      </c>
      <c r="N109" s="2"/>
      <c r="O109" s="1" t="b">
        <v>0</v>
      </c>
      <c r="P109" s="1">
        <v>0</v>
      </c>
      <c r="Q109" s="1">
        <v>0</v>
      </c>
      <c r="R109" s="1" t="b">
        <f t="shared" si="5"/>
        <v>1</v>
      </c>
      <c r="S109" s="2" t="s">
        <v>31</v>
      </c>
      <c r="T109" s="1" t="str">
        <f>IF(S109="","",VLOOKUP(S109,'Ontology and concepts per UC'!$F$2:$J$46,5,FALSE))</f>
        <v>Modelo Conceptual</v>
      </c>
      <c r="U109" s="1" t="b">
        <f t="array" ref="U109">(INDEX('Ontology and concepts per UC'!$G$2:$I$46,MATCH($S109,'Ontology and concepts per UC'!$F$2:$F$46,0),MATCH(LEFT($A109,3),'Ontology and concepts per UC'!$G$1:$I$1,0))=0)</f>
        <v>0</v>
      </c>
      <c r="V109" s="1" t="b">
        <f t="shared" si="6"/>
        <v>0</v>
      </c>
      <c r="W109" s="1" t="b">
        <v>0</v>
      </c>
      <c r="X109" s="1" t="b">
        <v>0</v>
      </c>
      <c r="Y109" s="1" t="b">
        <v>0</v>
      </c>
      <c r="Z109" s="1" t="b">
        <v>0</v>
      </c>
      <c r="AA109" s="1"/>
    </row>
    <row r="110" spans="1:27" x14ac:dyDescent="0.25">
      <c r="A110" s="1" t="s">
        <v>379</v>
      </c>
      <c r="B110" s="2" t="s">
        <v>402</v>
      </c>
      <c r="C110" s="2" t="s">
        <v>192</v>
      </c>
      <c r="D110" s="6">
        <f t="shared" si="0"/>
        <v>1</v>
      </c>
      <c r="E110" s="7" t="str">
        <f t="shared" si="1"/>
        <v>AcuteManifestation</v>
      </c>
      <c r="F110" s="8" t="b">
        <f>IF(D110&lt;1,FALSE,ISERROR(MATCH(E110,'Ontology and concepts per UC'!$A$2:$A$62,0)))</f>
        <v>0</v>
      </c>
      <c r="G110" s="9" t="str">
        <f t="shared" si="2"/>
        <v/>
      </c>
      <c r="H110" s="9" t="str">
        <f t="shared" si="3"/>
        <v/>
      </c>
      <c r="I110" s="8" t="b">
        <f>IF(D110&lt;2,FALSE,ISERROR(MATCH(H110,'Ontology and concepts per UC'!$A$2:$A$62,0)))</f>
        <v>0</v>
      </c>
      <c r="J110" s="9" t="str">
        <f t="shared" si="4"/>
        <v/>
      </c>
      <c r="K110" s="8" t="b">
        <f>IF(D110&lt;3,FALSE,ISERROR(MATCH(J110,'Ontology and concepts per UC'!$A$2:$A$62,0)))</f>
        <v>0</v>
      </c>
      <c r="L110" s="2"/>
      <c r="M110" s="2" t="s">
        <v>403</v>
      </c>
      <c r="N110" s="2"/>
      <c r="O110" s="1" t="b">
        <v>0</v>
      </c>
      <c r="P110" s="1">
        <v>0</v>
      </c>
      <c r="Q110" s="1">
        <v>0</v>
      </c>
      <c r="R110" s="1" t="b">
        <f t="shared" si="5"/>
        <v>1</v>
      </c>
      <c r="S110" s="2" t="s">
        <v>325</v>
      </c>
      <c r="T110" s="1" t="str">
        <f>IF(S110="","",VLOOKUP(S110,'Ontology and concepts per UC'!$F$2:$J$46,5,FALSE))</f>
        <v>Modelo Conceptual</v>
      </c>
      <c r="U110" s="1" t="b">
        <f t="array" ref="U110">(INDEX('Ontology and concepts per UC'!$G$2:$I$46,MATCH($S110,'Ontology and concepts per UC'!$F$2:$F$46,0),MATCH(LEFT($A110,3),'Ontology and concepts per UC'!$G$1:$I$1,0))=0)</f>
        <v>0</v>
      </c>
      <c r="V110" s="1" t="b">
        <f t="shared" si="6"/>
        <v>0</v>
      </c>
      <c r="W110" s="1" t="b">
        <v>0</v>
      </c>
      <c r="X110" s="1" t="b">
        <v>0</v>
      </c>
      <c r="Y110" s="1" t="b">
        <v>0</v>
      </c>
      <c r="Z110" s="1" t="b">
        <v>0</v>
      </c>
      <c r="AA110" s="1"/>
    </row>
    <row r="111" spans="1:27" x14ac:dyDescent="0.25">
      <c r="A111" s="1" t="s">
        <v>379</v>
      </c>
      <c r="B111" s="2" t="s">
        <v>404</v>
      </c>
      <c r="C111" s="2" t="s">
        <v>27</v>
      </c>
      <c r="D111" s="6">
        <f t="shared" si="0"/>
        <v>1</v>
      </c>
      <c r="E111" s="7" t="str">
        <f t="shared" si="1"/>
        <v>ChronicManifestation</v>
      </c>
      <c r="F111" s="8" t="b">
        <f>IF(D111&lt;1,FALSE,ISERROR(MATCH(E111,'Ontology and concepts per UC'!$A$2:$A$62,0)))</f>
        <v>0</v>
      </c>
      <c r="G111" s="9" t="str">
        <f t="shared" si="2"/>
        <v/>
      </c>
      <c r="H111" s="9" t="str">
        <f t="shared" si="3"/>
        <v/>
      </c>
      <c r="I111" s="8" t="b">
        <f>IF(D111&lt;2,FALSE,ISERROR(MATCH(H111,'Ontology and concepts per UC'!$A$2:$A$62,0)))</f>
        <v>0</v>
      </c>
      <c r="J111" s="9" t="str">
        <f t="shared" si="4"/>
        <v/>
      </c>
      <c r="K111" s="8" t="b">
        <f>IF(D111&lt;3,FALSE,ISERROR(MATCH(J111,'Ontology and concepts per UC'!$A$2:$A$62,0)))</f>
        <v>0</v>
      </c>
      <c r="L111" s="2"/>
      <c r="M111" s="2" t="s">
        <v>405</v>
      </c>
      <c r="N111" s="2"/>
      <c r="O111" s="1" t="b">
        <v>0</v>
      </c>
      <c r="P111" s="1">
        <v>0</v>
      </c>
      <c r="Q111" s="1">
        <v>0</v>
      </c>
      <c r="R111" s="1" t="b">
        <f t="shared" si="5"/>
        <v>1</v>
      </c>
      <c r="S111" s="2" t="s">
        <v>29</v>
      </c>
      <c r="T111" s="1" t="str">
        <f>IF(S111="","",VLOOKUP(S111,'Ontology and concepts per UC'!$F$2:$J$46,5,FALSE))</f>
        <v>Modelo Conceptual</v>
      </c>
      <c r="U111" s="1" t="b">
        <f t="array" ref="U111">(INDEX('Ontology and concepts per UC'!$G$2:$I$46,MATCH($S111,'Ontology and concepts per UC'!$F$2:$F$46,0),MATCH(LEFT($A111,3),'Ontology and concepts per UC'!$G$1:$I$1,0))=0)</f>
        <v>0</v>
      </c>
      <c r="V111" s="1" t="b">
        <f t="shared" si="6"/>
        <v>0</v>
      </c>
      <c r="W111" s="1" t="b">
        <v>0</v>
      </c>
      <c r="X111" s="1" t="b">
        <v>0</v>
      </c>
      <c r="Y111" s="1" t="b">
        <v>0</v>
      </c>
      <c r="Z111" s="1" t="b">
        <v>0</v>
      </c>
      <c r="AA111" s="1"/>
    </row>
    <row r="112" spans="1:27" x14ac:dyDescent="0.25">
      <c r="A112" s="1" t="s">
        <v>379</v>
      </c>
      <c r="B112" s="2" t="s">
        <v>406</v>
      </c>
      <c r="C112" s="2" t="s">
        <v>27</v>
      </c>
      <c r="D112" s="6">
        <f t="shared" si="0"/>
        <v>1</v>
      </c>
      <c r="E112" s="7" t="str">
        <f t="shared" si="1"/>
        <v>ChronicManifestation</v>
      </c>
      <c r="F112" s="8" t="b">
        <f>IF(D112&lt;1,FALSE,ISERROR(MATCH(E112,'Ontology and concepts per UC'!$A$2:$A$62,0)))</f>
        <v>0</v>
      </c>
      <c r="G112" s="9" t="str">
        <f t="shared" si="2"/>
        <v/>
      </c>
      <c r="H112" s="9" t="str">
        <f t="shared" si="3"/>
        <v/>
      </c>
      <c r="I112" s="8" t="b">
        <f>IF(D112&lt;2,FALSE,ISERROR(MATCH(H112,'Ontology and concepts per UC'!$A$2:$A$62,0)))</f>
        <v>0</v>
      </c>
      <c r="J112" s="9" t="str">
        <f t="shared" si="4"/>
        <v/>
      </c>
      <c r="K112" s="8" t="b">
        <f>IF(D112&lt;3,FALSE,ISERROR(MATCH(J112,'Ontology and concepts per UC'!$A$2:$A$62,0)))</f>
        <v>0</v>
      </c>
      <c r="L112" s="2"/>
      <c r="M112" s="2" t="s">
        <v>407</v>
      </c>
      <c r="N112" s="2"/>
      <c r="O112" s="1" t="b">
        <v>0</v>
      </c>
      <c r="P112" s="1">
        <v>0</v>
      </c>
      <c r="Q112" s="1">
        <v>0</v>
      </c>
      <c r="R112" s="1" t="b">
        <f t="shared" si="5"/>
        <v>1</v>
      </c>
      <c r="S112" s="2" t="s">
        <v>29</v>
      </c>
      <c r="T112" s="1" t="str">
        <f>IF(S112="","",VLOOKUP(S112,'Ontology and concepts per UC'!$F$2:$J$46,5,FALSE))</f>
        <v>Modelo Conceptual</v>
      </c>
      <c r="U112" s="1" t="b">
        <f t="array" ref="U112">(INDEX('Ontology and concepts per UC'!$G$2:$I$46,MATCH($S112,'Ontology and concepts per UC'!$F$2:$F$46,0),MATCH(LEFT($A112,3),'Ontology and concepts per UC'!$G$1:$I$1,0))=0)</f>
        <v>0</v>
      </c>
      <c r="V112" s="1" t="b">
        <f t="shared" si="6"/>
        <v>0</v>
      </c>
      <c r="W112" s="1" t="b">
        <v>0</v>
      </c>
      <c r="X112" s="1" t="b">
        <v>0</v>
      </c>
      <c r="Y112" s="1" t="b">
        <v>0</v>
      </c>
      <c r="Z112" s="1" t="b">
        <v>0</v>
      </c>
      <c r="AA112" s="1"/>
    </row>
    <row r="113" spans="1:27" x14ac:dyDescent="0.25">
      <c r="A113" s="1" t="s">
        <v>379</v>
      </c>
      <c r="B113" s="2" t="s">
        <v>408</v>
      </c>
      <c r="C113" s="2" t="s">
        <v>27</v>
      </c>
      <c r="D113" s="6">
        <f t="shared" si="0"/>
        <v>1</v>
      </c>
      <c r="E113" s="7" t="str">
        <f t="shared" si="1"/>
        <v>ChronicManifestation</v>
      </c>
      <c r="F113" s="8" t="b">
        <f>IF(D113&lt;1,FALSE,ISERROR(MATCH(E113,'Ontology and concepts per UC'!$A$2:$A$62,0)))</f>
        <v>0</v>
      </c>
      <c r="G113" s="9" t="str">
        <f t="shared" si="2"/>
        <v/>
      </c>
      <c r="H113" s="9" t="str">
        <f t="shared" si="3"/>
        <v/>
      </c>
      <c r="I113" s="8" t="b">
        <f>IF(D113&lt;2,FALSE,ISERROR(MATCH(H113,'Ontology and concepts per UC'!$A$2:$A$62,0)))</f>
        <v>0</v>
      </c>
      <c r="J113" s="9" t="str">
        <f t="shared" si="4"/>
        <v/>
      </c>
      <c r="K113" s="8" t="b">
        <f>IF(D113&lt;3,FALSE,ISERROR(MATCH(J113,'Ontology and concepts per UC'!$A$2:$A$62,0)))</f>
        <v>0</v>
      </c>
      <c r="L113" s="2"/>
      <c r="M113" s="2" t="s">
        <v>409</v>
      </c>
      <c r="N113" s="2"/>
      <c r="O113" s="1" t="b">
        <v>0</v>
      </c>
      <c r="P113" s="1">
        <v>0</v>
      </c>
      <c r="Q113" s="1">
        <v>0</v>
      </c>
      <c r="R113" s="1" t="b">
        <f t="shared" si="5"/>
        <v>1</v>
      </c>
      <c r="S113" s="2" t="s">
        <v>29</v>
      </c>
      <c r="T113" s="1" t="str">
        <f>IF(S113="","",VLOOKUP(S113,'Ontology and concepts per UC'!$F$2:$J$46,5,FALSE))</f>
        <v>Modelo Conceptual</v>
      </c>
      <c r="U113" s="1" t="b">
        <f t="array" ref="U113">(INDEX('Ontology and concepts per UC'!$G$2:$I$46,MATCH($S113,'Ontology and concepts per UC'!$F$2:$F$46,0),MATCH(LEFT($A113,3),'Ontology and concepts per UC'!$G$1:$I$1,0))=0)</f>
        <v>0</v>
      </c>
      <c r="V113" s="1" t="b">
        <f t="shared" si="6"/>
        <v>0</v>
      </c>
      <c r="W113" s="1" t="b">
        <v>0</v>
      </c>
      <c r="X113" s="1" t="b">
        <v>0</v>
      </c>
      <c r="Y113" s="1" t="b">
        <v>0</v>
      </c>
      <c r="Z113" s="1" t="b">
        <v>0</v>
      </c>
      <c r="AA113" s="1"/>
    </row>
    <row r="114" spans="1:27" x14ac:dyDescent="0.25">
      <c r="A114" s="1" t="s">
        <v>379</v>
      </c>
      <c r="B114" s="2" t="s">
        <v>410</v>
      </c>
      <c r="C114" s="2" t="s">
        <v>27</v>
      </c>
      <c r="D114" s="6">
        <f t="shared" si="0"/>
        <v>1</v>
      </c>
      <c r="E114" s="7" t="str">
        <f t="shared" si="1"/>
        <v>ChronicManifestation</v>
      </c>
      <c r="F114" s="8" t="b">
        <f>IF(D114&lt;1,FALSE,ISERROR(MATCH(E114,'Ontology and concepts per UC'!$A$2:$A$62,0)))</f>
        <v>0</v>
      </c>
      <c r="G114" s="9" t="str">
        <f t="shared" si="2"/>
        <v/>
      </c>
      <c r="H114" s="9" t="str">
        <f t="shared" si="3"/>
        <v/>
      </c>
      <c r="I114" s="8" t="b">
        <f>IF(D114&lt;2,FALSE,ISERROR(MATCH(H114,'Ontology and concepts per UC'!$A$2:$A$62,0)))</f>
        <v>0</v>
      </c>
      <c r="J114" s="9" t="str">
        <f t="shared" si="4"/>
        <v/>
      </c>
      <c r="K114" s="8" t="b">
        <f>IF(D114&lt;3,FALSE,ISERROR(MATCH(J114,'Ontology and concepts per UC'!$A$2:$A$62,0)))</f>
        <v>0</v>
      </c>
      <c r="L114" s="2"/>
      <c r="M114" s="2" t="s">
        <v>411</v>
      </c>
      <c r="N114" s="2"/>
      <c r="O114" s="1" t="b">
        <v>0</v>
      </c>
      <c r="P114" s="1">
        <v>0</v>
      </c>
      <c r="Q114" s="1">
        <v>0</v>
      </c>
      <c r="R114" s="1" t="b">
        <f t="shared" si="5"/>
        <v>1</v>
      </c>
      <c r="S114" s="2" t="s">
        <v>325</v>
      </c>
      <c r="T114" s="1" t="str">
        <f>IF(S114="","",VLOOKUP(S114,'Ontology and concepts per UC'!$F$2:$J$46,5,FALSE))</f>
        <v>Modelo Conceptual</v>
      </c>
      <c r="U114" s="1" t="b">
        <f t="array" ref="U114">(INDEX('Ontology and concepts per UC'!$G$2:$I$46,MATCH($S114,'Ontology and concepts per UC'!$F$2:$F$46,0),MATCH(LEFT($A114,3),'Ontology and concepts per UC'!$G$1:$I$1,0))=0)</f>
        <v>0</v>
      </c>
      <c r="V114" s="1" t="b">
        <f t="shared" si="6"/>
        <v>0</v>
      </c>
      <c r="W114" s="1" t="b">
        <v>0</v>
      </c>
      <c r="X114" s="1" t="b">
        <v>0</v>
      </c>
      <c r="Y114" s="1" t="b">
        <v>0</v>
      </c>
      <c r="Z114" s="1" t="b">
        <v>0</v>
      </c>
      <c r="AA114" s="1"/>
    </row>
    <row r="115" spans="1:27" x14ac:dyDescent="0.25">
      <c r="A115" s="1" t="s">
        <v>379</v>
      </c>
      <c r="B115" s="2" t="s">
        <v>412</v>
      </c>
      <c r="C115" s="2" t="s">
        <v>27</v>
      </c>
      <c r="D115" s="6">
        <f t="shared" si="0"/>
        <v>1</v>
      </c>
      <c r="E115" s="7" t="str">
        <f t="shared" si="1"/>
        <v>ChronicManifestation</v>
      </c>
      <c r="F115" s="8" t="b">
        <f>IF(D115&lt;1,FALSE,ISERROR(MATCH(E115,'Ontology and concepts per UC'!$A$2:$A$62,0)))</f>
        <v>0</v>
      </c>
      <c r="G115" s="9" t="str">
        <f t="shared" si="2"/>
        <v/>
      </c>
      <c r="H115" s="9" t="str">
        <f t="shared" si="3"/>
        <v/>
      </c>
      <c r="I115" s="8" t="b">
        <f>IF(D115&lt;2,FALSE,ISERROR(MATCH(H115,'Ontology and concepts per UC'!$A$2:$A$62,0)))</f>
        <v>0</v>
      </c>
      <c r="J115" s="9" t="str">
        <f t="shared" si="4"/>
        <v/>
      </c>
      <c r="K115" s="8" t="b">
        <f>IF(D115&lt;3,FALSE,ISERROR(MATCH(J115,'Ontology and concepts per UC'!$A$2:$A$62,0)))</f>
        <v>0</v>
      </c>
      <c r="L115" s="2"/>
      <c r="M115" s="2" t="s">
        <v>413</v>
      </c>
      <c r="N115" s="2"/>
      <c r="O115" s="1" t="b">
        <v>0</v>
      </c>
      <c r="P115" s="1">
        <v>0</v>
      </c>
      <c r="Q115" s="1">
        <v>0</v>
      </c>
      <c r="R115" s="1" t="b">
        <f t="shared" si="5"/>
        <v>1</v>
      </c>
      <c r="S115" s="2" t="s">
        <v>325</v>
      </c>
      <c r="T115" s="1" t="str">
        <f>IF(S115="","",VLOOKUP(S115,'Ontology and concepts per UC'!$F$2:$J$46,5,FALSE))</f>
        <v>Modelo Conceptual</v>
      </c>
      <c r="U115" s="1" t="b">
        <f t="array" ref="U115">(INDEX('Ontology and concepts per UC'!$G$2:$I$46,MATCH($S115,'Ontology and concepts per UC'!$F$2:$F$46,0),MATCH(LEFT($A115,3),'Ontology and concepts per UC'!$G$1:$I$1,0))=0)</f>
        <v>0</v>
      </c>
      <c r="V115" s="1" t="b">
        <f t="shared" si="6"/>
        <v>0</v>
      </c>
      <c r="W115" s="1" t="b">
        <v>0</v>
      </c>
      <c r="X115" s="1" t="b">
        <v>0</v>
      </c>
      <c r="Y115" s="1" t="b">
        <v>0</v>
      </c>
      <c r="Z115" s="1" t="b">
        <v>0</v>
      </c>
      <c r="AA115" s="1"/>
    </row>
    <row r="116" spans="1:27" x14ac:dyDescent="0.25">
      <c r="A116" s="1" t="s">
        <v>379</v>
      </c>
      <c r="B116" s="2" t="s">
        <v>414</v>
      </c>
      <c r="C116" s="2" t="s">
        <v>27</v>
      </c>
      <c r="D116" s="6">
        <f t="shared" si="0"/>
        <v>1</v>
      </c>
      <c r="E116" s="7" t="str">
        <f t="shared" si="1"/>
        <v>ChronicManifestation</v>
      </c>
      <c r="F116" s="8" t="b">
        <f>IF(D116&lt;1,FALSE,ISERROR(MATCH(E116,'Ontology and concepts per UC'!$A$2:$A$62,0)))</f>
        <v>0</v>
      </c>
      <c r="G116" s="9" t="str">
        <f t="shared" si="2"/>
        <v/>
      </c>
      <c r="H116" s="9" t="str">
        <f t="shared" si="3"/>
        <v/>
      </c>
      <c r="I116" s="8" t="b">
        <f>IF(D116&lt;2,FALSE,ISERROR(MATCH(H116,'Ontology and concepts per UC'!$A$2:$A$62,0)))</f>
        <v>0</v>
      </c>
      <c r="J116" s="9" t="str">
        <f t="shared" si="4"/>
        <v/>
      </c>
      <c r="K116" s="8" t="b">
        <f>IF(D116&lt;3,FALSE,ISERROR(MATCH(J116,'Ontology and concepts per UC'!$A$2:$A$62,0)))</f>
        <v>0</v>
      </c>
      <c r="L116" s="2"/>
      <c r="M116" s="2" t="s">
        <v>415</v>
      </c>
      <c r="N116" s="2"/>
      <c r="O116" s="1" t="b">
        <v>0</v>
      </c>
      <c r="P116" s="1">
        <v>0</v>
      </c>
      <c r="Q116" s="1">
        <v>0</v>
      </c>
      <c r="R116" s="1" t="b">
        <f t="shared" si="5"/>
        <v>1</v>
      </c>
      <c r="S116" s="2" t="s">
        <v>32</v>
      </c>
      <c r="T116" s="1" t="str">
        <f>IF(S116="","",VLOOKUP(S116,'Ontology and concepts per UC'!$F$2:$J$46,5,FALSE))</f>
        <v>Modelo Conceptual</v>
      </c>
      <c r="U116" s="1" t="b">
        <f t="array" ref="U116">(INDEX('Ontology and concepts per UC'!$G$2:$I$46,MATCH($S116,'Ontology and concepts per UC'!$F$2:$F$46,0),MATCH(LEFT($A116,3),'Ontology and concepts per UC'!$G$1:$I$1,0))=0)</f>
        <v>0</v>
      </c>
      <c r="V116" s="1" t="b">
        <f t="shared" si="6"/>
        <v>0</v>
      </c>
      <c r="W116" s="1" t="b">
        <v>0</v>
      </c>
      <c r="X116" s="1" t="b">
        <v>0</v>
      </c>
      <c r="Y116" s="1" t="b">
        <v>0</v>
      </c>
      <c r="Z116" s="1" t="b">
        <v>0</v>
      </c>
      <c r="AA116" s="1"/>
    </row>
    <row r="117" spans="1:27" x14ac:dyDescent="0.25">
      <c r="A117" s="1" t="s">
        <v>379</v>
      </c>
      <c r="B117" s="2" t="s">
        <v>416</v>
      </c>
      <c r="C117" s="2" t="s">
        <v>27</v>
      </c>
      <c r="D117" s="6">
        <f t="shared" si="0"/>
        <v>1</v>
      </c>
      <c r="E117" s="7" t="str">
        <f t="shared" si="1"/>
        <v>ChronicManifestation</v>
      </c>
      <c r="F117" s="8" t="b">
        <f>IF(D117&lt;1,FALSE,ISERROR(MATCH(E117,'Ontology and concepts per UC'!$A$2:$A$62,0)))</f>
        <v>0</v>
      </c>
      <c r="G117" s="9" t="str">
        <f t="shared" si="2"/>
        <v/>
      </c>
      <c r="H117" s="9" t="str">
        <f t="shared" si="3"/>
        <v/>
      </c>
      <c r="I117" s="8" t="b">
        <f>IF(D117&lt;2,FALSE,ISERROR(MATCH(H117,'Ontology and concepts per UC'!$A$2:$A$62,0)))</f>
        <v>0</v>
      </c>
      <c r="J117" s="9" t="str">
        <f t="shared" si="4"/>
        <v/>
      </c>
      <c r="K117" s="8" t="b">
        <f>IF(D117&lt;3,FALSE,ISERROR(MATCH(J117,'Ontology and concepts per UC'!$A$2:$A$62,0)))</f>
        <v>0</v>
      </c>
      <c r="L117" s="2"/>
      <c r="M117" s="2" t="s">
        <v>417</v>
      </c>
      <c r="N117" s="2"/>
      <c r="O117" s="1" t="b">
        <v>0</v>
      </c>
      <c r="P117" s="1">
        <v>0</v>
      </c>
      <c r="Q117" s="1">
        <v>0</v>
      </c>
      <c r="R117" s="1" t="b">
        <f t="shared" si="5"/>
        <v>1</v>
      </c>
      <c r="S117" s="2" t="s">
        <v>26</v>
      </c>
      <c r="T117" s="1" t="str">
        <f>IF(S117="","",VLOOKUP(S117,'Ontology and concepts per UC'!$F$2:$J$46,5,FALSE))</f>
        <v>Modelo Conceptual</v>
      </c>
      <c r="U117" s="1" t="b">
        <f t="array" ref="U117">(INDEX('Ontology and concepts per UC'!$G$2:$I$46,MATCH($S117,'Ontology and concepts per UC'!$F$2:$F$46,0),MATCH(LEFT($A117,3),'Ontology and concepts per UC'!$G$1:$I$1,0))=0)</f>
        <v>0</v>
      </c>
      <c r="V117" s="1" t="b">
        <f t="shared" si="6"/>
        <v>0</v>
      </c>
      <c r="W117" s="1" t="b">
        <v>0</v>
      </c>
      <c r="X117" s="1" t="b">
        <v>0</v>
      </c>
      <c r="Y117" s="1" t="b">
        <v>0</v>
      </c>
      <c r="Z117" s="1" t="b">
        <v>0</v>
      </c>
      <c r="AA117" s="1"/>
    </row>
    <row r="118" spans="1:27" x14ac:dyDescent="0.25">
      <c r="A118" s="1" t="s">
        <v>379</v>
      </c>
      <c r="B118" s="2" t="s">
        <v>418</v>
      </c>
      <c r="C118" s="2" t="s">
        <v>27</v>
      </c>
      <c r="D118" s="6">
        <f t="shared" si="0"/>
        <v>1</v>
      </c>
      <c r="E118" s="7" t="str">
        <f t="shared" si="1"/>
        <v>ChronicManifestation</v>
      </c>
      <c r="F118" s="8" t="b">
        <f>IF(D118&lt;1,FALSE,ISERROR(MATCH(E118,'Ontology and concepts per UC'!$A$2:$A$62,0)))</f>
        <v>0</v>
      </c>
      <c r="G118" s="9" t="str">
        <f t="shared" si="2"/>
        <v/>
      </c>
      <c r="H118" s="9" t="str">
        <f t="shared" si="3"/>
        <v/>
      </c>
      <c r="I118" s="8" t="b">
        <f>IF(D118&lt;2,FALSE,ISERROR(MATCH(H118,'Ontology and concepts per UC'!$A$2:$A$62,0)))</f>
        <v>0</v>
      </c>
      <c r="J118" s="9" t="str">
        <f t="shared" si="4"/>
        <v/>
      </c>
      <c r="K118" s="8" t="b">
        <f>IF(D118&lt;3,FALSE,ISERROR(MATCH(J118,'Ontology and concepts per UC'!$A$2:$A$62,0)))</f>
        <v>0</v>
      </c>
      <c r="L118" s="2"/>
      <c r="M118" s="2" t="s">
        <v>419</v>
      </c>
      <c r="N118" s="2"/>
      <c r="O118" s="1" t="b">
        <v>0</v>
      </c>
      <c r="P118" s="1">
        <v>0</v>
      </c>
      <c r="Q118" s="1">
        <v>0</v>
      </c>
      <c r="R118" s="1" t="b">
        <f t="shared" si="5"/>
        <v>1</v>
      </c>
      <c r="S118" s="2" t="s">
        <v>325</v>
      </c>
      <c r="T118" s="1" t="str">
        <f>IF(S118="","",VLOOKUP(S118,'Ontology and concepts per UC'!$F$2:$J$46,5,FALSE))</f>
        <v>Modelo Conceptual</v>
      </c>
      <c r="U118" s="1" t="b">
        <f t="array" ref="U118">(INDEX('Ontology and concepts per UC'!$G$2:$I$46,MATCH($S118,'Ontology and concepts per UC'!$F$2:$F$46,0),MATCH(LEFT($A118,3),'Ontology and concepts per UC'!$G$1:$I$1,0))=0)</f>
        <v>0</v>
      </c>
      <c r="V118" s="1" t="b">
        <f t="shared" si="6"/>
        <v>0</v>
      </c>
      <c r="W118" s="1" t="b">
        <v>0</v>
      </c>
      <c r="X118" s="1" t="b">
        <v>0</v>
      </c>
      <c r="Y118" s="1" t="b">
        <v>0</v>
      </c>
      <c r="Z118" s="1" t="b">
        <v>0</v>
      </c>
      <c r="AA118" s="1"/>
    </row>
    <row r="119" spans="1:27" x14ac:dyDescent="0.25">
      <c r="A119" s="1" t="s">
        <v>379</v>
      </c>
      <c r="B119" s="2" t="s">
        <v>420</v>
      </c>
      <c r="C119" s="2" t="s">
        <v>27</v>
      </c>
      <c r="D119" s="6">
        <f t="shared" si="0"/>
        <v>1</v>
      </c>
      <c r="E119" s="7" t="str">
        <f t="shared" si="1"/>
        <v>ChronicManifestation</v>
      </c>
      <c r="F119" s="8" t="b">
        <f>IF(D119&lt;1,FALSE,ISERROR(MATCH(E119,'Ontology and concepts per UC'!$A$2:$A$62,0)))</f>
        <v>0</v>
      </c>
      <c r="G119" s="9" t="str">
        <f t="shared" si="2"/>
        <v/>
      </c>
      <c r="H119" s="9" t="str">
        <f t="shared" si="3"/>
        <v/>
      </c>
      <c r="I119" s="8" t="b">
        <f>IF(D119&lt;2,FALSE,ISERROR(MATCH(H119,'Ontology and concepts per UC'!$A$2:$A$62,0)))</f>
        <v>0</v>
      </c>
      <c r="J119" s="9" t="str">
        <f t="shared" si="4"/>
        <v/>
      </c>
      <c r="K119" s="8" t="b">
        <f>IF(D119&lt;3,FALSE,ISERROR(MATCH(J119,'Ontology and concepts per UC'!$A$2:$A$62,0)))</f>
        <v>0</v>
      </c>
      <c r="L119" s="2"/>
      <c r="M119" s="2" t="s">
        <v>421</v>
      </c>
      <c r="N119" s="2"/>
      <c r="O119" s="1" t="b">
        <v>0</v>
      </c>
      <c r="P119" s="1">
        <v>0</v>
      </c>
      <c r="Q119" s="1">
        <v>0</v>
      </c>
      <c r="R119" s="1" t="b">
        <f t="shared" si="5"/>
        <v>1</v>
      </c>
      <c r="S119" s="2" t="s">
        <v>32</v>
      </c>
      <c r="T119" s="1" t="str">
        <f>IF(S119="","",VLOOKUP(S119,'Ontology and concepts per UC'!$F$2:$J$46,5,FALSE))</f>
        <v>Modelo Conceptual</v>
      </c>
      <c r="U119" s="1" t="b">
        <f t="array" ref="U119">(INDEX('Ontology and concepts per UC'!$G$2:$I$46,MATCH($S119,'Ontology and concepts per UC'!$F$2:$F$46,0),MATCH(LEFT($A119,3),'Ontology and concepts per UC'!$G$1:$I$1,0))=0)</f>
        <v>0</v>
      </c>
      <c r="V119" s="1" t="b">
        <f t="shared" si="6"/>
        <v>0</v>
      </c>
      <c r="W119" s="1" t="b">
        <v>0</v>
      </c>
      <c r="X119" s="1" t="b">
        <v>0</v>
      </c>
      <c r="Y119" s="1" t="b">
        <v>0</v>
      </c>
      <c r="Z119" s="1" t="b">
        <v>0</v>
      </c>
      <c r="AA119" s="1"/>
    </row>
    <row r="120" spans="1:27" x14ac:dyDescent="0.25">
      <c r="A120" s="1" t="s">
        <v>379</v>
      </c>
      <c r="B120" s="2" t="s">
        <v>422</v>
      </c>
      <c r="C120" s="2" t="s">
        <v>27</v>
      </c>
      <c r="D120" s="6">
        <f t="shared" si="0"/>
        <v>1</v>
      </c>
      <c r="E120" s="7" t="str">
        <f t="shared" si="1"/>
        <v>ChronicManifestation</v>
      </c>
      <c r="F120" s="8" t="b">
        <f>IF(D120&lt;1,FALSE,ISERROR(MATCH(E120,'Ontology and concepts per UC'!$A$2:$A$62,0)))</f>
        <v>0</v>
      </c>
      <c r="G120" s="9" t="str">
        <f t="shared" si="2"/>
        <v/>
      </c>
      <c r="H120" s="9" t="str">
        <f t="shared" si="3"/>
        <v/>
      </c>
      <c r="I120" s="8" t="b">
        <f>IF(D120&lt;2,FALSE,ISERROR(MATCH(H120,'Ontology and concepts per UC'!$A$2:$A$62,0)))</f>
        <v>0</v>
      </c>
      <c r="J120" s="9" t="str">
        <f t="shared" si="4"/>
        <v/>
      </c>
      <c r="K120" s="8" t="b">
        <f>IF(D120&lt;3,FALSE,ISERROR(MATCH(J120,'Ontology and concepts per UC'!$A$2:$A$62,0)))</f>
        <v>0</v>
      </c>
      <c r="L120" s="2"/>
      <c r="M120" s="2" t="s">
        <v>423</v>
      </c>
      <c r="N120" s="2"/>
      <c r="O120" s="1" t="b">
        <v>0</v>
      </c>
      <c r="P120" s="1">
        <v>0</v>
      </c>
      <c r="Q120" s="1">
        <v>0</v>
      </c>
      <c r="R120" s="1" t="b">
        <f t="shared" si="5"/>
        <v>1</v>
      </c>
      <c r="S120" s="2" t="s">
        <v>325</v>
      </c>
      <c r="T120" s="1" t="str">
        <f>IF(S120="","",VLOOKUP(S120,'Ontology and concepts per UC'!$F$2:$J$46,5,FALSE))</f>
        <v>Modelo Conceptual</v>
      </c>
      <c r="U120" s="1" t="b">
        <f t="array" ref="U120">(INDEX('Ontology and concepts per UC'!$G$2:$I$46,MATCH($S120,'Ontology and concepts per UC'!$F$2:$F$46,0),MATCH(LEFT($A120,3),'Ontology and concepts per UC'!$G$1:$I$1,0))=0)</f>
        <v>0</v>
      </c>
      <c r="V120" s="1" t="b">
        <f t="shared" si="6"/>
        <v>0</v>
      </c>
      <c r="W120" s="1" t="b">
        <v>0</v>
      </c>
      <c r="X120" s="1" t="b">
        <v>0</v>
      </c>
      <c r="Y120" s="1" t="b">
        <v>0</v>
      </c>
      <c r="Z120" s="1" t="b">
        <v>0</v>
      </c>
      <c r="AA120" s="1"/>
    </row>
    <row r="121" spans="1:27" x14ac:dyDescent="0.25">
      <c r="A121" s="1" t="s">
        <v>379</v>
      </c>
      <c r="B121" s="2" t="s">
        <v>424</v>
      </c>
      <c r="C121" s="2" t="s">
        <v>425</v>
      </c>
      <c r="D121" s="6">
        <f t="shared" si="0"/>
        <v>1</v>
      </c>
      <c r="E121" s="7" t="str">
        <f t="shared" si="1"/>
        <v>DiagnosticIntervention</v>
      </c>
      <c r="F121" s="8" t="b">
        <f>IF(D121&lt;1,FALSE,ISERROR(MATCH(E121,'Ontology and concepts per UC'!$A$2:$A$62,0)))</f>
        <v>1</v>
      </c>
      <c r="G121" s="9" t="str">
        <f t="shared" si="2"/>
        <v/>
      </c>
      <c r="H121" s="9" t="str">
        <f t="shared" si="3"/>
        <v/>
      </c>
      <c r="I121" s="8" t="b">
        <f>IF(D121&lt;2,FALSE,ISERROR(MATCH(H121,'Ontology and concepts per UC'!$A$2:$A$62,0)))</f>
        <v>0</v>
      </c>
      <c r="J121" s="9" t="str">
        <f t="shared" si="4"/>
        <v/>
      </c>
      <c r="K121" s="8" t="b">
        <f>IF(D121&lt;3,FALSE,ISERROR(MATCH(J121,'Ontology and concepts per UC'!$A$2:$A$62,0)))</f>
        <v>0</v>
      </c>
      <c r="L121" s="2" t="s">
        <v>426</v>
      </c>
      <c r="M121" s="2" t="s">
        <v>427</v>
      </c>
      <c r="N121" s="2"/>
      <c r="O121" s="1" t="b">
        <v>0</v>
      </c>
      <c r="P121" s="1">
        <v>1</v>
      </c>
      <c r="Q121" s="1">
        <v>1</v>
      </c>
      <c r="R121" s="1" t="b">
        <f t="shared" si="5"/>
        <v>1</v>
      </c>
      <c r="S121" s="2" t="s">
        <v>42</v>
      </c>
      <c r="T121" s="1" t="str">
        <f>IF(S121="","",VLOOKUP(S121,'Ontology and concepts per UC'!$F$2:$J$46,5,FALSE))</f>
        <v>Parámetros de intervención</v>
      </c>
      <c r="U121" s="1" t="b">
        <f t="array" ref="U121">(INDEX('Ontology and concepts per UC'!$G$2:$I$46,MATCH($S121,'Ontology and concepts per UC'!$F$2:$F$46,0),MATCH(LEFT($A121,3),'Ontology and concepts per UC'!$G$1:$I$1,0))=0)</f>
        <v>0</v>
      </c>
      <c r="V121" s="1" t="b">
        <f t="shared" si="6"/>
        <v>1</v>
      </c>
      <c r="W121" s="1" t="b">
        <v>1</v>
      </c>
      <c r="X121" s="1" t="b">
        <v>0</v>
      </c>
      <c r="Y121" s="1" t="b">
        <v>0</v>
      </c>
      <c r="Z121" s="1" t="b">
        <v>1</v>
      </c>
      <c r="AA121" s="1" t="s">
        <v>428</v>
      </c>
    </row>
    <row r="122" spans="1:27" x14ac:dyDescent="0.25">
      <c r="A122" s="1" t="s">
        <v>379</v>
      </c>
      <c r="B122" s="2" t="s">
        <v>429</v>
      </c>
      <c r="C122" s="2" t="s">
        <v>425</v>
      </c>
      <c r="D122" s="6">
        <f t="shared" si="0"/>
        <v>1</v>
      </c>
      <c r="E122" s="7" t="str">
        <f t="shared" si="1"/>
        <v>DiagnosticIntervention</v>
      </c>
      <c r="F122" s="8" t="b">
        <f>IF(D122&lt;1,FALSE,ISERROR(MATCH(E122,'Ontology and concepts per UC'!$A$2:$A$62,0)))</f>
        <v>1</v>
      </c>
      <c r="G122" s="9" t="str">
        <f t="shared" si="2"/>
        <v/>
      </c>
      <c r="H122" s="9" t="str">
        <f t="shared" si="3"/>
        <v/>
      </c>
      <c r="I122" s="8" t="b">
        <f>IF(D122&lt;2,FALSE,ISERROR(MATCH(H122,'Ontology and concepts per UC'!$A$2:$A$62,0)))</f>
        <v>0</v>
      </c>
      <c r="J122" s="9" t="str">
        <f t="shared" si="4"/>
        <v/>
      </c>
      <c r="K122" s="8" t="b">
        <f>IF(D122&lt;3,FALSE,ISERROR(MATCH(J122,'Ontology and concepts per UC'!$A$2:$A$62,0)))</f>
        <v>0</v>
      </c>
      <c r="L122" s="2" t="s">
        <v>426</v>
      </c>
      <c r="M122" s="2" t="s">
        <v>430</v>
      </c>
      <c r="N122" s="2"/>
      <c r="O122" s="1" t="b">
        <v>0</v>
      </c>
      <c r="P122" s="1">
        <v>1</v>
      </c>
      <c r="Q122" s="1">
        <v>1</v>
      </c>
      <c r="R122" s="1" t="b">
        <f t="shared" si="5"/>
        <v>1</v>
      </c>
      <c r="S122" s="2" t="s">
        <v>42</v>
      </c>
      <c r="T122" s="1" t="str">
        <f>IF(S122="","",VLOOKUP(S122,'Ontology and concepts per UC'!$F$2:$J$46,5,FALSE))</f>
        <v>Parámetros de intervención</v>
      </c>
      <c r="U122" s="1" t="b">
        <f t="array" ref="U122">(INDEX('Ontology and concepts per UC'!$G$2:$I$46,MATCH($S122,'Ontology and concepts per UC'!$F$2:$F$46,0),MATCH(LEFT($A122,3),'Ontology and concepts per UC'!$G$1:$I$1,0))=0)</f>
        <v>0</v>
      </c>
      <c r="V122" s="1" t="b">
        <f t="shared" si="6"/>
        <v>1</v>
      </c>
      <c r="W122" s="1" t="b">
        <v>1</v>
      </c>
      <c r="X122" s="1" t="b">
        <v>0</v>
      </c>
      <c r="Y122" s="1" t="b">
        <v>0</v>
      </c>
      <c r="Z122" s="1" t="b">
        <v>1</v>
      </c>
      <c r="AA122" s="1" t="s">
        <v>428</v>
      </c>
    </row>
    <row r="123" spans="1:27" x14ac:dyDescent="0.25">
      <c r="A123" s="1" t="s">
        <v>379</v>
      </c>
      <c r="B123" s="2" t="s">
        <v>431</v>
      </c>
      <c r="C123" s="2" t="s">
        <v>208</v>
      </c>
      <c r="D123" s="6">
        <f t="shared" si="0"/>
        <v>1</v>
      </c>
      <c r="E123" s="7" t="str">
        <f t="shared" si="1"/>
        <v>EpidemiologicalParameter</v>
      </c>
      <c r="F123" s="8" t="b">
        <f>IF(D123&lt;1,FALSE,ISERROR(MATCH(E123,'Ontology and concepts per UC'!$A$2:$A$62,0)))</f>
        <v>0</v>
      </c>
      <c r="G123" s="9" t="str">
        <f t="shared" si="2"/>
        <v/>
      </c>
      <c r="H123" s="9" t="str">
        <f t="shared" si="3"/>
        <v/>
      </c>
      <c r="I123" s="8" t="b">
        <f>IF(D123&lt;2,FALSE,ISERROR(MATCH(H123,'Ontology and concepts per UC'!$A$2:$A$62,0)))</f>
        <v>0</v>
      </c>
      <c r="J123" s="9" t="str">
        <f t="shared" si="4"/>
        <v/>
      </c>
      <c r="K123" s="8" t="b">
        <f>IF(D123&lt;3,FALSE,ISERROR(MATCH(J123,'Ontology and concepts per UC'!$A$2:$A$62,0)))</f>
        <v>0</v>
      </c>
      <c r="L123" s="2" t="s">
        <v>432</v>
      </c>
      <c r="M123" s="2" t="s">
        <v>433</v>
      </c>
      <c r="N123" s="2"/>
      <c r="O123" s="1" t="b">
        <v>0</v>
      </c>
      <c r="P123" s="1">
        <v>0</v>
      </c>
      <c r="Q123" s="1">
        <v>1</v>
      </c>
      <c r="R123" s="1" t="b">
        <f t="shared" si="5"/>
        <v>1</v>
      </c>
      <c r="S123" s="2" t="s">
        <v>38</v>
      </c>
      <c r="T123" s="1" t="str">
        <f>IF(S123="","",VLOOKUP(S123,'Ontology and concepts per UC'!$F$2:$J$46,5,FALSE))</f>
        <v>Parámetro epidemiológico</v>
      </c>
      <c r="U123" s="1" t="b">
        <f t="array" ref="U123">(INDEX('Ontology and concepts per UC'!$G$2:$I$46,MATCH($S123,'Ontology and concepts per UC'!$F$2:$F$46,0),MATCH(LEFT($A123,3),'Ontology and concepts per UC'!$G$1:$I$1,0))=0)</f>
        <v>0</v>
      </c>
      <c r="V123" s="1" t="b">
        <f t="shared" si="6"/>
        <v>1</v>
      </c>
      <c r="W123" s="1" t="b">
        <v>1</v>
      </c>
      <c r="X123" s="1" t="b">
        <v>0</v>
      </c>
      <c r="Y123" s="1" t="b">
        <v>0</v>
      </c>
      <c r="Z123" s="1" t="b">
        <v>0</v>
      </c>
      <c r="AA123" s="1" t="s">
        <v>434</v>
      </c>
    </row>
    <row r="124" spans="1:27" x14ac:dyDescent="0.25">
      <c r="A124" s="1" t="s">
        <v>379</v>
      </c>
      <c r="B124" s="2" t="s">
        <v>435</v>
      </c>
      <c r="C124" s="2" t="s">
        <v>208</v>
      </c>
      <c r="D124" s="6">
        <f t="shared" si="0"/>
        <v>1</v>
      </c>
      <c r="E124" s="7" t="str">
        <f t="shared" si="1"/>
        <v>EpidemiologicalParameter</v>
      </c>
      <c r="F124" s="8" t="b">
        <f>IF(D124&lt;1,FALSE,ISERROR(MATCH(E124,'Ontology and concepts per UC'!$A$2:$A$62,0)))</f>
        <v>0</v>
      </c>
      <c r="G124" s="9" t="str">
        <f t="shared" si="2"/>
        <v/>
      </c>
      <c r="H124" s="9" t="str">
        <f t="shared" si="3"/>
        <v/>
      </c>
      <c r="I124" s="8" t="b">
        <f>IF(D124&lt;2,FALSE,ISERROR(MATCH(H124,'Ontology and concepts per UC'!$A$2:$A$62,0)))</f>
        <v>0</v>
      </c>
      <c r="J124" s="9" t="str">
        <f t="shared" si="4"/>
        <v/>
      </c>
      <c r="K124" s="8" t="b">
        <f>IF(D124&lt;3,FALSE,ISERROR(MATCH(J124,'Ontology and concepts per UC'!$A$2:$A$62,0)))</f>
        <v>0</v>
      </c>
      <c r="L124" s="2" t="s">
        <v>436</v>
      </c>
      <c r="M124" s="2" t="s">
        <v>437</v>
      </c>
      <c r="N124" s="2"/>
      <c r="O124" s="1" t="b">
        <v>0</v>
      </c>
      <c r="P124" s="1">
        <v>0</v>
      </c>
      <c r="Q124" s="1">
        <v>1</v>
      </c>
      <c r="R124" s="1" t="b">
        <f t="shared" si="5"/>
        <v>1</v>
      </c>
      <c r="S124" s="2" t="s">
        <v>187</v>
      </c>
      <c r="T124" s="1" t="str">
        <f>IF(S124="","",VLOOKUP(S124,'Ontology and concepts per UC'!$F$2:$J$46,5,FALSE))</f>
        <v>Otros</v>
      </c>
      <c r="U124" s="1" t="b">
        <f t="array" ref="U124">(INDEX('Ontology and concepts per UC'!$G$2:$I$46,MATCH($S124,'Ontology and concepts per UC'!$F$2:$F$46,0),MATCH(LEFT($A124,3),'Ontology and concepts per UC'!$G$1:$I$1,0))=0)</f>
        <v>1</v>
      </c>
      <c r="V124" s="1" t="b">
        <f t="shared" si="6"/>
        <v>1</v>
      </c>
      <c r="W124" s="1" t="b">
        <v>1</v>
      </c>
      <c r="X124" s="1" t="b">
        <v>0</v>
      </c>
      <c r="Y124" s="1" t="b">
        <v>0</v>
      </c>
      <c r="Z124" s="1" t="b">
        <v>0</v>
      </c>
      <c r="AA124" s="1" t="s">
        <v>434</v>
      </c>
    </row>
    <row r="125" spans="1:27" x14ac:dyDescent="0.25">
      <c r="A125" s="1" t="s">
        <v>379</v>
      </c>
      <c r="B125" s="2" t="s">
        <v>438</v>
      </c>
      <c r="C125" s="2" t="s">
        <v>208</v>
      </c>
      <c r="D125" s="6">
        <f t="shared" si="0"/>
        <v>1</v>
      </c>
      <c r="E125" s="7" t="str">
        <f t="shared" si="1"/>
        <v>EpidemiologicalParameter</v>
      </c>
      <c r="F125" s="8" t="b">
        <f>IF(D125&lt;1,FALSE,ISERROR(MATCH(E125,'Ontology and concepts per UC'!$A$2:$A$62,0)))</f>
        <v>0</v>
      </c>
      <c r="G125" s="9" t="str">
        <f t="shared" si="2"/>
        <v/>
      </c>
      <c r="H125" s="9" t="str">
        <f t="shared" si="3"/>
        <v/>
      </c>
      <c r="I125" s="8" t="b">
        <f>IF(D125&lt;2,FALSE,ISERROR(MATCH(H125,'Ontology and concepts per UC'!$A$2:$A$62,0)))</f>
        <v>0</v>
      </c>
      <c r="J125" s="9" t="str">
        <f t="shared" si="4"/>
        <v/>
      </c>
      <c r="K125" s="8" t="b">
        <f>IF(D125&lt;3,FALSE,ISERROR(MATCH(J125,'Ontology and concepts per UC'!$A$2:$A$62,0)))</f>
        <v>0</v>
      </c>
      <c r="L125" s="2" t="s">
        <v>439</v>
      </c>
      <c r="M125" s="2" t="s">
        <v>440</v>
      </c>
      <c r="N125" s="2"/>
      <c r="O125" s="1" t="b">
        <v>0</v>
      </c>
      <c r="P125" s="1">
        <v>0</v>
      </c>
      <c r="Q125" s="1">
        <v>1</v>
      </c>
      <c r="R125" s="1" t="b">
        <f t="shared" si="5"/>
        <v>1</v>
      </c>
      <c r="S125" s="2" t="s">
        <v>187</v>
      </c>
      <c r="T125" s="1" t="str">
        <f>IF(S125="","",VLOOKUP(S125,'Ontology and concepts per UC'!$F$2:$J$46,5,FALSE))</f>
        <v>Otros</v>
      </c>
      <c r="U125" s="1" t="b">
        <f t="array" ref="U125">(INDEX('Ontology and concepts per UC'!$G$2:$I$46,MATCH($S125,'Ontology and concepts per UC'!$F$2:$F$46,0),MATCH(LEFT($A125,3),'Ontology and concepts per UC'!$G$1:$I$1,0))=0)</f>
        <v>1</v>
      </c>
      <c r="V125" s="1" t="b">
        <f t="shared" si="6"/>
        <v>1</v>
      </c>
      <c r="W125" s="1" t="b">
        <v>1</v>
      </c>
      <c r="X125" s="1" t="b">
        <v>0</v>
      </c>
      <c r="Y125" s="1" t="b">
        <v>0</v>
      </c>
      <c r="Z125" s="1" t="b">
        <v>0</v>
      </c>
      <c r="AA125" s="1" t="s">
        <v>434</v>
      </c>
    </row>
    <row r="126" spans="1:27" x14ac:dyDescent="0.25">
      <c r="A126" s="1" t="s">
        <v>379</v>
      </c>
      <c r="B126" s="2" t="s">
        <v>441</v>
      </c>
      <c r="C126" s="2" t="s">
        <v>442</v>
      </c>
      <c r="D126" s="6">
        <f t="shared" si="0"/>
        <v>1</v>
      </c>
      <c r="E126" s="7" t="str">
        <f t="shared" si="1"/>
        <v>FollowupStrategy</v>
      </c>
      <c r="F126" s="8" t="b">
        <f>IF(D126&lt;1,FALSE,ISERROR(MATCH(E126,'Ontology and concepts per UC'!$A$2:$A$62,0)))</f>
        <v>0</v>
      </c>
      <c r="G126" s="9" t="str">
        <f t="shared" si="2"/>
        <v/>
      </c>
      <c r="H126" s="9" t="str">
        <f t="shared" si="3"/>
        <v/>
      </c>
      <c r="I126" s="8" t="b">
        <f>IF(D126&lt;2,FALSE,ISERROR(MATCH(H126,'Ontology and concepts per UC'!$A$2:$A$62,0)))</f>
        <v>0</v>
      </c>
      <c r="J126" s="9" t="str">
        <f t="shared" si="4"/>
        <v/>
      </c>
      <c r="K126" s="8" t="b">
        <f>IF(D126&lt;3,FALSE,ISERROR(MATCH(J126,'Ontology and concepts per UC'!$A$2:$A$62,0)))</f>
        <v>0</v>
      </c>
      <c r="L126" s="2" t="s">
        <v>443</v>
      </c>
      <c r="M126" s="2" t="s">
        <v>444</v>
      </c>
      <c r="N126" s="2"/>
      <c r="O126" s="1" t="b">
        <v>0</v>
      </c>
      <c r="P126" s="1">
        <v>1</v>
      </c>
      <c r="Q126" s="1">
        <v>2</v>
      </c>
      <c r="R126" s="1" t="b">
        <f t="shared" si="5"/>
        <v>1</v>
      </c>
      <c r="S126" s="2" t="s">
        <v>60</v>
      </c>
      <c r="T126" s="1" t="str">
        <f>IF(S126="","",VLOOKUP(S126,'Ontology and concepts per UC'!$F$2:$J$46,5,FALSE))</f>
        <v>Tratamiento/seguimiento</v>
      </c>
      <c r="U126" s="1" t="b">
        <f t="array" ref="U126">(INDEX('Ontology and concepts per UC'!$G$2:$I$46,MATCH($S126,'Ontology and concepts per UC'!$F$2:$F$46,0),MATCH(LEFT($A126,3),'Ontology and concepts per UC'!$G$1:$I$1,0))=0)</f>
        <v>0</v>
      </c>
      <c r="V126" s="1" t="b">
        <f t="shared" si="6"/>
        <v>1</v>
      </c>
      <c r="W126" s="1" t="b">
        <v>1</v>
      </c>
      <c r="X126" s="1" t="b">
        <v>0</v>
      </c>
      <c r="Y126" s="1" t="b">
        <v>0</v>
      </c>
      <c r="Z126" s="1" t="b">
        <v>0</v>
      </c>
      <c r="AA126" s="1" t="s">
        <v>445</v>
      </c>
    </row>
    <row r="127" spans="1:27" x14ac:dyDescent="0.25">
      <c r="A127" s="1" t="s">
        <v>379</v>
      </c>
      <c r="B127" s="2" t="s">
        <v>446</v>
      </c>
      <c r="C127" s="2" t="s">
        <v>442</v>
      </c>
      <c r="D127" s="6">
        <f t="shared" si="0"/>
        <v>1</v>
      </c>
      <c r="E127" s="7" t="str">
        <f t="shared" si="1"/>
        <v>FollowupStrategy</v>
      </c>
      <c r="F127" s="8" t="b">
        <f>IF(D127&lt;1,FALSE,ISERROR(MATCH(E127,'Ontology and concepts per UC'!$A$2:$A$62,0)))</f>
        <v>0</v>
      </c>
      <c r="G127" s="9" t="str">
        <f t="shared" si="2"/>
        <v/>
      </c>
      <c r="H127" s="9" t="str">
        <f t="shared" si="3"/>
        <v/>
      </c>
      <c r="I127" s="8" t="b">
        <f>IF(D127&lt;2,FALSE,ISERROR(MATCH(H127,'Ontology and concepts per UC'!$A$2:$A$62,0)))</f>
        <v>0</v>
      </c>
      <c r="J127" s="9" t="str">
        <f t="shared" si="4"/>
        <v/>
      </c>
      <c r="K127" s="8" t="b">
        <f>IF(D127&lt;3,FALSE,ISERROR(MATCH(J127,'Ontology and concepts per UC'!$A$2:$A$62,0)))</f>
        <v>0</v>
      </c>
      <c r="L127" s="2" t="s">
        <v>447</v>
      </c>
      <c r="M127" s="2" t="s">
        <v>448</v>
      </c>
      <c r="N127" s="2"/>
      <c r="O127" s="1" t="b">
        <v>0</v>
      </c>
      <c r="P127" s="1">
        <v>1</v>
      </c>
      <c r="Q127" s="1">
        <v>2</v>
      </c>
      <c r="R127" s="1" t="b">
        <f t="shared" si="5"/>
        <v>1</v>
      </c>
      <c r="S127" s="2" t="s">
        <v>60</v>
      </c>
      <c r="T127" s="1" t="str">
        <f>IF(S127="","",VLOOKUP(S127,'Ontology and concepts per UC'!$F$2:$J$46,5,FALSE))</f>
        <v>Tratamiento/seguimiento</v>
      </c>
      <c r="U127" s="1" t="b">
        <f t="array" ref="U127">(INDEX('Ontology and concepts per UC'!$G$2:$I$46,MATCH($S127,'Ontology and concepts per UC'!$F$2:$F$46,0),MATCH(LEFT($A127,3),'Ontology and concepts per UC'!$G$1:$I$1,0))=0)</f>
        <v>0</v>
      </c>
      <c r="V127" s="1" t="b">
        <f t="shared" si="6"/>
        <v>1</v>
      </c>
      <c r="W127" s="1" t="b">
        <v>1</v>
      </c>
      <c r="X127" s="1" t="b">
        <v>0</v>
      </c>
      <c r="Y127" s="1" t="b">
        <v>0</v>
      </c>
      <c r="Z127" s="1" t="b">
        <v>0</v>
      </c>
      <c r="AA127" s="1" t="s">
        <v>445</v>
      </c>
    </row>
    <row r="128" spans="1:27" x14ac:dyDescent="0.25">
      <c r="A128" s="1" t="s">
        <v>379</v>
      </c>
      <c r="B128" s="2" t="s">
        <v>449</v>
      </c>
      <c r="C128" s="2" t="s">
        <v>442</v>
      </c>
      <c r="D128" s="6">
        <f t="shared" si="0"/>
        <v>1</v>
      </c>
      <c r="E128" s="7" t="str">
        <f t="shared" si="1"/>
        <v>FollowupStrategy</v>
      </c>
      <c r="F128" s="8" t="b">
        <f>IF(D128&lt;1,FALSE,ISERROR(MATCH(E128,'Ontology and concepts per UC'!$A$2:$A$62,0)))</f>
        <v>0</v>
      </c>
      <c r="G128" s="9" t="str">
        <f t="shared" si="2"/>
        <v/>
      </c>
      <c r="H128" s="9" t="str">
        <f t="shared" si="3"/>
        <v/>
      </c>
      <c r="I128" s="8" t="b">
        <f>IF(D128&lt;2,FALSE,ISERROR(MATCH(H128,'Ontology and concepts per UC'!$A$2:$A$62,0)))</f>
        <v>0</v>
      </c>
      <c r="J128" s="9" t="str">
        <f t="shared" si="4"/>
        <v/>
      </c>
      <c r="K128" s="8" t="b">
        <f>IF(D128&lt;3,FALSE,ISERROR(MATCH(J128,'Ontology and concepts per UC'!$A$2:$A$62,0)))</f>
        <v>0</v>
      </c>
      <c r="L128" s="2" t="s">
        <v>447</v>
      </c>
      <c r="M128" s="2" t="s">
        <v>450</v>
      </c>
      <c r="N128" s="2"/>
      <c r="O128" s="1" t="b">
        <v>0</v>
      </c>
      <c r="P128" s="1">
        <v>1</v>
      </c>
      <c r="Q128" s="1">
        <v>2</v>
      </c>
      <c r="R128" s="1" t="b">
        <f t="shared" si="5"/>
        <v>1</v>
      </c>
      <c r="S128" s="2" t="s">
        <v>60</v>
      </c>
      <c r="T128" s="1" t="str">
        <f>IF(S128="","",VLOOKUP(S128,'Ontology and concepts per UC'!$F$2:$J$46,5,FALSE))</f>
        <v>Tratamiento/seguimiento</v>
      </c>
      <c r="U128" s="1" t="b">
        <f t="array" ref="U128">(INDEX('Ontology and concepts per UC'!$G$2:$I$46,MATCH($S128,'Ontology and concepts per UC'!$F$2:$F$46,0),MATCH(LEFT($A128,3),'Ontology and concepts per UC'!$G$1:$I$1,0))=0)</f>
        <v>0</v>
      </c>
      <c r="V128" s="1" t="b">
        <f t="shared" si="6"/>
        <v>1</v>
      </c>
      <c r="W128" s="1" t="b">
        <v>1</v>
      </c>
      <c r="X128" s="1" t="b">
        <v>0</v>
      </c>
      <c r="Y128" s="1" t="b">
        <v>0</v>
      </c>
      <c r="Z128" s="1" t="b">
        <v>0</v>
      </c>
      <c r="AA128" s="1" t="s">
        <v>445</v>
      </c>
    </row>
    <row r="129" spans="1:27" x14ac:dyDescent="0.25">
      <c r="A129" s="1" t="s">
        <v>379</v>
      </c>
      <c r="B129" s="2" t="s">
        <v>451</v>
      </c>
      <c r="C129" s="2" t="s">
        <v>442</v>
      </c>
      <c r="D129" s="6">
        <f t="shared" si="0"/>
        <v>1</v>
      </c>
      <c r="E129" s="7" t="str">
        <f t="shared" si="1"/>
        <v>FollowupStrategy</v>
      </c>
      <c r="F129" s="8" t="b">
        <f>IF(D129&lt;1,FALSE,ISERROR(MATCH(E129,'Ontology and concepts per UC'!$A$2:$A$62,0)))</f>
        <v>0</v>
      </c>
      <c r="G129" s="9" t="str">
        <f t="shared" si="2"/>
        <v/>
      </c>
      <c r="H129" s="9" t="str">
        <f t="shared" si="3"/>
        <v/>
      </c>
      <c r="I129" s="8" t="b">
        <f>IF(D129&lt;2,FALSE,ISERROR(MATCH(H129,'Ontology and concepts per UC'!$A$2:$A$62,0)))</f>
        <v>0</v>
      </c>
      <c r="J129" s="9" t="str">
        <f t="shared" si="4"/>
        <v/>
      </c>
      <c r="K129" s="8" t="b">
        <f>IF(D129&lt;3,FALSE,ISERROR(MATCH(J129,'Ontology and concepts per UC'!$A$2:$A$62,0)))</f>
        <v>0</v>
      </c>
      <c r="L129" s="2" t="s">
        <v>452</v>
      </c>
      <c r="M129" s="2" t="s">
        <v>453</v>
      </c>
      <c r="N129" s="2"/>
      <c r="O129" s="1" t="b">
        <v>0</v>
      </c>
      <c r="P129" s="1">
        <v>1</v>
      </c>
      <c r="Q129" s="1">
        <v>1</v>
      </c>
      <c r="R129" s="1" t="b">
        <f t="shared" si="5"/>
        <v>1</v>
      </c>
      <c r="S129" s="2" t="s">
        <v>107</v>
      </c>
      <c r="T129" s="1" t="str">
        <f>IF(S129="","",VLOOKUP(S129,'Ontology and concepts per UC'!$F$2:$J$46,5,FALSE))</f>
        <v>Parcial</v>
      </c>
      <c r="U129" s="1" t="b">
        <f t="array" ref="U129">(INDEX('Ontology and concepts per UC'!$G$2:$I$46,MATCH($S129,'Ontology and concepts per UC'!$F$2:$F$46,0),MATCH(LEFT($A129,3),'Ontology and concepts per UC'!$G$1:$I$1,0))=0)</f>
        <v>0</v>
      </c>
      <c r="V129" s="1" t="b">
        <f t="shared" si="6"/>
        <v>1</v>
      </c>
      <c r="W129" s="1" t="b">
        <v>1</v>
      </c>
      <c r="X129" s="1" t="b">
        <v>0</v>
      </c>
      <c r="Y129" s="1" t="b">
        <v>0</v>
      </c>
      <c r="Z129" s="1" t="b">
        <v>0</v>
      </c>
      <c r="AA129" s="1" t="s">
        <v>454</v>
      </c>
    </row>
    <row r="130" spans="1:27" x14ac:dyDescent="0.25">
      <c r="A130" s="1" t="s">
        <v>379</v>
      </c>
      <c r="B130" s="2" t="s">
        <v>455</v>
      </c>
      <c r="C130" s="2" t="s">
        <v>442</v>
      </c>
      <c r="D130" s="6">
        <f t="shared" si="0"/>
        <v>1</v>
      </c>
      <c r="E130" s="7" t="str">
        <f t="shared" si="1"/>
        <v>FollowupStrategy</v>
      </c>
      <c r="F130" s="8" t="b">
        <f>IF(D130&lt;1,FALSE,ISERROR(MATCH(E130,'Ontology and concepts per UC'!$A$2:$A$62,0)))</f>
        <v>0</v>
      </c>
      <c r="G130" s="9" t="str">
        <f t="shared" si="2"/>
        <v/>
      </c>
      <c r="H130" s="9" t="str">
        <f t="shared" si="3"/>
        <v/>
      </c>
      <c r="I130" s="8" t="b">
        <f>IF(D130&lt;2,FALSE,ISERROR(MATCH(H130,'Ontology and concepts per UC'!$A$2:$A$62,0)))</f>
        <v>0</v>
      </c>
      <c r="J130" s="9" t="str">
        <f t="shared" si="4"/>
        <v/>
      </c>
      <c r="K130" s="8" t="b">
        <f>IF(D130&lt;3,FALSE,ISERROR(MATCH(J130,'Ontology and concepts per UC'!$A$2:$A$62,0)))</f>
        <v>0</v>
      </c>
      <c r="L130" s="2" t="s">
        <v>456</v>
      </c>
      <c r="M130" s="2" t="s">
        <v>457</v>
      </c>
      <c r="N130" s="2"/>
      <c r="O130" s="1" t="b">
        <v>0</v>
      </c>
      <c r="P130" s="1">
        <v>1</v>
      </c>
      <c r="Q130" s="1">
        <v>1</v>
      </c>
      <c r="R130" s="1" t="b">
        <f t="shared" si="5"/>
        <v>1</v>
      </c>
      <c r="S130" s="2" t="s">
        <v>60</v>
      </c>
      <c r="T130" s="1" t="str">
        <f>IF(S130="","",VLOOKUP(S130,'Ontology and concepts per UC'!$F$2:$J$46,5,FALSE))</f>
        <v>Tratamiento/seguimiento</v>
      </c>
      <c r="U130" s="1" t="b">
        <f t="array" ref="U130">(INDEX('Ontology and concepts per UC'!$G$2:$I$46,MATCH($S130,'Ontology and concepts per UC'!$F$2:$F$46,0),MATCH(LEFT($A130,3),'Ontology and concepts per UC'!$G$1:$I$1,0))=0)</f>
        <v>0</v>
      </c>
      <c r="V130" s="1" t="b">
        <f t="shared" si="6"/>
        <v>1</v>
      </c>
      <c r="W130" s="1" t="b">
        <v>1</v>
      </c>
      <c r="X130" s="1" t="b">
        <v>0</v>
      </c>
      <c r="Y130" s="1" t="b">
        <v>0</v>
      </c>
      <c r="Z130" s="1" t="b">
        <v>0</v>
      </c>
      <c r="AA130" s="1" t="s">
        <v>454</v>
      </c>
    </row>
    <row r="131" spans="1:27" x14ac:dyDescent="0.25">
      <c r="A131" s="1" t="s">
        <v>379</v>
      </c>
      <c r="B131" s="2" t="s">
        <v>458</v>
      </c>
      <c r="C131" s="2" t="s">
        <v>442</v>
      </c>
      <c r="D131" s="6">
        <f t="shared" si="0"/>
        <v>1</v>
      </c>
      <c r="E131" s="7" t="str">
        <f t="shared" si="1"/>
        <v>FollowupStrategy</v>
      </c>
      <c r="F131" s="8" t="b">
        <f>IF(D131&lt;1,FALSE,ISERROR(MATCH(E131,'Ontology and concepts per UC'!$A$2:$A$62,0)))</f>
        <v>0</v>
      </c>
      <c r="G131" s="9" t="str">
        <f t="shared" si="2"/>
        <v/>
      </c>
      <c r="H131" s="9" t="str">
        <f t="shared" si="3"/>
        <v/>
      </c>
      <c r="I131" s="8" t="b">
        <f>IF(D131&lt;2,FALSE,ISERROR(MATCH(H131,'Ontology and concepts per UC'!$A$2:$A$62,0)))</f>
        <v>0</v>
      </c>
      <c r="J131" s="9" t="str">
        <f t="shared" si="4"/>
        <v/>
      </c>
      <c r="K131" s="8" t="b">
        <f>IF(D131&lt;3,FALSE,ISERROR(MATCH(J131,'Ontology and concepts per UC'!$A$2:$A$62,0)))</f>
        <v>0</v>
      </c>
      <c r="L131" s="2" t="s">
        <v>443</v>
      </c>
      <c r="M131" s="2" t="s">
        <v>459</v>
      </c>
      <c r="N131" s="2"/>
      <c r="O131" s="1" t="b">
        <v>0</v>
      </c>
      <c r="P131" s="1">
        <v>1</v>
      </c>
      <c r="Q131" s="1">
        <v>2</v>
      </c>
      <c r="R131" s="1" t="b">
        <f t="shared" si="5"/>
        <v>1</v>
      </c>
      <c r="S131" s="2" t="s">
        <v>60</v>
      </c>
      <c r="T131" s="1" t="str">
        <f>IF(S131="","",VLOOKUP(S131,'Ontology and concepts per UC'!$F$2:$J$46,5,FALSE))</f>
        <v>Tratamiento/seguimiento</v>
      </c>
      <c r="U131" s="1" t="b">
        <f t="array" ref="U131">(INDEX('Ontology and concepts per UC'!$G$2:$I$46,MATCH($S131,'Ontology and concepts per UC'!$F$2:$F$46,0),MATCH(LEFT($A131,3),'Ontology and concepts per UC'!$G$1:$I$1,0))=0)</f>
        <v>0</v>
      </c>
      <c r="V131" s="1" t="b">
        <f t="shared" si="6"/>
        <v>1</v>
      </c>
      <c r="W131" s="1" t="b">
        <v>1</v>
      </c>
      <c r="X131" s="1" t="b">
        <v>0</v>
      </c>
      <c r="Y131" s="1" t="b">
        <v>0</v>
      </c>
      <c r="Z131" s="1" t="b">
        <v>0</v>
      </c>
      <c r="AA131" s="1" t="s">
        <v>445</v>
      </c>
    </row>
    <row r="132" spans="1:27" x14ac:dyDescent="0.25">
      <c r="A132" s="1" t="s">
        <v>379</v>
      </c>
      <c r="B132" s="2" t="s">
        <v>460</v>
      </c>
      <c r="C132" s="2" t="s">
        <v>461</v>
      </c>
      <c r="D132" s="6">
        <f t="shared" si="0"/>
        <v>1</v>
      </c>
      <c r="E132" s="7" t="str">
        <f t="shared" si="1"/>
        <v>OnsetTimeParameter</v>
      </c>
      <c r="F132" s="8" t="b">
        <f>IF(D132&lt;1,FALSE,ISERROR(MATCH(E132,'Ontology and concepts per UC'!$A$2:$A$62,0)))</f>
        <v>1</v>
      </c>
      <c r="G132" s="9" t="str">
        <f t="shared" si="2"/>
        <v/>
      </c>
      <c r="H132" s="9" t="str">
        <f t="shared" si="3"/>
        <v/>
      </c>
      <c r="I132" s="8" t="b">
        <f>IF(D132&lt;2,FALSE,ISERROR(MATCH(H132,'Ontology and concepts per UC'!$A$2:$A$62,0)))</f>
        <v>0</v>
      </c>
      <c r="J132" s="9" t="str">
        <f t="shared" si="4"/>
        <v/>
      </c>
      <c r="K132" s="8" t="b">
        <f>IF(D132&lt;3,FALSE,ISERROR(MATCH(J132,'Ontology and concepts per UC'!$A$2:$A$62,0)))</f>
        <v>0</v>
      </c>
      <c r="L132" s="2" t="s">
        <v>462</v>
      </c>
      <c r="M132" s="2" t="s">
        <v>463</v>
      </c>
      <c r="N132" s="2"/>
      <c r="O132" s="1" t="b">
        <v>0</v>
      </c>
      <c r="P132" s="1">
        <v>1</v>
      </c>
      <c r="Q132" s="1">
        <v>1</v>
      </c>
      <c r="R132" s="1" t="b">
        <f t="shared" si="5"/>
        <v>1</v>
      </c>
      <c r="S132" s="2" t="s">
        <v>367</v>
      </c>
      <c r="T132" s="1" t="str">
        <f>IF(S132="","",VLOOKUP(S132,'Ontology and concepts per UC'!$F$2:$J$46,5,FALSE))</f>
        <v>Parámetros de progresión</v>
      </c>
      <c r="U132" s="1" t="b">
        <f t="array" ref="U132">(INDEX('Ontology and concepts per UC'!$G$2:$I$46,MATCH($S132,'Ontology and concepts per UC'!$F$2:$F$46,0),MATCH(LEFT($A132,3),'Ontology and concepts per UC'!$G$1:$I$1,0))=0)</f>
        <v>0</v>
      </c>
      <c r="V132" s="1" t="b">
        <f t="shared" si="6"/>
        <v>1</v>
      </c>
      <c r="W132" s="1" t="b">
        <v>1</v>
      </c>
      <c r="X132" s="1" t="b">
        <v>0</v>
      </c>
      <c r="Y132" s="1" t="b">
        <v>0</v>
      </c>
      <c r="Z132" s="1" t="b">
        <v>0</v>
      </c>
      <c r="AA132" s="1" t="s">
        <v>464</v>
      </c>
    </row>
    <row r="133" spans="1:27" x14ac:dyDescent="0.25">
      <c r="A133" s="1" t="s">
        <v>379</v>
      </c>
      <c r="B133" s="2" t="s">
        <v>465</v>
      </c>
      <c r="C133" s="2" t="s">
        <v>461</v>
      </c>
      <c r="D133" s="6">
        <f t="shared" si="0"/>
        <v>1</v>
      </c>
      <c r="E133" s="7" t="str">
        <f t="shared" si="1"/>
        <v>OnsetTimeParameter</v>
      </c>
      <c r="F133" s="8" t="b">
        <f>IF(D133&lt;1,FALSE,ISERROR(MATCH(E133,'Ontology and concepts per UC'!$A$2:$A$62,0)))</f>
        <v>1</v>
      </c>
      <c r="G133" s="9" t="str">
        <f t="shared" si="2"/>
        <v/>
      </c>
      <c r="H133" s="9" t="str">
        <f t="shared" si="3"/>
        <v/>
      </c>
      <c r="I133" s="8" t="b">
        <f>IF(D133&lt;2,FALSE,ISERROR(MATCH(H133,'Ontology and concepts per UC'!$A$2:$A$62,0)))</f>
        <v>0</v>
      </c>
      <c r="J133" s="9" t="str">
        <f t="shared" si="4"/>
        <v/>
      </c>
      <c r="K133" s="8" t="b">
        <f>IF(D133&lt;3,FALSE,ISERROR(MATCH(J133,'Ontology and concepts per UC'!$A$2:$A$62,0)))</f>
        <v>0</v>
      </c>
      <c r="L133" s="2" t="s">
        <v>466</v>
      </c>
      <c r="M133" s="2" t="s">
        <v>467</v>
      </c>
      <c r="N133" s="2"/>
      <c r="O133" s="1" t="b">
        <v>0</v>
      </c>
      <c r="P133" s="1">
        <v>1</v>
      </c>
      <c r="Q133" s="1">
        <v>1</v>
      </c>
      <c r="R133" s="1" t="b">
        <f t="shared" si="5"/>
        <v>1</v>
      </c>
      <c r="S133" s="2" t="s">
        <v>367</v>
      </c>
      <c r="T133" s="1" t="str">
        <f>IF(S133="","",VLOOKUP(S133,'Ontology and concepts per UC'!$F$2:$J$46,5,FALSE))</f>
        <v>Parámetros de progresión</v>
      </c>
      <c r="U133" s="1" t="b">
        <f t="array" ref="U133">(INDEX('Ontology and concepts per UC'!$G$2:$I$46,MATCH($S133,'Ontology and concepts per UC'!$F$2:$F$46,0),MATCH(LEFT($A133,3),'Ontology and concepts per UC'!$G$1:$I$1,0))=0)</f>
        <v>0</v>
      </c>
      <c r="V133" s="1" t="b">
        <f t="shared" si="6"/>
        <v>1</v>
      </c>
      <c r="W133" s="1" t="b">
        <v>1</v>
      </c>
      <c r="X133" s="1" t="b">
        <v>0</v>
      </c>
      <c r="Y133" s="1" t="b">
        <v>0</v>
      </c>
      <c r="Z133" s="1" t="b">
        <v>0</v>
      </c>
      <c r="AA133" s="1" t="s">
        <v>464</v>
      </c>
    </row>
    <row r="134" spans="1:27" x14ac:dyDescent="0.25">
      <c r="A134" s="1" t="s">
        <v>379</v>
      </c>
      <c r="B134" s="2" t="s">
        <v>468</v>
      </c>
      <c r="C134" s="2" t="s">
        <v>461</v>
      </c>
      <c r="D134" s="6">
        <f t="shared" si="0"/>
        <v>1</v>
      </c>
      <c r="E134" s="7" t="str">
        <f t="shared" si="1"/>
        <v>OnsetTimeParameter</v>
      </c>
      <c r="F134" s="8" t="b">
        <f>IF(D134&lt;1,FALSE,ISERROR(MATCH(E134,'Ontology and concepts per UC'!$A$2:$A$62,0)))</f>
        <v>1</v>
      </c>
      <c r="G134" s="9" t="str">
        <f t="shared" si="2"/>
        <v/>
      </c>
      <c r="H134" s="9" t="str">
        <f t="shared" si="3"/>
        <v/>
      </c>
      <c r="I134" s="8" t="b">
        <f>IF(D134&lt;2,FALSE,ISERROR(MATCH(H134,'Ontology and concepts per UC'!$A$2:$A$62,0)))</f>
        <v>0</v>
      </c>
      <c r="J134" s="9" t="str">
        <f t="shared" si="4"/>
        <v/>
      </c>
      <c r="K134" s="8" t="b">
        <f>IF(D134&lt;3,FALSE,ISERROR(MATCH(J134,'Ontology and concepts per UC'!$A$2:$A$62,0)))</f>
        <v>0</v>
      </c>
      <c r="L134" s="2" t="s">
        <v>469</v>
      </c>
      <c r="M134" s="2" t="s">
        <v>470</v>
      </c>
      <c r="N134" s="2"/>
      <c r="O134" s="1" t="b">
        <v>0</v>
      </c>
      <c r="P134" s="1">
        <v>1</v>
      </c>
      <c r="Q134" s="1">
        <v>1</v>
      </c>
      <c r="R134" s="1" t="b">
        <f t="shared" si="5"/>
        <v>1</v>
      </c>
      <c r="S134" s="2" t="s">
        <v>367</v>
      </c>
      <c r="T134" s="1" t="str">
        <f>IF(S134="","",VLOOKUP(S134,'Ontology and concepts per UC'!$F$2:$J$46,5,FALSE))</f>
        <v>Parámetros de progresión</v>
      </c>
      <c r="U134" s="1" t="b">
        <f t="array" ref="U134">(INDEX('Ontology and concepts per UC'!$G$2:$I$46,MATCH($S134,'Ontology and concepts per UC'!$F$2:$F$46,0),MATCH(LEFT($A134,3),'Ontology and concepts per UC'!$G$1:$I$1,0))=0)</f>
        <v>0</v>
      </c>
      <c r="V134" s="1" t="b">
        <f t="shared" si="6"/>
        <v>1</v>
      </c>
      <c r="W134" s="1" t="b">
        <v>1</v>
      </c>
      <c r="X134" s="1" t="b">
        <v>0</v>
      </c>
      <c r="Y134" s="1" t="b">
        <v>0</v>
      </c>
      <c r="Z134" s="1" t="b">
        <v>0</v>
      </c>
      <c r="AA134" s="1" t="s">
        <v>464</v>
      </c>
    </row>
    <row r="135" spans="1:27" x14ac:dyDescent="0.25">
      <c r="A135" s="1" t="s">
        <v>379</v>
      </c>
      <c r="B135" s="2" t="s">
        <v>471</v>
      </c>
      <c r="C135" s="2" t="s">
        <v>461</v>
      </c>
      <c r="D135" s="6">
        <f t="shared" si="0"/>
        <v>1</v>
      </c>
      <c r="E135" s="7" t="str">
        <f t="shared" si="1"/>
        <v>OnsetTimeParameter</v>
      </c>
      <c r="F135" s="8" t="b">
        <f>IF(D135&lt;1,FALSE,ISERROR(MATCH(E135,'Ontology and concepts per UC'!$A$2:$A$62,0)))</f>
        <v>1</v>
      </c>
      <c r="G135" s="9" t="str">
        <f t="shared" si="2"/>
        <v/>
      </c>
      <c r="H135" s="9" t="str">
        <f t="shared" si="3"/>
        <v/>
      </c>
      <c r="I135" s="8" t="b">
        <f>IF(D135&lt;2,FALSE,ISERROR(MATCH(H135,'Ontology and concepts per UC'!$A$2:$A$62,0)))</f>
        <v>0</v>
      </c>
      <c r="J135" s="9" t="str">
        <f t="shared" si="4"/>
        <v/>
      </c>
      <c r="K135" s="8" t="b">
        <f>IF(D135&lt;3,FALSE,ISERROR(MATCH(J135,'Ontology and concepts per UC'!$A$2:$A$62,0)))</f>
        <v>0</v>
      </c>
      <c r="L135" s="2" t="s">
        <v>472</v>
      </c>
      <c r="M135" s="2" t="s">
        <v>473</v>
      </c>
      <c r="N135" s="2"/>
      <c r="O135" s="1" t="b">
        <v>0</v>
      </c>
      <c r="P135" s="1">
        <v>1</v>
      </c>
      <c r="Q135" s="1">
        <v>1</v>
      </c>
      <c r="R135" s="1" t="b">
        <f t="shared" si="5"/>
        <v>1</v>
      </c>
      <c r="S135" s="2" t="s">
        <v>54</v>
      </c>
      <c r="T135" s="1" t="str">
        <f>IF(S135="","",VLOOKUP(S135,'Ontology and concepts per UC'!$F$2:$J$46,5,FALSE))</f>
        <v>Parámetros de progresión</v>
      </c>
      <c r="U135" s="1" t="b">
        <f t="array" ref="U135">(INDEX('Ontology and concepts per UC'!$G$2:$I$46,MATCH($S135,'Ontology and concepts per UC'!$F$2:$F$46,0),MATCH(LEFT($A135,3),'Ontology and concepts per UC'!$G$1:$I$1,0))=0)</f>
        <v>0</v>
      </c>
      <c r="V135" s="1" t="b">
        <f t="shared" si="6"/>
        <v>1</v>
      </c>
      <c r="W135" s="1" t="b">
        <v>1</v>
      </c>
      <c r="X135" s="1" t="b">
        <v>0</v>
      </c>
      <c r="Y135" s="1" t="b">
        <v>0</v>
      </c>
      <c r="Z135" s="1" t="b">
        <v>0</v>
      </c>
      <c r="AA135" s="1" t="s">
        <v>464</v>
      </c>
    </row>
    <row r="136" spans="1:27" x14ac:dyDescent="0.25">
      <c r="A136" s="1" t="s">
        <v>379</v>
      </c>
      <c r="B136" s="2" t="s">
        <v>474</v>
      </c>
      <c r="C136" s="2" t="s">
        <v>461</v>
      </c>
      <c r="D136" s="6">
        <f t="shared" si="0"/>
        <v>1</v>
      </c>
      <c r="E136" s="7" t="str">
        <f t="shared" si="1"/>
        <v>OnsetTimeParameter</v>
      </c>
      <c r="F136" s="8" t="b">
        <f>IF(D136&lt;1,FALSE,ISERROR(MATCH(E136,'Ontology and concepts per UC'!$A$2:$A$62,0)))</f>
        <v>1</v>
      </c>
      <c r="G136" s="9" t="str">
        <f t="shared" si="2"/>
        <v/>
      </c>
      <c r="H136" s="9" t="str">
        <f t="shared" si="3"/>
        <v/>
      </c>
      <c r="I136" s="8" t="b">
        <f>IF(D136&lt;2,FALSE,ISERROR(MATCH(H136,'Ontology and concepts per UC'!$A$2:$A$62,0)))</f>
        <v>0</v>
      </c>
      <c r="J136" s="9" t="str">
        <f t="shared" si="4"/>
        <v/>
      </c>
      <c r="K136" s="8" t="b">
        <f>IF(D136&lt;3,FALSE,ISERROR(MATCH(J136,'Ontology and concepts per UC'!$A$2:$A$62,0)))</f>
        <v>0</v>
      </c>
      <c r="L136" s="2" t="s">
        <v>475</v>
      </c>
      <c r="M136" s="2" t="s">
        <v>476</v>
      </c>
      <c r="N136" s="2"/>
      <c r="O136" s="1" t="b">
        <v>0</v>
      </c>
      <c r="P136" s="1">
        <v>1</v>
      </c>
      <c r="Q136" s="1">
        <v>1</v>
      </c>
      <c r="R136" s="1" t="b">
        <f t="shared" si="5"/>
        <v>1</v>
      </c>
      <c r="S136" s="2" t="s">
        <v>367</v>
      </c>
      <c r="T136" s="1" t="str">
        <f>IF(S136="","",VLOOKUP(S136,'Ontology and concepts per UC'!$F$2:$J$46,5,FALSE))</f>
        <v>Parámetros de progresión</v>
      </c>
      <c r="U136" s="1" t="b">
        <f t="array" ref="U136">(INDEX('Ontology and concepts per UC'!$G$2:$I$46,MATCH($S136,'Ontology and concepts per UC'!$F$2:$F$46,0),MATCH(LEFT($A136,3),'Ontology and concepts per UC'!$G$1:$I$1,0))=0)</f>
        <v>0</v>
      </c>
      <c r="V136" s="1" t="b">
        <f t="shared" si="6"/>
        <v>1</v>
      </c>
      <c r="W136" s="1" t="b">
        <v>1</v>
      </c>
      <c r="X136" s="1" t="b">
        <v>0</v>
      </c>
      <c r="Y136" s="1" t="b">
        <v>0</v>
      </c>
      <c r="Z136" s="1" t="b">
        <v>0</v>
      </c>
      <c r="AA136" s="1" t="s">
        <v>464</v>
      </c>
    </row>
    <row r="137" spans="1:27" x14ac:dyDescent="0.25">
      <c r="A137" s="1" t="s">
        <v>379</v>
      </c>
      <c r="B137" s="2" t="s">
        <v>477</v>
      </c>
      <c r="C137" s="2" t="s">
        <v>461</v>
      </c>
      <c r="D137" s="6">
        <f t="shared" si="0"/>
        <v>1</v>
      </c>
      <c r="E137" s="7" t="str">
        <f t="shared" si="1"/>
        <v>OnsetTimeParameter</v>
      </c>
      <c r="F137" s="8" t="b">
        <f>IF(D137&lt;1,FALSE,ISERROR(MATCH(E137,'Ontology and concepts per UC'!$A$2:$A$62,0)))</f>
        <v>1</v>
      </c>
      <c r="G137" s="9" t="str">
        <f t="shared" si="2"/>
        <v/>
      </c>
      <c r="H137" s="9" t="str">
        <f t="shared" si="3"/>
        <v/>
      </c>
      <c r="I137" s="8" t="b">
        <f>IF(D137&lt;2,FALSE,ISERROR(MATCH(H137,'Ontology and concepts per UC'!$A$2:$A$62,0)))</f>
        <v>0</v>
      </c>
      <c r="J137" s="9" t="str">
        <f t="shared" si="4"/>
        <v/>
      </c>
      <c r="K137" s="8" t="b">
        <f>IF(D137&lt;3,FALSE,ISERROR(MATCH(J137,'Ontology and concepts per UC'!$A$2:$A$62,0)))</f>
        <v>0</v>
      </c>
      <c r="L137" s="2" t="s">
        <v>478</v>
      </c>
      <c r="M137" s="2" t="s">
        <v>479</v>
      </c>
      <c r="N137" s="2"/>
      <c r="O137" s="1" t="b">
        <v>0</v>
      </c>
      <c r="P137" s="1">
        <v>1</v>
      </c>
      <c r="Q137" s="1">
        <v>1</v>
      </c>
      <c r="R137" s="1" t="b">
        <f t="shared" si="5"/>
        <v>1</v>
      </c>
      <c r="S137" s="2" t="s">
        <v>51</v>
      </c>
      <c r="T137" s="1" t="str">
        <f>IF(S137="","",VLOOKUP(S137,'Ontology and concepts per UC'!$F$2:$J$46,5,FALSE))</f>
        <v>Parámetros de progresión</v>
      </c>
      <c r="U137" s="1" t="b">
        <f t="array" ref="U137">(INDEX('Ontology and concepts per UC'!$G$2:$I$46,MATCH($S137,'Ontology and concepts per UC'!$F$2:$F$46,0),MATCH(LEFT($A137,3),'Ontology and concepts per UC'!$G$1:$I$1,0))=0)</f>
        <v>0</v>
      </c>
      <c r="V137" s="1" t="b">
        <f t="shared" si="6"/>
        <v>1</v>
      </c>
      <c r="W137" s="1" t="b">
        <v>1</v>
      </c>
      <c r="X137" s="1" t="b">
        <v>0</v>
      </c>
      <c r="Y137" s="1" t="b">
        <v>0</v>
      </c>
      <c r="Z137" s="1" t="b">
        <v>1</v>
      </c>
      <c r="AA137" s="1" t="s">
        <v>480</v>
      </c>
    </row>
    <row r="138" spans="1:27" x14ac:dyDescent="0.25">
      <c r="A138" s="1" t="s">
        <v>379</v>
      </c>
      <c r="B138" s="2" t="s">
        <v>481</v>
      </c>
      <c r="C138" s="2" t="s">
        <v>461</v>
      </c>
      <c r="D138" s="6">
        <f t="shared" si="0"/>
        <v>1</v>
      </c>
      <c r="E138" s="7" t="str">
        <f t="shared" si="1"/>
        <v>OnsetTimeParameter</v>
      </c>
      <c r="F138" s="8" t="b">
        <f>IF(D138&lt;1,FALSE,ISERROR(MATCH(E138,'Ontology and concepts per UC'!$A$2:$A$62,0)))</f>
        <v>1</v>
      </c>
      <c r="G138" s="9" t="str">
        <f t="shared" si="2"/>
        <v/>
      </c>
      <c r="H138" s="9" t="str">
        <f t="shared" si="3"/>
        <v/>
      </c>
      <c r="I138" s="8" t="b">
        <f>IF(D138&lt;2,FALSE,ISERROR(MATCH(H138,'Ontology and concepts per UC'!$A$2:$A$62,0)))</f>
        <v>0</v>
      </c>
      <c r="J138" s="9" t="str">
        <f t="shared" si="4"/>
        <v/>
      </c>
      <c r="K138" s="8" t="b">
        <f>IF(D138&lt;3,FALSE,ISERROR(MATCH(J138,'Ontology and concepts per UC'!$A$2:$A$62,0)))</f>
        <v>0</v>
      </c>
      <c r="L138" s="2" t="s">
        <v>482</v>
      </c>
      <c r="M138" s="2" t="s">
        <v>483</v>
      </c>
      <c r="N138" s="2"/>
      <c r="O138" s="1" t="b">
        <v>0</v>
      </c>
      <c r="P138" s="1">
        <v>1</v>
      </c>
      <c r="Q138" s="1">
        <v>1</v>
      </c>
      <c r="R138" s="1" t="b">
        <f t="shared" si="5"/>
        <v>1</v>
      </c>
      <c r="S138" s="2" t="s">
        <v>54</v>
      </c>
      <c r="T138" s="1" t="str">
        <f>IF(S138="","",VLOOKUP(S138,'Ontology and concepts per UC'!$F$2:$J$46,5,FALSE))</f>
        <v>Parámetros de progresión</v>
      </c>
      <c r="U138" s="1" t="b">
        <f t="array" ref="U138">(INDEX('Ontology and concepts per UC'!$G$2:$I$46,MATCH($S138,'Ontology and concepts per UC'!$F$2:$F$46,0),MATCH(LEFT($A138,3),'Ontology and concepts per UC'!$G$1:$I$1,0))=0)</f>
        <v>0</v>
      </c>
      <c r="V138" s="1" t="b">
        <f t="shared" si="6"/>
        <v>1</v>
      </c>
      <c r="W138" s="1" t="b">
        <v>1</v>
      </c>
      <c r="X138" s="1" t="b">
        <v>0</v>
      </c>
      <c r="Y138" s="1" t="b">
        <v>0</v>
      </c>
      <c r="Z138" s="1" t="b">
        <v>0</v>
      </c>
      <c r="AA138" s="1" t="s">
        <v>464</v>
      </c>
    </row>
    <row r="139" spans="1:27" x14ac:dyDescent="0.25">
      <c r="A139" s="1" t="s">
        <v>379</v>
      </c>
      <c r="B139" s="2" t="s">
        <v>484</v>
      </c>
      <c r="C139" s="2" t="s">
        <v>461</v>
      </c>
      <c r="D139" s="6">
        <f t="shared" si="0"/>
        <v>1</v>
      </c>
      <c r="E139" s="7" t="str">
        <f t="shared" si="1"/>
        <v>OnsetTimeParameter</v>
      </c>
      <c r="F139" s="8" t="b">
        <f>IF(D139&lt;1,FALSE,ISERROR(MATCH(E139,'Ontology and concepts per UC'!$A$2:$A$62,0)))</f>
        <v>1</v>
      </c>
      <c r="G139" s="9" t="str">
        <f t="shared" si="2"/>
        <v/>
      </c>
      <c r="H139" s="9" t="str">
        <f t="shared" si="3"/>
        <v/>
      </c>
      <c r="I139" s="8" t="b">
        <f>IF(D139&lt;2,FALSE,ISERROR(MATCH(H139,'Ontology and concepts per UC'!$A$2:$A$62,0)))</f>
        <v>0</v>
      </c>
      <c r="J139" s="9" t="str">
        <f t="shared" si="4"/>
        <v/>
      </c>
      <c r="K139" s="8" t="b">
        <f>IF(D139&lt;3,FALSE,ISERROR(MATCH(J139,'Ontology and concepts per UC'!$A$2:$A$62,0)))</f>
        <v>0</v>
      </c>
      <c r="L139" s="2" t="s">
        <v>485</v>
      </c>
      <c r="M139" s="2" t="s">
        <v>486</v>
      </c>
      <c r="N139" s="2"/>
      <c r="O139" s="1" t="b">
        <v>0</v>
      </c>
      <c r="P139" s="1">
        <v>1</v>
      </c>
      <c r="Q139" s="1">
        <v>1</v>
      </c>
      <c r="R139" s="1" t="b">
        <f t="shared" si="5"/>
        <v>1</v>
      </c>
      <c r="S139" s="2" t="s">
        <v>367</v>
      </c>
      <c r="T139" s="1" t="str">
        <f>IF(S139="","",VLOOKUP(S139,'Ontology and concepts per UC'!$F$2:$J$46,5,FALSE))</f>
        <v>Parámetros de progresión</v>
      </c>
      <c r="U139" s="1" t="b">
        <f t="array" ref="U139">(INDEX('Ontology and concepts per UC'!$G$2:$I$46,MATCH($S139,'Ontology and concepts per UC'!$F$2:$F$46,0),MATCH(LEFT($A139,3),'Ontology and concepts per UC'!$G$1:$I$1,0))=0)</f>
        <v>0</v>
      </c>
      <c r="V139" s="1" t="b">
        <f t="shared" si="6"/>
        <v>1</v>
      </c>
      <c r="W139" s="1" t="b">
        <v>1</v>
      </c>
      <c r="X139" s="1" t="b">
        <v>0</v>
      </c>
      <c r="Y139" s="1" t="b">
        <v>0</v>
      </c>
      <c r="Z139" s="1" t="b">
        <v>0</v>
      </c>
      <c r="AA139" s="1" t="s">
        <v>464</v>
      </c>
    </row>
    <row r="140" spans="1:27" x14ac:dyDescent="0.25">
      <c r="A140" s="1" t="s">
        <v>379</v>
      </c>
      <c r="B140" s="2" t="s">
        <v>487</v>
      </c>
      <c r="C140" s="2" t="s">
        <v>461</v>
      </c>
      <c r="D140" s="6">
        <f t="shared" si="0"/>
        <v>1</v>
      </c>
      <c r="E140" s="7" t="str">
        <f t="shared" si="1"/>
        <v>OnsetTimeParameter</v>
      </c>
      <c r="F140" s="8" t="b">
        <f>IF(D140&lt;1,FALSE,ISERROR(MATCH(E140,'Ontology and concepts per UC'!$A$2:$A$62,0)))</f>
        <v>1</v>
      </c>
      <c r="G140" s="9" t="str">
        <f t="shared" si="2"/>
        <v/>
      </c>
      <c r="H140" s="9" t="str">
        <f t="shared" si="3"/>
        <v/>
      </c>
      <c r="I140" s="8" t="b">
        <f>IF(D140&lt;2,FALSE,ISERROR(MATCH(H140,'Ontology and concepts per UC'!$A$2:$A$62,0)))</f>
        <v>0</v>
      </c>
      <c r="J140" s="9" t="str">
        <f t="shared" si="4"/>
        <v/>
      </c>
      <c r="K140" s="8" t="b">
        <f>IF(D140&lt;3,FALSE,ISERROR(MATCH(J140,'Ontology and concepts per UC'!$A$2:$A$62,0)))</f>
        <v>0</v>
      </c>
      <c r="L140" s="2" t="s">
        <v>488</v>
      </c>
      <c r="M140" s="2" t="s">
        <v>489</v>
      </c>
      <c r="N140" s="2"/>
      <c r="O140" s="1" t="b">
        <v>0</v>
      </c>
      <c r="P140" s="1">
        <v>1</v>
      </c>
      <c r="Q140" s="1">
        <v>1</v>
      </c>
      <c r="R140" s="1" t="b">
        <f t="shared" si="5"/>
        <v>1</v>
      </c>
      <c r="S140" s="2" t="s">
        <v>367</v>
      </c>
      <c r="T140" s="1" t="str">
        <f>IF(S140="","",VLOOKUP(S140,'Ontology and concepts per UC'!$F$2:$J$46,5,FALSE))</f>
        <v>Parámetros de progresión</v>
      </c>
      <c r="U140" s="1" t="b">
        <f t="array" ref="U140">(INDEX('Ontology and concepts per UC'!$G$2:$I$46,MATCH($S140,'Ontology and concepts per UC'!$F$2:$F$46,0),MATCH(LEFT($A140,3),'Ontology and concepts per UC'!$G$1:$I$1,0))=0)</f>
        <v>0</v>
      </c>
      <c r="V140" s="1" t="b">
        <f t="shared" si="6"/>
        <v>1</v>
      </c>
      <c r="W140" s="1" t="b">
        <v>1</v>
      </c>
      <c r="X140" s="1" t="b">
        <v>0</v>
      </c>
      <c r="Y140" s="1" t="b">
        <v>0</v>
      </c>
      <c r="Z140" s="1" t="b">
        <v>0</v>
      </c>
      <c r="AA140" s="1" t="s">
        <v>464</v>
      </c>
    </row>
    <row r="141" spans="1:27" x14ac:dyDescent="0.25">
      <c r="A141" s="1" t="s">
        <v>379</v>
      </c>
      <c r="B141" s="2" t="s">
        <v>490</v>
      </c>
      <c r="C141" s="2" t="s">
        <v>461</v>
      </c>
      <c r="D141" s="6">
        <f t="shared" si="0"/>
        <v>1</v>
      </c>
      <c r="E141" s="7" t="str">
        <f t="shared" si="1"/>
        <v>OnsetTimeParameter</v>
      </c>
      <c r="F141" s="8" t="b">
        <f>IF(D141&lt;1,FALSE,ISERROR(MATCH(E141,'Ontology and concepts per UC'!$A$2:$A$62,0)))</f>
        <v>1</v>
      </c>
      <c r="G141" s="9" t="str">
        <f t="shared" si="2"/>
        <v/>
      </c>
      <c r="H141" s="9" t="str">
        <f t="shared" si="3"/>
        <v/>
      </c>
      <c r="I141" s="8" t="b">
        <f>IF(D141&lt;2,FALSE,ISERROR(MATCH(H141,'Ontology and concepts per UC'!$A$2:$A$62,0)))</f>
        <v>0</v>
      </c>
      <c r="J141" s="9" t="str">
        <f t="shared" si="4"/>
        <v/>
      </c>
      <c r="K141" s="8" t="b">
        <f>IF(D141&lt;3,FALSE,ISERROR(MATCH(J141,'Ontology and concepts per UC'!$A$2:$A$62,0)))</f>
        <v>0</v>
      </c>
      <c r="L141" s="2" t="s">
        <v>491</v>
      </c>
      <c r="M141" s="2" t="s">
        <v>492</v>
      </c>
      <c r="N141" s="2"/>
      <c r="O141" s="1" t="b">
        <v>0</v>
      </c>
      <c r="P141" s="1">
        <v>1</v>
      </c>
      <c r="Q141" s="1">
        <v>1</v>
      </c>
      <c r="R141" s="1" t="b">
        <f t="shared" si="5"/>
        <v>1</v>
      </c>
      <c r="S141" s="2" t="s">
        <v>367</v>
      </c>
      <c r="T141" s="1" t="str">
        <f>IF(S141="","",VLOOKUP(S141,'Ontology and concepts per UC'!$F$2:$J$46,5,FALSE))</f>
        <v>Parámetros de progresión</v>
      </c>
      <c r="U141" s="1" t="b">
        <f t="array" ref="U141">(INDEX('Ontology and concepts per UC'!$G$2:$I$46,MATCH($S141,'Ontology and concepts per UC'!$F$2:$F$46,0),MATCH(LEFT($A141,3),'Ontology and concepts per UC'!$G$1:$I$1,0))=0)</f>
        <v>0</v>
      </c>
      <c r="V141" s="1" t="b">
        <f t="shared" si="6"/>
        <v>1</v>
      </c>
      <c r="W141" s="1" t="b">
        <v>1</v>
      </c>
      <c r="X141" s="1" t="b">
        <v>0</v>
      </c>
      <c r="Y141" s="1" t="b">
        <v>0</v>
      </c>
      <c r="Z141" s="1" t="b">
        <v>0</v>
      </c>
      <c r="AA141" s="1" t="s">
        <v>464</v>
      </c>
    </row>
    <row r="142" spans="1:27" x14ac:dyDescent="0.25">
      <c r="A142" s="1" t="s">
        <v>379</v>
      </c>
      <c r="B142" s="2" t="s">
        <v>493</v>
      </c>
      <c r="C142" s="2" t="s">
        <v>461</v>
      </c>
      <c r="D142" s="6">
        <f t="shared" si="0"/>
        <v>1</v>
      </c>
      <c r="E142" s="7" t="str">
        <f t="shared" si="1"/>
        <v>OnsetTimeParameter</v>
      </c>
      <c r="F142" s="8" t="b">
        <f>IF(D142&lt;1,FALSE,ISERROR(MATCH(E142,'Ontology and concepts per UC'!$A$2:$A$62,0)))</f>
        <v>1</v>
      </c>
      <c r="G142" s="9" t="str">
        <f t="shared" si="2"/>
        <v/>
      </c>
      <c r="H142" s="9" t="str">
        <f t="shared" si="3"/>
        <v/>
      </c>
      <c r="I142" s="8" t="b">
        <f>IF(D142&lt;2,FALSE,ISERROR(MATCH(H142,'Ontology and concepts per UC'!$A$2:$A$62,0)))</f>
        <v>0</v>
      </c>
      <c r="J142" s="9" t="str">
        <f t="shared" si="4"/>
        <v/>
      </c>
      <c r="K142" s="8" t="b">
        <f>IF(D142&lt;3,FALSE,ISERROR(MATCH(J142,'Ontology and concepts per UC'!$A$2:$A$62,0)))</f>
        <v>0</v>
      </c>
      <c r="L142" s="2" t="s">
        <v>494</v>
      </c>
      <c r="M142" s="2" t="s">
        <v>495</v>
      </c>
      <c r="N142" s="2"/>
      <c r="O142" s="1" t="b">
        <v>0</v>
      </c>
      <c r="P142" s="1">
        <v>1</v>
      </c>
      <c r="Q142" s="1">
        <v>1</v>
      </c>
      <c r="R142" s="1" t="b">
        <f t="shared" si="5"/>
        <v>1</v>
      </c>
      <c r="S142" s="2" t="s">
        <v>58</v>
      </c>
      <c r="T142" s="1" t="str">
        <f>IF(S142="","",VLOOKUP(S142,'Ontology and concepts per UC'!$F$2:$J$46,5,FALSE))</f>
        <v>Parámetros de progresión</v>
      </c>
      <c r="U142" s="1" t="b">
        <f t="array" ref="U142">(INDEX('Ontology and concepts per UC'!$G$2:$I$46,MATCH($S142,'Ontology and concepts per UC'!$F$2:$F$46,0),MATCH(LEFT($A142,3),'Ontology and concepts per UC'!$G$1:$I$1,0))=0)</f>
        <v>0</v>
      </c>
      <c r="V142" s="1" t="b">
        <f t="shared" si="6"/>
        <v>1</v>
      </c>
      <c r="W142" s="1" t="b">
        <v>1</v>
      </c>
      <c r="X142" s="1" t="b">
        <v>0</v>
      </c>
      <c r="Y142" s="1" t="b">
        <v>0</v>
      </c>
      <c r="Z142" s="1" t="b">
        <v>1</v>
      </c>
      <c r="AA142" s="1" t="s">
        <v>480</v>
      </c>
    </row>
    <row r="143" spans="1:27" x14ac:dyDescent="0.25">
      <c r="A143" s="1" t="s">
        <v>379</v>
      </c>
      <c r="B143" s="2" t="s">
        <v>496</v>
      </c>
      <c r="C143" s="2" t="s">
        <v>461</v>
      </c>
      <c r="D143" s="6">
        <f t="shared" si="0"/>
        <v>1</v>
      </c>
      <c r="E143" s="7" t="str">
        <f t="shared" si="1"/>
        <v>OnsetTimeParameter</v>
      </c>
      <c r="F143" s="8" t="b">
        <f>IF(D143&lt;1,FALSE,ISERROR(MATCH(E143,'Ontology and concepts per UC'!$A$2:$A$62,0)))</f>
        <v>1</v>
      </c>
      <c r="G143" s="9" t="str">
        <f t="shared" si="2"/>
        <v/>
      </c>
      <c r="H143" s="9" t="str">
        <f t="shared" si="3"/>
        <v/>
      </c>
      <c r="I143" s="8" t="b">
        <f>IF(D143&lt;2,FALSE,ISERROR(MATCH(H143,'Ontology and concepts per UC'!$A$2:$A$62,0)))</f>
        <v>0</v>
      </c>
      <c r="J143" s="9" t="str">
        <f t="shared" si="4"/>
        <v/>
      </c>
      <c r="K143" s="8" t="b">
        <f>IF(D143&lt;3,FALSE,ISERROR(MATCH(J143,'Ontology and concepts per UC'!$A$2:$A$62,0)))</f>
        <v>0</v>
      </c>
      <c r="L143" s="2" t="s">
        <v>497</v>
      </c>
      <c r="M143" s="2" t="s">
        <v>498</v>
      </c>
      <c r="N143" s="2"/>
      <c r="O143" s="1" t="b">
        <v>0</v>
      </c>
      <c r="P143" s="1">
        <v>1</v>
      </c>
      <c r="Q143" s="1">
        <v>1</v>
      </c>
      <c r="R143" s="1" t="b">
        <f t="shared" si="5"/>
        <v>1</v>
      </c>
      <c r="S143" s="2" t="s">
        <v>55</v>
      </c>
      <c r="T143" s="1" t="str">
        <f>IF(S143="","",VLOOKUP(S143,'Ontology and concepts per UC'!$F$2:$J$46,5,FALSE))</f>
        <v>Parámetros de progresión</v>
      </c>
      <c r="U143" s="1" t="b">
        <f t="array" ref="U143">(INDEX('Ontology and concepts per UC'!$G$2:$I$46,MATCH($S143,'Ontology and concepts per UC'!$F$2:$F$46,0),MATCH(LEFT($A143,3),'Ontology and concepts per UC'!$G$1:$I$1,0))=0)</f>
        <v>0</v>
      </c>
      <c r="V143" s="1" t="b">
        <f t="shared" si="6"/>
        <v>1</v>
      </c>
      <c r="W143" s="1" t="b">
        <v>1</v>
      </c>
      <c r="X143" s="1" t="b">
        <v>0</v>
      </c>
      <c r="Y143" s="1" t="b">
        <v>0</v>
      </c>
      <c r="Z143" s="1" t="b">
        <v>1</v>
      </c>
      <c r="AA143" s="1" t="s">
        <v>480</v>
      </c>
    </row>
    <row r="144" spans="1:27" x14ac:dyDescent="0.25">
      <c r="A144" s="1" t="s">
        <v>379</v>
      </c>
      <c r="B144" s="2" t="s">
        <v>499</v>
      </c>
      <c r="C144" s="2" t="s">
        <v>461</v>
      </c>
      <c r="D144" s="6">
        <f t="shared" si="0"/>
        <v>1</v>
      </c>
      <c r="E144" s="7" t="str">
        <f t="shared" si="1"/>
        <v>OnsetTimeParameter</v>
      </c>
      <c r="F144" s="8" t="b">
        <f>IF(D144&lt;1,FALSE,ISERROR(MATCH(E144,'Ontology and concepts per UC'!$A$2:$A$62,0)))</f>
        <v>1</v>
      </c>
      <c r="G144" s="9" t="str">
        <f t="shared" si="2"/>
        <v/>
      </c>
      <c r="H144" s="9" t="str">
        <f t="shared" si="3"/>
        <v/>
      </c>
      <c r="I144" s="8" t="b">
        <f>IF(D144&lt;2,FALSE,ISERROR(MATCH(H144,'Ontology and concepts per UC'!$A$2:$A$62,0)))</f>
        <v>0</v>
      </c>
      <c r="J144" s="9" t="str">
        <f t="shared" si="4"/>
        <v/>
      </c>
      <c r="K144" s="8" t="b">
        <f>IF(D144&lt;3,FALSE,ISERROR(MATCH(J144,'Ontology and concepts per UC'!$A$2:$A$62,0)))</f>
        <v>0</v>
      </c>
      <c r="L144" s="2" t="s">
        <v>500</v>
      </c>
      <c r="M144" s="2" t="s">
        <v>501</v>
      </c>
      <c r="N144" s="2"/>
      <c r="O144" s="1" t="b">
        <v>0</v>
      </c>
      <c r="P144" s="1">
        <v>1</v>
      </c>
      <c r="Q144" s="1">
        <v>1</v>
      </c>
      <c r="R144" s="1" t="b">
        <f t="shared" si="5"/>
        <v>1</v>
      </c>
      <c r="S144" s="2" t="s">
        <v>50</v>
      </c>
      <c r="T144" s="1" t="str">
        <f>IF(S144="","",VLOOKUP(S144,'Ontology and concepts per UC'!$F$2:$J$46,5,FALSE))</f>
        <v>Parámetros de progresión</v>
      </c>
      <c r="U144" s="1" t="b">
        <f t="array" ref="U144">(INDEX('Ontology and concepts per UC'!$G$2:$I$46,MATCH($S144,'Ontology and concepts per UC'!$F$2:$F$46,0),MATCH(LEFT($A144,3),'Ontology and concepts per UC'!$G$1:$I$1,0))=0)</f>
        <v>0</v>
      </c>
      <c r="V144" s="1" t="b">
        <f t="shared" si="6"/>
        <v>1</v>
      </c>
      <c r="W144" s="1" t="b">
        <v>1</v>
      </c>
      <c r="X144" s="1" t="b">
        <v>0</v>
      </c>
      <c r="Y144" s="1" t="b">
        <v>0</v>
      </c>
      <c r="Z144" s="1" t="b">
        <v>0</v>
      </c>
      <c r="AA144" s="1" t="s">
        <v>464</v>
      </c>
    </row>
    <row r="145" spans="1:27" x14ac:dyDescent="0.25">
      <c r="A145" s="1" t="s">
        <v>379</v>
      </c>
      <c r="B145" s="2" t="s">
        <v>502</v>
      </c>
      <c r="C145" s="2" t="s">
        <v>461</v>
      </c>
      <c r="D145" s="6">
        <f t="shared" si="0"/>
        <v>1</v>
      </c>
      <c r="E145" s="7" t="str">
        <f t="shared" si="1"/>
        <v>OnsetTimeParameter</v>
      </c>
      <c r="F145" s="8" t="b">
        <f>IF(D145&lt;1,FALSE,ISERROR(MATCH(E145,'Ontology and concepts per UC'!$A$2:$A$62,0)))</f>
        <v>1</v>
      </c>
      <c r="G145" s="9" t="str">
        <f t="shared" si="2"/>
        <v/>
      </c>
      <c r="H145" s="9" t="str">
        <f t="shared" si="3"/>
        <v/>
      </c>
      <c r="I145" s="8" t="b">
        <f>IF(D145&lt;2,FALSE,ISERROR(MATCH(H145,'Ontology and concepts per UC'!$A$2:$A$62,0)))</f>
        <v>0</v>
      </c>
      <c r="J145" s="9" t="str">
        <f t="shared" si="4"/>
        <v/>
      </c>
      <c r="K145" s="8" t="b">
        <f>IF(D145&lt;3,FALSE,ISERROR(MATCH(J145,'Ontology and concepts per UC'!$A$2:$A$62,0)))</f>
        <v>0</v>
      </c>
      <c r="L145" s="2" t="s">
        <v>503</v>
      </c>
      <c r="M145" s="2" t="s">
        <v>504</v>
      </c>
      <c r="N145" s="2"/>
      <c r="O145" s="1" t="b">
        <v>0</v>
      </c>
      <c r="P145" s="1">
        <v>1</v>
      </c>
      <c r="Q145" s="1">
        <v>1</v>
      </c>
      <c r="R145" s="1" t="b">
        <f t="shared" si="5"/>
        <v>1</v>
      </c>
      <c r="S145" s="2" t="s">
        <v>56</v>
      </c>
      <c r="T145" s="1" t="str">
        <f>IF(S145="","",VLOOKUP(S145,'Ontology and concepts per UC'!$F$2:$J$46,5,FALSE))</f>
        <v>Parámetros de progresión</v>
      </c>
      <c r="U145" s="1" t="b">
        <f t="array" ref="U145">(INDEX('Ontology and concepts per UC'!$G$2:$I$46,MATCH($S145,'Ontology and concepts per UC'!$F$2:$F$46,0),MATCH(LEFT($A145,3),'Ontology and concepts per UC'!$G$1:$I$1,0))=0)</f>
        <v>0</v>
      </c>
      <c r="V145" s="1" t="b">
        <f t="shared" si="6"/>
        <v>1</v>
      </c>
      <c r="W145" s="1" t="b">
        <v>1</v>
      </c>
      <c r="X145" s="1" t="b">
        <v>0</v>
      </c>
      <c r="Y145" s="1" t="b">
        <v>0</v>
      </c>
      <c r="Z145" s="1" t="b">
        <v>0</v>
      </c>
      <c r="AA145" s="1" t="s">
        <v>464</v>
      </c>
    </row>
    <row r="146" spans="1:27" x14ac:dyDescent="0.25">
      <c r="A146" s="1" t="s">
        <v>379</v>
      </c>
      <c r="B146" s="2" t="s">
        <v>505</v>
      </c>
      <c r="C146" s="2" t="s">
        <v>461</v>
      </c>
      <c r="D146" s="6">
        <f t="shared" si="0"/>
        <v>1</v>
      </c>
      <c r="E146" s="7" t="str">
        <f t="shared" si="1"/>
        <v>OnsetTimeParameter</v>
      </c>
      <c r="F146" s="8" t="b">
        <f>IF(D146&lt;1,FALSE,ISERROR(MATCH(E146,'Ontology and concepts per UC'!$A$2:$A$62,0)))</f>
        <v>1</v>
      </c>
      <c r="G146" s="9" t="str">
        <f t="shared" si="2"/>
        <v/>
      </c>
      <c r="H146" s="9" t="str">
        <f t="shared" si="3"/>
        <v/>
      </c>
      <c r="I146" s="8" t="b">
        <f>IF(D146&lt;2,FALSE,ISERROR(MATCH(H146,'Ontology and concepts per UC'!$A$2:$A$62,0)))</f>
        <v>0</v>
      </c>
      <c r="J146" s="9" t="str">
        <f t="shared" si="4"/>
        <v/>
      </c>
      <c r="K146" s="8" t="b">
        <f>IF(D146&lt;3,FALSE,ISERROR(MATCH(J146,'Ontology and concepts per UC'!$A$2:$A$62,0)))</f>
        <v>0</v>
      </c>
      <c r="L146" s="2" t="s">
        <v>506</v>
      </c>
      <c r="M146" s="2" t="s">
        <v>507</v>
      </c>
      <c r="N146" s="2"/>
      <c r="O146" s="1" t="b">
        <v>0</v>
      </c>
      <c r="P146" s="1">
        <v>1</v>
      </c>
      <c r="Q146" s="1">
        <v>1</v>
      </c>
      <c r="R146" s="1" t="b">
        <f t="shared" si="5"/>
        <v>1</v>
      </c>
      <c r="S146" s="2" t="s">
        <v>367</v>
      </c>
      <c r="T146" s="1" t="str">
        <f>IF(S146="","",VLOOKUP(S146,'Ontology and concepts per UC'!$F$2:$J$46,5,FALSE))</f>
        <v>Parámetros de progresión</v>
      </c>
      <c r="U146" s="1" t="b">
        <f t="array" ref="U146">(INDEX('Ontology and concepts per UC'!$G$2:$I$46,MATCH($S146,'Ontology and concepts per UC'!$F$2:$F$46,0),MATCH(LEFT($A146,3),'Ontology and concepts per UC'!$G$1:$I$1,0))=0)</f>
        <v>0</v>
      </c>
      <c r="V146" s="1" t="b">
        <f t="shared" si="6"/>
        <v>1</v>
      </c>
      <c r="W146" s="1" t="b">
        <v>1</v>
      </c>
      <c r="X146" s="1" t="b">
        <v>0</v>
      </c>
      <c r="Y146" s="1" t="b">
        <v>0</v>
      </c>
      <c r="Z146" s="1" t="b">
        <v>0</v>
      </c>
      <c r="AA146" s="1" t="s">
        <v>464</v>
      </c>
    </row>
    <row r="147" spans="1:27" x14ac:dyDescent="0.25">
      <c r="A147" s="1" t="s">
        <v>379</v>
      </c>
      <c r="B147" s="2" t="s">
        <v>508</v>
      </c>
      <c r="C147" s="2" t="s">
        <v>461</v>
      </c>
      <c r="D147" s="6">
        <f t="shared" si="0"/>
        <v>1</v>
      </c>
      <c r="E147" s="7" t="str">
        <f t="shared" si="1"/>
        <v>OnsetTimeParameter</v>
      </c>
      <c r="F147" s="8" t="b">
        <f>IF(D147&lt;1,FALSE,ISERROR(MATCH(E147,'Ontology and concepts per UC'!$A$2:$A$62,0)))</f>
        <v>1</v>
      </c>
      <c r="G147" s="9" t="str">
        <f t="shared" si="2"/>
        <v/>
      </c>
      <c r="H147" s="9" t="str">
        <f t="shared" si="3"/>
        <v/>
      </c>
      <c r="I147" s="8" t="b">
        <f>IF(D147&lt;2,FALSE,ISERROR(MATCH(H147,'Ontology and concepts per UC'!$A$2:$A$62,0)))</f>
        <v>0</v>
      </c>
      <c r="J147" s="9" t="str">
        <f t="shared" si="4"/>
        <v/>
      </c>
      <c r="K147" s="8" t="b">
        <f>IF(D147&lt;3,FALSE,ISERROR(MATCH(J147,'Ontology and concepts per UC'!$A$2:$A$62,0)))</f>
        <v>0</v>
      </c>
      <c r="L147" s="2" t="s">
        <v>509</v>
      </c>
      <c r="M147" s="2" t="s">
        <v>510</v>
      </c>
      <c r="N147" s="2"/>
      <c r="O147" s="1" t="b">
        <v>0</v>
      </c>
      <c r="P147" s="1">
        <v>1</v>
      </c>
      <c r="Q147" s="1">
        <v>1</v>
      </c>
      <c r="R147" s="1" t="b">
        <f t="shared" si="5"/>
        <v>1</v>
      </c>
      <c r="S147" s="2" t="s">
        <v>58</v>
      </c>
      <c r="T147" s="1" t="str">
        <f>IF(S147="","",VLOOKUP(S147,'Ontology and concepts per UC'!$F$2:$J$46,5,FALSE))</f>
        <v>Parámetros de progresión</v>
      </c>
      <c r="U147" s="1" t="b">
        <f t="array" ref="U147">(INDEX('Ontology and concepts per UC'!$G$2:$I$46,MATCH($S147,'Ontology and concepts per UC'!$F$2:$F$46,0),MATCH(LEFT($A147,3),'Ontology and concepts per UC'!$G$1:$I$1,0))=0)</f>
        <v>0</v>
      </c>
      <c r="V147" s="1" t="b">
        <f t="shared" si="6"/>
        <v>1</v>
      </c>
      <c r="W147" s="1" t="b">
        <v>1</v>
      </c>
      <c r="X147" s="1" t="b">
        <v>0</v>
      </c>
      <c r="Y147" s="1" t="b">
        <v>0</v>
      </c>
      <c r="Z147" s="1" t="b">
        <v>1</v>
      </c>
      <c r="AA147" s="1" t="s">
        <v>480</v>
      </c>
    </row>
    <row r="148" spans="1:27" x14ac:dyDescent="0.25">
      <c r="A148" s="1" t="s">
        <v>379</v>
      </c>
      <c r="B148" s="2" t="s">
        <v>511</v>
      </c>
      <c r="C148" s="2" t="s">
        <v>512</v>
      </c>
      <c r="D148" s="6">
        <f t="shared" si="0"/>
        <v>1</v>
      </c>
      <c r="E148" s="7" t="str">
        <f t="shared" si="1"/>
        <v>PharmacologicalTreatment</v>
      </c>
      <c r="F148" s="8" t="b">
        <f>IF(D148&lt;1,FALSE,ISERROR(MATCH(E148,'Ontology and concepts per UC'!$A$2:$A$62,0)))</f>
        <v>1</v>
      </c>
      <c r="G148" s="9" t="str">
        <f t="shared" si="2"/>
        <v/>
      </c>
      <c r="H148" s="9" t="str">
        <f t="shared" si="3"/>
        <v/>
      </c>
      <c r="I148" s="8" t="b">
        <f>IF(D148&lt;2,FALSE,ISERROR(MATCH(H148,'Ontology and concepts per UC'!$A$2:$A$62,0)))</f>
        <v>0</v>
      </c>
      <c r="J148" s="9" t="str">
        <f t="shared" si="4"/>
        <v/>
      </c>
      <c r="K148" s="8" t="b">
        <f>IF(D148&lt;3,FALSE,ISERROR(MATCH(J148,'Ontology and concepts per UC'!$A$2:$A$62,0)))</f>
        <v>0</v>
      </c>
      <c r="L148" s="2" t="s">
        <v>452</v>
      </c>
      <c r="M148" s="2" t="s">
        <v>513</v>
      </c>
      <c r="N148" s="2"/>
      <c r="O148" s="1" t="b">
        <v>0</v>
      </c>
      <c r="P148" s="1">
        <v>1</v>
      </c>
      <c r="Q148" s="1">
        <v>1</v>
      </c>
      <c r="R148" s="1" t="b">
        <f t="shared" si="5"/>
        <v>1</v>
      </c>
      <c r="S148" s="2" t="s">
        <v>107</v>
      </c>
      <c r="T148" s="1" t="str">
        <f>IF(S148="","",VLOOKUP(S148,'Ontology and concepts per UC'!$F$2:$J$46,5,FALSE))</f>
        <v>Parcial</v>
      </c>
      <c r="U148" s="1" t="b">
        <f t="array" ref="U148">(INDEX('Ontology and concepts per UC'!$G$2:$I$46,MATCH($S148,'Ontology and concepts per UC'!$F$2:$F$46,0),MATCH(LEFT($A148,3),'Ontology and concepts per UC'!$G$1:$I$1,0))=0)</f>
        <v>0</v>
      </c>
      <c r="V148" s="1" t="b">
        <f t="shared" si="6"/>
        <v>1</v>
      </c>
      <c r="W148" s="1" t="b">
        <v>1</v>
      </c>
      <c r="X148" s="1" t="b">
        <v>0</v>
      </c>
      <c r="Y148" s="1" t="b">
        <v>0</v>
      </c>
      <c r="Z148" s="1" t="b">
        <v>0</v>
      </c>
      <c r="AA148" s="1" t="s">
        <v>514</v>
      </c>
    </row>
    <row r="149" spans="1:27" x14ac:dyDescent="0.25">
      <c r="A149" s="1" t="s">
        <v>379</v>
      </c>
      <c r="B149" s="2" t="s">
        <v>515</v>
      </c>
      <c r="C149" s="2" t="s">
        <v>512</v>
      </c>
      <c r="D149" s="6">
        <f t="shared" si="0"/>
        <v>1</v>
      </c>
      <c r="E149" s="7" t="str">
        <f t="shared" si="1"/>
        <v>PharmacologicalTreatment</v>
      </c>
      <c r="F149" s="8" t="b">
        <f>IF(D149&lt;1,FALSE,ISERROR(MATCH(E149,'Ontology and concepts per UC'!$A$2:$A$62,0)))</f>
        <v>1</v>
      </c>
      <c r="G149" s="9" t="str">
        <f t="shared" si="2"/>
        <v/>
      </c>
      <c r="H149" s="9" t="str">
        <f t="shared" si="3"/>
        <v/>
      </c>
      <c r="I149" s="8" t="b">
        <f>IF(D149&lt;2,FALSE,ISERROR(MATCH(H149,'Ontology and concepts per UC'!$A$2:$A$62,0)))</f>
        <v>0</v>
      </c>
      <c r="J149" s="9" t="str">
        <f t="shared" si="4"/>
        <v/>
      </c>
      <c r="K149" s="8" t="b">
        <f>IF(D149&lt;3,FALSE,ISERROR(MATCH(J149,'Ontology and concepts per UC'!$A$2:$A$62,0)))</f>
        <v>0</v>
      </c>
      <c r="L149" s="2" t="s">
        <v>452</v>
      </c>
      <c r="M149" s="2" t="s">
        <v>516</v>
      </c>
      <c r="N149" s="2"/>
      <c r="O149" s="1" t="b">
        <v>0</v>
      </c>
      <c r="P149" s="1">
        <v>1</v>
      </c>
      <c r="Q149" s="1">
        <v>1</v>
      </c>
      <c r="R149" s="1" t="b">
        <f t="shared" si="5"/>
        <v>1</v>
      </c>
      <c r="S149" s="2" t="s">
        <v>107</v>
      </c>
      <c r="T149" s="1" t="str">
        <f>IF(S149="","",VLOOKUP(S149,'Ontology and concepts per UC'!$F$2:$J$46,5,FALSE))</f>
        <v>Parcial</v>
      </c>
      <c r="U149" s="1" t="b">
        <f t="array" ref="U149">(INDEX('Ontology and concepts per UC'!$G$2:$I$46,MATCH($S149,'Ontology and concepts per UC'!$F$2:$F$46,0),MATCH(LEFT($A149,3),'Ontology and concepts per UC'!$G$1:$I$1,0))=0)</f>
        <v>0</v>
      </c>
      <c r="V149" s="1" t="b">
        <f t="shared" si="6"/>
        <v>1</v>
      </c>
      <c r="W149" s="1" t="b">
        <v>1</v>
      </c>
      <c r="X149" s="1" t="b">
        <v>0</v>
      </c>
      <c r="Y149" s="1" t="b">
        <v>0</v>
      </c>
      <c r="Z149" s="1" t="b">
        <v>0</v>
      </c>
      <c r="AA149" s="1" t="s">
        <v>514</v>
      </c>
    </row>
    <row r="150" spans="1:27" x14ac:dyDescent="0.25">
      <c r="A150" s="1" t="s">
        <v>379</v>
      </c>
      <c r="B150" s="2" t="s">
        <v>517</v>
      </c>
      <c r="C150" s="2" t="s">
        <v>512</v>
      </c>
      <c r="D150" s="6">
        <f t="shared" si="0"/>
        <v>1</v>
      </c>
      <c r="E150" s="7" t="str">
        <f t="shared" si="1"/>
        <v>PharmacologicalTreatment</v>
      </c>
      <c r="F150" s="8" t="b">
        <f>IF(D150&lt;1,FALSE,ISERROR(MATCH(E150,'Ontology and concepts per UC'!$A$2:$A$62,0)))</f>
        <v>1</v>
      </c>
      <c r="G150" s="9" t="str">
        <f t="shared" si="2"/>
        <v/>
      </c>
      <c r="H150" s="9" t="str">
        <f t="shared" si="3"/>
        <v/>
      </c>
      <c r="I150" s="8" t="b">
        <f>IF(D150&lt;2,FALSE,ISERROR(MATCH(H150,'Ontology and concepts per UC'!$A$2:$A$62,0)))</f>
        <v>0</v>
      </c>
      <c r="J150" s="9" t="str">
        <f t="shared" si="4"/>
        <v/>
      </c>
      <c r="K150" s="8" t="b">
        <f>IF(D150&lt;3,FALSE,ISERROR(MATCH(J150,'Ontology and concepts per UC'!$A$2:$A$62,0)))</f>
        <v>0</v>
      </c>
      <c r="L150" s="2" t="s">
        <v>456</v>
      </c>
      <c r="M150" s="2" t="s">
        <v>518</v>
      </c>
      <c r="N150" s="2"/>
      <c r="O150" s="1" t="b">
        <v>0</v>
      </c>
      <c r="P150" s="1">
        <v>1</v>
      </c>
      <c r="Q150" s="1">
        <v>1</v>
      </c>
      <c r="R150" s="1" t="b">
        <f t="shared" si="5"/>
        <v>1</v>
      </c>
      <c r="S150" s="2" t="s">
        <v>62</v>
      </c>
      <c r="T150" s="1" t="str">
        <f>IF(S150="","",VLOOKUP(S150,'Ontology and concepts per UC'!$F$2:$J$46,5,FALSE))</f>
        <v>Tratamiento/seguimiento</v>
      </c>
      <c r="U150" s="1" t="b">
        <f t="array" ref="U150">(INDEX('Ontology and concepts per UC'!$G$2:$I$46,MATCH($S150,'Ontology and concepts per UC'!$F$2:$F$46,0),MATCH(LEFT($A150,3),'Ontology and concepts per UC'!$G$1:$I$1,0))=0)</f>
        <v>0</v>
      </c>
      <c r="V150" s="1" t="b">
        <f t="shared" si="6"/>
        <v>1</v>
      </c>
      <c r="W150" s="1" t="b">
        <v>1</v>
      </c>
      <c r="X150" s="1" t="b">
        <v>0</v>
      </c>
      <c r="Y150" s="1" t="b">
        <v>0</v>
      </c>
      <c r="Z150" s="1" t="b">
        <v>0</v>
      </c>
      <c r="AA150" s="1" t="s">
        <v>514</v>
      </c>
    </row>
    <row r="151" spans="1:27" x14ac:dyDescent="0.25">
      <c r="A151" s="1" t="s">
        <v>379</v>
      </c>
      <c r="B151" s="2" t="s">
        <v>519</v>
      </c>
      <c r="C151" s="2" t="s">
        <v>512</v>
      </c>
      <c r="D151" s="6">
        <f t="shared" si="0"/>
        <v>1</v>
      </c>
      <c r="E151" s="7" t="str">
        <f t="shared" si="1"/>
        <v>PharmacologicalTreatment</v>
      </c>
      <c r="F151" s="8" t="b">
        <f>IF(D151&lt;1,FALSE,ISERROR(MATCH(E151,'Ontology and concepts per UC'!$A$2:$A$62,0)))</f>
        <v>1</v>
      </c>
      <c r="G151" s="9" t="str">
        <f t="shared" si="2"/>
        <v/>
      </c>
      <c r="H151" s="9" t="str">
        <f t="shared" si="3"/>
        <v/>
      </c>
      <c r="I151" s="8" t="b">
        <f>IF(D151&lt;2,FALSE,ISERROR(MATCH(H151,'Ontology and concepts per UC'!$A$2:$A$62,0)))</f>
        <v>0</v>
      </c>
      <c r="J151" s="9" t="str">
        <f t="shared" si="4"/>
        <v/>
      </c>
      <c r="K151" s="8" t="b">
        <f>IF(D151&lt;3,FALSE,ISERROR(MATCH(J151,'Ontology and concepts per UC'!$A$2:$A$62,0)))</f>
        <v>0</v>
      </c>
      <c r="L151" s="2" t="s">
        <v>456</v>
      </c>
      <c r="M151" s="2" t="s">
        <v>520</v>
      </c>
      <c r="N151" s="2"/>
      <c r="O151" s="1" t="b">
        <v>0</v>
      </c>
      <c r="P151" s="1">
        <v>1</v>
      </c>
      <c r="Q151" s="1">
        <v>1</v>
      </c>
      <c r="R151" s="1" t="b">
        <f t="shared" si="5"/>
        <v>1</v>
      </c>
      <c r="S151" s="2" t="s">
        <v>62</v>
      </c>
      <c r="T151" s="1" t="str">
        <f>IF(S151="","",VLOOKUP(S151,'Ontology and concepts per UC'!$F$2:$J$46,5,FALSE))</f>
        <v>Tratamiento/seguimiento</v>
      </c>
      <c r="U151" s="1" t="b">
        <f t="array" ref="U151">(INDEX('Ontology and concepts per UC'!$G$2:$I$46,MATCH($S151,'Ontology and concepts per UC'!$F$2:$F$46,0),MATCH(LEFT($A151,3),'Ontology and concepts per UC'!$G$1:$I$1,0))=0)</f>
        <v>0</v>
      </c>
      <c r="V151" s="1" t="b">
        <f t="shared" si="6"/>
        <v>1</v>
      </c>
      <c r="W151" s="1" t="b">
        <v>1</v>
      </c>
      <c r="X151" s="1" t="b">
        <v>0</v>
      </c>
      <c r="Y151" s="1" t="b">
        <v>0</v>
      </c>
      <c r="Z151" s="1" t="b">
        <v>0</v>
      </c>
      <c r="AA151" s="1" t="s">
        <v>514</v>
      </c>
    </row>
    <row r="152" spans="1:27" x14ac:dyDescent="0.25">
      <c r="A152" s="1" t="s">
        <v>379</v>
      </c>
      <c r="B152" s="2" t="s">
        <v>521</v>
      </c>
      <c r="C152" s="2" t="s">
        <v>522</v>
      </c>
      <c r="D152" s="6">
        <f t="shared" si="0"/>
        <v>1</v>
      </c>
      <c r="E152" s="7" t="str">
        <f t="shared" si="1"/>
        <v>ProbabilityParameter</v>
      </c>
      <c r="F152" s="8" t="b">
        <f>IF(D152&lt;1,FALSE,ISERROR(MATCH(E152,'Ontology and concepts per UC'!$A$2:$A$62,0)))</f>
        <v>1</v>
      </c>
      <c r="G152" s="9" t="str">
        <f t="shared" si="2"/>
        <v/>
      </c>
      <c r="H152" s="9" t="str">
        <f t="shared" si="3"/>
        <v/>
      </c>
      <c r="I152" s="8" t="b">
        <f>IF(D152&lt;2,FALSE,ISERROR(MATCH(H152,'Ontology and concepts per UC'!$A$2:$A$62,0)))</f>
        <v>0</v>
      </c>
      <c r="J152" s="9" t="str">
        <f t="shared" si="4"/>
        <v/>
      </c>
      <c r="K152" s="8" t="b">
        <f>IF(D152&lt;3,FALSE,ISERROR(MATCH(J152,'Ontology and concepts per UC'!$A$2:$A$62,0)))</f>
        <v>0</v>
      </c>
      <c r="L152" s="2" t="s">
        <v>462</v>
      </c>
      <c r="M152" s="2" t="s">
        <v>523</v>
      </c>
      <c r="N152" s="2"/>
      <c r="O152" s="1" t="b">
        <v>0</v>
      </c>
      <c r="P152" s="1">
        <v>1</v>
      </c>
      <c r="Q152" s="1">
        <v>1</v>
      </c>
      <c r="R152" s="1" t="b">
        <f t="shared" si="5"/>
        <v>1</v>
      </c>
      <c r="S152" s="2" t="s">
        <v>367</v>
      </c>
      <c r="T152" s="1" t="str">
        <f>IF(S152="","",VLOOKUP(S152,'Ontology and concepts per UC'!$F$2:$J$46,5,FALSE))</f>
        <v>Parámetros de progresión</v>
      </c>
      <c r="U152" s="1" t="b">
        <f t="array" ref="U152">(INDEX('Ontology and concepts per UC'!$G$2:$I$46,MATCH($S152,'Ontology and concepts per UC'!$F$2:$F$46,0),MATCH(LEFT($A152,3),'Ontology and concepts per UC'!$G$1:$I$1,0))=0)</f>
        <v>0</v>
      </c>
      <c r="V152" s="1" t="b">
        <f t="shared" si="6"/>
        <v>1</v>
      </c>
      <c r="W152" s="1" t="b">
        <v>1</v>
      </c>
      <c r="X152" s="1" t="b">
        <v>0</v>
      </c>
      <c r="Y152" s="1" t="b">
        <v>0</v>
      </c>
      <c r="Z152" s="1" t="b">
        <v>0</v>
      </c>
      <c r="AA152" s="1" t="s">
        <v>524</v>
      </c>
    </row>
    <row r="153" spans="1:27" x14ac:dyDescent="0.25">
      <c r="A153" s="1" t="s">
        <v>379</v>
      </c>
      <c r="B153" s="2" t="s">
        <v>525</v>
      </c>
      <c r="C153" s="2" t="s">
        <v>522</v>
      </c>
      <c r="D153" s="6">
        <f t="shared" si="0"/>
        <v>1</v>
      </c>
      <c r="E153" s="7" t="str">
        <f t="shared" si="1"/>
        <v>ProbabilityParameter</v>
      </c>
      <c r="F153" s="8" t="b">
        <f>IF(D153&lt;1,FALSE,ISERROR(MATCH(E153,'Ontology and concepts per UC'!$A$2:$A$62,0)))</f>
        <v>1</v>
      </c>
      <c r="G153" s="9" t="str">
        <f t="shared" si="2"/>
        <v/>
      </c>
      <c r="H153" s="9" t="str">
        <f t="shared" si="3"/>
        <v/>
      </c>
      <c r="I153" s="8" t="b">
        <f>IF(D153&lt;2,FALSE,ISERROR(MATCH(H153,'Ontology and concepts per UC'!$A$2:$A$62,0)))</f>
        <v>0</v>
      </c>
      <c r="J153" s="9" t="str">
        <f t="shared" si="4"/>
        <v/>
      </c>
      <c r="K153" s="8" t="b">
        <f>IF(D153&lt;3,FALSE,ISERROR(MATCH(J153,'Ontology and concepts per UC'!$A$2:$A$62,0)))</f>
        <v>0</v>
      </c>
      <c r="L153" s="2" t="s">
        <v>466</v>
      </c>
      <c r="M153" s="2" t="s">
        <v>526</v>
      </c>
      <c r="N153" s="2"/>
      <c r="O153" s="1" t="b">
        <v>0</v>
      </c>
      <c r="P153" s="1">
        <v>1</v>
      </c>
      <c r="Q153" s="1">
        <v>1</v>
      </c>
      <c r="R153" s="1" t="b">
        <f t="shared" si="5"/>
        <v>1</v>
      </c>
      <c r="S153" s="2" t="s">
        <v>367</v>
      </c>
      <c r="T153" s="1" t="str">
        <f>IF(S153="","",VLOOKUP(S153,'Ontology and concepts per UC'!$F$2:$J$46,5,FALSE))</f>
        <v>Parámetros de progresión</v>
      </c>
      <c r="U153" s="1" t="b">
        <f t="array" ref="U153">(INDEX('Ontology and concepts per UC'!$G$2:$I$46,MATCH($S153,'Ontology and concepts per UC'!$F$2:$F$46,0),MATCH(LEFT($A153,3),'Ontology and concepts per UC'!$G$1:$I$1,0))=0)</f>
        <v>0</v>
      </c>
      <c r="V153" s="1" t="b">
        <f t="shared" si="6"/>
        <v>1</v>
      </c>
      <c r="W153" s="1" t="b">
        <v>1</v>
      </c>
      <c r="X153" s="1" t="b">
        <v>0</v>
      </c>
      <c r="Y153" s="1" t="b">
        <v>0</v>
      </c>
      <c r="Z153" s="1" t="b">
        <v>0</v>
      </c>
      <c r="AA153" s="1" t="s">
        <v>524</v>
      </c>
    </row>
    <row r="154" spans="1:27" x14ac:dyDescent="0.25">
      <c r="A154" s="1" t="s">
        <v>379</v>
      </c>
      <c r="B154" s="2" t="s">
        <v>527</v>
      </c>
      <c r="C154" s="2" t="s">
        <v>522</v>
      </c>
      <c r="D154" s="6">
        <f t="shared" si="0"/>
        <v>1</v>
      </c>
      <c r="E154" s="7" t="str">
        <f t="shared" si="1"/>
        <v>ProbabilityParameter</v>
      </c>
      <c r="F154" s="8" t="b">
        <f>IF(D154&lt;1,FALSE,ISERROR(MATCH(E154,'Ontology and concepts per UC'!$A$2:$A$62,0)))</f>
        <v>1</v>
      </c>
      <c r="G154" s="9" t="str">
        <f t="shared" si="2"/>
        <v/>
      </c>
      <c r="H154" s="9" t="str">
        <f t="shared" si="3"/>
        <v/>
      </c>
      <c r="I154" s="8" t="b">
        <f>IF(D154&lt;2,FALSE,ISERROR(MATCH(H154,'Ontology and concepts per UC'!$A$2:$A$62,0)))</f>
        <v>0</v>
      </c>
      <c r="J154" s="9" t="str">
        <f t="shared" si="4"/>
        <v/>
      </c>
      <c r="K154" s="8" t="b">
        <f>IF(D154&lt;3,FALSE,ISERROR(MATCH(J154,'Ontology and concepts per UC'!$A$2:$A$62,0)))</f>
        <v>0</v>
      </c>
      <c r="L154" s="2" t="s">
        <v>469</v>
      </c>
      <c r="M154" s="2" t="s">
        <v>528</v>
      </c>
      <c r="N154" s="2"/>
      <c r="O154" s="1" t="b">
        <v>0</v>
      </c>
      <c r="P154" s="1">
        <v>1</v>
      </c>
      <c r="Q154" s="1">
        <v>1</v>
      </c>
      <c r="R154" s="1" t="b">
        <f t="shared" si="5"/>
        <v>1</v>
      </c>
      <c r="S154" s="2" t="s">
        <v>367</v>
      </c>
      <c r="T154" s="1" t="str">
        <f>IF(S154="","",VLOOKUP(S154,'Ontology and concepts per UC'!$F$2:$J$46,5,FALSE))</f>
        <v>Parámetros de progresión</v>
      </c>
      <c r="U154" s="1" t="b">
        <f t="array" ref="U154">(INDEX('Ontology and concepts per UC'!$G$2:$I$46,MATCH($S154,'Ontology and concepts per UC'!$F$2:$F$46,0),MATCH(LEFT($A154,3),'Ontology and concepts per UC'!$G$1:$I$1,0))=0)</f>
        <v>0</v>
      </c>
      <c r="V154" s="1" t="b">
        <f t="shared" si="6"/>
        <v>1</v>
      </c>
      <c r="W154" s="1" t="b">
        <v>1</v>
      </c>
      <c r="X154" s="1" t="b">
        <v>0</v>
      </c>
      <c r="Y154" s="1" t="b">
        <v>0</v>
      </c>
      <c r="Z154" s="1" t="b">
        <v>0</v>
      </c>
      <c r="AA154" s="1" t="s">
        <v>524</v>
      </c>
    </row>
    <row r="155" spans="1:27" x14ac:dyDescent="0.25">
      <c r="A155" s="1" t="s">
        <v>379</v>
      </c>
      <c r="B155" s="2" t="s">
        <v>529</v>
      </c>
      <c r="C155" s="2" t="s">
        <v>522</v>
      </c>
      <c r="D155" s="6">
        <f t="shared" si="0"/>
        <v>1</v>
      </c>
      <c r="E155" s="7" t="str">
        <f t="shared" si="1"/>
        <v>ProbabilityParameter</v>
      </c>
      <c r="F155" s="8" t="b">
        <f>IF(D155&lt;1,FALSE,ISERROR(MATCH(E155,'Ontology and concepts per UC'!$A$2:$A$62,0)))</f>
        <v>1</v>
      </c>
      <c r="G155" s="9" t="str">
        <f t="shared" si="2"/>
        <v/>
      </c>
      <c r="H155" s="9" t="str">
        <f t="shared" si="3"/>
        <v/>
      </c>
      <c r="I155" s="8" t="b">
        <f>IF(D155&lt;2,FALSE,ISERROR(MATCH(H155,'Ontology and concepts per UC'!$A$2:$A$62,0)))</f>
        <v>0</v>
      </c>
      <c r="J155" s="9" t="str">
        <f t="shared" si="4"/>
        <v/>
      </c>
      <c r="K155" s="8" t="b">
        <f>IF(D155&lt;3,FALSE,ISERROR(MATCH(J155,'Ontology and concepts per UC'!$A$2:$A$62,0)))</f>
        <v>0</v>
      </c>
      <c r="L155" s="2" t="s">
        <v>472</v>
      </c>
      <c r="M155" s="2" t="s">
        <v>530</v>
      </c>
      <c r="N155" s="2"/>
      <c r="O155" s="1" t="b">
        <v>0</v>
      </c>
      <c r="P155" s="1">
        <v>1</v>
      </c>
      <c r="Q155" s="1">
        <v>1</v>
      </c>
      <c r="R155" s="1" t="b">
        <f t="shared" si="5"/>
        <v>1</v>
      </c>
      <c r="S155" s="2" t="s">
        <v>54</v>
      </c>
      <c r="T155" s="1" t="str">
        <f>IF(S155="","",VLOOKUP(S155,'Ontology and concepts per UC'!$F$2:$J$46,5,FALSE))</f>
        <v>Parámetros de progresión</v>
      </c>
      <c r="U155" s="1" t="b">
        <f t="array" ref="U155">(INDEX('Ontology and concepts per UC'!$G$2:$I$46,MATCH($S155,'Ontology and concepts per UC'!$F$2:$F$46,0),MATCH(LEFT($A155,3),'Ontology and concepts per UC'!$G$1:$I$1,0))=0)</f>
        <v>0</v>
      </c>
      <c r="V155" s="1" t="b">
        <f t="shared" si="6"/>
        <v>1</v>
      </c>
      <c r="W155" s="1" t="b">
        <v>1</v>
      </c>
      <c r="X155" s="1" t="b">
        <v>0</v>
      </c>
      <c r="Y155" s="1" t="b">
        <v>0</v>
      </c>
      <c r="Z155" s="1" t="b">
        <v>0</v>
      </c>
      <c r="AA155" s="1" t="s">
        <v>524</v>
      </c>
    </row>
    <row r="156" spans="1:27" x14ac:dyDescent="0.25">
      <c r="A156" s="1" t="s">
        <v>379</v>
      </c>
      <c r="B156" s="2" t="s">
        <v>531</v>
      </c>
      <c r="C156" s="2" t="s">
        <v>522</v>
      </c>
      <c r="D156" s="6">
        <f t="shared" si="0"/>
        <v>1</v>
      </c>
      <c r="E156" s="7" t="str">
        <f t="shared" si="1"/>
        <v>ProbabilityParameter</v>
      </c>
      <c r="F156" s="8" t="b">
        <f>IF(D156&lt;1,FALSE,ISERROR(MATCH(E156,'Ontology and concepts per UC'!$A$2:$A$62,0)))</f>
        <v>1</v>
      </c>
      <c r="G156" s="9" t="str">
        <f t="shared" si="2"/>
        <v/>
      </c>
      <c r="H156" s="9" t="str">
        <f t="shared" si="3"/>
        <v/>
      </c>
      <c r="I156" s="8" t="b">
        <f>IF(D156&lt;2,FALSE,ISERROR(MATCH(H156,'Ontology and concepts per UC'!$A$2:$A$62,0)))</f>
        <v>0</v>
      </c>
      <c r="J156" s="9" t="str">
        <f t="shared" si="4"/>
        <v/>
      </c>
      <c r="K156" s="8" t="b">
        <f>IF(D156&lt;3,FALSE,ISERROR(MATCH(J156,'Ontology and concepts per UC'!$A$2:$A$62,0)))</f>
        <v>0</v>
      </c>
      <c r="L156" s="2" t="s">
        <v>475</v>
      </c>
      <c r="M156" s="2" t="s">
        <v>532</v>
      </c>
      <c r="N156" s="2"/>
      <c r="O156" s="1" t="b">
        <v>0</v>
      </c>
      <c r="P156" s="1">
        <v>1</v>
      </c>
      <c r="Q156" s="1">
        <v>1</v>
      </c>
      <c r="R156" s="1" t="b">
        <f t="shared" si="5"/>
        <v>1</v>
      </c>
      <c r="S156" s="2" t="s">
        <v>367</v>
      </c>
      <c r="T156" s="1" t="str">
        <f>IF(S156="","",VLOOKUP(S156,'Ontology and concepts per UC'!$F$2:$J$46,5,FALSE))</f>
        <v>Parámetros de progresión</v>
      </c>
      <c r="U156" s="1" t="b">
        <f t="array" ref="U156">(INDEX('Ontology and concepts per UC'!$G$2:$I$46,MATCH($S156,'Ontology and concepts per UC'!$F$2:$F$46,0),MATCH(LEFT($A156,3),'Ontology and concepts per UC'!$G$1:$I$1,0))=0)</f>
        <v>0</v>
      </c>
      <c r="V156" s="1" t="b">
        <f t="shared" si="6"/>
        <v>1</v>
      </c>
      <c r="W156" s="1" t="b">
        <v>1</v>
      </c>
      <c r="X156" s="1" t="b">
        <v>0</v>
      </c>
      <c r="Y156" s="1" t="b">
        <v>0</v>
      </c>
      <c r="Z156" s="1" t="b">
        <v>0</v>
      </c>
      <c r="AA156" s="1" t="s">
        <v>524</v>
      </c>
    </row>
    <row r="157" spans="1:27" x14ac:dyDescent="0.25">
      <c r="A157" s="1" t="s">
        <v>379</v>
      </c>
      <c r="B157" s="2" t="s">
        <v>533</v>
      </c>
      <c r="C157" s="2" t="s">
        <v>522</v>
      </c>
      <c r="D157" s="6">
        <f t="shared" si="0"/>
        <v>1</v>
      </c>
      <c r="E157" s="7" t="str">
        <f t="shared" si="1"/>
        <v>ProbabilityParameter</v>
      </c>
      <c r="F157" s="8" t="b">
        <f>IF(D157&lt;1,FALSE,ISERROR(MATCH(E157,'Ontology and concepts per UC'!$A$2:$A$62,0)))</f>
        <v>1</v>
      </c>
      <c r="G157" s="9" t="str">
        <f t="shared" si="2"/>
        <v/>
      </c>
      <c r="H157" s="9" t="str">
        <f t="shared" si="3"/>
        <v/>
      </c>
      <c r="I157" s="8" t="b">
        <f>IF(D157&lt;2,FALSE,ISERROR(MATCH(H157,'Ontology and concepts per UC'!$A$2:$A$62,0)))</f>
        <v>0</v>
      </c>
      <c r="J157" s="9" t="str">
        <f t="shared" si="4"/>
        <v/>
      </c>
      <c r="K157" s="8" t="b">
        <f>IF(D157&lt;3,FALSE,ISERROR(MATCH(J157,'Ontology and concepts per UC'!$A$2:$A$62,0)))</f>
        <v>0</v>
      </c>
      <c r="L157" s="2" t="s">
        <v>478</v>
      </c>
      <c r="M157" s="2" t="s">
        <v>534</v>
      </c>
      <c r="N157" s="2"/>
      <c r="O157" s="1" t="b">
        <v>0</v>
      </c>
      <c r="P157" s="1">
        <v>1</v>
      </c>
      <c r="Q157" s="1">
        <v>1</v>
      </c>
      <c r="R157" s="1" t="b">
        <f t="shared" si="5"/>
        <v>1</v>
      </c>
      <c r="S157" s="2" t="s">
        <v>51</v>
      </c>
      <c r="T157" s="1" t="str">
        <f>IF(S157="","",VLOOKUP(S157,'Ontology and concepts per UC'!$F$2:$J$46,5,FALSE))</f>
        <v>Parámetros de progresión</v>
      </c>
      <c r="U157" s="1" t="b">
        <f t="array" ref="U157">(INDEX('Ontology and concepts per UC'!$G$2:$I$46,MATCH($S157,'Ontology and concepts per UC'!$F$2:$F$46,0),MATCH(LEFT($A157,3),'Ontology and concepts per UC'!$G$1:$I$1,0))=0)</f>
        <v>0</v>
      </c>
      <c r="V157" s="1" t="b">
        <f t="shared" si="6"/>
        <v>1</v>
      </c>
      <c r="W157" s="1" t="b">
        <v>1</v>
      </c>
      <c r="X157" s="1" t="b">
        <v>0</v>
      </c>
      <c r="Y157" s="1" t="b">
        <v>0</v>
      </c>
      <c r="Z157" s="1" t="b">
        <v>0</v>
      </c>
      <c r="AA157" s="1" t="s">
        <v>524</v>
      </c>
    </row>
    <row r="158" spans="1:27" x14ac:dyDescent="0.25">
      <c r="A158" s="1" t="s">
        <v>379</v>
      </c>
      <c r="B158" s="2" t="s">
        <v>535</v>
      </c>
      <c r="C158" s="2" t="s">
        <v>522</v>
      </c>
      <c r="D158" s="6">
        <f t="shared" si="0"/>
        <v>1</v>
      </c>
      <c r="E158" s="7" t="str">
        <f t="shared" si="1"/>
        <v>ProbabilityParameter</v>
      </c>
      <c r="F158" s="8" t="b">
        <f>IF(D158&lt;1,FALSE,ISERROR(MATCH(E158,'Ontology and concepts per UC'!$A$2:$A$62,0)))</f>
        <v>1</v>
      </c>
      <c r="G158" s="9" t="str">
        <f t="shared" si="2"/>
        <v/>
      </c>
      <c r="H158" s="9" t="str">
        <f t="shared" si="3"/>
        <v/>
      </c>
      <c r="I158" s="8" t="b">
        <f>IF(D158&lt;2,FALSE,ISERROR(MATCH(H158,'Ontology and concepts per UC'!$A$2:$A$62,0)))</f>
        <v>0</v>
      </c>
      <c r="J158" s="9" t="str">
        <f t="shared" si="4"/>
        <v/>
      </c>
      <c r="K158" s="8" t="b">
        <f>IF(D158&lt;3,FALSE,ISERROR(MATCH(J158,'Ontology and concepts per UC'!$A$2:$A$62,0)))</f>
        <v>0</v>
      </c>
      <c r="L158" s="2" t="s">
        <v>482</v>
      </c>
      <c r="M158" s="2" t="s">
        <v>536</v>
      </c>
      <c r="N158" s="2"/>
      <c r="O158" s="1" t="b">
        <v>0</v>
      </c>
      <c r="P158" s="1">
        <v>1</v>
      </c>
      <c r="Q158" s="1">
        <v>1</v>
      </c>
      <c r="R158" s="1" t="b">
        <f t="shared" si="5"/>
        <v>1</v>
      </c>
      <c r="S158" s="2" t="s">
        <v>54</v>
      </c>
      <c r="T158" s="1" t="str">
        <f>IF(S158="","",VLOOKUP(S158,'Ontology and concepts per UC'!$F$2:$J$46,5,FALSE))</f>
        <v>Parámetros de progresión</v>
      </c>
      <c r="U158" s="1" t="b">
        <f t="array" ref="U158">(INDEX('Ontology and concepts per UC'!$G$2:$I$46,MATCH($S158,'Ontology and concepts per UC'!$F$2:$F$46,0),MATCH(LEFT($A158,3),'Ontology and concepts per UC'!$G$1:$I$1,0))=0)</f>
        <v>0</v>
      </c>
      <c r="V158" s="1" t="b">
        <f t="shared" si="6"/>
        <v>1</v>
      </c>
      <c r="W158" s="1" t="b">
        <v>1</v>
      </c>
      <c r="X158" s="1" t="b">
        <v>0</v>
      </c>
      <c r="Y158" s="1" t="b">
        <v>0</v>
      </c>
      <c r="Z158" s="1" t="b">
        <v>0</v>
      </c>
      <c r="AA158" s="1" t="s">
        <v>524</v>
      </c>
    </row>
    <row r="159" spans="1:27" x14ac:dyDescent="0.25">
      <c r="A159" s="1" t="s">
        <v>379</v>
      </c>
      <c r="B159" s="2" t="s">
        <v>537</v>
      </c>
      <c r="C159" s="2" t="s">
        <v>522</v>
      </c>
      <c r="D159" s="6">
        <f t="shared" si="0"/>
        <v>1</v>
      </c>
      <c r="E159" s="7" t="str">
        <f t="shared" si="1"/>
        <v>ProbabilityParameter</v>
      </c>
      <c r="F159" s="8" t="b">
        <f>IF(D159&lt;1,FALSE,ISERROR(MATCH(E159,'Ontology and concepts per UC'!$A$2:$A$62,0)))</f>
        <v>1</v>
      </c>
      <c r="G159" s="9" t="str">
        <f t="shared" si="2"/>
        <v/>
      </c>
      <c r="H159" s="9" t="str">
        <f t="shared" si="3"/>
        <v/>
      </c>
      <c r="I159" s="8" t="b">
        <f>IF(D159&lt;2,FALSE,ISERROR(MATCH(H159,'Ontology and concepts per UC'!$A$2:$A$62,0)))</f>
        <v>0</v>
      </c>
      <c r="J159" s="9" t="str">
        <f t="shared" si="4"/>
        <v/>
      </c>
      <c r="K159" s="8" t="b">
        <f>IF(D159&lt;3,FALSE,ISERROR(MATCH(J159,'Ontology and concepts per UC'!$A$2:$A$62,0)))</f>
        <v>0</v>
      </c>
      <c r="L159" s="2" t="s">
        <v>485</v>
      </c>
      <c r="M159" s="2" t="s">
        <v>538</v>
      </c>
      <c r="N159" s="2"/>
      <c r="O159" s="1" t="b">
        <v>0</v>
      </c>
      <c r="P159" s="1">
        <v>1</v>
      </c>
      <c r="Q159" s="1">
        <v>1</v>
      </c>
      <c r="R159" s="1" t="b">
        <f t="shared" si="5"/>
        <v>1</v>
      </c>
      <c r="S159" s="2" t="s">
        <v>367</v>
      </c>
      <c r="T159" s="1" t="str">
        <f>IF(S159="","",VLOOKUP(S159,'Ontology and concepts per UC'!$F$2:$J$46,5,FALSE))</f>
        <v>Parámetros de progresión</v>
      </c>
      <c r="U159" s="1" t="b">
        <f t="array" ref="U159">(INDEX('Ontology and concepts per UC'!$G$2:$I$46,MATCH($S159,'Ontology and concepts per UC'!$F$2:$F$46,0),MATCH(LEFT($A159,3),'Ontology and concepts per UC'!$G$1:$I$1,0))=0)</f>
        <v>0</v>
      </c>
      <c r="V159" s="1" t="b">
        <f t="shared" si="6"/>
        <v>1</v>
      </c>
      <c r="W159" s="1" t="b">
        <v>1</v>
      </c>
      <c r="X159" s="1" t="b">
        <v>0</v>
      </c>
      <c r="Y159" s="1" t="b">
        <v>0</v>
      </c>
      <c r="Z159" s="1" t="b">
        <v>0</v>
      </c>
      <c r="AA159" s="1" t="s">
        <v>524</v>
      </c>
    </row>
    <row r="160" spans="1:27" x14ac:dyDescent="0.25">
      <c r="A160" s="1" t="s">
        <v>379</v>
      </c>
      <c r="B160" s="2" t="s">
        <v>539</v>
      </c>
      <c r="C160" s="2" t="s">
        <v>522</v>
      </c>
      <c r="D160" s="6">
        <f t="shared" si="0"/>
        <v>1</v>
      </c>
      <c r="E160" s="7" t="str">
        <f t="shared" si="1"/>
        <v>ProbabilityParameter</v>
      </c>
      <c r="F160" s="8" t="b">
        <f>IF(D160&lt;1,FALSE,ISERROR(MATCH(E160,'Ontology and concepts per UC'!$A$2:$A$62,0)))</f>
        <v>1</v>
      </c>
      <c r="G160" s="9" t="str">
        <f t="shared" si="2"/>
        <v/>
      </c>
      <c r="H160" s="9" t="str">
        <f t="shared" si="3"/>
        <v/>
      </c>
      <c r="I160" s="8" t="b">
        <f>IF(D160&lt;2,FALSE,ISERROR(MATCH(H160,'Ontology and concepts per UC'!$A$2:$A$62,0)))</f>
        <v>0</v>
      </c>
      <c r="J160" s="9" t="str">
        <f t="shared" si="4"/>
        <v/>
      </c>
      <c r="K160" s="8" t="b">
        <f>IF(D160&lt;3,FALSE,ISERROR(MATCH(J160,'Ontology and concepts per UC'!$A$2:$A$62,0)))</f>
        <v>0</v>
      </c>
      <c r="L160" s="2" t="s">
        <v>488</v>
      </c>
      <c r="M160" s="2" t="s">
        <v>540</v>
      </c>
      <c r="N160" s="2"/>
      <c r="O160" s="1" t="b">
        <v>0</v>
      </c>
      <c r="P160" s="1">
        <v>1</v>
      </c>
      <c r="Q160" s="1">
        <v>1</v>
      </c>
      <c r="R160" s="1" t="b">
        <f t="shared" si="5"/>
        <v>1</v>
      </c>
      <c r="S160" s="2" t="s">
        <v>367</v>
      </c>
      <c r="T160" s="1" t="str">
        <f>IF(S160="","",VLOOKUP(S160,'Ontology and concepts per UC'!$F$2:$J$46,5,FALSE))</f>
        <v>Parámetros de progresión</v>
      </c>
      <c r="U160" s="1" t="b">
        <f t="array" ref="U160">(INDEX('Ontology and concepts per UC'!$G$2:$I$46,MATCH($S160,'Ontology and concepts per UC'!$F$2:$F$46,0),MATCH(LEFT($A160,3),'Ontology and concepts per UC'!$G$1:$I$1,0))=0)</f>
        <v>0</v>
      </c>
      <c r="V160" s="1" t="b">
        <f t="shared" si="6"/>
        <v>1</v>
      </c>
      <c r="W160" s="1" t="b">
        <v>1</v>
      </c>
      <c r="X160" s="1" t="b">
        <v>0</v>
      </c>
      <c r="Y160" s="1" t="b">
        <v>0</v>
      </c>
      <c r="Z160" s="1" t="b">
        <v>0</v>
      </c>
      <c r="AA160" s="1" t="s">
        <v>524</v>
      </c>
    </row>
    <row r="161" spans="1:27" x14ac:dyDescent="0.25">
      <c r="A161" s="1" t="s">
        <v>379</v>
      </c>
      <c r="B161" s="2" t="s">
        <v>541</v>
      </c>
      <c r="C161" s="2" t="s">
        <v>522</v>
      </c>
      <c r="D161" s="6">
        <f t="shared" si="0"/>
        <v>1</v>
      </c>
      <c r="E161" s="7" t="str">
        <f t="shared" si="1"/>
        <v>ProbabilityParameter</v>
      </c>
      <c r="F161" s="8" t="b">
        <f>IF(D161&lt;1,FALSE,ISERROR(MATCH(E161,'Ontology and concepts per UC'!$A$2:$A$62,0)))</f>
        <v>1</v>
      </c>
      <c r="G161" s="9" t="str">
        <f t="shared" si="2"/>
        <v/>
      </c>
      <c r="H161" s="9" t="str">
        <f t="shared" si="3"/>
        <v/>
      </c>
      <c r="I161" s="8" t="b">
        <f>IF(D161&lt;2,FALSE,ISERROR(MATCH(H161,'Ontology and concepts per UC'!$A$2:$A$62,0)))</f>
        <v>0</v>
      </c>
      <c r="J161" s="9" t="str">
        <f t="shared" si="4"/>
        <v/>
      </c>
      <c r="K161" s="8" t="b">
        <f>IF(D161&lt;3,FALSE,ISERROR(MATCH(J161,'Ontology and concepts per UC'!$A$2:$A$62,0)))</f>
        <v>0</v>
      </c>
      <c r="L161" s="2" t="s">
        <v>491</v>
      </c>
      <c r="M161" s="2" t="s">
        <v>542</v>
      </c>
      <c r="N161" s="2"/>
      <c r="O161" s="1" t="b">
        <v>0</v>
      </c>
      <c r="P161" s="1">
        <v>1</v>
      </c>
      <c r="Q161" s="1">
        <v>1</v>
      </c>
      <c r="R161" s="1" t="b">
        <f t="shared" si="5"/>
        <v>1</v>
      </c>
      <c r="S161" s="2" t="s">
        <v>367</v>
      </c>
      <c r="T161" s="1" t="str">
        <f>IF(S161="","",VLOOKUP(S161,'Ontology and concepts per UC'!$F$2:$J$46,5,FALSE))</f>
        <v>Parámetros de progresión</v>
      </c>
      <c r="U161" s="1" t="b">
        <f t="array" ref="U161">(INDEX('Ontology and concepts per UC'!$G$2:$I$46,MATCH($S161,'Ontology and concepts per UC'!$F$2:$F$46,0),MATCH(LEFT($A161,3),'Ontology and concepts per UC'!$G$1:$I$1,0))=0)</f>
        <v>0</v>
      </c>
      <c r="V161" s="1" t="b">
        <f t="shared" si="6"/>
        <v>1</v>
      </c>
      <c r="W161" s="1" t="b">
        <v>1</v>
      </c>
      <c r="X161" s="1" t="b">
        <v>0</v>
      </c>
      <c r="Y161" s="1" t="b">
        <v>0</v>
      </c>
      <c r="Z161" s="1" t="b">
        <v>0</v>
      </c>
      <c r="AA161" s="1" t="s">
        <v>524</v>
      </c>
    </row>
    <row r="162" spans="1:27" x14ac:dyDescent="0.25">
      <c r="A162" s="1" t="s">
        <v>379</v>
      </c>
      <c r="B162" s="2" t="s">
        <v>543</v>
      </c>
      <c r="C162" s="2" t="s">
        <v>522</v>
      </c>
      <c r="D162" s="6">
        <f t="shared" si="0"/>
        <v>1</v>
      </c>
      <c r="E162" s="7" t="str">
        <f t="shared" si="1"/>
        <v>ProbabilityParameter</v>
      </c>
      <c r="F162" s="8" t="b">
        <f>IF(D162&lt;1,FALSE,ISERROR(MATCH(E162,'Ontology and concepts per UC'!$A$2:$A$62,0)))</f>
        <v>1</v>
      </c>
      <c r="G162" s="9" t="str">
        <f t="shared" si="2"/>
        <v/>
      </c>
      <c r="H162" s="9" t="str">
        <f t="shared" si="3"/>
        <v/>
      </c>
      <c r="I162" s="8" t="b">
        <f>IF(D162&lt;2,FALSE,ISERROR(MATCH(H162,'Ontology and concepts per UC'!$A$2:$A$62,0)))</f>
        <v>0</v>
      </c>
      <c r="J162" s="9" t="str">
        <f t="shared" si="4"/>
        <v/>
      </c>
      <c r="K162" s="8" t="b">
        <f>IF(D162&lt;3,FALSE,ISERROR(MATCH(J162,'Ontology and concepts per UC'!$A$2:$A$62,0)))</f>
        <v>0</v>
      </c>
      <c r="L162" s="2" t="s">
        <v>494</v>
      </c>
      <c r="M162" s="2" t="s">
        <v>528</v>
      </c>
      <c r="N162" s="2"/>
      <c r="O162" s="1" t="b">
        <v>0</v>
      </c>
      <c r="P162" s="1">
        <v>1</v>
      </c>
      <c r="Q162" s="1">
        <v>1</v>
      </c>
      <c r="R162" s="1" t="b">
        <f t="shared" si="5"/>
        <v>1</v>
      </c>
      <c r="S162" s="2" t="s">
        <v>58</v>
      </c>
      <c r="T162" s="1" t="str">
        <f>IF(S162="","",VLOOKUP(S162,'Ontology and concepts per UC'!$F$2:$J$46,5,FALSE))</f>
        <v>Parámetros de progresión</v>
      </c>
      <c r="U162" s="1" t="b">
        <f t="array" ref="U162">(INDEX('Ontology and concepts per UC'!$G$2:$I$46,MATCH($S162,'Ontology and concepts per UC'!$F$2:$F$46,0),MATCH(LEFT($A162,3),'Ontology and concepts per UC'!$G$1:$I$1,0))=0)</f>
        <v>0</v>
      </c>
      <c r="V162" s="1" t="b">
        <f t="shared" si="6"/>
        <v>1</v>
      </c>
      <c r="W162" s="1" t="b">
        <v>1</v>
      </c>
      <c r="X162" s="1" t="b">
        <v>0</v>
      </c>
      <c r="Y162" s="1" t="b">
        <v>0</v>
      </c>
      <c r="Z162" s="1" t="b">
        <v>0</v>
      </c>
      <c r="AA162" s="1" t="s">
        <v>524</v>
      </c>
    </row>
    <row r="163" spans="1:27" x14ac:dyDescent="0.25">
      <c r="A163" s="1" t="s">
        <v>379</v>
      </c>
      <c r="B163" s="2" t="s">
        <v>544</v>
      </c>
      <c r="C163" s="2" t="s">
        <v>522</v>
      </c>
      <c r="D163" s="6">
        <f t="shared" si="0"/>
        <v>1</v>
      </c>
      <c r="E163" s="7" t="str">
        <f t="shared" si="1"/>
        <v>ProbabilityParameter</v>
      </c>
      <c r="F163" s="8" t="b">
        <f>IF(D163&lt;1,FALSE,ISERROR(MATCH(E163,'Ontology and concepts per UC'!$A$2:$A$62,0)))</f>
        <v>1</v>
      </c>
      <c r="G163" s="9" t="str">
        <f t="shared" si="2"/>
        <v/>
      </c>
      <c r="H163" s="9" t="str">
        <f t="shared" si="3"/>
        <v/>
      </c>
      <c r="I163" s="8" t="b">
        <f>IF(D163&lt;2,FALSE,ISERROR(MATCH(H163,'Ontology and concepts per UC'!$A$2:$A$62,0)))</f>
        <v>0</v>
      </c>
      <c r="J163" s="9" t="str">
        <f t="shared" si="4"/>
        <v/>
      </c>
      <c r="K163" s="8" t="b">
        <f>IF(D163&lt;3,FALSE,ISERROR(MATCH(J163,'Ontology and concepts per UC'!$A$2:$A$62,0)))</f>
        <v>0</v>
      </c>
      <c r="L163" s="2" t="s">
        <v>497</v>
      </c>
      <c r="M163" s="2" t="s">
        <v>545</v>
      </c>
      <c r="N163" s="2"/>
      <c r="O163" s="1" t="b">
        <v>0</v>
      </c>
      <c r="P163" s="1">
        <v>1</v>
      </c>
      <c r="Q163" s="1">
        <v>1</v>
      </c>
      <c r="R163" s="1" t="b">
        <f t="shared" si="5"/>
        <v>1</v>
      </c>
      <c r="S163" s="2" t="s">
        <v>55</v>
      </c>
      <c r="T163" s="1" t="str">
        <f>IF(S163="","",VLOOKUP(S163,'Ontology and concepts per UC'!$F$2:$J$46,5,FALSE))</f>
        <v>Parámetros de progresión</v>
      </c>
      <c r="U163" s="1" t="b">
        <f t="array" ref="U163">(INDEX('Ontology and concepts per UC'!$G$2:$I$46,MATCH($S163,'Ontology and concepts per UC'!$F$2:$F$46,0),MATCH(LEFT($A163,3),'Ontology and concepts per UC'!$G$1:$I$1,0))=0)</f>
        <v>0</v>
      </c>
      <c r="V163" s="1" t="b">
        <f t="shared" si="6"/>
        <v>1</v>
      </c>
      <c r="W163" s="1" t="b">
        <v>1</v>
      </c>
      <c r="X163" s="1" t="b">
        <v>0</v>
      </c>
      <c r="Y163" s="1" t="b">
        <v>0</v>
      </c>
      <c r="Z163" s="1" t="b">
        <v>0</v>
      </c>
      <c r="AA163" s="1" t="s">
        <v>524</v>
      </c>
    </row>
    <row r="164" spans="1:27" x14ac:dyDescent="0.25">
      <c r="A164" s="1" t="s">
        <v>379</v>
      </c>
      <c r="B164" s="2" t="s">
        <v>546</v>
      </c>
      <c r="C164" s="2" t="s">
        <v>522</v>
      </c>
      <c r="D164" s="6">
        <f t="shared" si="0"/>
        <v>1</v>
      </c>
      <c r="E164" s="7" t="str">
        <f t="shared" si="1"/>
        <v>ProbabilityParameter</v>
      </c>
      <c r="F164" s="8" t="b">
        <f>IF(D164&lt;1,FALSE,ISERROR(MATCH(E164,'Ontology and concepts per UC'!$A$2:$A$62,0)))</f>
        <v>1</v>
      </c>
      <c r="G164" s="9" t="str">
        <f t="shared" si="2"/>
        <v/>
      </c>
      <c r="H164" s="9" t="str">
        <f t="shared" si="3"/>
        <v/>
      </c>
      <c r="I164" s="8" t="b">
        <f>IF(D164&lt;2,FALSE,ISERROR(MATCH(H164,'Ontology and concepts per UC'!$A$2:$A$62,0)))</f>
        <v>0</v>
      </c>
      <c r="J164" s="9" t="str">
        <f t="shared" si="4"/>
        <v/>
      </c>
      <c r="K164" s="8" t="b">
        <f>IF(D164&lt;3,FALSE,ISERROR(MATCH(J164,'Ontology and concepts per UC'!$A$2:$A$62,0)))</f>
        <v>0</v>
      </c>
      <c r="L164" s="2" t="s">
        <v>500</v>
      </c>
      <c r="M164" s="2" t="s">
        <v>547</v>
      </c>
      <c r="N164" s="2"/>
      <c r="O164" s="1" t="b">
        <v>0</v>
      </c>
      <c r="P164" s="1">
        <v>1</v>
      </c>
      <c r="Q164" s="1">
        <v>1</v>
      </c>
      <c r="R164" s="1" t="b">
        <f t="shared" si="5"/>
        <v>1</v>
      </c>
      <c r="S164" s="2" t="s">
        <v>50</v>
      </c>
      <c r="T164" s="1" t="str">
        <f>IF(S164="","",VLOOKUP(S164,'Ontology and concepts per UC'!$F$2:$J$46,5,FALSE))</f>
        <v>Parámetros de progresión</v>
      </c>
      <c r="U164" s="1" t="b">
        <f t="array" ref="U164">(INDEX('Ontology and concepts per UC'!$G$2:$I$46,MATCH($S164,'Ontology and concepts per UC'!$F$2:$F$46,0),MATCH(LEFT($A164,3),'Ontology and concepts per UC'!$G$1:$I$1,0))=0)</f>
        <v>0</v>
      </c>
      <c r="V164" s="1" t="b">
        <f t="shared" si="6"/>
        <v>1</v>
      </c>
      <c r="W164" s="1" t="b">
        <v>1</v>
      </c>
      <c r="X164" s="1" t="b">
        <v>0</v>
      </c>
      <c r="Y164" s="1" t="b">
        <v>0</v>
      </c>
      <c r="Z164" s="1" t="b">
        <v>0</v>
      </c>
      <c r="AA164" s="1" t="s">
        <v>524</v>
      </c>
    </row>
    <row r="165" spans="1:27" x14ac:dyDescent="0.25">
      <c r="A165" s="1" t="s">
        <v>379</v>
      </c>
      <c r="B165" s="2" t="s">
        <v>548</v>
      </c>
      <c r="C165" s="2" t="s">
        <v>522</v>
      </c>
      <c r="D165" s="6">
        <f t="shared" si="0"/>
        <v>1</v>
      </c>
      <c r="E165" s="7" t="str">
        <f t="shared" si="1"/>
        <v>ProbabilityParameter</v>
      </c>
      <c r="F165" s="8" t="b">
        <f>IF(D165&lt;1,FALSE,ISERROR(MATCH(E165,'Ontology and concepts per UC'!$A$2:$A$62,0)))</f>
        <v>1</v>
      </c>
      <c r="G165" s="9" t="str">
        <f t="shared" si="2"/>
        <v/>
      </c>
      <c r="H165" s="9" t="str">
        <f t="shared" si="3"/>
        <v/>
      </c>
      <c r="I165" s="8" t="b">
        <f>IF(D165&lt;2,FALSE,ISERROR(MATCH(H165,'Ontology and concepts per UC'!$A$2:$A$62,0)))</f>
        <v>0</v>
      </c>
      <c r="J165" s="9" t="str">
        <f t="shared" si="4"/>
        <v/>
      </c>
      <c r="K165" s="8" t="b">
        <f>IF(D165&lt;3,FALSE,ISERROR(MATCH(J165,'Ontology and concepts per UC'!$A$2:$A$62,0)))</f>
        <v>0</v>
      </c>
      <c r="L165" s="2" t="s">
        <v>503</v>
      </c>
      <c r="M165" s="2" t="s">
        <v>549</v>
      </c>
      <c r="N165" s="2"/>
      <c r="O165" s="1" t="b">
        <v>0</v>
      </c>
      <c r="P165" s="1">
        <v>1</v>
      </c>
      <c r="Q165" s="1">
        <v>1</v>
      </c>
      <c r="R165" s="1" t="b">
        <f t="shared" si="5"/>
        <v>1</v>
      </c>
      <c r="S165" s="2" t="s">
        <v>56</v>
      </c>
      <c r="T165" s="1" t="str">
        <f>IF(S165="","",VLOOKUP(S165,'Ontology and concepts per UC'!$F$2:$J$46,5,FALSE))</f>
        <v>Parámetros de progresión</v>
      </c>
      <c r="U165" s="1" t="b">
        <f t="array" ref="U165">(INDEX('Ontology and concepts per UC'!$G$2:$I$46,MATCH($S165,'Ontology and concepts per UC'!$F$2:$F$46,0),MATCH(LEFT($A165,3),'Ontology and concepts per UC'!$G$1:$I$1,0))=0)</f>
        <v>0</v>
      </c>
      <c r="V165" s="1" t="b">
        <f t="shared" si="6"/>
        <v>1</v>
      </c>
      <c r="W165" s="1" t="b">
        <v>1</v>
      </c>
      <c r="X165" s="1" t="b">
        <v>0</v>
      </c>
      <c r="Y165" s="1" t="b">
        <v>0</v>
      </c>
      <c r="Z165" s="1" t="b">
        <v>0</v>
      </c>
      <c r="AA165" s="1" t="s">
        <v>524</v>
      </c>
    </row>
    <row r="166" spans="1:27" x14ac:dyDescent="0.25">
      <c r="A166" s="1" t="s">
        <v>379</v>
      </c>
      <c r="B166" s="2" t="s">
        <v>550</v>
      </c>
      <c r="C166" s="2" t="s">
        <v>522</v>
      </c>
      <c r="D166" s="6">
        <f t="shared" si="0"/>
        <v>1</v>
      </c>
      <c r="E166" s="7" t="str">
        <f t="shared" si="1"/>
        <v>ProbabilityParameter</v>
      </c>
      <c r="F166" s="8" t="b">
        <f>IF(D166&lt;1,FALSE,ISERROR(MATCH(E166,'Ontology and concepts per UC'!$A$2:$A$62,0)))</f>
        <v>1</v>
      </c>
      <c r="G166" s="9" t="str">
        <f t="shared" si="2"/>
        <v/>
      </c>
      <c r="H166" s="9" t="str">
        <f t="shared" si="3"/>
        <v/>
      </c>
      <c r="I166" s="8" t="b">
        <f>IF(D166&lt;2,FALSE,ISERROR(MATCH(H166,'Ontology and concepts per UC'!$A$2:$A$62,0)))</f>
        <v>0</v>
      </c>
      <c r="J166" s="9" t="str">
        <f t="shared" si="4"/>
        <v/>
      </c>
      <c r="K166" s="8" t="b">
        <f>IF(D166&lt;3,FALSE,ISERROR(MATCH(J166,'Ontology and concepts per UC'!$A$2:$A$62,0)))</f>
        <v>0</v>
      </c>
      <c r="L166" s="2" t="s">
        <v>506</v>
      </c>
      <c r="M166" s="2" t="s">
        <v>551</v>
      </c>
      <c r="N166" s="2"/>
      <c r="O166" s="1" t="b">
        <v>0</v>
      </c>
      <c r="P166" s="1">
        <v>1</v>
      </c>
      <c r="Q166" s="1">
        <v>1</v>
      </c>
      <c r="R166" s="1" t="b">
        <f t="shared" si="5"/>
        <v>1</v>
      </c>
      <c r="S166" s="2" t="s">
        <v>367</v>
      </c>
      <c r="T166" s="1" t="str">
        <f>IF(S166="","",VLOOKUP(S166,'Ontology and concepts per UC'!$F$2:$J$46,5,FALSE))</f>
        <v>Parámetros de progresión</v>
      </c>
      <c r="U166" s="1" t="b">
        <f t="array" ref="U166">(INDEX('Ontology and concepts per UC'!$G$2:$I$46,MATCH($S166,'Ontology and concepts per UC'!$F$2:$F$46,0),MATCH(LEFT($A166,3),'Ontology and concepts per UC'!$G$1:$I$1,0))=0)</f>
        <v>0</v>
      </c>
      <c r="V166" s="1" t="b">
        <f t="shared" si="6"/>
        <v>1</v>
      </c>
      <c r="W166" s="1" t="b">
        <v>1</v>
      </c>
      <c r="X166" s="1" t="b">
        <v>0</v>
      </c>
      <c r="Y166" s="1" t="b">
        <v>0</v>
      </c>
      <c r="Z166" s="1" t="b">
        <v>0</v>
      </c>
      <c r="AA166" s="1" t="s">
        <v>524</v>
      </c>
    </row>
    <row r="167" spans="1:27" x14ac:dyDescent="0.25">
      <c r="A167" s="1" t="s">
        <v>379</v>
      </c>
      <c r="B167" s="2" t="s">
        <v>552</v>
      </c>
      <c r="C167" s="2" t="s">
        <v>522</v>
      </c>
      <c r="D167" s="6">
        <f t="shared" si="0"/>
        <v>1</v>
      </c>
      <c r="E167" s="7" t="str">
        <f t="shared" si="1"/>
        <v>ProbabilityParameter</v>
      </c>
      <c r="F167" s="8" t="b">
        <f>IF(D167&lt;1,FALSE,ISERROR(MATCH(E167,'Ontology and concepts per UC'!$A$2:$A$62,0)))</f>
        <v>1</v>
      </c>
      <c r="G167" s="9" t="str">
        <f t="shared" si="2"/>
        <v/>
      </c>
      <c r="H167" s="9" t="str">
        <f t="shared" si="3"/>
        <v/>
      </c>
      <c r="I167" s="8" t="b">
        <f>IF(D167&lt;2,FALSE,ISERROR(MATCH(H167,'Ontology and concepts per UC'!$A$2:$A$62,0)))</f>
        <v>0</v>
      </c>
      <c r="J167" s="9" t="str">
        <f t="shared" si="4"/>
        <v/>
      </c>
      <c r="K167" s="8" t="b">
        <f>IF(D167&lt;3,FALSE,ISERROR(MATCH(J167,'Ontology and concepts per UC'!$A$2:$A$62,0)))</f>
        <v>0</v>
      </c>
      <c r="L167" s="2" t="s">
        <v>509</v>
      </c>
      <c r="M167" s="2" t="s">
        <v>553</v>
      </c>
      <c r="N167" s="2"/>
      <c r="O167" s="1" t="b">
        <v>0</v>
      </c>
      <c r="P167" s="1">
        <v>1</v>
      </c>
      <c r="Q167" s="1">
        <v>1</v>
      </c>
      <c r="R167" s="1" t="b">
        <f t="shared" si="5"/>
        <v>1</v>
      </c>
      <c r="S167" s="2" t="s">
        <v>58</v>
      </c>
      <c r="T167" s="1" t="str">
        <f>IF(S167="","",VLOOKUP(S167,'Ontology and concepts per UC'!$F$2:$J$46,5,FALSE))</f>
        <v>Parámetros de progresión</v>
      </c>
      <c r="U167" s="1" t="b">
        <f t="array" ref="U167">(INDEX('Ontology and concepts per UC'!$G$2:$I$46,MATCH($S167,'Ontology and concepts per UC'!$F$2:$F$46,0),MATCH(LEFT($A167,3),'Ontology and concepts per UC'!$G$1:$I$1,0))=0)</f>
        <v>0</v>
      </c>
      <c r="V167" s="1" t="b">
        <f t="shared" si="6"/>
        <v>1</v>
      </c>
      <c r="W167" s="1" t="b">
        <v>1</v>
      </c>
      <c r="X167" s="1" t="b">
        <v>0</v>
      </c>
      <c r="Y167" s="1" t="b">
        <v>0</v>
      </c>
      <c r="Z167" s="1" t="b">
        <v>1</v>
      </c>
      <c r="AA167" s="1" t="s">
        <v>554</v>
      </c>
    </row>
    <row r="168" spans="1:27" x14ac:dyDescent="0.25">
      <c r="A168" s="1" t="s">
        <v>379</v>
      </c>
      <c r="B168" s="2" t="s">
        <v>555</v>
      </c>
      <c r="C168" s="2" t="s">
        <v>522</v>
      </c>
      <c r="D168" s="6">
        <f t="shared" si="0"/>
        <v>1</v>
      </c>
      <c r="E168" s="7" t="str">
        <f t="shared" si="1"/>
        <v>ProbabilityParameter</v>
      </c>
      <c r="F168" s="8" t="b">
        <f>IF(D168&lt;1,FALSE,ISERROR(MATCH(E168,'Ontology and concepts per UC'!$A$2:$A$62,0)))</f>
        <v>1</v>
      </c>
      <c r="G168" s="9" t="str">
        <f t="shared" si="2"/>
        <v/>
      </c>
      <c r="H168" s="9" t="str">
        <f t="shared" si="3"/>
        <v/>
      </c>
      <c r="I168" s="8" t="b">
        <f>IF(D168&lt;2,FALSE,ISERROR(MATCH(H168,'Ontology and concepts per UC'!$A$2:$A$62,0)))</f>
        <v>0</v>
      </c>
      <c r="J168" s="9" t="str">
        <f t="shared" si="4"/>
        <v/>
      </c>
      <c r="K168" s="8" t="b">
        <f>IF(D168&lt;3,FALSE,ISERROR(MATCH(J168,'Ontology and concepts per UC'!$A$2:$A$62,0)))</f>
        <v>0</v>
      </c>
      <c r="L168" s="2" t="s">
        <v>462</v>
      </c>
      <c r="M168" s="2" t="s">
        <v>556</v>
      </c>
      <c r="N168" s="2"/>
      <c r="O168" s="1" t="b">
        <v>0</v>
      </c>
      <c r="P168" s="1">
        <v>1</v>
      </c>
      <c r="Q168" s="1">
        <v>1</v>
      </c>
      <c r="R168" s="1" t="b">
        <f t="shared" si="5"/>
        <v>1</v>
      </c>
      <c r="S168" s="2" t="s">
        <v>367</v>
      </c>
      <c r="T168" s="1" t="str">
        <f>IF(S168="","",VLOOKUP(S168,'Ontology and concepts per UC'!$F$2:$J$46,5,FALSE))</f>
        <v>Parámetros de progresión</v>
      </c>
      <c r="U168" s="1" t="b">
        <f t="array" ref="U168">(INDEX('Ontology and concepts per UC'!$G$2:$I$46,MATCH($S168,'Ontology and concepts per UC'!$F$2:$F$46,0),MATCH(LEFT($A168,3),'Ontology and concepts per UC'!$G$1:$I$1,0))=0)</f>
        <v>0</v>
      </c>
      <c r="V168" s="1" t="b">
        <f t="shared" si="6"/>
        <v>1</v>
      </c>
      <c r="W168" s="1" t="b">
        <v>1</v>
      </c>
      <c r="X168" s="1" t="b">
        <v>0</v>
      </c>
      <c r="Y168" s="1" t="b">
        <v>0</v>
      </c>
      <c r="Z168" s="1" t="b">
        <v>0</v>
      </c>
      <c r="AA168" s="1" t="s">
        <v>524</v>
      </c>
    </row>
    <row r="169" spans="1:27" x14ac:dyDescent="0.25">
      <c r="A169" s="1" t="s">
        <v>379</v>
      </c>
      <c r="B169" s="2" t="s">
        <v>557</v>
      </c>
      <c r="C169" s="2" t="s">
        <v>522</v>
      </c>
      <c r="D169" s="6">
        <f t="shared" si="0"/>
        <v>1</v>
      </c>
      <c r="E169" s="7" t="str">
        <f t="shared" si="1"/>
        <v>ProbabilityParameter</v>
      </c>
      <c r="F169" s="8" t="b">
        <f>IF(D169&lt;1,FALSE,ISERROR(MATCH(E169,'Ontology and concepts per UC'!$A$2:$A$62,0)))</f>
        <v>1</v>
      </c>
      <c r="G169" s="9" t="str">
        <f t="shared" si="2"/>
        <v/>
      </c>
      <c r="H169" s="9" t="str">
        <f t="shared" si="3"/>
        <v/>
      </c>
      <c r="I169" s="8" t="b">
        <f>IF(D169&lt;2,FALSE,ISERROR(MATCH(H169,'Ontology and concepts per UC'!$A$2:$A$62,0)))</f>
        <v>0</v>
      </c>
      <c r="J169" s="9" t="str">
        <f t="shared" si="4"/>
        <v/>
      </c>
      <c r="K169" s="8" t="b">
        <f>IF(D169&lt;3,FALSE,ISERROR(MATCH(J169,'Ontology and concepts per UC'!$A$2:$A$62,0)))</f>
        <v>0</v>
      </c>
      <c r="L169" s="2" t="s">
        <v>466</v>
      </c>
      <c r="M169" s="2" t="s">
        <v>556</v>
      </c>
      <c r="N169" s="2"/>
      <c r="O169" s="1" t="b">
        <v>0</v>
      </c>
      <c r="P169" s="1">
        <v>1</v>
      </c>
      <c r="Q169" s="1">
        <v>1</v>
      </c>
      <c r="R169" s="1" t="b">
        <f t="shared" si="5"/>
        <v>1</v>
      </c>
      <c r="S169" s="2" t="s">
        <v>367</v>
      </c>
      <c r="T169" s="1" t="str">
        <f>IF(S169="","",VLOOKUP(S169,'Ontology and concepts per UC'!$F$2:$J$46,5,FALSE))</f>
        <v>Parámetros de progresión</v>
      </c>
      <c r="U169" s="1" t="b">
        <f t="array" ref="U169">(INDEX('Ontology and concepts per UC'!$G$2:$I$46,MATCH($S169,'Ontology and concepts per UC'!$F$2:$F$46,0),MATCH(LEFT($A169,3),'Ontology and concepts per UC'!$G$1:$I$1,0))=0)</f>
        <v>0</v>
      </c>
      <c r="V169" s="1" t="b">
        <f t="shared" si="6"/>
        <v>1</v>
      </c>
      <c r="W169" s="1" t="b">
        <v>1</v>
      </c>
      <c r="X169" s="1" t="b">
        <v>0</v>
      </c>
      <c r="Y169" s="1" t="b">
        <v>0</v>
      </c>
      <c r="Z169" s="1" t="b">
        <v>0</v>
      </c>
      <c r="AA169" s="1" t="s">
        <v>524</v>
      </c>
    </row>
    <row r="170" spans="1:27" x14ac:dyDescent="0.25">
      <c r="A170" s="1" t="s">
        <v>379</v>
      </c>
      <c r="B170" s="2" t="s">
        <v>558</v>
      </c>
      <c r="C170" s="2" t="s">
        <v>522</v>
      </c>
      <c r="D170" s="6">
        <f t="shared" si="0"/>
        <v>1</v>
      </c>
      <c r="E170" s="7" t="str">
        <f t="shared" si="1"/>
        <v>ProbabilityParameter</v>
      </c>
      <c r="F170" s="8" t="b">
        <f>IF(D170&lt;1,FALSE,ISERROR(MATCH(E170,'Ontology and concepts per UC'!$A$2:$A$62,0)))</f>
        <v>1</v>
      </c>
      <c r="G170" s="9" t="str">
        <f t="shared" si="2"/>
        <v/>
      </c>
      <c r="H170" s="9" t="str">
        <f t="shared" si="3"/>
        <v/>
      </c>
      <c r="I170" s="8" t="b">
        <f>IF(D170&lt;2,FALSE,ISERROR(MATCH(H170,'Ontology and concepts per UC'!$A$2:$A$62,0)))</f>
        <v>0</v>
      </c>
      <c r="J170" s="9" t="str">
        <f t="shared" si="4"/>
        <v/>
      </c>
      <c r="K170" s="8" t="b">
        <f>IF(D170&lt;3,FALSE,ISERROR(MATCH(J170,'Ontology and concepts per UC'!$A$2:$A$62,0)))</f>
        <v>0</v>
      </c>
      <c r="L170" s="2" t="s">
        <v>469</v>
      </c>
      <c r="M170" s="2" t="s">
        <v>556</v>
      </c>
      <c r="N170" s="2"/>
      <c r="O170" s="1" t="b">
        <v>0</v>
      </c>
      <c r="P170" s="1">
        <v>1</v>
      </c>
      <c r="Q170" s="1">
        <v>1</v>
      </c>
      <c r="R170" s="1" t="b">
        <f t="shared" si="5"/>
        <v>1</v>
      </c>
      <c r="S170" s="2" t="s">
        <v>367</v>
      </c>
      <c r="T170" s="1" t="str">
        <f>IF(S170="","",VLOOKUP(S170,'Ontology and concepts per UC'!$F$2:$J$46,5,FALSE))</f>
        <v>Parámetros de progresión</v>
      </c>
      <c r="U170" s="1" t="b">
        <f t="array" ref="U170">(INDEX('Ontology and concepts per UC'!$G$2:$I$46,MATCH($S170,'Ontology and concepts per UC'!$F$2:$F$46,0),MATCH(LEFT($A170,3),'Ontology and concepts per UC'!$G$1:$I$1,0))=0)</f>
        <v>0</v>
      </c>
      <c r="V170" s="1" t="b">
        <f t="shared" si="6"/>
        <v>1</v>
      </c>
      <c r="W170" s="1" t="b">
        <v>1</v>
      </c>
      <c r="X170" s="1" t="b">
        <v>0</v>
      </c>
      <c r="Y170" s="1" t="b">
        <v>0</v>
      </c>
      <c r="Z170" s="1" t="b">
        <v>0</v>
      </c>
      <c r="AA170" s="1" t="s">
        <v>524</v>
      </c>
    </row>
    <row r="171" spans="1:27" x14ac:dyDescent="0.25">
      <c r="A171" s="1" t="s">
        <v>379</v>
      </c>
      <c r="B171" s="2" t="s">
        <v>559</v>
      </c>
      <c r="C171" s="2" t="s">
        <v>522</v>
      </c>
      <c r="D171" s="6">
        <f t="shared" si="0"/>
        <v>1</v>
      </c>
      <c r="E171" s="7" t="str">
        <f t="shared" si="1"/>
        <v>ProbabilityParameter</v>
      </c>
      <c r="F171" s="8" t="b">
        <f>IF(D171&lt;1,FALSE,ISERROR(MATCH(E171,'Ontology and concepts per UC'!$A$2:$A$62,0)))</f>
        <v>1</v>
      </c>
      <c r="G171" s="9" t="str">
        <f t="shared" si="2"/>
        <v/>
      </c>
      <c r="H171" s="9" t="str">
        <f t="shared" si="3"/>
        <v/>
      </c>
      <c r="I171" s="8" t="b">
        <f>IF(D171&lt;2,FALSE,ISERROR(MATCH(H171,'Ontology and concepts per UC'!$A$2:$A$62,0)))</f>
        <v>0</v>
      </c>
      <c r="J171" s="9" t="str">
        <f t="shared" si="4"/>
        <v/>
      </c>
      <c r="K171" s="8" t="b">
        <f>IF(D171&lt;3,FALSE,ISERROR(MATCH(J171,'Ontology and concepts per UC'!$A$2:$A$62,0)))</f>
        <v>0</v>
      </c>
      <c r="L171" s="2" t="s">
        <v>472</v>
      </c>
      <c r="M171" s="2" t="s">
        <v>560</v>
      </c>
      <c r="N171" s="2"/>
      <c r="O171" s="1" t="b">
        <v>0</v>
      </c>
      <c r="P171" s="1">
        <v>1</v>
      </c>
      <c r="Q171" s="1">
        <v>1</v>
      </c>
      <c r="R171" s="1" t="b">
        <f t="shared" si="5"/>
        <v>1</v>
      </c>
      <c r="S171" s="2" t="s">
        <v>54</v>
      </c>
      <c r="T171" s="1" t="str">
        <f>IF(S171="","",VLOOKUP(S171,'Ontology and concepts per UC'!$F$2:$J$46,5,FALSE))</f>
        <v>Parámetros de progresión</v>
      </c>
      <c r="U171" s="1" t="b">
        <f t="array" ref="U171">(INDEX('Ontology and concepts per UC'!$G$2:$I$46,MATCH($S171,'Ontology and concepts per UC'!$F$2:$F$46,0),MATCH(LEFT($A171,3),'Ontology and concepts per UC'!$G$1:$I$1,0))=0)</f>
        <v>0</v>
      </c>
      <c r="V171" s="1" t="b">
        <f t="shared" si="6"/>
        <v>1</v>
      </c>
      <c r="W171" s="1" t="b">
        <v>1</v>
      </c>
      <c r="X171" s="1" t="b">
        <v>0</v>
      </c>
      <c r="Y171" s="1" t="b">
        <v>0</v>
      </c>
      <c r="Z171" s="1" t="b">
        <v>0</v>
      </c>
      <c r="AA171" s="1" t="s">
        <v>524</v>
      </c>
    </row>
    <row r="172" spans="1:27" x14ac:dyDescent="0.25">
      <c r="A172" s="1" t="s">
        <v>379</v>
      </c>
      <c r="B172" s="2" t="s">
        <v>561</v>
      </c>
      <c r="C172" s="2" t="s">
        <v>522</v>
      </c>
      <c r="D172" s="6">
        <f t="shared" si="0"/>
        <v>1</v>
      </c>
      <c r="E172" s="7" t="str">
        <f t="shared" si="1"/>
        <v>ProbabilityParameter</v>
      </c>
      <c r="F172" s="8" t="b">
        <f>IF(D172&lt;1,FALSE,ISERROR(MATCH(E172,'Ontology and concepts per UC'!$A$2:$A$62,0)))</f>
        <v>1</v>
      </c>
      <c r="G172" s="9" t="str">
        <f t="shared" si="2"/>
        <v/>
      </c>
      <c r="H172" s="9" t="str">
        <f t="shared" si="3"/>
        <v/>
      </c>
      <c r="I172" s="8" t="b">
        <f>IF(D172&lt;2,FALSE,ISERROR(MATCH(H172,'Ontology and concepts per UC'!$A$2:$A$62,0)))</f>
        <v>0</v>
      </c>
      <c r="J172" s="9" t="str">
        <f t="shared" si="4"/>
        <v/>
      </c>
      <c r="K172" s="8" t="b">
        <f>IF(D172&lt;3,FALSE,ISERROR(MATCH(J172,'Ontology and concepts per UC'!$A$2:$A$62,0)))</f>
        <v>0</v>
      </c>
      <c r="L172" s="2" t="s">
        <v>475</v>
      </c>
      <c r="M172" s="2" t="s">
        <v>560</v>
      </c>
      <c r="N172" s="2"/>
      <c r="O172" s="1" t="b">
        <v>0</v>
      </c>
      <c r="P172" s="1">
        <v>1</v>
      </c>
      <c r="Q172" s="1">
        <v>1</v>
      </c>
      <c r="R172" s="1" t="b">
        <f t="shared" si="5"/>
        <v>1</v>
      </c>
      <c r="S172" s="2" t="s">
        <v>367</v>
      </c>
      <c r="T172" s="1" t="str">
        <f>IF(S172="","",VLOOKUP(S172,'Ontology and concepts per UC'!$F$2:$J$46,5,FALSE))</f>
        <v>Parámetros de progresión</v>
      </c>
      <c r="U172" s="1" t="b">
        <f t="array" ref="U172">(INDEX('Ontology and concepts per UC'!$G$2:$I$46,MATCH($S172,'Ontology and concepts per UC'!$F$2:$F$46,0),MATCH(LEFT($A172,3),'Ontology and concepts per UC'!$G$1:$I$1,0))=0)</f>
        <v>0</v>
      </c>
      <c r="V172" s="1" t="b">
        <f t="shared" si="6"/>
        <v>1</v>
      </c>
      <c r="W172" s="1" t="b">
        <v>1</v>
      </c>
      <c r="X172" s="1" t="b">
        <v>0</v>
      </c>
      <c r="Y172" s="1" t="b">
        <v>0</v>
      </c>
      <c r="Z172" s="1" t="b">
        <v>0</v>
      </c>
      <c r="AA172" s="1" t="s">
        <v>524</v>
      </c>
    </row>
    <row r="173" spans="1:27" x14ac:dyDescent="0.25">
      <c r="A173" s="1" t="s">
        <v>379</v>
      </c>
      <c r="B173" s="2" t="s">
        <v>562</v>
      </c>
      <c r="C173" s="2" t="s">
        <v>522</v>
      </c>
      <c r="D173" s="6">
        <f t="shared" si="0"/>
        <v>1</v>
      </c>
      <c r="E173" s="7" t="str">
        <f t="shared" si="1"/>
        <v>ProbabilityParameter</v>
      </c>
      <c r="F173" s="8" t="b">
        <f>IF(D173&lt;1,FALSE,ISERROR(MATCH(E173,'Ontology and concepts per UC'!$A$2:$A$62,0)))</f>
        <v>1</v>
      </c>
      <c r="G173" s="9" t="str">
        <f t="shared" si="2"/>
        <v/>
      </c>
      <c r="H173" s="9" t="str">
        <f t="shared" si="3"/>
        <v/>
      </c>
      <c r="I173" s="8" t="b">
        <f>IF(D173&lt;2,FALSE,ISERROR(MATCH(H173,'Ontology and concepts per UC'!$A$2:$A$62,0)))</f>
        <v>0</v>
      </c>
      <c r="J173" s="9" t="str">
        <f t="shared" si="4"/>
        <v/>
      </c>
      <c r="K173" s="8" t="b">
        <f>IF(D173&lt;3,FALSE,ISERROR(MATCH(J173,'Ontology and concepts per UC'!$A$2:$A$62,0)))</f>
        <v>0</v>
      </c>
      <c r="L173" s="2" t="s">
        <v>478</v>
      </c>
      <c r="M173" s="2" t="s">
        <v>556</v>
      </c>
      <c r="N173" s="2"/>
      <c r="O173" s="1" t="b">
        <v>0</v>
      </c>
      <c r="P173" s="1">
        <v>1</v>
      </c>
      <c r="Q173" s="1">
        <v>1</v>
      </c>
      <c r="R173" s="1" t="b">
        <f t="shared" si="5"/>
        <v>1</v>
      </c>
      <c r="S173" s="2" t="s">
        <v>51</v>
      </c>
      <c r="T173" s="1" t="str">
        <f>IF(S173="","",VLOOKUP(S173,'Ontology and concepts per UC'!$F$2:$J$46,5,FALSE))</f>
        <v>Parámetros de progresión</v>
      </c>
      <c r="U173" s="1" t="b">
        <f t="array" ref="U173">(INDEX('Ontology and concepts per UC'!$G$2:$I$46,MATCH($S173,'Ontology and concepts per UC'!$F$2:$F$46,0),MATCH(LEFT($A173,3),'Ontology and concepts per UC'!$G$1:$I$1,0))=0)</f>
        <v>0</v>
      </c>
      <c r="V173" s="1" t="b">
        <f t="shared" si="6"/>
        <v>1</v>
      </c>
      <c r="W173" s="1" t="b">
        <v>1</v>
      </c>
      <c r="X173" s="1" t="b">
        <v>0</v>
      </c>
      <c r="Y173" s="1" t="b">
        <v>0</v>
      </c>
      <c r="Z173" s="1" t="b">
        <v>0</v>
      </c>
      <c r="AA173" s="1" t="s">
        <v>524</v>
      </c>
    </row>
    <row r="174" spans="1:27" x14ac:dyDescent="0.25">
      <c r="A174" s="1" t="s">
        <v>379</v>
      </c>
      <c r="B174" s="2" t="s">
        <v>563</v>
      </c>
      <c r="C174" s="2" t="s">
        <v>522</v>
      </c>
      <c r="D174" s="6">
        <f t="shared" si="0"/>
        <v>1</v>
      </c>
      <c r="E174" s="7" t="str">
        <f t="shared" si="1"/>
        <v>ProbabilityParameter</v>
      </c>
      <c r="F174" s="8" t="b">
        <f>IF(D174&lt;1,FALSE,ISERROR(MATCH(E174,'Ontology and concepts per UC'!$A$2:$A$62,0)))</f>
        <v>1</v>
      </c>
      <c r="G174" s="9" t="str">
        <f t="shared" si="2"/>
        <v/>
      </c>
      <c r="H174" s="9" t="str">
        <f t="shared" si="3"/>
        <v/>
      </c>
      <c r="I174" s="8" t="b">
        <f>IF(D174&lt;2,FALSE,ISERROR(MATCH(H174,'Ontology and concepts per UC'!$A$2:$A$62,0)))</f>
        <v>0</v>
      </c>
      <c r="J174" s="9" t="str">
        <f t="shared" si="4"/>
        <v/>
      </c>
      <c r="K174" s="8" t="b">
        <f>IF(D174&lt;3,FALSE,ISERROR(MATCH(J174,'Ontology and concepts per UC'!$A$2:$A$62,0)))</f>
        <v>0</v>
      </c>
      <c r="L174" s="2" t="s">
        <v>482</v>
      </c>
      <c r="M174" s="2" t="s">
        <v>560</v>
      </c>
      <c r="N174" s="2"/>
      <c r="O174" s="1" t="b">
        <v>0</v>
      </c>
      <c r="P174" s="1">
        <v>1</v>
      </c>
      <c r="Q174" s="1">
        <v>1</v>
      </c>
      <c r="R174" s="1" t="b">
        <f t="shared" si="5"/>
        <v>1</v>
      </c>
      <c r="S174" s="2" t="s">
        <v>54</v>
      </c>
      <c r="T174" s="1" t="str">
        <f>IF(S174="","",VLOOKUP(S174,'Ontology and concepts per UC'!$F$2:$J$46,5,FALSE))</f>
        <v>Parámetros de progresión</v>
      </c>
      <c r="U174" s="1" t="b">
        <f t="array" ref="U174">(INDEX('Ontology and concepts per UC'!$G$2:$I$46,MATCH($S174,'Ontology and concepts per UC'!$F$2:$F$46,0),MATCH(LEFT($A174,3),'Ontology and concepts per UC'!$G$1:$I$1,0))=0)</f>
        <v>0</v>
      </c>
      <c r="V174" s="1" t="b">
        <f t="shared" si="6"/>
        <v>1</v>
      </c>
      <c r="W174" s="1" t="b">
        <v>1</v>
      </c>
      <c r="X174" s="1" t="b">
        <v>0</v>
      </c>
      <c r="Y174" s="1" t="b">
        <v>0</v>
      </c>
      <c r="Z174" s="1" t="b">
        <v>0</v>
      </c>
      <c r="AA174" s="1" t="s">
        <v>524</v>
      </c>
    </row>
    <row r="175" spans="1:27" x14ac:dyDescent="0.25">
      <c r="A175" s="1" t="s">
        <v>379</v>
      </c>
      <c r="B175" s="2" t="s">
        <v>564</v>
      </c>
      <c r="C175" s="2" t="s">
        <v>522</v>
      </c>
      <c r="D175" s="6">
        <f t="shared" si="0"/>
        <v>1</v>
      </c>
      <c r="E175" s="7" t="str">
        <f t="shared" si="1"/>
        <v>ProbabilityParameter</v>
      </c>
      <c r="F175" s="8" t="b">
        <f>IF(D175&lt;1,FALSE,ISERROR(MATCH(E175,'Ontology and concepts per UC'!$A$2:$A$62,0)))</f>
        <v>1</v>
      </c>
      <c r="G175" s="9" t="str">
        <f t="shared" si="2"/>
        <v/>
      </c>
      <c r="H175" s="9" t="str">
        <f t="shared" si="3"/>
        <v/>
      </c>
      <c r="I175" s="8" t="b">
        <f>IF(D175&lt;2,FALSE,ISERROR(MATCH(H175,'Ontology and concepts per UC'!$A$2:$A$62,0)))</f>
        <v>0</v>
      </c>
      <c r="J175" s="9" t="str">
        <f t="shared" si="4"/>
        <v/>
      </c>
      <c r="K175" s="8" t="b">
        <f>IF(D175&lt;3,FALSE,ISERROR(MATCH(J175,'Ontology and concepts per UC'!$A$2:$A$62,0)))</f>
        <v>0</v>
      </c>
      <c r="L175" s="2" t="s">
        <v>485</v>
      </c>
      <c r="M175" s="2" t="s">
        <v>556</v>
      </c>
      <c r="N175" s="2"/>
      <c r="O175" s="1" t="b">
        <v>0</v>
      </c>
      <c r="P175" s="1">
        <v>1</v>
      </c>
      <c r="Q175" s="1">
        <v>1</v>
      </c>
      <c r="R175" s="1" t="b">
        <f t="shared" si="5"/>
        <v>1</v>
      </c>
      <c r="S175" s="2" t="s">
        <v>367</v>
      </c>
      <c r="T175" s="1" t="str">
        <f>IF(S175="","",VLOOKUP(S175,'Ontology and concepts per UC'!$F$2:$J$46,5,FALSE))</f>
        <v>Parámetros de progresión</v>
      </c>
      <c r="U175" s="1" t="b">
        <f t="array" ref="U175">(INDEX('Ontology and concepts per UC'!$G$2:$I$46,MATCH($S175,'Ontology and concepts per UC'!$F$2:$F$46,0),MATCH(LEFT($A175,3),'Ontology and concepts per UC'!$G$1:$I$1,0))=0)</f>
        <v>0</v>
      </c>
      <c r="V175" s="1" t="b">
        <f t="shared" si="6"/>
        <v>1</v>
      </c>
      <c r="W175" s="1" t="b">
        <v>1</v>
      </c>
      <c r="X175" s="1" t="b">
        <v>0</v>
      </c>
      <c r="Y175" s="1" t="b">
        <v>0</v>
      </c>
      <c r="Z175" s="1" t="b">
        <v>0</v>
      </c>
      <c r="AA175" s="1" t="s">
        <v>524</v>
      </c>
    </row>
    <row r="176" spans="1:27" x14ac:dyDescent="0.25">
      <c r="A176" s="1" t="s">
        <v>379</v>
      </c>
      <c r="B176" s="2" t="s">
        <v>565</v>
      </c>
      <c r="C176" s="2" t="s">
        <v>522</v>
      </c>
      <c r="D176" s="6">
        <f t="shared" si="0"/>
        <v>1</v>
      </c>
      <c r="E176" s="7" t="str">
        <f t="shared" si="1"/>
        <v>ProbabilityParameter</v>
      </c>
      <c r="F176" s="8" t="b">
        <f>IF(D176&lt;1,FALSE,ISERROR(MATCH(E176,'Ontology and concepts per UC'!$A$2:$A$62,0)))</f>
        <v>1</v>
      </c>
      <c r="G176" s="9" t="str">
        <f t="shared" si="2"/>
        <v/>
      </c>
      <c r="H176" s="9" t="str">
        <f t="shared" si="3"/>
        <v/>
      </c>
      <c r="I176" s="8" t="b">
        <f>IF(D176&lt;2,FALSE,ISERROR(MATCH(H176,'Ontology and concepts per UC'!$A$2:$A$62,0)))</f>
        <v>0</v>
      </c>
      <c r="J176" s="9" t="str">
        <f t="shared" si="4"/>
        <v/>
      </c>
      <c r="K176" s="8" t="b">
        <f>IF(D176&lt;3,FALSE,ISERROR(MATCH(J176,'Ontology and concepts per UC'!$A$2:$A$62,0)))</f>
        <v>0</v>
      </c>
      <c r="L176" s="2" t="s">
        <v>488</v>
      </c>
      <c r="M176" s="2" t="s">
        <v>560</v>
      </c>
      <c r="N176" s="2"/>
      <c r="O176" s="1" t="b">
        <v>0</v>
      </c>
      <c r="P176" s="1">
        <v>1</v>
      </c>
      <c r="Q176" s="1">
        <v>1</v>
      </c>
      <c r="R176" s="1" t="b">
        <f t="shared" si="5"/>
        <v>1</v>
      </c>
      <c r="S176" s="2" t="s">
        <v>367</v>
      </c>
      <c r="T176" s="1" t="str">
        <f>IF(S176="","",VLOOKUP(S176,'Ontology and concepts per UC'!$F$2:$J$46,5,FALSE))</f>
        <v>Parámetros de progresión</v>
      </c>
      <c r="U176" s="1" t="b">
        <f t="array" ref="U176">(INDEX('Ontology and concepts per UC'!$G$2:$I$46,MATCH($S176,'Ontology and concepts per UC'!$F$2:$F$46,0),MATCH(LEFT($A176,3),'Ontology and concepts per UC'!$G$1:$I$1,0))=0)</f>
        <v>0</v>
      </c>
      <c r="V176" s="1" t="b">
        <f t="shared" si="6"/>
        <v>1</v>
      </c>
      <c r="W176" s="1" t="b">
        <v>1</v>
      </c>
      <c r="X176" s="1" t="b">
        <v>0</v>
      </c>
      <c r="Y176" s="1" t="b">
        <v>0</v>
      </c>
      <c r="Z176" s="1" t="b">
        <v>0</v>
      </c>
      <c r="AA176" s="1" t="s">
        <v>524</v>
      </c>
    </row>
    <row r="177" spans="1:27" x14ac:dyDescent="0.25">
      <c r="A177" s="1" t="s">
        <v>379</v>
      </c>
      <c r="B177" s="2" t="s">
        <v>566</v>
      </c>
      <c r="C177" s="2" t="s">
        <v>522</v>
      </c>
      <c r="D177" s="6">
        <f t="shared" si="0"/>
        <v>1</v>
      </c>
      <c r="E177" s="7" t="str">
        <f t="shared" si="1"/>
        <v>ProbabilityParameter</v>
      </c>
      <c r="F177" s="8" t="b">
        <f>IF(D177&lt;1,FALSE,ISERROR(MATCH(E177,'Ontology and concepts per UC'!$A$2:$A$62,0)))</f>
        <v>1</v>
      </c>
      <c r="G177" s="9" t="str">
        <f t="shared" si="2"/>
        <v/>
      </c>
      <c r="H177" s="9" t="str">
        <f t="shared" si="3"/>
        <v/>
      </c>
      <c r="I177" s="8" t="b">
        <f>IF(D177&lt;2,FALSE,ISERROR(MATCH(H177,'Ontology and concepts per UC'!$A$2:$A$62,0)))</f>
        <v>0</v>
      </c>
      <c r="J177" s="9" t="str">
        <f t="shared" si="4"/>
        <v/>
      </c>
      <c r="K177" s="8" t="b">
        <f>IF(D177&lt;3,FALSE,ISERROR(MATCH(J177,'Ontology and concepts per UC'!$A$2:$A$62,0)))</f>
        <v>0</v>
      </c>
      <c r="L177" s="2" t="s">
        <v>491</v>
      </c>
      <c r="M177" s="2" t="s">
        <v>560</v>
      </c>
      <c r="N177" s="2"/>
      <c r="O177" s="1" t="b">
        <v>0</v>
      </c>
      <c r="P177" s="1">
        <v>1</v>
      </c>
      <c r="Q177" s="1">
        <v>1</v>
      </c>
      <c r="R177" s="1" t="b">
        <f t="shared" si="5"/>
        <v>1</v>
      </c>
      <c r="S177" s="2" t="s">
        <v>367</v>
      </c>
      <c r="T177" s="1" t="str">
        <f>IF(S177="","",VLOOKUP(S177,'Ontology and concepts per UC'!$F$2:$J$46,5,FALSE))</f>
        <v>Parámetros de progresión</v>
      </c>
      <c r="U177" s="1" t="b">
        <f t="array" ref="U177">(INDEX('Ontology and concepts per UC'!$G$2:$I$46,MATCH($S177,'Ontology and concepts per UC'!$F$2:$F$46,0),MATCH(LEFT($A177,3),'Ontology and concepts per UC'!$G$1:$I$1,0))=0)</f>
        <v>0</v>
      </c>
      <c r="V177" s="1" t="b">
        <f t="shared" si="6"/>
        <v>1</v>
      </c>
      <c r="W177" s="1" t="b">
        <v>1</v>
      </c>
      <c r="X177" s="1" t="b">
        <v>0</v>
      </c>
      <c r="Y177" s="1" t="b">
        <v>0</v>
      </c>
      <c r="Z177" s="1" t="b">
        <v>0</v>
      </c>
      <c r="AA177" s="1" t="s">
        <v>524</v>
      </c>
    </row>
    <row r="178" spans="1:27" x14ac:dyDescent="0.25">
      <c r="A178" s="1" t="s">
        <v>379</v>
      </c>
      <c r="B178" s="2" t="s">
        <v>567</v>
      </c>
      <c r="C178" s="2" t="s">
        <v>522</v>
      </c>
      <c r="D178" s="6">
        <f t="shared" si="0"/>
        <v>1</v>
      </c>
      <c r="E178" s="7" t="str">
        <f t="shared" si="1"/>
        <v>ProbabilityParameter</v>
      </c>
      <c r="F178" s="8" t="b">
        <f>IF(D178&lt;1,FALSE,ISERROR(MATCH(E178,'Ontology and concepts per UC'!$A$2:$A$62,0)))</f>
        <v>1</v>
      </c>
      <c r="G178" s="9" t="str">
        <f t="shared" si="2"/>
        <v/>
      </c>
      <c r="H178" s="9" t="str">
        <f t="shared" si="3"/>
        <v/>
      </c>
      <c r="I178" s="8" t="b">
        <f>IF(D178&lt;2,FALSE,ISERROR(MATCH(H178,'Ontology and concepts per UC'!$A$2:$A$62,0)))</f>
        <v>0</v>
      </c>
      <c r="J178" s="9" t="str">
        <f t="shared" si="4"/>
        <v/>
      </c>
      <c r="K178" s="8" t="b">
        <f>IF(D178&lt;3,FALSE,ISERROR(MATCH(J178,'Ontology and concepts per UC'!$A$2:$A$62,0)))</f>
        <v>0</v>
      </c>
      <c r="L178" s="2" t="s">
        <v>494</v>
      </c>
      <c r="M178" s="2" t="s">
        <v>560</v>
      </c>
      <c r="N178" s="2"/>
      <c r="O178" s="1" t="b">
        <v>0</v>
      </c>
      <c r="P178" s="1">
        <v>1</v>
      </c>
      <c r="Q178" s="1">
        <v>1</v>
      </c>
      <c r="R178" s="1" t="b">
        <f t="shared" si="5"/>
        <v>1</v>
      </c>
      <c r="S178" s="2" t="s">
        <v>367</v>
      </c>
      <c r="T178" s="1" t="str">
        <f>IF(S178="","",VLOOKUP(S178,'Ontology and concepts per UC'!$F$2:$J$46,5,FALSE))</f>
        <v>Parámetros de progresión</v>
      </c>
      <c r="U178" s="1" t="b">
        <f t="array" ref="U178">(INDEX('Ontology and concepts per UC'!$G$2:$I$46,MATCH($S178,'Ontology and concepts per UC'!$F$2:$F$46,0),MATCH(LEFT($A178,3),'Ontology and concepts per UC'!$G$1:$I$1,0))=0)</f>
        <v>0</v>
      </c>
      <c r="V178" s="1" t="b">
        <f t="shared" si="6"/>
        <v>1</v>
      </c>
      <c r="W178" s="1" t="b">
        <v>1</v>
      </c>
      <c r="X178" s="1" t="b">
        <v>0</v>
      </c>
      <c r="Y178" s="1" t="b">
        <v>0</v>
      </c>
      <c r="Z178" s="1" t="b">
        <v>0</v>
      </c>
      <c r="AA178" s="1" t="s">
        <v>524</v>
      </c>
    </row>
    <row r="179" spans="1:27" x14ac:dyDescent="0.25">
      <c r="A179" s="1" t="s">
        <v>379</v>
      </c>
      <c r="B179" s="2" t="s">
        <v>568</v>
      </c>
      <c r="C179" s="2" t="s">
        <v>522</v>
      </c>
      <c r="D179" s="6">
        <f t="shared" si="0"/>
        <v>1</v>
      </c>
      <c r="E179" s="7" t="str">
        <f t="shared" si="1"/>
        <v>ProbabilityParameter</v>
      </c>
      <c r="F179" s="8" t="b">
        <f>IF(D179&lt;1,FALSE,ISERROR(MATCH(E179,'Ontology and concepts per UC'!$A$2:$A$62,0)))</f>
        <v>1</v>
      </c>
      <c r="G179" s="9" t="str">
        <f t="shared" si="2"/>
        <v/>
      </c>
      <c r="H179" s="9" t="str">
        <f t="shared" si="3"/>
        <v/>
      </c>
      <c r="I179" s="8" t="b">
        <f>IF(D179&lt;2,FALSE,ISERROR(MATCH(H179,'Ontology and concepts per UC'!$A$2:$A$62,0)))</f>
        <v>0</v>
      </c>
      <c r="J179" s="9" t="str">
        <f t="shared" si="4"/>
        <v/>
      </c>
      <c r="K179" s="8" t="b">
        <f>IF(D179&lt;3,FALSE,ISERROR(MATCH(J179,'Ontology and concepts per UC'!$A$2:$A$62,0)))</f>
        <v>0</v>
      </c>
      <c r="L179" s="2" t="s">
        <v>497</v>
      </c>
      <c r="M179" s="2" t="s">
        <v>569</v>
      </c>
      <c r="N179" s="2"/>
      <c r="O179" s="1" t="b">
        <v>0</v>
      </c>
      <c r="P179" s="1">
        <v>1</v>
      </c>
      <c r="Q179" s="1">
        <v>1</v>
      </c>
      <c r="R179" s="1" t="b">
        <f t="shared" si="5"/>
        <v>1</v>
      </c>
      <c r="S179" s="2" t="s">
        <v>367</v>
      </c>
      <c r="T179" s="1" t="str">
        <f>IF(S179="","",VLOOKUP(S179,'Ontology and concepts per UC'!$F$2:$J$46,5,FALSE))</f>
        <v>Parámetros de progresión</v>
      </c>
      <c r="U179" s="1" t="b">
        <f t="array" ref="U179">(INDEX('Ontology and concepts per UC'!$G$2:$I$46,MATCH($S179,'Ontology and concepts per UC'!$F$2:$F$46,0),MATCH(LEFT($A179,3),'Ontology and concepts per UC'!$G$1:$I$1,0))=0)</f>
        <v>0</v>
      </c>
      <c r="V179" s="1" t="b">
        <f t="shared" si="6"/>
        <v>1</v>
      </c>
      <c r="W179" s="1" t="b">
        <v>1</v>
      </c>
      <c r="X179" s="1" t="b">
        <v>0</v>
      </c>
      <c r="Y179" s="1" t="b">
        <v>0</v>
      </c>
      <c r="Z179" s="1" t="b">
        <v>0</v>
      </c>
      <c r="AA179" s="1" t="s">
        <v>524</v>
      </c>
    </row>
    <row r="180" spans="1:27" x14ac:dyDescent="0.25">
      <c r="A180" s="1" t="s">
        <v>379</v>
      </c>
      <c r="B180" s="2" t="s">
        <v>570</v>
      </c>
      <c r="C180" s="2" t="s">
        <v>522</v>
      </c>
      <c r="D180" s="6">
        <f t="shared" si="0"/>
        <v>1</v>
      </c>
      <c r="E180" s="7" t="str">
        <f t="shared" si="1"/>
        <v>ProbabilityParameter</v>
      </c>
      <c r="F180" s="8" t="b">
        <f>IF(D180&lt;1,FALSE,ISERROR(MATCH(E180,'Ontology and concepts per UC'!$A$2:$A$62,0)))</f>
        <v>1</v>
      </c>
      <c r="G180" s="9" t="str">
        <f t="shared" si="2"/>
        <v/>
      </c>
      <c r="H180" s="9" t="str">
        <f t="shared" si="3"/>
        <v/>
      </c>
      <c r="I180" s="8" t="b">
        <f>IF(D180&lt;2,FALSE,ISERROR(MATCH(H180,'Ontology and concepts per UC'!$A$2:$A$62,0)))</f>
        <v>0</v>
      </c>
      <c r="J180" s="9" t="str">
        <f t="shared" si="4"/>
        <v/>
      </c>
      <c r="K180" s="8" t="b">
        <f>IF(D180&lt;3,FALSE,ISERROR(MATCH(J180,'Ontology and concepts per UC'!$A$2:$A$62,0)))</f>
        <v>0</v>
      </c>
      <c r="L180" s="2" t="s">
        <v>500</v>
      </c>
      <c r="M180" s="2" t="s">
        <v>560</v>
      </c>
      <c r="N180" s="2"/>
      <c r="O180" s="1" t="b">
        <v>0</v>
      </c>
      <c r="P180" s="1">
        <v>1</v>
      </c>
      <c r="Q180" s="1">
        <v>1</v>
      </c>
      <c r="R180" s="1" t="b">
        <f t="shared" si="5"/>
        <v>1</v>
      </c>
      <c r="S180" s="2" t="s">
        <v>367</v>
      </c>
      <c r="T180" s="1" t="str">
        <f>IF(S180="","",VLOOKUP(S180,'Ontology and concepts per UC'!$F$2:$J$46,5,FALSE))</f>
        <v>Parámetros de progresión</v>
      </c>
      <c r="U180" s="1" t="b">
        <f t="array" ref="U180">(INDEX('Ontology and concepts per UC'!$G$2:$I$46,MATCH($S180,'Ontology and concepts per UC'!$F$2:$F$46,0),MATCH(LEFT($A180,3),'Ontology and concepts per UC'!$G$1:$I$1,0))=0)</f>
        <v>0</v>
      </c>
      <c r="V180" s="1" t="b">
        <f t="shared" si="6"/>
        <v>1</v>
      </c>
      <c r="W180" s="1" t="b">
        <v>1</v>
      </c>
      <c r="X180" s="1" t="b">
        <v>0</v>
      </c>
      <c r="Y180" s="1" t="b">
        <v>0</v>
      </c>
      <c r="Z180" s="1" t="b">
        <v>0</v>
      </c>
      <c r="AA180" s="1" t="s">
        <v>524</v>
      </c>
    </row>
    <row r="181" spans="1:27" x14ac:dyDescent="0.25">
      <c r="A181" s="1" t="s">
        <v>379</v>
      </c>
      <c r="B181" s="2" t="s">
        <v>571</v>
      </c>
      <c r="C181" s="2" t="s">
        <v>522</v>
      </c>
      <c r="D181" s="6">
        <f t="shared" si="0"/>
        <v>1</v>
      </c>
      <c r="E181" s="7" t="str">
        <f t="shared" si="1"/>
        <v>ProbabilityParameter</v>
      </c>
      <c r="F181" s="8" t="b">
        <f>IF(D181&lt;1,FALSE,ISERROR(MATCH(E181,'Ontology and concepts per UC'!$A$2:$A$62,0)))</f>
        <v>1</v>
      </c>
      <c r="G181" s="9" t="str">
        <f t="shared" si="2"/>
        <v/>
      </c>
      <c r="H181" s="9" t="str">
        <f t="shared" si="3"/>
        <v/>
      </c>
      <c r="I181" s="8" t="b">
        <f>IF(D181&lt;2,FALSE,ISERROR(MATCH(H181,'Ontology and concepts per UC'!$A$2:$A$62,0)))</f>
        <v>0</v>
      </c>
      <c r="J181" s="9" t="str">
        <f t="shared" si="4"/>
        <v/>
      </c>
      <c r="K181" s="8" t="b">
        <f>IF(D181&lt;3,FALSE,ISERROR(MATCH(J181,'Ontology and concepts per UC'!$A$2:$A$62,0)))</f>
        <v>0</v>
      </c>
      <c r="L181" s="2" t="s">
        <v>503</v>
      </c>
      <c r="M181" s="2" t="s">
        <v>560</v>
      </c>
      <c r="N181" s="2"/>
      <c r="O181" s="1" t="b">
        <v>0</v>
      </c>
      <c r="P181" s="1">
        <v>1</v>
      </c>
      <c r="Q181" s="1">
        <v>1</v>
      </c>
      <c r="R181" s="1" t="b">
        <f t="shared" si="5"/>
        <v>1</v>
      </c>
      <c r="S181" s="2" t="s">
        <v>367</v>
      </c>
      <c r="T181" s="1" t="str">
        <f>IF(S181="","",VLOOKUP(S181,'Ontology and concepts per UC'!$F$2:$J$46,5,FALSE))</f>
        <v>Parámetros de progresión</v>
      </c>
      <c r="U181" s="1" t="b">
        <f t="array" ref="U181">(INDEX('Ontology and concepts per UC'!$G$2:$I$46,MATCH($S181,'Ontology and concepts per UC'!$F$2:$F$46,0),MATCH(LEFT($A181,3),'Ontology and concepts per UC'!$G$1:$I$1,0))=0)</f>
        <v>0</v>
      </c>
      <c r="V181" s="1" t="b">
        <f t="shared" si="6"/>
        <v>1</v>
      </c>
      <c r="W181" s="1" t="b">
        <v>1</v>
      </c>
      <c r="X181" s="1" t="b">
        <v>0</v>
      </c>
      <c r="Y181" s="1" t="b">
        <v>0</v>
      </c>
      <c r="Z181" s="1" t="b">
        <v>0</v>
      </c>
      <c r="AA181" s="1" t="s">
        <v>524</v>
      </c>
    </row>
    <row r="182" spans="1:27" x14ac:dyDescent="0.25">
      <c r="A182" s="1" t="s">
        <v>379</v>
      </c>
      <c r="B182" s="2" t="s">
        <v>572</v>
      </c>
      <c r="C182" s="2" t="s">
        <v>522</v>
      </c>
      <c r="D182" s="6">
        <f t="shared" si="0"/>
        <v>1</v>
      </c>
      <c r="E182" s="7" t="str">
        <f t="shared" si="1"/>
        <v>ProbabilityParameter</v>
      </c>
      <c r="F182" s="8" t="b">
        <f>IF(D182&lt;1,FALSE,ISERROR(MATCH(E182,'Ontology and concepts per UC'!$A$2:$A$62,0)))</f>
        <v>1</v>
      </c>
      <c r="G182" s="9" t="str">
        <f t="shared" si="2"/>
        <v/>
      </c>
      <c r="H182" s="9" t="str">
        <f t="shared" si="3"/>
        <v/>
      </c>
      <c r="I182" s="8" t="b">
        <f>IF(D182&lt;2,FALSE,ISERROR(MATCH(H182,'Ontology and concepts per UC'!$A$2:$A$62,0)))</f>
        <v>0</v>
      </c>
      <c r="J182" s="9" t="str">
        <f t="shared" si="4"/>
        <v/>
      </c>
      <c r="K182" s="8" t="b">
        <f>IF(D182&lt;3,FALSE,ISERROR(MATCH(J182,'Ontology and concepts per UC'!$A$2:$A$62,0)))</f>
        <v>0</v>
      </c>
      <c r="L182" s="2" t="s">
        <v>506</v>
      </c>
      <c r="M182" s="2" t="s">
        <v>560</v>
      </c>
      <c r="N182" s="2"/>
      <c r="O182" s="1" t="b">
        <v>0</v>
      </c>
      <c r="P182" s="1">
        <v>1</v>
      </c>
      <c r="Q182" s="1">
        <v>1</v>
      </c>
      <c r="R182" s="1" t="b">
        <f t="shared" si="5"/>
        <v>1</v>
      </c>
      <c r="S182" s="2" t="s">
        <v>367</v>
      </c>
      <c r="T182" s="1" t="str">
        <f>IF(S182="","",VLOOKUP(S182,'Ontology and concepts per UC'!$F$2:$J$46,5,FALSE))</f>
        <v>Parámetros de progresión</v>
      </c>
      <c r="U182" s="1" t="b">
        <f t="array" ref="U182">(INDEX('Ontology and concepts per UC'!$G$2:$I$46,MATCH($S182,'Ontology and concepts per UC'!$F$2:$F$46,0),MATCH(LEFT($A182,3),'Ontology and concepts per UC'!$G$1:$I$1,0))=0)</f>
        <v>0</v>
      </c>
      <c r="V182" s="1" t="b">
        <f t="shared" si="6"/>
        <v>1</v>
      </c>
      <c r="W182" s="1" t="b">
        <v>1</v>
      </c>
      <c r="X182" s="1" t="b">
        <v>0</v>
      </c>
      <c r="Y182" s="1" t="b">
        <v>0</v>
      </c>
      <c r="Z182" s="1" t="b">
        <v>0</v>
      </c>
      <c r="AA182" s="1" t="s">
        <v>524</v>
      </c>
    </row>
    <row r="183" spans="1:27" x14ac:dyDescent="0.25">
      <c r="A183" s="1" t="s">
        <v>379</v>
      </c>
      <c r="B183" s="2" t="s">
        <v>573</v>
      </c>
      <c r="C183" s="2" t="s">
        <v>522</v>
      </c>
      <c r="D183" s="6">
        <f t="shared" si="0"/>
        <v>1</v>
      </c>
      <c r="E183" s="7" t="str">
        <f t="shared" si="1"/>
        <v>ProbabilityParameter</v>
      </c>
      <c r="F183" s="8" t="b">
        <f>IF(D183&lt;1,FALSE,ISERROR(MATCH(E183,'Ontology and concepts per UC'!$A$2:$A$62,0)))</f>
        <v>1</v>
      </c>
      <c r="G183" s="9" t="str">
        <f t="shared" si="2"/>
        <v/>
      </c>
      <c r="H183" s="9" t="str">
        <f t="shared" si="3"/>
        <v/>
      </c>
      <c r="I183" s="8" t="b">
        <f>IF(D183&lt;2,FALSE,ISERROR(MATCH(H183,'Ontology and concepts per UC'!$A$2:$A$62,0)))</f>
        <v>0</v>
      </c>
      <c r="J183" s="9" t="str">
        <f t="shared" si="4"/>
        <v/>
      </c>
      <c r="K183" s="8" t="b">
        <f>IF(D183&lt;3,FALSE,ISERROR(MATCH(J183,'Ontology and concepts per UC'!$A$2:$A$62,0)))</f>
        <v>0</v>
      </c>
      <c r="L183" s="2" t="s">
        <v>509</v>
      </c>
      <c r="M183" s="2" t="s">
        <v>560</v>
      </c>
      <c r="N183" s="2"/>
      <c r="O183" s="1" t="b">
        <v>0</v>
      </c>
      <c r="P183" s="1">
        <v>1</v>
      </c>
      <c r="Q183" s="1">
        <v>1</v>
      </c>
      <c r="R183" s="1" t="b">
        <f t="shared" si="5"/>
        <v>1</v>
      </c>
      <c r="S183" s="2" t="s">
        <v>367</v>
      </c>
      <c r="T183" s="1" t="str">
        <f>IF(S183="","",VLOOKUP(S183,'Ontology and concepts per UC'!$F$2:$J$46,5,FALSE))</f>
        <v>Parámetros de progresión</v>
      </c>
      <c r="U183" s="1" t="b">
        <f t="array" ref="U183">(INDEX('Ontology and concepts per UC'!$G$2:$I$46,MATCH($S183,'Ontology and concepts per UC'!$F$2:$F$46,0),MATCH(LEFT($A183,3),'Ontology and concepts per UC'!$G$1:$I$1,0))=0)</f>
        <v>0</v>
      </c>
      <c r="V183" s="1" t="b">
        <f t="shared" si="6"/>
        <v>1</v>
      </c>
      <c r="W183" s="1" t="b">
        <v>1</v>
      </c>
      <c r="X183" s="1" t="b">
        <v>0</v>
      </c>
      <c r="Y183" s="1" t="b">
        <v>0</v>
      </c>
      <c r="Z183" s="1" t="b">
        <v>0</v>
      </c>
      <c r="AA183" s="1" t="s">
        <v>524</v>
      </c>
    </row>
    <row r="184" spans="1:27" x14ac:dyDescent="0.25">
      <c r="A184" s="1" t="s">
        <v>379</v>
      </c>
      <c r="B184" s="2" t="s">
        <v>574</v>
      </c>
      <c r="C184" s="2" t="s">
        <v>36</v>
      </c>
      <c r="D184" s="6">
        <f t="shared" si="0"/>
        <v>1</v>
      </c>
      <c r="E184" s="7" t="str">
        <f t="shared" si="1"/>
        <v>RareDisease</v>
      </c>
      <c r="F184" s="8" t="b">
        <f>IF(D184&lt;1,FALSE,ISERROR(MATCH(E184,'Ontology and concepts per UC'!$A$2:$A$62,0)))</f>
        <v>0</v>
      </c>
      <c r="G184" s="9" t="str">
        <f t="shared" si="2"/>
        <v/>
      </c>
      <c r="H184" s="9" t="str">
        <f t="shared" si="3"/>
        <v/>
      </c>
      <c r="I184" s="8" t="b">
        <f>IF(D184&lt;2,FALSE,ISERROR(MATCH(H184,'Ontology and concepts per UC'!$A$2:$A$62,0)))</f>
        <v>0</v>
      </c>
      <c r="J184" s="9" t="str">
        <f t="shared" si="4"/>
        <v/>
      </c>
      <c r="K184" s="8" t="b">
        <f>IF(D184&lt;3,FALSE,ISERROR(MATCH(J184,'Ontology and concepts per UC'!$A$2:$A$62,0)))</f>
        <v>0</v>
      </c>
      <c r="L184" s="2" t="s">
        <v>575</v>
      </c>
      <c r="M184" s="2" t="s">
        <v>576</v>
      </c>
      <c r="N184" s="2"/>
      <c r="O184" s="1" t="b">
        <v>0</v>
      </c>
      <c r="P184" s="1">
        <v>0</v>
      </c>
      <c r="Q184" s="1">
        <v>0</v>
      </c>
      <c r="R184" s="1" t="b">
        <f t="shared" si="5"/>
        <v>0</v>
      </c>
      <c r="S184" s="2" t="s">
        <v>35</v>
      </c>
      <c r="T184" s="1" t="str">
        <f>IF(S184="","",VLOOKUP(S184,'Ontology and concepts per UC'!$F$2:$J$46,5,FALSE))</f>
        <v>Modelo Conceptual</v>
      </c>
      <c r="U184" s="1" t="b">
        <f t="array" ref="U184">(INDEX('Ontology and concepts per UC'!$G$2:$I$46,MATCH($S184,'Ontology and concepts per UC'!$F$2:$F$46,0),MATCH(LEFT($A184,3),'Ontology and concepts per UC'!$G$1:$I$1,0))=0)</f>
        <v>0</v>
      </c>
      <c r="V184" s="1" t="b">
        <f t="shared" si="6"/>
        <v>1</v>
      </c>
      <c r="W184" s="1" t="b">
        <v>0</v>
      </c>
      <c r="X184" s="1" t="b">
        <v>0</v>
      </c>
      <c r="Y184" s="1" t="b">
        <v>0</v>
      </c>
      <c r="Z184" s="1" t="b">
        <v>1</v>
      </c>
      <c r="AA184" s="1" t="s">
        <v>197</v>
      </c>
    </row>
    <row r="185" spans="1:27" x14ac:dyDescent="0.25">
      <c r="A185" s="1" t="s">
        <v>379</v>
      </c>
      <c r="B185" s="2" t="s">
        <v>577</v>
      </c>
      <c r="C185" s="2" t="s">
        <v>25</v>
      </c>
      <c r="D185" s="6">
        <f t="shared" si="0"/>
        <v>1</v>
      </c>
      <c r="E185" s="7" t="str">
        <f t="shared" si="1"/>
        <v>ScreeningIntervention</v>
      </c>
      <c r="F185" s="8" t="b">
        <f>IF(D185&lt;1,FALSE,ISERROR(MATCH(E185,'Ontology and concepts per UC'!$A$2:$A$62,0)))</f>
        <v>0</v>
      </c>
      <c r="G185" s="9" t="str">
        <f t="shared" si="2"/>
        <v/>
      </c>
      <c r="H185" s="9" t="str">
        <f t="shared" si="3"/>
        <v/>
      </c>
      <c r="I185" s="8" t="b">
        <f>IF(D185&lt;2,FALSE,ISERROR(MATCH(H185,'Ontology and concepts per UC'!$A$2:$A$62,0)))</f>
        <v>0</v>
      </c>
      <c r="J185" s="9" t="str">
        <f t="shared" si="4"/>
        <v/>
      </c>
      <c r="K185" s="8" t="b">
        <f>IF(D185&lt;3,FALSE,ISERROR(MATCH(J185,'Ontology and concepts per UC'!$A$2:$A$62,0)))</f>
        <v>0</v>
      </c>
      <c r="L185" s="2" t="s">
        <v>426</v>
      </c>
      <c r="M185" s="2" t="s">
        <v>578</v>
      </c>
      <c r="N185" s="2"/>
      <c r="O185" s="1" t="b">
        <v>0</v>
      </c>
      <c r="P185" s="1">
        <v>0</v>
      </c>
      <c r="Q185" s="1">
        <v>1</v>
      </c>
      <c r="R185" s="1" t="b">
        <f t="shared" si="5"/>
        <v>1</v>
      </c>
      <c r="S185" s="2" t="s">
        <v>24</v>
      </c>
      <c r="T185" s="1" t="str">
        <f>IF(S185="","",VLOOKUP(S185,'Ontology and concepts per UC'!$F$2:$J$46,5,FALSE))</f>
        <v>Modelo Conceptual</v>
      </c>
      <c r="U185" s="1" t="b">
        <f t="array" ref="U185">(INDEX('Ontology and concepts per UC'!$G$2:$I$46,MATCH($S185,'Ontology and concepts per UC'!$F$2:$F$46,0),MATCH(LEFT($A185,3),'Ontology and concepts per UC'!$G$1:$I$1,0))=0)</f>
        <v>0</v>
      </c>
      <c r="V185" s="1" t="b">
        <f t="shared" si="6"/>
        <v>1</v>
      </c>
      <c r="W185" s="1" t="b">
        <v>1</v>
      </c>
      <c r="X185" s="1" t="b">
        <v>0</v>
      </c>
      <c r="Y185" s="1" t="b">
        <v>0</v>
      </c>
      <c r="Z185" s="1" t="b">
        <v>0</v>
      </c>
      <c r="AA185" s="1" t="s">
        <v>579</v>
      </c>
    </row>
    <row r="186" spans="1:27" x14ac:dyDescent="0.25">
      <c r="A186" s="1" t="s">
        <v>379</v>
      </c>
      <c r="B186" s="2" t="s">
        <v>580</v>
      </c>
      <c r="C186" s="2" t="s">
        <v>581</v>
      </c>
      <c r="D186" s="6">
        <f t="shared" si="0"/>
        <v>1</v>
      </c>
      <c r="E186" s="7" t="str">
        <f t="shared" si="1"/>
        <v>Stage</v>
      </c>
      <c r="F186" s="8" t="b">
        <f>IF(D186&lt;1,FALSE,ISERROR(MATCH(E186,'Ontology and concepts per UC'!$A$2:$A$62,0)))</f>
        <v>0</v>
      </c>
      <c r="G186" s="9" t="str">
        <f t="shared" si="2"/>
        <v/>
      </c>
      <c r="H186" s="9" t="str">
        <f t="shared" si="3"/>
        <v/>
      </c>
      <c r="I186" s="8" t="b">
        <f>IF(D186&lt;2,FALSE,ISERROR(MATCH(H186,'Ontology and concepts per UC'!$A$2:$A$62,0)))</f>
        <v>0</v>
      </c>
      <c r="J186" s="9" t="str">
        <f t="shared" si="4"/>
        <v/>
      </c>
      <c r="K186" s="8" t="b">
        <f>IF(D186&lt;3,FALSE,ISERROR(MATCH(J186,'Ontology and concepts per UC'!$A$2:$A$62,0)))</f>
        <v>0</v>
      </c>
      <c r="L186" s="2"/>
      <c r="M186" s="2" t="s">
        <v>582</v>
      </c>
      <c r="N186" s="2"/>
      <c r="O186" s="1" t="b">
        <v>0</v>
      </c>
      <c r="P186" s="1">
        <v>0</v>
      </c>
      <c r="Q186" s="1">
        <v>0</v>
      </c>
      <c r="R186" s="1" t="b">
        <f t="shared" si="5"/>
        <v>0</v>
      </c>
      <c r="S186" s="2" t="s">
        <v>187</v>
      </c>
      <c r="T186" s="1" t="str">
        <f>IF(S186="","",VLOOKUP(S186,'Ontology and concepts per UC'!$F$2:$J$46,5,FALSE))</f>
        <v>Otros</v>
      </c>
      <c r="U186" s="1" t="b">
        <f t="array" ref="U186">(INDEX('Ontology and concepts per UC'!$G$2:$I$46,MATCH($S186,'Ontology and concepts per UC'!$F$2:$F$46,0),MATCH(LEFT($A186,3),'Ontology and concepts per UC'!$G$1:$I$1,0))=0)</f>
        <v>1</v>
      </c>
      <c r="V186" s="1" t="b">
        <f t="shared" si="6"/>
        <v>0</v>
      </c>
      <c r="W186" s="1" t="b">
        <v>0</v>
      </c>
      <c r="X186" s="1" t="b">
        <v>0</v>
      </c>
      <c r="Y186" s="1" t="b">
        <v>0</v>
      </c>
      <c r="Z186" s="1" t="b">
        <v>0</v>
      </c>
      <c r="AA186" s="1"/>
    </row>
    <row r="187" spans="1:27" x14ac:dyDescent="0.25">
      <c r="A187" s="1" t="s">
        <v>379</v>
      </c>
      <c r="B187" s="2" t="s">
        <v>583</v>
      </c>
      <c r="C187" s="2" t="s">
        <v>581</v>
      </c>
      <c r="D187" s="6">
        <f t="shared" si="0"/>
        <v>1</v>
      </c>
      <c r="E187" s="7" t="str">
        <f t="shared" si="1"/>
        <v>Stage</v>
      </c>
      <c r="F187" s="8" t="b">
        <f>IF(D187&lt;1,FALSE,ISERROR(MATCH(E187,'Ontology and concepts per UC'!$A$2:$A$62,0)))</f>
        <v>0</v>
      </c>
      <c r="G187" s="9" t="str">
        <f t="shared" si="2"/>
        <v/>
      </c>
      <c r="H187" s="9" t="str">
        <f t="shared" si="3"/>
        <v/>
      </c>
      <c r="I187" s="8" t="b">
        <f>IF(D187&lt;2,FALSE,ISERROR(MATCH(H187,'Ontology and concepts per UC'!$A$2:$A$62,0)))</f>
        <v>0</v>
      </c>
      <c r="J187" s="9" t="str">
        <f t="shared" si="4"/>
        <v/>
      </c>
      <c r="K187" s="8" t="b">
        <f>IF(D187&lt;3,FALSE,ISERROR(MATCH(J187,'Ontology and concepts per UC'!$A$2:$A$62,0)))</f>
        <v>0</v>
      </c>
      <c r="L187" s="2" t="s">
        <v>584</v>
      </c>
      <c r="M187" s="2" t="s">
        <v>585</v>
      </c>
      <c r="N187" s="2"/>
      <c r="O187" s="1" t="b">
        <v>0</v>
      </c>
      <c r="P187" s="1">
        <v>0</v>
      </c>
      <c r="Q187" s="1">
        <v>0</v>
      </c>
      <c r="R187" s="1" t="b">
        <f t="shared" si="5"/>
        <v>0</v>
      </c>
      <c r="S187" s="2" t="s">
        <v>187</v>
      </c>
      <c r="T187" s="1" t="str">
        <f>IF(S187="","",VLOOKUP(S187,'Ontology and concepts per UC'!$F$2:$J$46,5,FALSE))</f>
        <v>Otros</v>
      </c>
      <c r="U187" s="1" t="b">
        <f t="array" ref="U187">(INDEX('Ontology and concepts per UC'!$G$2:$I$46,MATCH($S187,'Ontology and concepts per UC'!$F$2:$F$46,0),MATCH(LEFT($A187,3),'Ontology and concepts per UC'!$G$1:$I$1,0))=0)</f>
        <v>1</v>
      </c>
      <c r="V187" s="1" t="b">
        <f t="shared" si="6"/>
        <v>0</v>
      </c>
      <c r="W187" s="1" t="b">
        <v>0</v>
      </c>
      <c r="X187" s="1" t="b">
        <v>0</v>
      </c>
      <c r="Y187" s="1" t="b">
        <v>0</v>
      </c>
      <c r="Z187" s="1" t="b">
        <v>0</v>
      </c>
      <c r="AA187" s="1"/>
    </row>
    <row r="188" spans="1:27" x14ac:dyDescent="0.25">
      <c r="A188" s="1" t="s">
        <v>379</v>
      </c>
      <c r="B188" s="2" t="s">
        <v>586</v>
      </c>
      <c r="C188" s="2" t="s">
        <v>581</v>
      </c>
      <c r="D188" s="6">
        <f t="shared" si="0"/>
        <v>1</v>
      </c>
      <c r="E188" s="7" t="str">
        <f t="shared" si="1"/>
        <v>Stage</v>
      </c>
      <c r="F188" s="8" t="b">
        <f>IF(D188&lt;1,FALSE,ISERROR(MATCH(E188,'Ontology and concepts per UC'!$A$2:$A$62,0)))</f>
        <v>0</v>
      </c>
      <c r="G188" s="9" t="str">
        <f t="shared" si="2"/>
        <v/>
      </c>
      <c r="H188" s="9" t="str">
        <f t="shared" si="3"/>
        <v/>
      </c>
      <c r="I188" s="8" t="b">
        <f>IF(D188&lt;2,FALSE,ISERROR(MATCH(H188,'Ontology and concepts per UC'!$A$2:$A$62,0)))</f>
        <v>0</v>
      </c>
      <c r="J188" s="9" t="str">
        <f t="shared" si="4"/>
        <v/>
      </c>
      <c r="K188" s="8" t="b">
        <f>IF(D188&lt;3,FALSE,ISERROR(MATCH(J188,'Ontology and concepts per UC'!$A$2:$A$62,0)))</f>
        <v>0</v>
      </c>
      <c r="L188" s="2" t="s">
        <v>587</v>
      </c>
      <c r="M188" s="2" t="s">
        <v>588</v>
      </c>
      <c r="N188" s="2"/>
      <c r="O188" s="1" t="b">
        <v>0</v>
      </c>
      <c r="P188" s="1">
        <v>0</v>
      </c>
      <c r="Q188" s="1">
        <v>0</v>
      </c>
      <c r="R188" s="1" t="b">
        <f t="shared" si="5"/>
        <v>0</v>
      </c>
      <c r="S188" s="2" t="s">
        <v>187</v>
      </c>
      <c r="T188" s="1" t="str">
        <f>IF(S188="","",VLOOKUP(S188,'Ontology and concepts per UC'!$F$2:$J$46,5,FALSE))</f>
        <v>Otros</v>
      </c>
      <c r="U188" s="1" t="b">
        <f t="array" ref="U188">(INDEX('Ontology and concepts per UC'!$G$2:$I$46,MATCH($S188,'Ontology and concepts per UC'!$F$2:$F$46,0),MATCH(LEFT($A188,3),'Ontology and concepts per UC'!$G$1:$I$1,0))=0)</f>
        <v>1</v>
      </c>
      <c r="V188" s="1" t="b">
        <f t="shared" si="6"/>
        <v>0</v>
      </c>
      <c r="W188" s="1" t="b">
        <v>0</v>
      </c>
      <c r="X188" s="1" t="b">
        <v>0</v>
      </c>
      <c r="Y188" s="1" t="b">
        <v>0</v>
      </c>
      <c r="Z188" s="1" t="b">
        <v>0</v>
      </c>
      <c r="AA188" s="1"/>
    </row>
    <row r="189" spans="1:27" x14ac:dyDescent="0.25">
      <c r="A189" s="1" t="s">
        <v>379</v>
      </c>
      <c r="B189" s="2" t="s">
        <v>589</v>
      </c>
      <c r="C189" s="2" t="s">
        <v>590</v>
      </c>
      <c r="D189" s="6">
        <f t="shared" si="0"/>
        <v>1</v>
      </c>
      <c r="E189" s="7" t="str">
        <f t="shared" si="1"/>
        <v>SupportiveIntervention</v>
      </c>
      <c r="F189" s="8" t="b">
        <f>IF(D189&lt;1,FALSE,ISERROR(MATCH(E189,'Ontology and concepts per UC'!$A$2:$A$62,0)))</f>
        <v>1</v>
      </c>
      <c r="G189" s="9" t="str">
        <f t="shared" si="2"/>
        <v/>
      </c>
      <c r="H189" s="9" t="str">
        <f t="shared" si="3"/>
        <v/>
      </c>
      <c r="I189" s="8" t="b">
        <f>IF(D189&lt;2,FALSE,ISERROR(MATCH(H189,'Ontology and concepts per UC'!$A$2:$A$62,0)))</f>
        <v>0</v>
      </c>
      <c r="J189" s="9" t="str">
        <f t="shared" si="4"/>
        <v/>
      </c>
      <c r="K189" s="8" t="b">
        <f>IF(D189&lt;3,FALSE,ISERROR(MATCH(J189,'Ontology and concepts per UC'!$A$2:$A$62,0)))</f>
        <v>0</v>
      </c>
      <c r="L189" s="2" t="s">
        <v>591</v>
      </c>
      <c r="M189" s="2" t="s">
        <v>592</v>
      </c>
      <c r="N189" s="2"/>
      <c r="O189" s="1" t="b">
        <v>0</v>
      </c>
      <c r="P189" s="1">
        <v>1</v>
      </c>
      <c r="Q189" s="1">
        <v>1</v>
      </c>
      <c r="R189" s="1" t="b">
        <f t="shared" si="5"/>
        <v>1</v>
      </c>
      <c r="S189" s="2" t="s">
        <v>62</v>
      </c>
      <c r="T189" s="1" t="str">
        <f>IF(S189="","",VLOOKUP(S189,'Ontology and concepts per UC'!$F$2:$J$46,5,FALSE))</f>
        <v>Tratamiento/seguimiento</v>
      </c>
      <c r="U189" s="1" t="b">
        <f t="array" ref="U189">(INDEX('Ontology and concepts per UC'!$G$2:$I$46,MATCH($S189,'Ontology and concepts per UC'!$F$2:$F$46,0),MATCH(LEFT($A189,3),'Ontology and concepts per UC'!$G$1:$I$1,0))=0)</f>
        <v>0</v>
      </c>
      <c r="V189" s="1" t="b">
        <f t="shared" si="6"/>
        <v>1</v>
      </c>
      <c r="W189" s="1" t="b">
        <v>1</v>
      </c>
      <c r="X189" s="1" t="b">
        <v>0</v>
      </c>
      <c r="Y189" s="1" t="b">
        <v>0</v>
      </c>
      <c r="Z189" s="1" t="b">
        <v>1</v>
      </c>
      <c r="AA189" s="1" t="s">
        <v>593</v>
      </c>
    </row>
    <row r="190" spans="1:27" x14ac:dyDescent="0.25">
      <c r="A190" s="1" t="s">
        <v>379</v>
      </c>
      <c r="B190" s="2" t="s">
        <v>594</v>
      </c>
      <c r="C190" s="2" t="s">
        <v>590</v>
      </c>
      <c r="D190" s="6">
        <f t="shared" si="0"/>
        <v>1</v>
      </c>
      <c r="E190" s="7" t="str">
        <f t="shared" si="1"/>
        <v>SupportiveIntervention</v>
      </c>
      <c r="F190" s="8" t="b">
        <f>IF(D190&lt;1,FALSE,ISERROR(MATCH(E190,'Ontology and concepts per UC'!$A$2:$A$62,0)))</f>
        <v>1</v>
      </c>
      <c r="G190" s="9" t="str">
        <f t="shared" si="2"/>
        <v/>
      </c>
      <c r="H190" s="9" t="str">
        <f t="shared" si="3"/>
        <v/>
      </c>
      <c r="I190" s="8" t="b">
        <f>IF(D190&lt;2,FALSE,ISERROR(MATCH(H190,'Ontology and concepts per UC'!$A$2:$A$62,0)))</f>
        <v>0</v>
      </c>
      <c r="J190" s="9" t="str">
        <f t="shared" si="4"/>
        <v/>
      </c>
      <c r="K190" s="8" t="b">
        <f>IF(D190&lt;3,FALSE,ISERROR(MATCH(J190,'Ontology and concepts per UC'!$A$2:$A$62,0)))</f>
        <v>0</v>
      </c>
      <c r="L190" s="2" t="s">
        <v>591</v>
      </c>
      <c r="M190" s="2" t="s">
        <v>595</v>
      </c>
      <c r="N190" s="2"/>
      <c r="O190" s="1" t="b">
        <v>0</v>
      </c>
      <c r="P190" s="1">
        <v>1</v>
      </c>
      <c r="Q190" s="1">
        <v>1</v>
      </c>
      <c r="R190" s="1" t="b">
        <f t="shared" si="5"/>
        <v>1</v>
      </c>
      <c r="S190" s="2" t="s">
        <v>62</v>
      </c>
      <c r="T190" s="1" t="str">
        <f>IF(S190="","",VLOOKUP(S190,'Ontology and concepts per UC'!$F$2:$J$46,5,FALSE))</f>
        <v>Tratamiento/seguimiento</v>
      </c>
      <c r="U190" s="1" t="b">
        <f t="array" ref="U190">(INDEX('Ontology and concepts per UC'!$G$2:$I$46,MATCH($S190,'Ontology and concepts per UC'!$F$2:$F$46,0),MATCH(LEFT($A190,3),'Ontology and concepts per UC'!$G$1:$I$1,0))=0)</f>
        <v>0</v>
      </c>
      <c r="V190" s="1" t="b">
        <f t="shared" si="6"/>
        <v>1</v>
      </c>
      <c r="W190" s="1" t="b">
        <v>1</v>
      </c>
      <c r="X190" s="1" t="b">
        <v>0</v>
      </c>
      <c r="Y190" s="1" t="b">
        <v>0</v>
      </c>
      <c r="Z190" s="1" t="b">
        <v>1</v>
      </c>
      <c r="AA190" s="1" t="s">
        <v>593</v>
      </c>
    </row>
    <row r="191" spans="1:27" x14ac:dyDescent="0.25">
      <c r="A191" s="1" t="s">
        <v>379</v>
      </c>
      <c r="B191" s="2" t="s">
        <v>596</v>
      </c>
      <c r="C191" s="2" t="s">
        <v>590</v>
      </c>
      <c r="D191" s="6">
        <f t="shared" si="0"/>
        <v>1</v>
      </c>
      <c r="E191" s="7" t="str">
        <f t="shared" si="1"/>
        <v>SupportiveIntervention</v>
      </c>
      <c r="F191" s="8" t="b">
        <f>IF(D191&lt;1,FALSE,ISERROR(MATCH(E191,'Ontology and concepts per UC'!$A$2:$A$62,0)))</f>
        <v>1</v>
      </c>
      <c r="G191" s="9" t="str">
        <f t="shared" si="2"/>
        <v/>
      </c>
      <c r="H191" s="9" t="str">
        <f t="shared" si="3"/>
        <v/>
      </c>
      <c r="I191" s="8" t="b">
        <f>IF(D191&lt;2,FALSE,ISERROR(MATCH(H191,'Ontology and concepts per UC'!$A$2:$A$62,0)))</f>
        <v>0</v>
      </c>
      <c r="J191" s="9" t="str">
        <f t="shared" si="4"/>
        <v/>
      </c>
      <c r="K191" s="8" t="b">
        <f>IF(D191&lt;3,FALSE,ISERROR(MATCH(J191,'Ontology and concepts per UC'!$A$2:$A$62,0)))</f>
        <v>0</v>
      </c>
      <c r="L191" s="2" t="s">
        <v>597</v>
      </c>
      <c r="M191" s="2" t="s">
        <v>598</v>
      </c>
      <c r="N191" s="2"/>
      <c r="O191" s="1" t="b">
        <v>0</v>
      </c>
      <c r="P191" s="1">
        <v>1</v>
      </c>
      <c r="Q191" s="1">
        <v>1</v>
      </c>
      <c r="R191" s="1" t="b">
        <f t="shared" si="5"/>
        <v>1</v>
      </c>
      <c r="S191" s="2" t="s">
        <v>62</v>
      </c>
      <c r="T191" s="1" t="str">
        <f>IF(S191="","",VLOOKUP(S191,'Ontology and concepts per UC'!$F$2:$J$46,5,FALSE))</f>
        <v>Tratamiento/seguimiento</v>
      </c>
      <c r="U191" s="1" t="b">
        <f t="array" ref="U191">(INDEX('Ontology and concepts per UC'!$G$2:$I$46,MATCH($S191,'Ontology and concepts per UC'!$F$2:$F$46,0),MATCH(LEFT($A191,3),'Ontology and concepts per UC'!$G$1:$I$1,0))=0)</f>
        <v>0</v>
      </c>
      <c r="V191" s="1" t="b">
        <f t="shared" si="6"/>
        <v>1</v>
      </c>
      <c r="W191" s="1" t="b">
        <v>1</v>
      </c>
      <c r="X191" s="1" t="b">
        <v>0</v>
      </c>
      <c r="Y191" s="1" t="b">
        <v>0</v>
      </c>
      <c r="Z191" s="1" t="b">
        <v>1</v>
      </c>
      <c r="AA191" s="1" t="s">
        <v>593</v>
      </c>
    </row>
    <row r="192" spans="1:27" x14ac:dyDescent="0.25">
      <c r="A192" s="1" t="s">
        <v>379</v>
      </c>
      <c r="B192" s="2" t="s">
        <v>599</v>
      </c>
      <c r="C192" s="2" t="s">
        <v>600</v>
      </c>
      <c r="D192" s="6">
        <f t="shared" si="0"/>
        <v>1</v>
      </c>
      <c r="E192" s="7" t="str">
        <f t="shared" si="1"/>
        <v>SupportiveTreatment</v>
      </c>
      <c r="F192" s="8" t="b">
        <f>IF(D192&lt;1,FALSE,ISERROR(MATCH(E192,'Ontology and concepts per UC'!$A$2:$A$62,0)))</f>
        <v>1</v>
      </c>
      <c r="G192" s="9" t="str">
        <f t="shared" si="2"/>
        <v/>
      </c>
      <c r="H192" s="9" t="str">
        <f t="shared" si="3"/>
        <v/>
      </c>
      <c r="I192" s="8" t="b">
        <f>IF(D192&lt;2,FALSE,ISERROR(MATCH(H192,'Ontology and concepts per UC'!$A$2:$A$62,0)))</f>
        <v>0</v>
      </c>
      <c r="J192" s="9" t="str">
        <f t="shared" si="4"/>
        <v/>
      </c>
      <c r="K192" s="8" t="b">
        <f>IF(D192&lt;3,FALSE,ISERROR(MATCH(J192,'Ontology and concepts per UC'!$A$2:$A$62,0)))</f>
        <v>0</v>
      </c>
      <c r="L192" s="2" t="s">
        <v>601</v>
      </c>
      <c r="M192" s="2" t="s">
        <v>602</v>
      </c>
      <c r="N192" s="2"/>
      <c r="O192" s="1" t="b">
        <v>0</v>
      </c>
      <c r="P192" s="1">
        <v>1</v>
      </c>
      <c r="Q192" s="1">
        <v>2</v>
      </c>
      <c r="R192" s="1" t="b">
        <f t="shared" si="5"/>
        <v>1</v>
      </c>
      <c r="S192" s="2" t="s">
        <v>62</v>
      </c>
      <c r="T192" s="1" t="str">
        <f>IF(S192="","",VLOOKUP(S192,'Ontology and concepts per UC'!$F$2:$J$46,5,FALSE))</f>
        <v>Tratamiento/seguimiento</v>
      </c>
      <c r="U192" s="1" t="b">
        <f t="array" ref="U192">(INDEX('Ontology and concepts per UC'!$G$2:$I$46,MATCH($S192,'Ontology and concepts per UC'!$F$2:$F$46,0),MATCH(LEFT($A192,3),'Ontology and concepts per UC'!$G$1:$I$1,0))=0)</f>
        <v>0</v>
      </c>
      <c r="V192" s="1" t="b">
        <f t="shared" si="6"/>
        <v>1</v>
      </c>
      <c r="W192" s="1" t="b">
        <v>1</v>
      </c>
      <c r="X192" s="1" t="b">
        <v>0</v>
      </c>
      <c r="Y192" s="1" t="b">
        <v>0</v>
      </c>
      <c r="Z192" s="1" t="b">
        <v>0</v>
      </c>
      <c r="AA192" s="1" t="s">
        <v>603</v>
      </c>
    </row>
    <row r="193" spans="1:27" x14ac:dyDescent="0.25">
      <c r="A193" s="1" t="s">
        <v>379</v>
      </c>
      <c r="B193" s="2" t="s">
        <v>604</v>
      </c>
      <c r="C193" s="2" t="s">
        <v>605</v>
      </c>
      <c r="D193" s="6">
        <f t="shared" si="0"/>
        <v>1</v>
      </c>
      <c r="E193" s="7" t="str">
        <f t="shared" si="1"/>
        <v>TherapeuticIntervention</v>
      </c>
      <c r="F193" s="8" t="b">
        <f>IF(D193&lt;1,FALSE,ISERROR(MATCH(E193,'Ontology and concepts per UC'!$A$2:$A$62,0)))</f>
        <v>0</v>
      </c>
      <c r="G193" s="9" t="str">
        <f t="shared" si="2"/>
        <v/>
      </c>
      <c r="H193" s="9" t="str">
        <f t="shared" si="3"/>
        <v/>
      </c>
      <c r="I193" s="8" t="b">
        <f>IF(D193&lt;2,FALSE,ISERROR(MATCH(H193,'Ontology and concepts per UC'!$A$2:$A$62,0)))</f>
        <v>0</v>
      </c>
      <c r="J193" s="9" t="str">
        <f t="shared" si="4"/>
        <v/>
      </c>
      <c r="K193" s="8" t="b">
        <f>IF(D193&lt;3,FALSE,ISERROR(MATCH(J193,'Ontology and concepts per UC'!$A$2:$A$62,0)))</f>
        <v>0</v>
      </c>
      <c r="L193" s="2" t="s">
        <v>606</v>
      </c>
      <c r="M193" s="2" t="s">
        <v>607</v>
      </c>
      <c r="N193" s="2"/>
      <c r="O193" s="1" t="b">
        <v>0</v>
      </c>
      <c r="P193" s="1">
        <v>0</v>
      </c>
      <c r="Q193" s="1">
        <v>1</v>
      </c>
      <c r="R193" s="1" t="b">
        <f t="shared" si="5"/>
        <v>1</v>
      </c>
      <c r="S193" s="2" t="s">
        <v>62</v>
      </c>
      <c r="T193" s="1" t="str">
        <f>IF(S193="","",VLOOKUP(S193,'Ontology and concepts per UC'!$F$2:$J$46,5,FALSE))</f>
        <v>Tratamiento/seguimiento</v>
      </c>
      <c r="U193" s="1" t="b">
        <f t="array" ref="U193">(INDEX('Ontology and concepts per UC'!$G$2:$I$46,MATCH($S193,'Ontology and concepts per UC'!$F$2:$F$46,0),MATCH(LEFT($A193,3),'Ontology and concepts per UC'!$G$1:$I$1,0))=0)</f>
        <v>0</v>
      </c>
      <c r="V193" s="1" t="b">
        <f t="shared" si="6"/>
        <v>1</v>
      </c>
      <c r="W193" s="1" t="b">
        <v>1</v>
      </c>
      <c r="X193" s="1" t="b">
        <v>0</v>
      </c>
      <c r="Y193" s="1" t="b">
        <v>0</v>
      </c>
      <c r="Z193" s="1" t="b">
        <v>1</v>
      </c>
      <c r="AA193" s="1" t="s">
        <v>608</v>
      </c>
    </row>
    <row r="194" spans="1:27" x14ac:dyDescent="0.25">
      <c r="A194" s="1" t="s">
        <v>379</v>
      </c>
      <c r="B194" s="2" t="s">
        <v>609</v>
      </c>
      <c r="C194" s="2" t="s">
        <v>605</v>
      </c>
      <c r="D194" s="6">
        <f t="shared" si="0"/>
        <v>1</v>
      </c>
      <c r="E194" s="7" t="str">
        <f t="shared" si="1"/>
        <v>TherapeuticIntervention</v>
      </c>
      <c r="F194" s="8" t="b">
        <f>IF(D194&lt;1,FALSE,ISERROR(MATCH(E194,'Ontology and concepts per UC'!$A$2:$A$62,0)))</f>
        <v>0</v>
      </c>
      <c r="G194" s="9" t="str">
        <f t="shared" si="2"/>
        <v/>
      </c>
      <c r="H194" s="9" t="str">
        <f t="shared" si="3"/>
        <v/>
      </c>
      <c r="I194" s="8" t="b">
        <f>IF(D194&lt;2,FALSE,ISERROR(MATCH(H194,'Ontology and concepts per UC'!$A$2:$A$62,0)))</f>
        <v>0</v>
      </c>
      <c r="J194" s="9" t="str">
        <f t="shared" si="4"/>
        <v/>
      </c>
      <c r="K194" s="8" t="b">
        <f>IF(D194&lt;3,FALSE,ISERROR(MATCH(J194,'Ontology and concepts per UC'!$A$2:$A$62,0)))</f>
        <v>0</v>
      </c>
      <c r="L194" s="2" t="s">
        <v>610</v>
      </c>
      <c r="M194" s="2" t="s">
        <v>611</v>
      </c>
      <c r="N194" s="2"/>
      <c r="O194" s="1" t="b">
        <v>0</v>
      </c>
      <c r="P194" s="1">
        <v>0</v>
      </c>
      <c r="Q194" s="1">
        <v>1</v>
      </c>
      <c r="R194" s="1" t="b">
        <f t="shared" si="5"/>
        <v>1</v>
      </c>
      <c r="S194" s="2" t="s">
        <v>107</v>
      </c>
      <c r="T194" s="1" t="str">
        <f>IF(S194="","",VLOOKUP(S194,'Ontology and concepts per UC'!$F$2:$J$46,5,FALSE))</f>
        <v>Parcial</v>
      </c>
      <c r="U194" s="1" t="b">
        <f t="array" ref="U194">(INDEX('Ontology and concepts per UC'!$G$2:$I$46,MATCH($S194,'Ontology and concepts per UC'!$F$2:$F$46,0),MATCH(LEFT($A194,3),'Ontology and concepts per UC'!$G$1:$I$1,0))=0)</f>
        <v>0</v>
      </c>
      <c r="V194" s="1" t="b">
        <f t="shared" si="6"/>
        <v>1</v>
      </c>
      <c r="W194" s="1" t="b">
        <v>1</v>
      </c>
      <c r="X194" s="1" t="b">
        <v>0</v>
      </c>
      <c r="Y194" s="1" t="b">
        <v>0</v>
      </c>
      <c r="Z194" s="1" t="b">
        <v>1</v>
      </c>
      <c r="AA194" s="1" t="s">
        <v>608</v>
      </c>
    </row>
    <row r="195" spans="1:27" x14ac:dyDescent="0.25">
      <c r="A195" s="1" t="s">
        <v>379</v>
      </c>
      <c r="B195" s="2" t="s">
        <v>612</v>
      </c>
      <c r="C195" s="2" t="s">
        <v>605</v>
      </c>
      <c r="D195" s="6">
        <f t="shared" si="0"/>
        <v>1</v>
      </c>
      <c r="E195" s="7" t="str">
        <f t="shared" si="1"/>
        <v>TherapeuticIntervention</v>
      </c>
      <c r="F195" s="8" t="b">
        <f>IF(D195&lt;1,FALSE,ISERROR(MATCH(E195,'Ontology and concepts per UC'!$A$2:$A$62,0)))</f>
        <v>0</v>
      </c>
      <c r="G195" s="9" t="str">
        <f t="shared" si="2"/>
        <v/>
      </c>
      <c r="H195" s="9" t="str">
        <f t="shared" si="3"/>
        <v/>
      </c>
      <c r="I195" s="8" t="b">
        <f>IF(D195&lt;2,FALSE,ISERROR(MATCH(H195,'Ontology and concepts per UC'!$A$2:$A$62,0)))</f>
        <v>0</v>
      </c>
      <c r="J195" s="9" t="str">
        <f t="shared" si="4"/>
        <v/>
      </c>
      <c r="K195" s="8" t="b">
        <f>IF(D195&lt;3,FALSE,ISERROR(MATCH(J195,'Ontology and concepts per UC'!$A$2:$A$62,0)))</f>
        <v>0</v>
      </c>
      <c r="L195" s="2" t="s">
        <v>613</v>
      </c>
      <c r="M195" s="2" t="s">
        <v>614</v>
      </c>
      <c r="N195" s="2"/>
      <c r="O195" s="1" t="b">
        <v>0</v>
      </c>
      <c r="P195" s="1">
        <v>0</v>
      </c>
      <c r="Q195" s="1">
        <v>3</v>
      </c>
      <c r="R195" s="1" t="b">
        <f t="shared" si="5"/>
        <v>1</v>
      </c>
      <c r="S195" s="2" t="s">
        <v>62</v>
      </c>
      <c r="T195" s="1" t="str">
        <f>IF(S195="","",VLOOKUP(S195,'Ontology and concepts per UC'!$F$2:$J$46,5,FALSE))</f>
        <v>Tratamiento/seguimiento</v>
      </c>
      <c r="U195" s="1" t="b">
        <f t="array" ref="U195">(INDEX('Ontology and concepts per UC'!$G$2:$I$46,MATCH($S195,'Ontology and concepts per UC'!$F$2:$F$46,0),MATCH(LEFT($A195,3),'Ontology and concepts per UC'!$G$1:$I$1,0))=0)</f>
        <v>0</v>
      </c>
      <c r="V195" s="1" t="b">
        <f t="shared" si="6"/>
        <v>1</v>
      </c>
      <c r="W195" s="1" t="b">
        <v>1</v>
      </c>
      <c r="X195" s="1" t="b">
        <v>0</v>
      </c>
      <c r="Y195" s="1" t="b">
        <v>0</v>
      </c>
      <c r="Z195" s="1" t="b">
        <v>1</v>
      </c>
      <c r="AA195" s="1" t="s">
        <v>608</v>
      </c>
    </row>
    <row r="196" spans="1:27" x14ac:dyDescent="0.25">
      <c r="A196" s="1" t="s">
        <v>379</v>
      </c>
      <c r="B196" s="2" t="s">
        <v>615</v>
      </c>
      <c r="C196" s="2" t="s">
        <v>172</v>
      </c>
      <c r="D196" s="6">
        <f t="shared" si="0"/>
        <v>1</v>
      </c>
      <c r="E196" s="7" t="str">
        <f t="shared" si="1"/>
        <v>UtilityParameter</v>
      </c>
      <c r="F196" s="8" t="b">
        <f>IF(D196&lt;1,FALSE,ISERROR(MATCH(E196,'Ontology and concepts per UC'!$A$2:$A$62,0)))</f>
        <v>1</v>
      </c>
      <c r="G196" s="9" t="str">
        <f t="shared" si="2"/>
        <v/>
      </c>
      <c r="H196" s="9" t="str">
        <f t="shared" si="3"/>
        <v/>
      </c>
      <c r="I196" s="8" t="b">
        <f>IF(D196&lt;2,FALSE,ISERROR(MATCH(H196,'Ontology and concepts per UC'!$A$2:$A$62,0)))</f>
        <v>0</v>
      </c>
      <c r="J196" s="9" t="str">
        <f t="shared" si="4"/>
        <v/>
      </c>
      <c r="K196" s="8" t="b">
        <f>IF(D196&lt;3,FALSE,ISERROR(MATCH(J196,'Ontology and concepts per UC'!$A$2:$A$62,0)))</f>
        <v>0</v>
      </c>
      <c r="L196" s="2" t="s">
        <v>462</v>
      </c>
      <c r="M196" s="2" t="s">
        <v>616</v>
      </c>
      <c r="N196" s="2"/>
      <c r="O196" s="1" t="b">
        <v>0</v>
      </c>
      <c r="P196" s="1">
        <v>1</v>
      </c>
      <c r="Q196" s="1">
        <v>1</v>
      </c>
      <c r="R196" s="1" t="b">
        <f t="shared" si="5"/>
        <v>1</v>
      </c>
      <c r="S196" s="2" t="s">
        <v>174</v>
      </c>
      <c r="T196" s="1" t="str">
        <f>IF(S196="","",VLOOKUP(S196,'Ontology and concepts per UC'!$F$2:$J$46,5,FALSE))</f>
        <v>Utilidad</v>
      </c>
      <c r="U196" s="1" t="b">
        <f t="array" ref="U196">(INDEX('Ontology and concepts per UC'!$G$2:$I$46,MATCH($S196,'Ontology and concepts per UC'!$F$2:$F$46,0),MATCH(LEFT($A196,3),'Ontology and concepts per UC'!$G$1:$I$1,0))=0)</f>
        <v>0</v>
      </c>
      <c r="V196" s="1" t="b">
        <f t="shared" si="6"/>
        <v>1</v>
      </c>
      <c r="W196" s="1" t="b">
        <v>1</v>
      </c>
      <c r="X196" s="1" t="b">
        <v>0</v>
      </c>
      <c r="Y196" s="1" t="b">
        <v>0</v>
      </c>
      <c r="Z196" s="1" t="b">
        <v>0</v>
      </c>
      <c r="AA196" s="1" t="s">
        <v>617</v>
      </c>
    </row>
    <row r="197" spans="1:27" x14ac:dyDescent="0.25">
      <c r="A197" s="1" t="s">
        <v>379</v>
      </c>
      <c r="B197" s="2" t="s">
        <v>618</v>
      </c>
      <c r="C197" s="2" t="s">
        <v>172</v>
      </c>
      <c r="D197" s="6">
        <f t="shared" si="0"/>
        <v>1</v>
      </c>
      <c r="E197" s="7" t="str">
        <f t="shared" si="1"/>
        <v>UtilityParameter</v>
      </c>
      <c r="F197" s="8" t="b">
        <f>IF(D197&lt;1,FALSE,ISERROR(MATCH(E197,'Ontology and concepts per UC'!$A$2:$A$62,0)))</f>
        <v>1</v>
      </c>
      <c r="G197" s="9" t="str">
        <f t="shared" si="2"/>
        <v/>
      </c>
      <c r="H197" s="9" t="str">
        <f t="shared" si="3"/>
        <v/>
      </c>
      <c r="I197" s="8" t="b">
        <f>IF(D197&lt;2,FALSE,ISERROR(MATCH(H197,'Ontology and concepts per UC'!$A$2:$A$62,0)))</f>
        <v>0</v>
      </c>
      <c r="J197" s="9" t="str">
        <f t="shared" si="4"/>
        <v/>
      </c>
      <c r="K197" s="8" t="b">
        <f>IF(D197&lt;3,FALSE,ISERROR(MATCH(J197,'Ontology and concepts per UC'!$A$2:$A$62,0)))</f>
        <v>0</v>
      </c>
      <c r="L197" s="2" t="s">
        <v>466</v>
      </c>
      <c r="M197" s="2" t="s">
        <v>619</v>
      </c>
      <c r="N197" s="2"/>
      <c r="O197" s="1" t="b">
        <v>0</v>
      </c>
      <c r="P197" s="1">
        <v>1</v>
      </c>
      <c r="Q197" s="1">
        <v>1</v>
      </c>
      <c r="R197" s="1" t="b">
        <f t="shared" si="5"/>
        <v>1</v>
      </c>
      <c r="S197" s="2" t="s">
        <v>174</v>
      </c>
      <c r="T197" s="1" t="str">
        <f>IF(S197="","",VLOOKUP(S197,'Ontology and concepts per UC'!$F$2:$J$46,5,FALSE))</f>
        <v>Utilidad</v>
      </c>
      <c r="U197" s="1" t="b">
        <f t="array" ref="U197">(INDEX('Ontology and concepts per UC'!$G$2:$I$46,MATCH($S197,'Ontology and concepts per UC'!$F$2:$F$46,0),MATCH(LEFT($A197,3),'Ontology and concepts per UC'!$G$1:$I$1,0))=0)</f>
        <v>0</v>
      </c>
      <c r="V197" s="1" t="b">
        <f t="shared" si="6"/>
        <v>1</v>
      </c>
      <c r="W197" s="1" t="b">
        <v>1</v>
      </c>
      <c r="X197" s="1" t="b">
        <v>0</v>
      </c>
      <c r="Y197" s="1" t="b">
        <v>0</v>
      </c>
      <c r="Z197" s="1" t="b">
        <v>0</v>
      </c>
      <c r="AA197" s="1" t="s">
        <v>617</v>
      </c>
    </row>
    <row r="198" spans="1:27" x14ac:dyDescent="0.25">
      <c r="A198" s="1" t="s">
        <v>379</v>
      </c>
      <c r="B198" s="2" t="s">
        <v>620</v>
      </c>
      <c r="C198" s="2" t="s">
        <v>172</v>
      </c>
      <c r="D198" s="6">
        <f t="shared" si="0"/>
        <v>1</v>
      </c>
      <c r="E198" s="7" t="str">
        <f t="shared" si="1"/>
        <v>UtilityParameter</v>
      </c>
      <c r="F198" s="8" t="b">
        <f>IF(D198&lt;1,FALSE,ISERROR(MATCH(E198,'Ontology and concepts per UC'!$A$2:$A$62,0)))</f>
        <v>1</v>
      </c>
      <c r="G198" s="9" t="str">
        <f t="shared" si="2"/>
        <v/>
      </c>
      <c r="H198" s="9" t="str">
        <f t="shared" si="3"/>
        <v/>
      </c>
      <c r="I198" s="8" t="b">
        <f>IF(D198&lt;2,FALSE,ISERROR(MATCH(H198,'Ontology and concepts per UC'!$A$2:$A$62,0)))</f>
        <v>0</v>
      </c>
      <c r="J198" s="9" t="str">
        <f t="shared" si="4"/>
        <v/>
      </c>
      <c r="K198" s="8" t="b">
        <f>IF(D198&lt;3,FALSE,ISERROR(MATCH(J198,'Ontology and concepts per UC'!$A$2:$A$62,0)))</f>
        <v>0</v>
      </c>
      <c r="L198" s="2" t="s">
        <v>469</v>
      </c>
      <c r="M198" s="2" t="s">
        <v>621</v>
      </c>
      <c r="N198" s="2"/>
      <c r="O198" s="1" t="b">
        <v>0</v>
      </c>
      <c r="P198" s="1">
        <v>1</v>
      </c>
      <c r="Q198" s="1">
        <v>1</v>
      </c>
      <c r="R198" s="1" t="b">
        <f t="shared" si="5"/>
        <v>1</v>
      </c>
      <c r="S198" s="2" t="s">
        <v>174</v>
      </c>
      <c r="T198" s="1" t="str">
        <f>IF(S198="","",VLOOKUP(S198,'Ontology and concepts per UC'!$F$2:$J$46,5,FALSE))</f>
        <v>Utilidad</v>
      </c>
      <c r="U198" s="1" t="b">
        <f t="array" ref="U198">(INDEX('Ontology and concepts per UC'!$G$2:$I$46,MATCH($S198,'Ontology and concepts per UC'!$F$2:$F$46,0),MATCH(LEFT($A198,3),'Ontology and concepts per UC'!$G$1:$I$1,0))=0)</f>
        <v>0</v>
      </c>
      <c r="V198" s="1" t="b">
        <f t="shared" si="6"/>
        <v>1</v>
      </c>
      <c r="W198" s="1" t="b">
        <v>1</v>
      </c>
      <c r="X198" s="1" t="b">
        <v>0</v>
      </c>
      <c r="Y198" s="1" t="b">
        <v>0</v>
      </c>
      <c r="Z198" s="1" t="b">
        <v>0</v>
      </c>
      <c r="AA198" s="1" t="s">
        <v>617</v>
      </c>
    </row>
    <row r="199" spans="1:27" x14ac:dyDescent="0.25">
      <c r="A199" s="1" t="s">
        <v>379</v>
      </c>
      <c r="B199" s="2" t="s">
        <v>622</v>
      </c>
      <c r="C199" s="2" t="s">
        <v>172</v>
      </c>
      <c r="D199" s="6">
        <f t="shared" si="0"/>
        <v>1</v>
      </c>
      <c r="E199" s="7" t="str">
        <f t="shared" si="1"/>
        <v>UtilityParameter</v>
      </c>
      <c r="F199" s="8" t="b">
        <f>IF(D199&lt;1,FALSE,ISERROR(MATCH(E199,'Ontology and concepts per UC'!$A$2:$A$62,0)))</f>
        <v>1</v>
      </c>
      <c r="G199" s="9" t="str">
        <f t="shared" si="2"/>
        <v/>
      </c>
      <c r="H199" s="9" t="str">
        <f t="shared" si="3"/>
        <v/>
      </c>
      <c r="I199" s="8" t="b">
        <f>IF(D199&lt;2,FALSE,ISERROR(MATCH(H199,'Ontology and concepts per UC'!$A$2:$A$62,0)))</f>
        <v>0</v>
      </c>
      <c r="J199" s="9" t="str">
        <f t="shared" si="4"/>
        <v/>
      </c>
      <c r="K199" s="8" t="b">
        <f>IF(D199&lt;3,FALSE,ISERROR(MATCH(J199,'Ontology and concepts per UC'!$A$2:$A$62,0)))</f>
        <v>0</v>
      </c>
      <c r="L199" s="2" t="s">
        <v>472</v>
      </c>
      <c r="M199" s="2" t="s">
        <v>623</v>
      </c>
      <c r="N199" s="2"/>
      <c r="O199" s="1" t="b">
        <v>0</v>
      </c>
      <c r="P199" s="1">
        <v>1</v>
      </c>
      <c r="Q199" s="1">
        <v>1</v>
      </c>
      <c r="R199" s="1" t="b">
        <f t="shared" si="5"/>
        <v>1</v>
      </c>
      <c r="S199" s="2" t="s">
        <v>69</v>
      </c>
      <c r="T199" s="1" t="str">
        <f>IF(S199="","",VLOOKUP(S199,'Ontology and concepts per UC'!$F$2:$J$46,5,FALSE))</f>
        <v>Utilidad</v>
      </c>
      <c r="U199" s="1" t="b">
        <f t="array" ref="U199">(INDEX('Ontology and concepts per UC'!$G$2:$I$46,MATCH($S199,'Ontology and concepts per UC'!$F$2:$F$46,0),MATCH(LEFT($A199,3),'Ontology and concepts per UC'!$G$1:$I$1,0))=0)</f>
        <v>0</v>
      </c>
      <c r="V199" s="1" t="b">
        <f t="shared" si="6"/>
        <v>1</v>
      </c>
      <c r="W199" s="1" t="b">
        <v>1</v>
      </c>
      <c r="X199" s="1" t="b">
        <v>0</v>
      </c>
      <c r="Y199" s="1" t="b">
        <v>0</v>
      </c>
      <c r="Z199" s="1" t="b">
        <v>1</v>
      </c>
      <c r="AA199" s="1" t="s">
        <v>624</v>
      </c>
    </row>
    <row r="200" spans="1:27" x14ac:dyDescent="0.25">
      <c r="A200" s="1" t="s">
        <v>379</v>
      </c>
      <c r="B200" s="2" t="s">
        <v>625</v>
      </c>
      <c r="C200" s="2" t="s">
        <v>172</v>
      </c>
      <c r="D200" s="6">
        <f t="shared" si="0"/>
        <v>1</v>
      </c>
      <c r="E200" s="7" t="str">
        <f t="shared" si="1"/>
        <v>UtilityParameter</v>
      </c>
      <c r="F200" s="8" t="b">
        <f>IF(D200&lt;1,FALSE,ISERROR(MATCH(E200,'Ontology and concepts per UC'!$A$2:$A$62,0)))</f>
        <v>1</v>
      </c>
      <c r="G200" s="9" t="str">
        <f t="shared" si="2"/>
        <v/>
      </c>
      <c r="H200" s="9" t="str">
        <f t="shared" si="3"/>
        <v/>
      </c>
      <c r="I200" s="8" t="b">
        <f>IF(D200&lt;2,FALSE,ISERROR(MATCH(H200,'Ontology and concepts per UC'!$A$2:$A$62,0)))</f>
        <v>0</v>
      </c>
      <c r="J200" s="9" t="str">
        <f t="shared" si="4"/>
        <v/>
      </c>
      <c r="K200" s="8" t="b">
        <f>IF(D200&lt;3,FALSE,ISERROR(MATCH(J200,'Ontology and concepts per UC'!$A$2:$A$62,0)))</f>
        <v>0</v>
      </c>
      <c r="L200" s="2" t="s">
        <v>475</v>
      </c>
      <c r="M200" s="2" t="s">
        <v>626</v>
      </c>
      <c r="N200" s="2"/>
      <c r="O200" s="1" t="b">
        <v>0</v>
      </c>
      <c r="P200" s="1">
        <v>1</v>
      </c>
      <c r="Q200" s="1">
        <v>1</v>
      </c>
      <c r="R200" s="1" t="b">
        <f t="shared" si="5"/>
        <v>1</v>
      </c>
      <c r="S200" s="2" t="s">
        <v>174</v>
      </c>
      <c r="T200" s="1" t="str">
        <f>IF(S200="","",VLOOKUP(S200,'Ontology and concepts per UC'!$F$2:$J$46,5,FALSE))</f>
        <v>Utilidad</v>
      </c>
      <c r="U200" s="1" t="b">
        <f t="array" ref="U200">(INDEX('Ontology and concepts per UC'!$G$2:$I$46,MATCH($S200,'Ontology and concepts per UC'!$F$2:$F$46,0),MATCH(LEFT($A200,3),'Ontology and concepts per UC'!$G$1:$I$1,0))=0)</f>
        <v>0</v>
      </c>
      <c r="V200" s="1" t="b">
        <f t="shared" si="6"/>
        <v>1</v>
      </c>
      <c r="W200" s="1" t="b">
        <v>1</v>
      </c>
      <c r="X200" s="1" t="b">
        <v>0</v>
      </c>
      <c r="Y200" s="1" t="b">
        <v>0</v>
      </c>
      <c r="Z200" s="1" t="b">
        <v>0</v>
      </c>
      <c r="AA200" s="1" t="s">
        <v>617</v>
      </c>
    </row>
    <row r="201" spans="1:27" x14ac:dyDescent="0.25">
      <c r="A201" s="1" t="s">
        <v>379</v>
      </c>
      <c r="B201" s="2" t="s">
        <v>627</v>
      </c>
      <c r="C201" s="2" t="s">
        <v>172</v>
      </c>
      <c r="D201" s="6">
        <f t="shared" si="0"/>
        <v>1</v>
      </c>
      <c r="E201" s="7" t="str">
        <f t="shared" si="1"/>
        <v>UtilityParameter</v>
      </c>
      <c r="F201" s="8" t="b">
        <f>IF(D201&lt;1,FALSE,ISERROR(MATCH(E201,'Ontology and concepts per UC'!$A$2:$A$62,0)))</f>
        <v>1</v>
      </c>
      <c r="G201" s="9" t="str">
        <f t="shared" si="2"/>
        <v/>
      </c>
      <c r="H201" s="9" t="str">
        <f t="shared" si="3"/>
        <v/>
      </c>
      <c r="I201" s="8" t="b">
        <f>IF(D201&lt;2,FALSE,ISERROR(MATCH(H201,'Ontology and concepts per UC'!$A$2:$A$62,0)))</f>
        <v>0</v>
      </c>
      <c r="J201" s="9" t="str">
        <f t="shared" si="4"/>
        <v/>
      </c>
      <c r="K201" s="8" t="b">
        <f>IF(D201&lt;3,FALSE,ISERROR(MATCH(J201,'Ontology and concepts per UC'!$A$2:$A$62,0)))</f>
        <v>0</v>
      </c>
      <c r="L201" s="2" t="s">
        <v>478</v>
      </c>
      <c r="M201" s="2" t="s">
        <v>628</v>
      </c>
      <c r="N201" s="2"/>
      <c r="O201" s="1" t="b">
        <v>0</v>
      </c>
      <c r="P201" s="1">
        <v>1</v>
      </c>
      <c r="Q201" s="1">
        <v>1</v>
      </c>
      <c r="R201" s="1" t="b">
        <f t="shared" si="5"/>
        <v>1</v>
      </c>
      <c r="S201" s="2" t="s">
        <v>66</v>
      </c>
      <c r="T201" s="1" t="str">
        <f>IF(S201="","",VLOOKUP(S201,'Ontology and concepts per UC'!$F$2:$J$46,5,FALSE))</f>
        <v>Utilidad</v>
      </c>
      <c r="U201" s="1" t="b">
        <f t="array" ref="U201">(INDEX('Ontology and concepts per UC'!$G$2:$I$46,MATCH($S201,'Ontology and concepts per UC'!$F$2:$F$46,0),MATCH(LEFT($A201,3),'Ontology and concepts per UC'!$G$1:$I$1,0))=0)</f>
        <v>0</v>
      </c>
      <c r="V201" s="1" t="b">
        <f t="shared" si="6"/>
        <v>1</v>
      </c>
      <c r="W201" s="1" t="b">
        <v>1</v>
      </c>
      <c r="X201" s="1" t="b">
        <v>0</v>
      </c>
      <c r="Y201" s="1" t="b">
        <v>0</v>
      </c>
      <c r="Z201" s="1" t="b">
        <v>1</v>
      </c>
      <c r="AA201" s="1" t="s">
        <v>629</v>
      </c>
    </row>
    <row r="202" spans="1:27" x14ac:dyDescent="0.25">
      <c r="A202" s="1" t="s">
        <v>379</v>
      </c>
      <c r="B202" s="2" t="s">
        <v>630</v>
      </c>
      <c r="C202" s="2" t="s">
        <v>172</v>
      </c>
      <c r="D202" s="6">
        <f t="shared" si="0"/>
        <v>1</v>
      </c>
      <c r="E202" s="7" t="str">
        <f t="shared" si="1"/>
        <v>UtilityParameter</v>
      </c>
      <c r="F202" s="8" t="b">
        <f>IF(D202&lt;1,FALSE,ISERROR(MATCH(E202,'Ontology and concepts per UC'!$A$2:$A$62,0)))</f>
        <v>1</v>
      </c>
      <c r="G202" s="9" t="str">
        <f t="shared" si="2"/>
        <v/>
      </c>
      <c r="H202" s="9" t="str">
        <f t="shared" si="3"/>
        <v/>
      </c>
      <c r="I202" s="8" t="b">
        <f>IF(D202&lt;2,FALSE,ISERROR(MATCH(H202,'Ontology and concepts per UC'!$A$2:$A$62,0)))</f>
        <v>0</v>
      </c>
      <c r="J202" s="9" t="str">
        <f t="shared" si="4"/>
        <v/>
      </c>
      <c r="K202" s="8" t="b">
        <f>IF(D202&lt;3,FALSE,ISERROR(MATCH(J202,'Ontology and concepts per UC'!$A$2:$A$62,0)))</f>
        <v>0</v>
      </c>
      <c r="L202" s="2" t="s">
        <v>482</v>
      </c>
      <c r="M202" s="2" t="s">
        <v>631</v>
      </c>
      <c r="N202" s="2"/>
      <c r="O202" s="1" t="b">
        <v>0</v>
      </c>
      <c r="P202" s="1">
        <v>1</v>
      </c>
      <c r="Q202" s="1">
        <v>1</v>
      </c>
      <c r="R202" s="1" t="b">
        <f t="shared" si="5"/>
        <v>1</v>
      </c>
      <c r="S202" s="2" t="s">
        <v>69</v>
      </c>
      <c r="T202" s="1" t="str">
        <f>IF(S202="","",VLOOKUP(S202,'Ontology and concepts per UC'!$F$2:$J$46,5,FALSE))</f>
        <v>Utilidad</v>
      </c>
      <c r="U202" s="1" t="b">
        <f t="array" ref="U202">(INDEX('Ontology and concepts per UC'!$G$2:$I$46,MATCH($S202,'Ontology and concepts per UC'!$F$2:$F$46,0),MATCH(LEFT($A202,3),'Ontology and concepts per UC'!$G$1:$I$1,0))=0)</f>
        <v>0</v>
      </c>
      <c r="V202" s="1" t="b">
        <f t="shared" si="6"/>
        <v>1</v>
      </c>
      <c r="W202" s="1" t="b">
        <v>1</v>
      </c>
      <c r="X202" s="1" t="b">
        <v>0</v>
      </c>
      <c r="Y202" s="1" t="b">
        <v>0</v>
      </c>
      <c r="Z202" s="1" t="b">
        <v>1</v>
      </c>
      <c r="AA202" s="1" t="s">
        <v>629</v>
      </c>
    </row>
    <row r="203" spans="1:27" x14ac:dyDescent="0.25">
      <c r="A203" s="1" t="s">
        <v>379</v>
      </c>
      <c r="B203" s="2" t="s">
        <v>632</v>
      </c>
      <c r="C203" s="2" t="s">
        <v>172</v>
      </c>
      <c r="D203" s="6">
        <f t="shared" si="0"/>
        <v>1</v>
      </c>
      <c r="E203" s="7" t="str">
        <f t="shared" si="1"/>
        <v>UtilityParameter</v>
      </c>
      <c r="F203" s="8" t="b">
        <f>IF(D203&lt;1,FALSE,ISERROR(MATCH(E203,'Ontology and concepts per UC'!$A$2:$A$62,0)))</f>
        <v>1</v>
      </c>
      <c r="G203" s="9" t="str">
        <f t="shared" si="2"/>
        <v/>
      </c>
      <c r="H203" s="9" t="str">
        <f t="shared" si="3"/>
        <v/>
      </c>
      <c r="I203" s="8" t="b">
        <f>IF(D203&lt;2,FALSE,ISERROR(MATCH(H203,'Ontology and concepts per UC'!$A$2:$A$62,0)))</f>
        <v>0</v>
      </c>
      <c r="J203" s="9" t="str">
        <f t="shared" si="4"/>
        <v/>
      </c>
      <c r="K203" s="8" t="b">
        <f>IF(D203&lt;3,FALSE,ISERROR(MATCH(J203,'Ontology and concepts per UC'!$A$2:$A$62,0)))</f>
        <v>0</v>
      </c>
      <c r="L203" s="2" t="s">
        <v>485</v>
      </c>
      <c r="M203" s="2" t="s">
        <v>633</v>
      </c>
      <c r="N203" s="2"/>
      <c r="O203" s="1" t="b">
        <v>0</v>
      </c>
      <c r="P203" s="1">
        <v>1</v>
      </c>
      <c r="Q203" s="1">
        <v>1</v>
      </c>
      <c r="R203" s="1" t="b">
        <f t="shared" si="5"/>
        <v>1</v>
      </c>
      <c r="S203" s="2" t="s">
        <v>174</v>
      </c>
      <c r="T203" s="1" t="str">
        <f>IF(S203="","",VLOOKUP(S203,'Ontology and concepts per UC'!$F$2:$J$46,5,FALSE))</f>
        <v>Utilidad</v>
      </c>
      <c r="U203" s="1" t="b">
        <f t="array" ref="U203">(INDEX('Ontology and concepts per UC'!$G$2:$I$46,MATCH($S203,'Ontology and concepts per UC'!$F$2:$F$46,0),MATCH(LEFT($A203,3),'Ontology and concepts per UC'!$G$1:$I$1,0))=0)</f>
        <v>0</v>
      </c>
      <c r="V203" s="1" t="b">
        <f t="shared" si="6"/>
        <v>1</v>
      </c>
      <c r="W203" s="1" t="b">
        <v>1</v>
      </c>
      <c r="X203" s="1" t="b">
        <v>0</v>
      </c>
      <c r="Y203" s="1" t="b">
        <v>0</v>
      </c>
      <c r="Z203" s="1" t="b">
        <v>0</v>
      </c>
      <c r="AA203" s="1" t="s">
        <v>617</v>
      </c>
    </row>
    <row r="204" spans="1:27" x14ac:dyDescent="0.25">
      <c r="A204" s="1" t="s">
        <v>379</v>
      </c>
      <c r="B204" s="2" t="s">
        <v>634</v>
      </c>
      <c r="C204" s="2" t="s">
        <v>172</v>
      </c>
      <c r="D204" s="6">
        <f t="shared" si="0"/>
        <v>1</v>
      </c>
      <c r="E204" s="7" t="str">
        <f t="shared" si="1"/>
        <v>UtilityParameter</v>
      </c>
      <c r="F204" s="8" t="b">
        <f>IF(D204&lt;1,FALSE,ISERROR(MATCH(E204,'Ontology and concepts per UC'!$A$2:$A$62,0)))</f>
        <v>1</v>
      </c>
      <c r="G204" s="9" t="str">
        <f t="shared" si="2"/>
        <v/>
      </c>
      <c r="H204" s="9" t="str">
        <f t="shared" si="3"/>
        <v/>
      </c>
      <c r="I204" s="8" t="b">
        <f>IF(D204&lt;2,FALSE,ISERROR(MATCH(H204,'Ontology and concepts per UC'!$A$2:$A$62,0)))</f>
        <v>0</v>
      </c>
      <c r="J204" s="9" t="str">
        <f t="shared" si="4"/>
        <v/>
      </c>
      <c r="K204" s="8" t="b">
        <f>IF(D204&lt;3,FALSE,ISERROR(MATCH(J204,'Ontology and concepts per UC'!$A$2:$A$62,0)))</f>
        <v>0</v>
      </c>
      <c r="L204" s="2" t="s">
        <v>488</v>
      </c>
      <c r="M204" s="2" t="s">
        <v>635</v>
      </c>
      <c r="N204" s="2"/>
      <c r="O204" s="1" t="b">
        <v>0</v>
      </c>
      <c r="P204" s="1">
        <v>1</v>
      </c>
      <c r="Q204" s="1">
        <v>1</v>
      </c>
      <c r="R204" s="1" t="b">
        <f t="shared" si="5"/>
        <v>1</v>
      </c>
      <c r="S204" s="2" t="s">
        <v>174</v>
      </c>
      <c r="T204" s="1" t="str">
        <f>IF(S204="","",VLOOKUP(S204,'Ontology and concepts per UC'!$F$2:$J$46,5,FALSE))</f>
        <v>Utilidad</v>
      </c>
      <c r="U204" s="1" t="b">
        <f t="array" ref="U204">(INDEX('Ontology and concepts per UC'!$G$2:$I$46,MATCH($S204,'Ontology and concepts per UC'!$F$2:$F$46,0),MATCH(LEFT($A204,3),'Ontology and concepts per UC'!$G$1:$I$1,0))=0)</f>
        <v>0</v>
      </c>
      <c r="V204" s="1" t="b">
        <f t="shared" si="6"/>
        <v>1</v>
      </c>
      <c r="W204" s="1" t="b">
        <v>1</v>
      </c>
      <c r="X204" s="1" t="b">
        <v>0</v>
      </c>
      <c r="Y204" s="1" t="b">
        <v>0</v>
      </c>
      <c r="Z204" s="1" t="b">
        <v>0</v>
      </c>
      <c r="AA204" s="1" t="s">
        <v>617</v>
      </c>
    </row>
    <row r="205" spans="1:27" x14ac:dyDescent="0.25">
      <c r="A205" s="1" t="s">
        <v>379</v>
      </c>
      <c r="B205" s="2" t="s">
        <v>636</v>
      </c>
      <c r="C205" s="2" t="s">
        <v>172</v>
      </c>
      <c r="D205" s="6">
        <f t="shared" si="0"/>
        <v>1</v>
      </c>
      <c r="E205" s="7" t="str">
        <f t="shared" si="1"/>
        <v>UtilityParameter</v>
      </c>
      <c r="F205" s="8" t="b">
        <f>IF(D205&lt;1,FALSE,ISERROR(MATCH(E205,'Ontology and concepts per UC'!$A$2:$A$62,0)))</f>
        <v>1</v>
      </c>
      <c r="G205" s="9" t="str">
        <f t="shared" si="2"/>
        <v/>
      </c>
      <c r="H205" s="9" t="str">
        <f t="shared" si="3"/>
        <v/>
      </c>
      <c r="I205" s="8" t="b">
        <f>IF(D205&lt;2,FALSE,ISERROR(MATCH(H205,'Ontology and concepts per UC'!$A$2:$A$62,0)))</f>
        <v>0</v>
      </c>
      <c r="J205" s="9" t="str">
        <f t="shared" si="4"/>
        <v/>
      </c>
      <c r="K205" s="8" t="b">
        <f>IF(D205&lt;3,FALSE,ISERROR(MATCH(J205,'Ontology and concepts per UC'!$A$2:$A$62,0)))</f>
        <v>0</v>
      </c>
      <c r="L205" s="2" t="s">
        <v>491</v>
      </c>
      <c r="M205" s="2" t="s">
        <v>637</v>
      </c>
      <c r="N205" s="2"/>
      <c r="O205" s="1" t="b">
        <v>0</v>
      </c>
      <c r="P205" s="1">
        <v>1</v>
      </c>
      <c r="Q205" s="1">
        <v>1</v>
      </c>
      <c r="R205" s="1" t="b">
        <f t="shared" si="5"/>
        <v>1</v>
      </c>
      <c r="S205" s="2" t="s">
        <v>174</v>
      </c>
      <c r="T205" s="1" t="str">
        <f>IF(S205="","",VLOOKUP(S205,'Ontology and concepts per UC'!$F$2:$J$46,5,FALSE))</f>
        <v>Utilidad</v>
      </c>
      <c r="U205" s="1" t="b">
        <f t="array" ref="U205">(INDEX('Ontology and concepts per UC'!$G$2:$I$46,MATCH($S205,'Ontology and concepts per UC'!$F$2:$F$46,0),MATCH(LEFT($A205,3),'Ontology and concepts per UC'!$G$1:$I$1,0))=0)</f>
        <v>0</v>
      </c>
      <c r="V205" s="1" t="b">
        <f t="shared" si="6"/>
        <v>1</v>
      </c>
      <c r="W205" s="1" t="b">
        <v>1</v>
      </c>
      <c r="X205" s="1" t="b">
        <v>0</v>
      </c>
      <c r="Y205" s="1" t="b">
        <v>0</v>
      </c>
      <c r="Z205" s="1" t="b">
        <v>0</v>
      </c>
      <c r="AA205" s="1" t="s">
        <v>617</v>
      </c>
    </row>
    <row r="206" spans="1:27" x14ac:dyDescent="0.25">
      <c r="A206" s="1" t="s">
        <v>379</v>
      </c>
      <c r="B206" s="2" t="s">
        <v>638</v>
      </c>
      <c r="C206" s="2" t="s">
        <v>172</v>
      </c>
      <c r="D206" s="6">
        <f t="shared" si="0"/>
        <v>1</v>
      </c>
      <c r="E206" s="7" t="str">
        <f t="shared" si="1"/>
        <v>UtilityParameter</v>
      </c>
      <c r="F206" s="8" t="b">
        <f>IF(D206&lt;1,FALSE,ISERROR(MATCH(E206,'Ontology and concepts per UC'!$A$2:$A$62,0)))</f>
        <v>1</v>
      </c>
      <c r="G206" s="9" t="str">
        <f t="shared" si="2"/>
        <v/>
      </c>
      <c r="H206" s="9" t="str">
        <f t="shared" si="3"/>
        <v/>
      </c>
      <c r="I206" s="8" t="b">
        <f>IF(D206&lt;2,FALSE,ISERROR(MATCH(H206,'Ontology and concepts per UC'!$A$2:$A$62,0)))</f>
        <v>0</v>
      </c>
      <c r="J206" s="9" t="str">
        <f t="shared" si="4"/>
        <v/>
      </c>
      <c r="K206" s="8" t="b">
        <f>IF(D206&lt;3,FALSE,ISERROR(MATCH(J206,'Ontology and concepts per UC'!$A$2:$A$62,0)))</f>
        <v>0</v>
      </c>
      <c r="L206" s="2" t="s">
        <v>494</v>
      </c>
      <c r="M206" s="2" t="s">
        <v>639</v>
      </c>
      <c r="N206" s="2"/>
      <c r="O206" s="1" t="b">
        <v>0</v>
      </c>
      <c r="P206" s="1">
        <v>1</v>
      </c>
      <c r="Q206" s="1">
        <v>1</v>
      </c>
      <c r="R206" s="1" t="b">
        <f t="shared" si="5"/>
        <v>1</v>
      </c>
      <c r="S206" s="2" t="s">
        <v>67</v>
      </c>
      <c r="T206" s="1" t="str">
        <f>IF(S206="","",VLOOKUP(S206,'Ontology and concepts per UC'!$F$2:$J$46,5,FALSE))</f>
        <v>Utilidad</v>
      </c>
      <c r="U206" s="1" t="b">
        <f t="array" ref="U206">(INDEX('Ontology and concepts per UC'!$G$2:$I$46,MATCH($S206,'Ontology and concepts per UC'!$F$2:$F$46,0),MATCH(LEFT($A206,3),'Ontology and concepts per UC'!$G$1:$I$1,0))=0)</f>
        <v>0</v>
      </c>
      <c r="V206" s="1" t="b">
        <f t="shared" si="6"/>
        <v>1</v>
      </c>
      <c r="W206" s="1" t="b">
        <v>1</v>
      </c>
      <c r="X206" s="1" t="b">
        <v>0</v>
      </c>
      <c r="Y206" s="1" t="b">
        <v>0</v>
      </c>
      <c r="Z206" s="1" t="b">
        <v>1</v>
      </c>
      <c r="AA206" s="1" t="s">
        <v>629</v>
      </c>
    </row>
    <row r="207" spans="1:27" x14ac:dyDescent="0.25">
      <c r="A207" s="1" t="s">
        <v>379</v>
      </c>
      <c r="B207" s="2" t="s">
        <v>640</v>
      </c>
      <c r="C207" s="2" t="s">
        <v>172</v>
      </c>
      <c r="D207" s="6">
        <f t="shared" si="0"/>
        <v>1</v>
      </c>
      <c r="E207" s="7" t="str">
        <f t="shared" si="1"/>
        <v>UtilityParameter</v>
      </c>
      <c r="F207" s="8" t="b">
        <f>IF(D207&lt;1,FALSE,ISERROR(MATCH(E207,'Ontology and concepts per UC'!$A$2:$A$62,0)))</f>
        <v>1</v>
      </c>
      <c r="G207" s="9" t="str">
        <f t="shared" si="2"/>
        <v/>
      </c>
      <c r="H207" s="9" t="str">
        <f t="shared" si="3"/>
        <v/>
      </c>
      <c r="I207" s="8" t="b">
        <f>IF(D207&lt;2,FALSE,ISERROR(MATCH(H207,'Ontology and concepts per UC'!$A$2:$A$62,0)))</f>
        <v>0</v>
      </c>
      <c r="J207" s="9" t="str">
        <f t="shared" si="4"/>
        <v/>
      </c>
      <c r="K207" s="8" t="b">
        <f>IF(D207&lt;3,FALSE,ISERROR(MATCH(J207,'Ontology and concepts per UC'!$A$2:$A$62,0)))</f>
        <v>0</v>
      </c>
      <c r="L207" s="2" t="s">
        <v>497</v>
      </c>
      <c r="M207" s="2" t="s">
        <v>641</v>
      </c>
      <c r="N207" s="2"/>
      <c r="O207" s="1" t="b">
        <v>0</v>
      </c>
      <c r="P207" s="1">
        <v>1</v>
      </c>
      <c r="Q207" s="1">
        <v>1</v>
      </c>
      <c r="R207" s="1" t="b">
        <f t="shared" si="5"/>
        <v>1</v>
      </c>
      <c r="S207" s="2" t="s">
        <v>70</v>
      </c>
      <c r="T207" s="1" t="str">
        <f>IF(S207="","",VLOOKUP(S207,'Ontology and concepts per UC'!$F$2:$J$46,5,FALSE))</f>
        <v>Utilidad</v>
      </c>
      <c r="U207" s="1" t="b">
        <f t="array" ref="U207">(INDEX('Ontology and concepts per UC'!$G$2:$I$46,MATCH($S207,'Ontology and concepts per UC'!$F$2:$F$46,0),MATCH(LEFT($A207,3),'Ontology and concepts per UC'!$G$1:$I$1,0))=0)</f>
        <v>0</v>
      </c>
      <c r="V207" s="1" t="b">
        <f t="shared" si="6"/>
        <v>1</v>
      </c>
      <c r="W207" s="1" t="b">
        <v>1</v>
      </c>
      <c r="X207" s="1" t="b">
        <v>0</v>
      </c>
      <c r="Y207" s="1" t="b">
        <v>0</v>
      </c>
      <c r="Z207" s="1" t="b">
        <v>1</v>
      </c>
      <c r="AA207" s="1" t="s">
        <v>629</v>
      </c>
    </row>
    <row r="208" spans="1:27" x14ac:dyDescent="0.25">
      <c r="A208" s="1" t="s">
        <v>379</v>
      </c>
      <c r="B208" s="2" t="s">
        <v>642</v>
      </c>
      <c r="C208" s="2" t="s">
        <v>172</v>
      </c>
      <c r="D208" s="6">
        <f t="shared" si="0"/>
        <v>1</v>
      </c>
      <c r="E208" s="7" t="str">
        <f t="shared" si="1"/>
        <v>UtilityParameter</v>
      </c>
      <c r="F208" s="8" t="b">
        <f>IF(D208&lt;1,FALSE,ISERROR(MATCH(E208,'Ontology and concepts per UC'!$A$2:$A$62,0)))</f>
        <v>1</v>
      </c>
      <c r="G208" s="9" t="str">
        <f t="shared" si="2"/>
        <v/>
      </c>
      <c r="H208" s="9" t="str">
        <f t="shared" si="3"/>
        <v/>
      </c>
      <c r="I208" s="8" t="b">
        <f>IF(D208&lt;2,FALSE,ISERROR(MATCH(H208,'Ontology and concepts per UC'!$A$2:$A$62,0)))</f>
        <v>0</v>
      </c>
      <c r="J208" s="9" t="str">
        <f t="shared" si="4"/>
        <v/>
      </c>
      <c r="K208" s="8" t="b">
        <f>IF(D208&lt;3,FALSE,ISERROR(MATCH(J208,'Ontology and concepts per UC'!$A$2:$A$62,0)))</f>
        <v>0</v>
      </c>
      <c r="L208" s="2" t="s">
        <v>500</v>
      </c>
      <c r="M208" s="2" t="s">
        <v>643</v>
      </c>
      <c r="N208" s="2"/>
      <c r="O208" s="1" t="b">
        <v>0</v>
      </c>
      <c r="P208" s="1">
        <v>1</v>
      </c>
      <c r="Q208" s="1">
        <v>1</v>
      </c>
      <c r="R208" s="1" t="b">
        <f t="shared" si="5"/>
        <v>1</v>
      </c>
      <c r="S208" s="2" t="s">
        <v>65</v>
      </c>
      <c r="T208" s="1" t="str">
        <f>IF(S208="","",VLOOKUP(S208,'Ontology and concepts per UC'!$F$2:$J$46,5,FALSE))</f>
        <v>Utilidad</v>
      </c>
      <c r="U208" s="1" t="b">
        <f t="array" ref="U208">(INDEX('Ontology and concepts per UC'!$G$2:$I$46,MATCH($S208,'Ontology and concepts per UC'!$F$2:$F$46,0),MATCH(LEFT($A208,3),'Ontology and concepts per UC'!$G$1:$I$1,0))=0)</f>
        <v>0</v>
      </c>
      <c r="V208" s="1" t="b">
        <f t="shared" si="6"/>
        <v>1</v>
      </c>
      <c r="W208" s="1" t="b">
        <v>1</v>
      </c>
      <c r="X208" s="1" t="b">
        <v>0</v>
      </c>
      <c r="Y208" s="1" t="b">
        <v>0</v>
      </c>
      <c r="Z208" s="1" t="b">
        <v>1</v>
      </c>
      <c r="AA208" s="1" t="s">
        <v>629</v>
      </c>
    </row>
    <row r="209" spans="1:27" x14ac:dyDescent="0.25">
      <c r="A209" s="1" t="s">
        <v>379</v>
      </c>
      <c r="B209" s="2" t="s">
        <v>644</v>
      </c>
      <c r="C209" s="2" t="s">
        <v>172</v>
      </c>
      <c r="D209" s="6">
        <f t="shared" si="0"/>
        <v>1</v>
      </c>
      <c r="E209" s="7" t="str">
        <f t="shared" si="1"/>
        <v>UtilityParameter</v>
      </c>
      <c r="F209" s="8" t="b">
        <f>IF(D209&lt;1,FALSE,ISERROR(MATCH(E209,'Ontology and concepts per UC'!$A$2:$A$62,0)))</f>
        <v>1</v>
      </c>
      <c r="G209" s="9" t="str">
        <f t="shared" si="2"/>
        <v/>
      </c>
      <c r="H209" s="9" t="str">
        <f t="shared" si="3"/>
        <v/>
      </c>
      <c r="I209" s="8" t="b">
        <f>IF(D209&lt;2,FALSE,ISERROR(MATCH(H209,'Ontology and concepts per UC'!$A$2:$A$62,0)))</f>
        <v>0</v>
      </c>
      <c r="J209" s="9" t="str">
        <f t="shared" si="4"/>
        <v/>
      </c>
      <c r="K209" s="8" t="b">
        <f>IF(D209&lt;3,FALSE,ISERROR(MATCH(J209,'Ontology and concepts per UC'!$A$2:$A$62,0)))</f>
        <v>0</v>
      </c>
      <c r="L209" s="2" t="s">
        <v>503</v>
      </c>
      <c r="M209" s="2" t="s">
        <v>645</v>
      </c>
      <c r="N209" s="2"/>
      <c r="O209" s="1" t="b">
        <v>0</v>
      </c>
      <c r="P209" s="1">
        <v>1</v>
      </c>
      <c r="Q209" s="1">
        <v>1</v>
      </c>
      <c r="R209" s="1" t="b">
        <f t="shared" si="5"/>
        <v>1</v>
      </c>
      <c r="S209" s="2" t="s">
        <v>68</v>
      </c>
      <c r="T209" s="1" t="str">
        <f>IF(S209="","",VLOOKUP(S209,'Ontology and concepts per UC'!$F$2:$J$46,5,FALSE))</f>
        <v>Utilidad</v>
      </c>
      <c r="U209" s="1" t="b">
        <f t="array" ref="U209">(INDEX('Ontology and concepts per UC'!$G$2:$I$46,MATCH($S209,'Ontology and concepts per UC'!$F$2:$F$46,0),MATCH(LEFT($A209,3),'Ontology and concepts per UC'!$G$1:$I$1,0))=0)</f>
        <v>0</v>
      </c>
      <c r="V209" s="1" t="b">
        <f t="shared" si="6"/>
        <v>1</v>
      </c>
      <c r="W209" s="1" t="b">
        <v>1</v>
      </c>
      <c r="X209" s="1" t="b">
        <v>0</v>
      </c>
      <c r="Y209" s="1" t="b">
        <v>0</v>
      </c>
      <c r="Z209" s="1" t="b">
        <v>1</v>
      </c>
      <c r="AA209" s="1" t="s">
        <v>629</v>
      </c>
    </row>
    <row r="210" spans="1:27" x14ac:dyDescent="0.25">
      <c r="A210" s="1" t="s">
        <v>379</v>
      </c>
      <c r="B210" s="2" t="s">
        <v>646</v>
      </c>
      <c r="C210" s="2" t="s">
        <v>172</v>
      </c>
      <c r="D210" s="6">
        <f t="shared" si="0"/>
        <v>1</v>
      </c>
      <c r="E210" s="7" t="str">
        <f t="shared" si="1"/>
        <v>UtilityParameter</v>
      </c>
      <c r="F210" s="8" t="b">
        <f>IF(D210&lt;1,FALSE,ISERROR(MATCH(E210,'Ontology and concepts per UC'!$A$2:$A$62,0)))</f>
        <v>1</v>
      </c>
      <c r="G210" s="9" t="str">
        <f t="shared" si="2"/>
        <v/>
      </c>
      <c r="H210" s="9" t="str">
        <f t="shared" si="3"/>
        <v/>
      </c>
      <c r="I210" s="8" t="b">
        <f>IF(D210&lt;2,FALSE,ISERROR(MATCH(H210,'Ontology and concepts per UC'!$A$2:$A$62,0)))</f>
        <v>0</v>
      </c>
      <c r="J210" s="9" t="str">
        <f t="shared" si="4"/>
        <v/>
      </c>
      <c r="K210" s="8" t="b">
        <f>IF(D210&lt;3,FALSE,ISERROR(MATCH(J210,'Ontology and concepts per UC'!$A$2:$A$62,0)))</f>
        <v>0</v>
      </c>
      <c r="L210" s="2" t="s">
        <v>506</v>
      </c>
      <c r="M210" s="2" t="s">
        <v>647</v>
      </c>
      <c r="N210" s="2"/>
      <c r="O210" s="1" t="b">
        <v>0</v>
      </c>
      <c r="P210" s="1">
        <v>1</v>
      </c>
      <c r="Q210" s="1">
        <v>1</v>
      </c>
      <c r="R210" s="1" t="b">
        <f t="shared" si="5"/>
        <v>1</v>
      </c>
      <c r="S210" s="2" t="s">
        <v>174</v>
      </c>
      <c r="T210" s="1" t="str">
        <f>IF(S210="","",VLOOKUP(S210,'Ontology and concepts per UC'!$F$2:$J$46,5,FALSE))</f>
        <v>Utilidad</v>
      </c>
      <c r="U210" s="1" t="b">
        <f t="array" ref="U210">(INDEX('Ontology and concepts per UC'!$G$2:$I$46,MATCH($S210,'Ontology and concepts per UC'!$F$2:$F$46,0),MATCH(LEFT($A210,3),'Ontology and concepts per UC'!$G$1:$I$1,0))=0)</f>
        <v>0</v>
      </c>
      <c r="V210" s="1" t="b">
        <f t="shared" si="6"/>
        <v>1</v>
      </c>
      <c r="W210" s="1" t="b">
        <v>1</v>
      </c>
      <c r="X210" s="1" t="b">
        <v>0</v>
      </c>
      <c r="Y210" s="1" t="b">
        <v>0</v>
      </c>
      <c r="Z210" s="1" t="b">
        <v>0</v>
      </c>
      <c r="AA210" s="1" t="s">
        <v>617</v>
      </c>
    </row>
    <row r="211" spans="1:27" x14ac:dyDescent="0.25">
      <c r="A211" s="1" t="s">
        <v>379</v>
      </c>
      <c r="B211" s="2" t="s">
        <v>648</v>
      </c>
      <c r="C211" s="2" t="s">
        <v>172</v>
      </c>
      <c r="D211" s="6">
        <f t="shared" si="0"/>
        <v>1</v>
      </c>
      <c r="E211" s="7" t="str">
        <f t="shared" si="1"/>
        <v>UtilityParameter</v>
      </c>
      <c r="F211" s="8" t="b">
        <f>IF(D211&lt;1,FALSE,ISERROR(MATCH(E211,'Ontology and concepts per UC'!$A$2:$A$62,0)))</f>
        <v>1</v>
      </c>
      <c r="G211" s="9" t="str">
        <f t="shared" si="2"/>
        <v/>
      </c>
      <c r="H211" s="9" t="str">
        <f t="shared" si="3"/>
        <v/>
      </c>
      <c r="I211" s="8" t="b">
        <f>IF(D211&lt;2,FALSE,ISERROR(MATCH(H211,'Ontology and concepts per UC'!$A$2:$A$62,0)))</f>
        <v>0</v>
      </c>
      <c r="J211" s="9" t="str">
        <f t="shared" si="4"/>
        <v/>
      </c>
      <c r="K211" s="8" t="b">
        <f>IF(D211&lt;3,FALSE,ISERROR(MATCH(J211,'Ontology and concepts per UC'!$A$2:$A$62,0)))</f>
        <v>0</v>
      </c>
      <c r="L211" s="2" t="s">
        <v>509</v>
      </c>
      <c r="M211" s="2" t="s">
        <v>649</v>
      </c>
      <c r="N211" s="2"/>
      <c r="O211" s="1" t="b">
        <v>0</v>
      </c>
      <c r="P211" s="1">
        <v>1</v>
      </c>
      <c r="Q211" s="1">
        <v>1</v>
      </c>
      <c r="R211" s="1" t="b">
        <f t="shared" si="5"/>
        <v>1</v>
      </c>
      <c r="S211" s="2" t="s">
        <v>67</v>
      </c>
      <c r="T211" s="1" t="str">
        <f>IF(S211="","",VLOOKUP(S211,'Ontology and concepts per UC'!$F$2:$J$46,5,FALSE))</f>
        <v>Utilidad</v>
      </c>
      <c r="U211" s="1" t="b">
        <f t="array" ref="U211">(INDEX('Ontology and concepts per UC'!$G$2:$I$46,MATCH($S211,'Ontology and concepts per UC'!$F$2:$F$46,0),MATCH(LEFT($A211,3),'Ontology and concepts per UC'!$G$1:$I$1,0))=0)</f>
        <v>0</v>
      </c>
      <c r="V211" s="1" t="b">
        <f t="shared" si="6"/>
        <v>1</v>
      </c>
      <c r="W211" s="1" t="b">
        <v>1</v>
      </c>
      <c r="X211" s="1" t="b">
        <v>0</v>
      </c>
      <c r="Y211" s="1" t="b">
        <v>0</v>
      </c>
      <c r="Z211" s="1" t="b">
        <v>1</v>
      </c>
      <c r="AA211" s="1" t="s">
        <v>629</v>
      </c>
    </row>
    <row r="212" spans="1:27" x14ac:dyDescent="0.25">
      <c r="A212" s="1" t="s">
        <v>379</v>
      </c>
      <c r="B212" s="2" t="s">
        <v>650</v>
      </c>
      <c r="C212" s="2"/>
      <c r="D212" s="6">
        <f t="shared" si="0"/>
        <v>0</v>
      </c>
      <c r="E212" s="7">
        <f t="shared" si="1"/>
        <v>0</v>
      </c>
      <c r="F212" s="8" t="b">
        <f>IF(D212&lt;1,FALSE,ISERROR(MATCH(E212,'Ontology and concepts per UC'!$A$2:$A$62,0)))</f>
        <v>0</v>
      </c>
      <c r="G212" s="9" t="str">
        <f t="shared" si="2"/>
        <v/>
      </c>
      <c r="H212" s="9" t="str">
        <f t="shared" si="3"/>
        <v/>
      </c>
      <c r="I212" s="8" t="b">
        <f>IF(D212&lt;2,FALSE,ISERROR(MATCH(H212,'Ontology and concepts per UC'!$A$2:$A$62,0)))</f>
        <v>0</v>
      </c>
      <c r="J212" s="9" t="str">
        <f t="shared" si="4"/>
        <v/>
      </c>
      <c r="K212" s="8" t="b">
        <f>IF(D212&lt;3,FALSE,ISERROR(MATCH(J212,'Ontology and concepts per UC'!$A$2:$A$62,0)))</f>
        <v>0</v>
      </c>
      <c r="L212" s="2"/>
      <c r="M212" s="2"/>
      <c r="N212" s="2"/>
      <c r="O212" s="1" t="b">
        <v>1</v>
      </c>
      <c r="P212" s="1">
        <v>0</v>
      </c>
      <c r="Q212" s="1">
        <v>0</v>
      </c>
      <c r="R212" s="1" t="b">
        <f t="shared" si="5"/>
        <v>0</v>
      </c>
      <c r="S212" s="2" t="s">
        <v>107</v>
      </c>
      <c r="T212" s="1" t="str">
        <f>IF(S212="","",VLOOKUP(S212,'Ontology and concepts per UC'!$F$2:$J$46,5,FALSE))</f>
        <v>Parcial</v>
      </c>
      <c r="U212" s="1" t="b">
        <f t="array" ref="U212">(INDEX('Ontology and concepts per UC'!$G$2:$I$46,MATCH($S212,'Ontology and concepts per UC'!$F$2:$F$46,0),MATCH(LEFT($A212,3),'Ontology and concepts per UC'!$G$1:$I$1,0))=0)</f>
        <v>0</v>
      </c>
      <c r="V212" s="1" t="b">
        <f t="shared" si="6"/>
        <v>1</v>
      </c>
      <c r="W212" s="1" t="b">
        <v>1</v>
      </c>
      <c r="X212" s="1" t="b">
        <v>0</v>
      </c>
      <c r="Y212" s="1" t="b">
        <v>0</v>
      </c>
      <c r="Z212" s="1" t="b">
        <v>0</v>
      </c>
      <c r="AA212" s="1" t="s">
        <v>188</v>
      </c>
    </row>
    <row r="213" spans="1:27" x14ac:dyDescent="0.25">
      <c r="A213" s="1" t="s">
        <v>379</v>
      </c>
      <c r="B213" s="2" t="s">
        <v>651</v>
      </c>
      <c r="C213" s="2"/>
      <c r="D213" s="6">
        <f t="shared" si="0"/>
        <v>0</v>
      </c>
      <c r="E213" s="7">
        <f t="shared" si="1"/>
        <v>0</v>
      </c>
      <c r="F213" s="8" t="b">
        <f>IF(D213&lt;1,FALSE,ISERROR(MATCH(E213,'Ontology and concepts per UC'!$A$2:$A$62,0)))</f>
        <v>0</v>
      </c>
      <c r="G213" s="9" t="str">
        <f t="shared" si="2"/>
        <v/>
      </c>
      <c r="H213" s="9" t="str">
        <f t="shared" si="3"/>
        <v/>
      </c>
      <c r="I213" s="8" t="b">
        <f>IF(D213&lt;2,FALSE,ISERROR(MATCH(H213,'Ontology and concepts per UC'!$A$2:$A$62,0)))</f>
        <v>0</v>
      </c>
      <c r="J213" s="9" t="str">
        <f t="shared" si="4"/>
        <v/>
      </c>
      <c r="K213" s="8" t="b">
        <f>IF(D213&lt;3,FALSE,ISERROR(MATCH(J213,'Ontology and concepts per UC'!$A$2:$A$62,0)))</f>
        <v>0</v>
      </c>
      <c r="L213" s="2"/>
      <c r="M213" s="2"/>
      <c r="N213" s="2"/>
      <c r="O213" s="1" t="b">
        <v>1</v>
      </c>
      <c r="P213" s="1">
        <v>0</v>
      </c>
      <c r="Q213" s="1">
        <v>0</v>
      </c>
      <c r="R213" s="1" t="b">
        <f t="shared" si="5"/>
        <v>0</v>
      </c>
      <c r="S213" s="2" t="s">
        <v>35</v>
      </c>
      <c r="T213" s="1" t="str">
        <f>IF(S213="","",VLOOKUP(S213,'Ontology and concepts per UC'!$F$2:$J$46,5,FALSE))</f>
        <v>Modelo Conceptual</v>
      </c>
      <c r="U213" s="1" t="b">
        <f t="array" ref="U213">(INDEX('Ontology and concepts per UC'!$G$2:$I$46,MATCH($S213,'Ontology and concepts per UC'!$F$2:$F$46,0),MATCH(LEFT($A213,3),'Ontology and concepts per UC'!$G$1:$I$1,0))=0)</f>
        <v>0</v>
      </c>
      <c r="V213" s="1" t="b">
        <f t="shared" si="6"/>
        <v>1</v>
      </c>
      <c r="W213" s="1" t="b">
        <v>1</v>
      </c>
      <c r="X213" s="1" t="b">
        <v>0</v>
      </c>
      <c r="Y213" s="1" t="b">
        <v>0</v>
      </c>
      <c r="Z213" s="1" t="b">
        <v>0</v>
      </c>
      <c r="AA213" s="1" t="s">
        <v>188</v>
      </c>
    </row>
    <row r="214" spans="1:27" x14ac:dyDescent="0.25">
      <c r="A214" s="1" t="s">
        <v>652</v>
      </c>
      <c r="B214" s="2" t="s">
        <v>653</v>
      </c>
      <c r="C214" s="2" t="s">
        <v>96</v>
      </c>
      <c r="D214" s="6">
        <f t="shared" si="0"/>
        <v>1</v>
      </c>
      <c r="E214" s="7" t="str">
        <f t="shared" si="1"/>
        <v>CostParameter</v>
      </c>
      <c r="F214" s="8" t="b">
        <f>IF(D214&lt;1,FALSE,ISERROR(MATCH(E214,'Ontology and concepts per UC'!$A$2:$A$62,0)))</f>
        <v>1</v>
      </c>
      <c r="G214" s="9" t="str">
        <f t="shared" si="2"/>
        <v/>
      </c>
      <c r="H214" s="9" t="str">
        <f t="shared" si="3"/>
        <v/>
      </c>
      <c r="I214" s="8" t="b">
        <f>IF(D214&lt;2,FALSE,ISERROR(MATCH(H214,'Ontology and concepts per UC'!$A$2:$A$62,0)))</f>
        <v>0</v>
      </c>
      <c r="J214" s="9" t="str">
        <f t="shared" si="4"/>
        <v/>
      </c>
      <c r="K214" s="8" t="b">
        <f>IF(D214&lt;3,FALSE,ISERROR(MATCH(J214,'Ontology and concepts per UC'!$A$2:$A$62,0)))</f>
        <v>0</v>
      </c>
      <c r="L214" s="2"/>
      <c r="M214" s="2" t="s">
        <v>654</v>
      </c>
      <c r="N214" s="2"/>
      <c r="O214" s="1" t="b">
        <v>0</v>
      </c>
      <c r="P214" s="1">
        <v>1</v>
      </c>
      <c r="Q214" s="1">
        <v>0</v>
      </c>
      <c r="R214" s="1" t="b">
        <f t="shared" si="5"/>
        <v>0</v>
      </c>
      <c r="S214" s="2" t="s">
        <v>11</v>
      </c>
      <c r="T214" s="1" t="str">
        <f>IF(S214="","",VLOOKUP(S214,'Ontology and concepts per UC'!$F$2:$J$46,5,FALSE))</f>
        <v>Coste</v>
      </c>
      <c r="U214" s="1" t="b">
        <f t="array" ref="U214">(INDEX('Ontology and concepts per UC'!$G$2:$I$46,MATCH($S214,'Ontology and concepts per UC'!$F$2:$F$46,0),MATCH(LEFT($A214,3),'Ontology and concepts per UC'!$G$1:$I$1,0))=0)</f>
        <v>0</v>
      </c>
      <c r="V214" s="1" t="b">
        <f t="shared" si="6"/>
        <v>1</v>
      </c>
      <c r="W214" s="1" t="b">
        <v>1</v>
      </c>
      <c r="X214" s="1" t="b">
        <v>0</v>
      </c>
      <c r="Y214" s="1" t="b">
        <v>0</v>
      </c>
      <c r="Z214" s="1" t="b">
        <v>0</v>
      </c>
      <c r="AA214" s="1" t="s">
        <v>98</v>
      </c>
    </row>
    <row r="215" spans="1:27" x14ac:dyDescent="0.25">
      <c r="A215" s="1" t="s">
        <v>652</v>
      </c>
      <c r="B215" s="2" t="s">
        <v>655</v>
      </c>
      <c r="C215" s="2" t="s">
        <v>96</v>
      </c>
      <c r="D215" s="6">
        <f t="shared" si="0"/>
        <v>1</v>
      </c>
      <c r="E215" s="7" t="str">
        <f t="shared" si="1"/>
        <v>CostParameter</v>
      </c>
      <c r="F215" s="8" t="b">
        <f>IF(D215&lt;1,FALSE,ISERROR(MATCH(E215,'Ontology and concepts per UC'!$A$2:$A$62,0)))</f>
        <v>1</v>
      </c>
      <c r="G215" s="9" t="str">
        <f t="shared" si="2"/>
        <v/>
      </c>
      <c r="H215" s="9" t="str">
        <f t="shared" si="3"/>
        <v/>
      </c>
      <c r="I215" s="8" t="b">
        <f>IF(D215&lt;2,FALSE,ISERROR(MATCH(H215,'Ontology and concepts per UC'!$A$2:$A$62,0)))</f>
        <v>0</v>
      </c>
      <c r="J215" s="9" t="str">
        <f t="shared" si="4"/>
        <v/>
      </c>
      <c r="K215" s="8" t="b">
        <f>IF(D215&lt;3,FALSE,ISERROR(MATCH(J215,'Ontology and concepts per UC'!$A$2:$A$62,0)))</f>
        <v>0</v>
      </c>
      <c r="L215" s="2"/>
      <c r="M215" s="2" t="s">
        <v>656</v>
      </c>
      <c r="N215" s="2"/>
      <c r="O215" s="1" t="b">
        <v>0</v>
      </c>
      <c r="P215" s="1">
        <v>1</v>
      </c>
      <c r="Q215" s="1">
        <v>0</v>
      </c>
      <c r="R215" s="1" t="b">
        <f t="shared" si="5"/>
        <v>0</v>
      </c>
      <c r="S215" s="2" t="s">
        <v>6</v>
      </c>
      <c r="T215" s="1" t="str">
        <f>IF(S215="","",VLOOKUP(S215,'Ontology and concepts per UC'!$F$2:$J$46,5,FALSE))</f>
        <v>Coste</v>
      </c>
      <c r="U215" s="1" t="b">
        <f t="array" ref="U215">(INDEX('Ontology and concepts per UC'!$G$2:$I$46,MATCH($S215,'Ontology and concepts per UC'!$F$2:$F$46,0),MATCH(LEFT($A215,3),'Ontology and concepts per UC'!$G$1:$I$1,0))=0)</f>
        <v>0</v>
      </c>
      <c r="V215" s="1" t="b">
        <f t="shared" si="6"/>
        <v>1</v>
      </c>
      <c r="W215" s="1" t="b">
        <v>1</v>
      </c>
      <c r="X215" s="1" t="b">
        <v>0</v>
      </c>
      <c r="Y215" s="1" t="b">
        <v>0</v>
      </c>
      <c r="Z215" s="1" t="b">
        <v>0</v>
      </c>
      <c r="AA215" s="1" t="s">
        <v>98</v>
      </c>
    </row>
    <row r="216" spans="1:27" x14ac:dyDescent="0.25">
      <c r="A216" s="1" t="s">
        <v>652</v>
      </c>
      <c r="B216" s="2" t="s">
        <v>657</v>
      </c>
      <c r="C216" s="2" t="s">
        <v>96</v>
      </c>
      <c r="D216" s="6">
        <f t="shared" si="0"/>
        <v>1</v>
      </c>
      <c r="E216" s="7" t="str">
        <f t="shared" si="1"/>
        <v>CostParameter</v>
      </c>
      <c r="F216" s="8" t="b">
        <f>IF(D216&lt;1,FALSE,ISERROR(MATCH(E216,'Ontology and concepts per UC'!$A$2:$A$62,0)))</f>
        <v>1</v>
      </c>
      <c r="G216" s="9" t="str">
        <f t="shared" si="2"/>
        <v/>
      </c>
      <c r="H216" s="9" t="str">
        <f t="shared" si="3"/>
        <v/>
      </c>
      <c r="I216" s="8" t="b">
        <f>IF(D216&lt;2,FALSE,ISERROR(MATCH(H216,'Ontology and concepts per UC'!$A$2:$A$62,0)))</f>
        <v>0</v>
      </c>
      <c r="J216" s="9" t="str">
        <f t="shared" si="4"/>
        <v/>
      </c>
      <c r="K216" s="8" t="b">
        <f>IF(D216&lt;3,FALSE,ISERROR(MATCH(J216,'Ontology and concepts per UC'!$A$2:$A$62,0)))</f>
        <v>0</v>
      </c>
      <c r="L216" s="2"/>
      <c r="M216" s="2" t="s">
        <v>658</v>
      </c>
      <c r="N216" s="2"/>
      <c r="O216" s="1" t="b">
        <v>0</v>
      </c>
      <c r="P216" s="1">
        <v>1</v>
      </c>
      <c r="Q216" s="1">
        <v>0</v>
      </c>
      <c r="R216" s="1" t="b">
        <f t="shared" si="5"/>
        <v>0</v>
      </c>
      <c r="S216" s="2" t="s">
        <v>10</v>
      </c>
      <c r="T216" s="1" t="str">
        <f>IF(S216="","",VLOOKUP(S216,'Ontology and concepts per UC'!$F$2:$J$46,5,FALSE))</f>
        <v>Coste</v>
      </c>
      <c r="U216" s="1" t="b">
        <f t="array" ref="U216">(INDEX('Ontology and concepts per UC'!$G$2:$I$46,MATCH($S216,'Ontology and concepts per UC'!$F$2:$F$46,0),MATCH(LEFT($A216,3),'Ontology and concepts per UC'!$G$1:$I$1,0))=0)</f>
        <v>0</v>
      </c>
      <c r="V216" s="1" t="b">
        <f t="shared" si="6"/>
        <v>1</v>
      </c>
      <c r="W216" s="1" t="b">
        <v>1</v>
      </c>
      <c r="X216" s="1" t="b">
        <v>0</v>
      </c>
      <c r="Y216" s="1" t="b">
        <v>0</v>
      </c>
      <c r="Z216" s="1" t="b">
        <v>0</v>
      </c>
      <c r="AA216" s="1" t="s">
        <v>98</v>
      </c>
    </row>
    <row r="217" spans="1:27" x14ac:dyDescent="0.25">
      <c r="A217" s="1" t="s">
        <v>652</v>
      </c>
      <c r="B217" s="2" t="s">
        <v>659</v>
      </c>
      <c r="C217" s="2" t="s">
        <v>96</v>
      </c>
      <c r="D217" s="6">
        <f t="shared" si="0"/>
        <v>1</v>
      </c>
      <c r="E217" s="7" t="str">
        <f t="shared" si="1"/>
        <v>CostParameter</v>
      </c>
      <c r="F217" s="8" t="b">
        <f>IF(D217&lt;1,FALSE,ISERROR(MATCH(E217,'Ontology and concepts per UC'!$A$2:$A$62,0)))</f>
        <v>1</v>
      </c>
      <c r="G217" s="9" t="str">
        <f t="shared" si="2"/>
        <v/>
      </c>
      <c r="H217" s="9" t="str">
        <f t="shared" si="3"/>
        <v/>
      </c>
      <c r="I217" s="8" t="b">
        <f>IF(D217&lt;2,FALSE,ISERROR(MATCH(H217,'Ontology and concepts per UC'!$A$2:$A$62,0)))</f>
        <v>0</v>
      </c>
      <c r="J217" s="9" t="str">
        <f t="shared" si="4"/>
        <v/>
      </c>
      <c r="K217" s="8" t="b">
        <f>IF(D217&lt;3,FALSE,ISERROR(MATCH(J217,'Ontology and concepts per UC'!$A$2:$A$62,0)))</f>
        <v>0</v>
      </c>
      <c r="L217" s="2"/>
      <c r="M217" s="2" t="s">
        <v>660</v>
      </c>
      <c r="N217" s="2"/>
      <c r="O217" s="1" t="b">
        <v>0</v>
      </c>
      <c r="P217" s="1">
        <v>1</v>
      </c>
      <c r="Q217" s="1">
        <v>0</v>
      </c>
      <c r="R217" s="1" t="b">
        <f t="shared" si="5"/>
        <v>0</v>
      </c>
      <c r="S217" s="2" t="s">
        <v>11</v>
      </c>
      <c r="T217" s="1" t="str">
        <f>IF(S217="","",VLOOKUP(S217,'Ontology and concepts per UC'!$F$2:$J$46,5,FALSE))</f>
        <v>Coste</v>
      </c>
      <c r="U217" s="1" t="b">
        <f t="array" ref="U217">(INDEX('Ontology and concepts per UC'!$G$2:$I$46,MATCH($S217,'Ontology and concepts per UC'!$F$2:$F$46,0),MATCH(LEFT($A217,3),'Ontology and concepts per UC'!$G$1:$I$1,0))=0)</f>
        <v>0</v>
      </c>
      <c r="V217" s="1" t="b">
        <f t="shared" si="6"/>
        <v>1</v>
      </c>
      <c r="W217" s="1" t="b">
        <v>1</v>
      </c>
      <c r="X217" s="1" t="b">
        <v>0</v>
      </c>
      <c r="Y217" s="1" t="b">
        <v>0</v>
      </c>
      <c r="Z217" s="1" t="b">
        <v>0</v>
      </c>
      <c r="AA217" s="1" t="s">
        <v>98</v>
      </c>
    </row>
    <row r="218" spans="1:27" x14ac:dyDescent="0.25">
      <c r="A218" s="1" t="s">
        <v>652</v>
      </c>
      <c r="B218" s="2" t="s">
        <v>163</v>
      </c>
      <c r="C218" s="2" t="s">
        <v>104</v>
      </c>
      <c r="D218" s="6">
        <f t="shared" si="0"/>
        <v>1</v>
      </c>
      <c r="E218" s="7" t="str">
        <f t="shared" si="1"/>
        <v>Disease</v>
      </c>
      <c r="F218" s="8" t="b">
        <f>IF(D218&lt;1,FALSE,ISERROR(MATCH(E218,'Ontology and concepts per UC'!$A$2:$A$62,0)))</f>
        <v>0</v>
      </c>
      <c r="G218" s="9" t="str">
        <f t="shared" si="2"/>
        <v/>
      </c>
      <c r="H218" s="9" t="str">
        <f t="shared" si="3"/>
        <v/>
      </c>
      <c r="I218" s="8" t="b">
        <f>IF(D218&lt;2,FALSE,ISERROR(MATCH(H218,'Ontology and concepts per UC'!$A$2:$A$62,0)))</f>
        <v>0</v>
      </c>
      <c r="J218" s="9" t="str">
        <f t="shared" si="4"/>
        <v/>
      </c>
      <c r="K218" s="8" t="b">
        <f>IF(D218&lt;3,FALSE,ISERROR(MATCH(J218,'Ontology and concepts per UC'!$A$2:$A$62,0)))</f>
        <v>0</v>
      </c>
      <c r="L218" s="2" t="s">
        <v>661</v>
      </c>
      <c r="M218" s="2" t="s">
        <v>662</v>
      </c>
      <c r="N218" s="2"/>
      <c r="O218" s="1" t="b">
        <v>0</v>
      </c>
      <c r="P218" s="1">
        <v>0</v>
      </c>
      <c r="Q218" s="1">
        <v>1</v>
      </c>
      <c r="R218" s="1" t="b">
        <f t="shared" si="5"/>
        <v>1</v>
      </c>
      <c r="S218" s="2" t="s">
        <v>35</v>
      </c>
      <c r="T218" s="1" t="str">
        <f>IF(S218="","",VLOOKUP(S218,'Ontology and concepts per UC'!$F$2:$J$46,5,FALSE))</f>
        <v>Modelo Conceptual</v>
      </c>
      <c r="U218" s="1" t="b">
        <f t="array" ref="U218">(INDEX('Ontology and concepts per UC'!$G$2:$I$46,MATCH($S218,'Ontology and concepts per UC'!$F$2:$F$46,0),MATCH(LEFT($A218,3),'Ontology and concepts per UC'!$G$1:$I$1,0))=0)</f>
        <v>0</v>
      </c>
      <c r="V218" s="1" t="b">
        <f t="shared" si="6"/>
        <v>1</v>
      </c>
      <c r="W218" s="1" t="b">
        <v>1</v>
      </c>
      <c r="X218" s="1" t="b">
        <v>0</v>
      </c>
      <c r="Y218" s="1" t="b">
        <v>0</v>
      </c>
      <c r="Z218" s="1" t="b">
        <v>1</v>
      </c>
      <c r="AA218" s="1" t="s">
        <v>663</v>
      </c>
    </row>
    <row r="219" spans="1:27" x14ac:dyDescent="0.25">
      <c r="A219" s="1" t="s">
        <v>652</v>
      </c>
      <c r="B219" s="2" t="s">
        <v>664</v>
      </c>
      <c r="C219" s="2" t="s">
        <v>665</v>
      </c>
      <c r="D219" s="6">
        <f t="shared" si="0"/>
        <v>1</v>
      </c>
      <c r="E219" s="7" t="str">
        <f t="shared" si="1"/>
        <v>DiseaseStage</v>
      </c>
      <c r="F219" s="8" t="b">
        <f>IF(D219&lt;1,FALSE,ISERROR(MATCH(E219,'Ontology and concepts per UC'!$A$2:$A$62,0)))</f>
        <v>1</v>
      </c>
      <c r="G219" s="9" t="str">
        <f t="shared" si="2"/>
        <v/>
      </c>
      <c r="H219" s="9" t="str">
        <f t="shared" si="3"/>
        <v/>
      </c>
      <c r="I219" s="8" t="b">
        <f>IF(D219&lt;2,FALSE,ISERROR(MATCH(H219,'Ontology and concepts per UC'!$A$2:$A$62,0)))</f>
        <v>0</v>
      </c>
      <c r="J219" s="9" t="str">
        <f t="shared" si="4"/>
        <v/>
      </c>
      <c r="K219" s="8" t="b">
        <f>IF(D219&lt;3,FALSE,ISERROR(MATCH(J219,'Ontology and concepts per UC'!$A$2:$A$62,0)))</f>
        <v>0</v>
      </c>
      <c r="L219" s="2" t="s">
        <v>666</v>
      </c>
      <c r="M219" s="2" t="s">
        <v>667</v>
      </c>
      <c r="N219" s="2"/>
      <c r="O219" s="1" t="b">
        <v>0</v>
      </c>
      <c r="P219" s="1">
        <v>1</v>
      </c>
      <c r="Q219" s="1">
        <v>1</v>
      </c>
      <c r="R219" s="1" t="b">
        <f t="shared" si="5"/>
        <v>0</v>
      </c>
      <c r="S219" s="2" t="s">
        <v>107</v>
      </c>
      <c r="T219" s="1" t="str">
        <f>IF(S219="","",VLOOKUP(S219,'Ontology and concepts per UC'!$F$2:$J$46,5,FALSE))</f>
        <v>Parcial</v>
      </c>
      <c r="U219" s="1" t="b">
        <f t="array" ref="U219">(INDEX('Ontology and concepts per UC'!$G$2:$I$46,MATCH($S219,'Ontology and concepts per UC'!$F$2:$F$46,0),MATCH(LEFT($A219,3),'Ontology and concepts per UC'!$G$1:$I$1,0))=0)</f>
        <v>0</v>
      </c>
      <c r="V219" s="1" t="b">
        <f t="shared" si="6"/>
        <v>1</v>
      </c>
      <c r="W219" s="1" t="b">
        <v>1</v>
      </c>
      <c r="X219" s="1" t="b">
        <v>0</v>
      </c>
      <c r="Y219" s="1" t="b">
        <v>0</v>
      </c>
      <c r="Z219" s="1" t="b">
        <v>0</v>
      </c>
      <c r="AA219" s="1" t="s">
        <v>668</v>
      </c>
    </row>
    <row r="220" spans="1:27" x14ac:dyDescent="0.25">
      <c r="A220" s="1" t="s">
        <v>652</v>
      </c>
      <c r="B220" s="2" t="s">
        <v>669</v>
      </c>
      <c r="C220" s="2" t="s">
        <v>665</v>
      </c>
      <c r="D220" s="6">
        <f t="shared" si="0"/>
        <v>1</v>
      </c>
      <c r="E220" s="7" t="str">
        <f t="shared" si="1"/>
        <v>DiseaseStage</v>
      </c>
      <c r="F220" s="8" t="b">
        <f>IF(D220&lt;1,FALSE,ISERROR(MATCH(E220,'Ontology and concepts per UC'!$A$2:$A$62,0)))</f>
        <v>1</v>
      </c>
      <c r="G220" s="9" t="str">
        <f t="shared" si="2"/>
        <v/>
      </c>
      <c r="H220" s="9" t="str">
        <f t="shared" si="3"/>
        <v/>
      </c>
      <c r="I220" s="8" t="b">
        <f>IF(D220&lt;2,FALSE,ISERROR(MATCH(H220,'Ontology and concepts per UC'!$A$2:$A$62,0)))</f>
        <v>0</v>
      </c>
      <c r="J220" s="9" t="str">
        <f t="shared" si="4"/>
        <v/>
      </c>
      <c r="K220" s="8" t="b">
        <f>IF(D220&lt;3,FALSE,ISERROR(MATCH(J220,'Ontology and concepts per UC'!$A$2:$A$62,0)))</f>
        <v>0</v>
      </c>
      <c r="L220" s="2" t="s">
        <v>670</v>
      </c>
      <c r="M220" s="2" t="s">
        <v>671</v>
      </c>
      <c r="N220" s="2"/>
      <c r="O220" s="1" t="b">
        <v>0</v>
      </c>
      <c r="P220" s="1">
        <v>1</v>
      </c>
      <c r="Q220" s="1">
        <v>2</v>
      </c>
      <c r="R220" s="1" t="b">
        <f t="shared" si="5"/>
        <v>0</v>
      </c>
      <c r="S220" s="2" t="s">
        <v>187</v>
      </c>
      <c r="T220" s="1" t="str">
        <f>IF(S220="","",VLOOKUP(S220,'Ontology and concepts per UC'!$F$2:$J$46,5,FALSE))</f>
        <v>Otros</v>
      </c>
      <c r="U220" s="1" t="b">
        <f t="array" ref="U220">(INDEX('Ontology and concepts per UC'!$G$2:$I$46,MATCH($S220,'Ontology and concepts per UC'!$F$2:$F$46,0),MATCH(LEFT($A220,3),'Ontology and concepts per UC'!$G$1:$I$1,0))=0)</f>
        <v>1</v>
      </c>
      <c r="V220" s="1" t="b">
        <f t="shared" si="6"/>
        <v>1</v>
      </c>
      <c r="W220" s="1" t="b">
        <v>1</v>
      </c>
      <c r="X220" s="1" t="b">
        <v>0</v>
      </c>
      <c r="Y220" s="1" t="b">
        <v>0</v>
      </c>
      <c r="Z220" s="1" t="b">
        <v>0</v>
      </c>
      <c r="AA220" s="1" t="s">
        <v>672</v>
      </c>
    </row>
    <row r="221" spans="1:27" x14ac:dyDescent="0.25">
      <c r="A221" s="1" t="s">
        <v>652</v>
      </c>
      <c r="B221" s="2" t="s">
        <v>673</v>
      </c>
      <c r="C221" s="2" t="s">
        <v>208</v>
      </c>
      <c r="D221" s="6">
        <f t="shared" si="0"/>
        <v>1</v>
      </c>
      <c r="E221" s="7" t="str">
        <f t="shared" si="1"/>
        <v>EpidemiologicalParameter</v>
      </c>
      <c r="F221" s="8" t="b">
        <f>IF(D221&lt;1,FALSE,ISERROR(MATCH(E221,'Ontology and concepts per UC'!$A$2:$A$62,0)))</f>
        <v>0</v>
      </c>
      <c r="G221" s="9" t="str">
        <f t="shared" si="2"/>
        <v/>
      </c>
      <c r="H221" s="9" t="str">
        <f t="shared" si="3"/>
        <v/>
      </c>
      <c r="I221" s="8" t="b">
        <f>IF(D221&lt;2,FALSE,ISERROR(MATCH(H221,'Ontology and concepts per UC'!$A$2:$A$62,0)))</f>
        <v>0</v>
      </c>
      <c r="J221" s="9" t="str">
        <f t="shared" si="4"/>
        <v/>
      </c>
      <c r="K221" s="8" t="b">
        <f>IF(D221&lt;3,FALSE,ISERROR(MATCH(J221,'Ontology and concepts per UC'!$A$2:$A$62,0)))</f>
        <v>0</v>
      </c>
      <c r="L221" s="2"/>
      <c r="M221" s="2" t="s">
        <v>674</v>
      </c>
      <c r="N221" s="2"/>
      <c r="O221" s="1" t="b">
        <v>0</v>
      </c>
      <c r="P221" s="1">
        <v>0</v>
      </c>
      <c r="Q221" s="1">
        <v>0</v>
      </c>
      <c r="R221" s="1" t="b">
        <f t="shared" si="5"/>
        <v>1</v>
      </c>
      <c r="S221" s="2" t="s">
        <v>47</v>
      </c>
      <c r="T221" s="1" t="str">
        <f>IF(S221="","",VLOOKUP(S221,'Ontology and concepts per UC'!$F$2:$J$46,5,FALSE))</f>
        <v>Parámetros de intervención</v>
      </c>
      <c r="U221" s="1" t="b">
        <f t="array" ref="U221">(INDEX('Ontology and concepts per UC'!$G$2:$I$46,MATCH($S221,'Ontology and concepts per UC'!$F$2:$F$46,0),MATCH(LEFT($A221,3),'Ontology and concepts per UC'!$G$1:$I$1,0))=0)</f>
        <v>0</v>
      </c>
      <c r="V221" s="1" t="b">
        <f t="shared" si="6"/>
        <v>1</v>
      </c>
      <c r="W221" s="1" t="b">
        <v>0</v>
      </c>
      <c r="X221" s="1" t="b">
        <v>0</v>
      </c>
      <c r="Y221" s="1" t="b">
        <v>0</v>
      </c>
      <c r="Z221" s="1" t="b">
        <v>1</v>
      </c>
      <c r="AA221" s="1" t="s">
        <v>675</v>
      </c>
    </row>
    <row r="222" spans="1:27" x14ac:dyDescent="0.25">
      <c r="A222" s="1" t="s">
        <v>652</v>
      </c>
      <c r="B222" s="2" t="s">
        <v>676</v>
      </c>
      <c r="C222" s="2" t="s">
        <v>208</v>
      </c>
      <c r="D222" s="6">
        <f t="shared" si="0"/>
        <v>1</v>
      </c>
      <c r="E222" s="7" t="str">
        <f t="shared" si="1"/>
        <v>EpidemiologicalParameter</v>
      </c>
      <c r="F222" s="8" t="b">
        <f>IF(D222&lt;1,FALSE,ISERROR(MATCH(E222,'Ontology and concepts per UC'!$A$2:$A$62,0)))</f>
        <v>0</v>
      </c>
      <c r="G222" s="9" t="str">
        <f t="shared" si="2"/>
        <v/>
      </c>
      <c r="H222" s="9" t="str">
        <f t="shared" si="3"/>
        <v/>
      </c>
      <c r="I222" s="8" t="b">
        <f>IF(D222&lt;2,FALSE,ISERROR(MATCH(H222,'Ontology and concepts per UC'!$A$2:$A$62,0)))</f>
        <v>0</v>
      </c>
      <c r="J222" s="9" t="str">
        <f t="shared" si="4"/>
        <v/>
      </c>
      <c r="K222" s="8" t="b">
        <f>IF(D222&lt;3,FALSE,ISERROR(MATCH(J222,'Ontology and concepts per UC'!$A$2:$A$62,0)))</f>
        <v>0</v>
      </c>
      <c r="L222" s="2"/>
      <c r="M222" s="2" t="s">
        <v>677</v>
      </c>
      <c r="N222" s="2"/>
      <c r="O222" s="1" t="b">
        <v>0</v>
      </c>
      <c r="P222" s="1">
        <v>0</v>
      </c>
      <c r="Q222" s="1">
        <v>0</v>
      </c>
      <c r="R222" s="1" t="b">
        <f t="shared" si="5"/>
        <v>1</v>
      </c>
      <c r="S222" s="2" t="s">
        <v>107</v>
      </c>
      <c r="T222" s="1" t="str">
        <f>IF(S222="","",VLOOKUP(S222,'Ontology and concepts per UC'!$F$2:$J$46,5,FALSE))</f>
        <v>Parcial</v>
      </c>
      <c r="U222" s="1" t="b">
        <f t="array" ref="U222">(INDEX('Ontology and concepts per UC'!$G$2:$I$46,MATCH($S222,'Ontology and concepts per UC'!$F$2:$F$46,0),MATCH(LEFT($A222,3),'Ontology and concepts per UC'!$G$1:$I$1,0))=0)</f>
        <v>0</v>
      </c>
      <c r="V222" s="1" t="b">
        <f t="shared" si="6"/>
        <v>0</v>
      </c>
      <c r="W222" s="1" t="b">
        <v>0</v>
      </c>
      <c r="X222" s="1" t="b">
        <v>0</v>
      </c>
      <c r="Y222" s="1" t="b">
        <v>0</v>
      </c>
      <c r="Z222" s="1" t="b">
        <v>0</v>
      </c>
      <c r="AA222" s="1"/>
    </row>
    <row r="223" spans="1:27" x14ac:dyDescent="0.25">
      <c r="A223" s="1" t="s">
        <v>652</v>
      </c>
      <c r="B223" s="2" t="s">
        <v>678</v>
      </c>
      <c r="C223" s="2" t="s">
        <v>208</v>
      </c>
      <c r="D223" s="6">
        <f t="shared" si="0"/>
        <v>1</v>
      </c>
      <c r="E223" s="7" t="str">
        <f t="shared" si="1"/>
        <v>EpidemiologicalParameter</v>
      </c>
      <c r="F223" s="8" t="b">
        <f>IF(D223&lt;1,FALSE,ISERROR(MATCH(E223,'Ontology and concepts per UC'!$A$2:$A$62,0)))</f>
        <v>0</v>
      </c>
      <c r="G223" s="9" t="str">
        <f t="shared" si="2"/>
        <v/>
      </c>
      <c r="H223" s="9" t="str">
        <f t="shared" si="3"/>
        <v/>
      </c>
      <c r="I223" s="8" t="b">
        <f>IF(D223&lt;2,FALSE,ISERROR(MATCH(H223,'Ontology and concepts per UC'!$A$2:$A$62,0)))</f>
        <v>0</v>
      </c>
      <c r="J223" s="9" t="str">
        <f t="shared" si="4"/>
        <v/>
      </c>
      <c r="K223" s="8" t="b">
        <f>IF(D223&lt;3,FALSE,ISERROR(MATCH(J223,'Ontology and concepts per UC'!$A$2:$A$62,0)))</f>
        <v>0</v>
      </c>
      <c r="L223" s="2"/>
      <c r="M223" s="2" t="s">
        <v>679</v>
      </c>
      <c r="N223" s="2"/>
      <c r="O223" s="1" t="b">
        <v>0</v>
      </c>
      <c r="P223" s="1">
        <v>0</v>
      </c>
      <c r="Q223" s="1">
        <v>0</v>
      </c>
      <c r="R223" s="1" t="b">
        <f t="shared" si="5"/>
        <v>1</v>
      </c>
      <c r="S223" s="2" t="s">
        <v>38</v>
      </c>
      <c r="T223" s="1" t="str">
        <f>IF(S223="","",VLOOKUP(S223,'Ontology and concepts per UC'!$F$2:$J$46,5,FALSE))</f>
        <v>Parámetro epidemiológico</v>
      </c>
      <c r="U223" s="1" t="b">
        <f t="array" ref="U223">(INDEX('Ontology and concepts per UC'!$G$2:$I$46,MATCH($S223,'Ontology and concepts per UC'!$F$2:$F$46,0),MATCH(LEFT($A223,3),'Ontology and concepts per UC'!$G$1:$I$1,0))=0)</f>
        <v>0</v>
      </c>
      <c r="V223" s="1" t="b">
        <f t="shared" si="6"/>
        <v>0</v>
      </c>
      <c r="W223" s="1" t="b">
        <v>0</v>
      </c>
      <c r="X223" s="1" t="b">
        <v>0</v>
      </c>
      <c r="Y223" s="1" t="b">
        <v>0</v>
      </c>
      <c r="Z223" s="1" t="b">
        <v>0</v>
      </c>
      <c r="AA223" s="1"/>
    </row>
    <row r="224" spans="1:27" x14ac:dyDescent="0.25">
      <c r="A224" s="1" t="s">
        <v>652</v>
      </c>
      <c r="B224" s="2" t="s">
        <v>680</v>
      </c>
      <c r="C224" s="2" t="s">
        <v>208</v>
      </c>
      <c r="D224" s="6">
        <f t="shared" si="0"/>
        <v>1</v>
      </c>
      <c r="E224" s="7" t="str">
        <f t="shared" si="1"/>
        <v>EpidemiologicalParameter</v>
      </c>
      <c r="F224" s="8" t="b">
        <f>IF(D224&lt;1,FALSE,ISERROR(MATCH(E224,'Ontology and concepts per UC'!$A$2:$A$62,0)))</f>
        <v>0</v>
      </c>
      <c r="G224" s="9" t="str">
        <f t="shared" si="2"/>
        <v/>
      </c>
      <c r="H224" s="9" t="str">
        <f t="shared" si="3"/>
        <v/>
      </c>
      <c r="I224" s="8" t="b">
        <f>IF(D224&lt;2,FALSE,ISERROR(MATCH(H224,'Ontology and concepts per UC'!$A$2:$A$62,0)))</f>
        <v>0</v>
      </c>
      <c r="J224" s="9" t="str">
        <f t="shared" si="4"/>
        <v/>
      </c>
      <c r="K224" s="8" t="b">
        <f>IF(D224&lt;3,FALSE,ISERROR(MATCH(J224,'Ontology and concepts per UC'!$A$2:$A$62,0)))</f>
        <v>0</v>
      </c>
      <c r="L224" s="2"/>
      <c r="M224" s="2" t="s">
        <v>681</v>
      </c>
      <c r="N224" s="2"/>
      <c r="O224" s="1" t="b">
        <v>0</v>
      </c>
      <c r="P224" s="1">
        <v>0</v>
      </c>
      <c r="Q224" s="1">
        <v>0</v>
      </c>
      <c r="R224" s="1" t="b">
        <f t="shared" si="5"/>
        <v>1</v>
      </c>
      <c r="S224" s="2" t="s">
        <v>38</v>
      </c>
      <c r="T224" s="1" t="str">
        <f>IF(S224="","",VLOOKUP(S224,'Ontology and concepts per UC'!$F$2:$J$46,5,FALSE))</f>
        <v>Parámetro epidemiológico</v>
      </c>
      <c r="U224" s="1" t="b">
        <f t="array" ref="U224">(INDEX('Ontology and concepts per UC'!$G$2:$I$46,MATCH($S224,'Ontology and concepts per UC'!$F$2:$F$46,0),MATCH(LEFT($A224,3),'Ontology and concepts per UC'!$G$1:$I$1,0))=0)</f>
        <v>0</v>
      </c>
      <c r="V224" s="1" t="b">
        <f t="shared" si="6"/>
        <v>1</v>
      </c>
      <c r="W224" s="1" t="b">
        <v>0</v>
      </c>
      <c r="X224" s="1" t="b">
        <v>0</v>
      </c>
      <c r="Y224" s="1" t="b">
        <v>0</v>
      </c>
      <c r="Z224" s="1" t="b">
        <v>1</v>
      </c>
      <c r="AA224" s="1" t="s">
        <v>675</v>
      </c>
    </row>
    <row r="225" spans="1:27" x14ac:dyDescent="0.25">
      <c r="A225" s="1" t="s">
        <v>652</v>
      </c>
      <c r="B225" s="2" t="s">
        <v>682</v>
      </c>
      <c r="C225" s="2" t="s">
        <v>208</v>
      </c>
      <c r="D225" s="6">
        <f t="shared" si="0"/>
        <v>1</v>
      </c>
      <c r="E225" s="7" t="str">
        <f t="shared" si="1"/>
        <v>EpidemiologicalParameter</v>
      </c>
      <c r="F225" s="8" t="b">
        <f>IF(D225&lt;1,FALSE,ISERROR(MATCH(E225,'Ontology and concepts per UC'!$A$2:$A$62,0)))</f>
        <v>0</v>
      </c>
      <c r="G225" s="9" t="str">
        <f t="shared" si="2"/>
        <v/>
      </c>
      <c r="H225" s="9" t="str">
        <f t="shared" si="3"/>
        <v/>
      </c>
      <c r="I225" s="8" t="b">
        <f>IF(D225&lt;2,FALSE,ISERROR(MATCH(H225,'Ontology and concepts per UC'!$A$2:$A$62,0)))</f>
        <v>0</v>
      </c>
      <c r="J225" s="9" t="str">
        <f t="shared" si="4"/>
        <v/>
      </c>
      <c r="K225" s="8" t="b">
        <f>IF(D225&lt;3,FALSE,ISERROR(MATCH(J225,'Ontology and concepts per UC'!$A$2:$A$62,0)))</f>
        <v>0</v>
      </c>
      <c r="L225" s="2"/>
      <c r="M225" s="2" t="s">
        <v>683</v>
      </c>
      <c r="N225" s="2"/>
      <c r="O225" s="1" t="b">
        <v>0</v>
      </c>
      <c r="P225" s="1">
        <v>0</v>
      </c>
      <c r="Q225" s="1">
        <v>0</v>
      </c>
      <c r="R225" s="1" t="b">
        <f t="shared" si="5"/>
        <v>1</v>
      </c>
      <c r="S225" s="2" t="s">
        <v>367</v>
      </c>
      <c r="T225" s="1" t="str">
        <f>IF(S225="","",VLOOKUP(S225,'Ontology and concepts per UC'!$F$2:$J$46,5,FALSE))</f>
        <v>Parámetros de progresión</v>
      </c>
      <c r="U225" s="1" t="b">
        <f t="array" ref="U225">(INDEX('Ontology and concepts per UC'!$G$2:$I$46,MATCH($S225,'Ontology and concepts per UC'!$F$2:$F$46,0),MATCH(LEFT($A225,3),'Ontology and concepts per UC'!$G$1:$I$1,0))=0)</f>
        <v>0</v>
      </c>
      <c r="V225" s="1" t="b">
        <f t="shared" si="6"/>
        <v>1</v>
      </c>
      <c r="W225" s="1" t="b">
        <v>0</v>
      </c>
      <c r="X225" s="1" t="b">
        <v>0</v>
      </c>
      <c r="Y225" s="1" t="b">
        <v>0</v>
      </c>
      <c r="Z225" s="1" t="b">
        <v>1</v>
      </c>
      <c r="AA225" s="1" t="s">
        <v>675</v>
      </c>
    </row>
    <row r="226" spans="1:27" x14ac:dyDescent="0.25">
      <c r="A226" s="1" t="s">
        <v>652</v>
      </c>
      <c r="B226" s="2" t="s">
        <v>684</v>
      </c>
      <c r="C226" s="2" t="s">
        <v>208</v>
      </c>
      <c r="D226" s="6">
        <f t="shared" si="0"/>
        <v>1</v>
      </c>
      <c r="E226" s="7" t="str">
        <f t="shared" si="1"/>
        <v>EpidemiologicalParameter</v>
      </c>
      <c r="F226" s="8" t="b">
        <f>IF(D226&lt;1,FALSE,ISERROR(MATCH(E226,'Ontology and concepts per UC'!$A$2:$A$62,0)))</f>
        <v>0</v>
      </c>
      <c r="G226" s="9" t="str">
        <f t="shared" si="2"/>
        <v/>
      </c>
      <c r="H226" s="9" t="str">
        <f t="shared" si="3"/>
        <v/>
      </c>
      <c r="I226" s="8" t="b">
        <f>IF(D226&lt;2,FALSE,ISERROR(MATCH(H226,'Ontology and concepts per UC'!$A$2:$A$62,0)))</f>
        <v>0</v>
      </c>
      <c r="J226" s="9" t="str">
        <f t="shared" si="4"/>
        <v/>
      </c>
      <c r="K226" s="8" t="b">
        <f>IF(D226&lt;3,FALSE,ISERROR(MATCH(J226,'Ontology and concepts per UC'!$A$2:$A$62,0)))</f>
        <v>0</v>
      </c>
      <c r="L226" s="2"/>
      <c r="M226" s="2" t="s">
        <v>685</v>
      </c>
      <c r="N226" s="2"/>
      <c r="O226" s="1" t="b">
        <v>0</v>
      </c>
      <c r="P226" s="1">
        <v>0</v>
      </c>
      <c r="Q226" s="1">
        <v>0</v>
      </c>
      <c r="R226" s="1" t="b">
        <f t="shared" si="5"/>
        <v>1</v>
      </c>
      <c r="S226" s="2" t="s">
        <v>367</v>
      </c>
      <c r="T226" s="1" t="str">
        <f>IF(S226="","",VLOOKUP(S226,'Ontology and concepts per UC'!$F$2:$J$46,5,FALSE))</f>
        <v>Parámetros de progresión</v>
      </c>
      <c r="U226" s="1" t="b">
        <f t="array" ref="U226">(INDEX('Ontology and concepts per UC'!$G$2:$I$46,MATCH($S226,'Ontology and concepts per UC'!$F$2:$F$46,0),MATCH(LEFT($A226,3),'Ontology and concepts per UC'!$G$1:$I$1,0))=0)</f>
        <v>0</v>
      </c>
      <c r="V226" s="1" t="b">
        <f t="shared" si="6"/>
        <v>1</v>
      </c>
      <c r="W226" s="1" t="b">
        <v>0</v>
      </c>
      <c r="X226" s="1" t="b">
        <v>0</v>
      </c>
      <c r="Y226" s="1" t="b">
        <v>0</v>
      </c>
      <c r="Z226" s="1" t="b">
        <v>1</v>
      </c>
      <c r="AA226" s="1" t="s">
        <v>675</v>
      </c>
    </row>
    <row r="227" spans="1:27" x14ac:dyDescent="0.25">
      <c r="A227" s="1" t="s">
        <v>652</v>
      </c>
      <c r="B227" s="2" t="s">
        <v>686</v>
      </c>
      <c r="C227" s="2" t="s">
        <v>208</v>
      </c>
      <c r="D227" s="6">
        <f t="shared" si="0"/>
        <v>1</v>
      </c>
      <c r="E227" s="7" t="str">
        <f t="shared" si="1"/>
        <v>EpidemiologicalParameter</v>
      </c>
      <c r="F227" s="8" t="b">
        <f>IF(D227&lt;1,FALSE,ISERROR(MATCH(E227,'Ontology and concepts per UC'!$A$2:$A$62,0)))</f>
        <v>0</v>
      </c>
      <c r="G227" s="9" t="str">
        <f t="shared" si="2"/>
        <v/>
      </c>
      <c r="H227" s="9" t="str">
        <f t="shared" si="3"/>
        <v/>
      </c>
      <c r="I227" s="8" t="b">
        <f>IF(D227&lt;2,FALSE,ISERROR(MATCH(H227,'Ontology and concepts per UC'!$A$2:$A$62,0)))</f>
        <v>0</v>
      </c>
      <c r="J227" s="9" t="str">
        <f t="shared" si="4"/>
        <v/>
      </c>
      <c r="K227" s="8" t="b">
        <f>IF(D227&lt;3,FALSE,ISERROR(MATCH(J227,'Ontology and concepts per UC'!$A$2:$A$62,0)))</f>
        <v>0</v>
      </c>
      <c r="L227" s="2"/>
      <c r="M227" s="2" t="s">
        <v>687</v>
      </c>
      <c r="N227" s="2"/>
      <c r="O227" s="1" t="b">
        <v>0</v>
      </c>
      <c r="P227" s="1">
        <v>0</v>
      </c>
      <c r="Q227" s="1">
        <v>0</v>
      </c>
      <c r="R227" s="1" t="b">
        <f t="shared" si="5"/>
        <v>1</v>
      </c>
      <c r="S227" s="2" t="s">
        <v>54</v>
      </c>
      <c r="T227" s="1" t="str">
        <f>IF(S227="","",VLOOKUP(S227,'Ontology and concepts per UC'!$F$2:$J$46,5,FALSE))</f>
        <v>Parámetros de progresión</v>
      </c>
      <c r="U227" s="1" t="b">
        <f t="array" ref="U227">(INDEX('Ontology and concepts per UC'!$G$2:$I$46,MATCH($S227,'Ontology and concepts per UC'!$F$2:$F$46,0),MATCH(LEFT($A227,3),'Ontology and concepts per UC'!$G$1:$I$1,0))=0)</f>
        <v>0</v>
      </c>
      <c r="V227" s="1" t="b">
        <f t="shared" si="6"/>
        <v>1</v>
      </c>
      <c r="W227" s="1" t="b">
        <v>0</v>
      </c>
      <c r="X227" s="1" t="b">
        <v>0</v>
      </c>
      <c r="Y227" s="1" t="b">
        <v>0</v>
      </c>
      <c r="Z227" s="1" t="b">
        <v>1</v>
      </c>
      <c r="AA227" s="1" t="s">
        <v>675</v>
      </c>
    </row>
    <row r="228" spans="1:27" x14ac:dyDescent="0.25">
      <c r="A228" s="1" t="s">
        <v>652</v>
      </c>
      <c r="B228" s="2" t="s">
        <v>688</v>
      </c>
      <c r="C228" s="2" t="s">
        <v>208</v>
      </c>
      <c r="D228" s="6">
        <f t="shared" si="0"/>
        <v>1</v>
      </c>
      <c r="E228" s="7" t="str">
        <f t="shared" si="1"/>
        <v>EpidemiologicalParameter</v>
      </c>
      <c r="F228" s="8" t="b">
        <f>IF(D228&lt;1,FALSE,ISERROR(MATCH(E228,'Ontology and concepts per UC'!$A$2:$A$62,0)))</f>
        <v>0</v>
      </c>
      <c r="G228" s="9" t="str">
        <f t="shared" si="2"/>
        <v/>
      </c>
      <c r="H228" s="9" t="str">
        <f t="shared" si="3"/>
        <v/>
      </c>
      <c r="I228" s="8" t="b">
        <f>IF(D228&lt;2,FALSE,ISERROR(MATCH(H228,'Ontology and concepts per UC'!$A$2:$A$62,0)))</f>
        <v>0</v>
      </c>
      <c r="J228" s="9" t="str">
        <f t="shared" si="4"/>
        <v/>
      </c>
      <c r="K228" s="8" t="b">
        <f>IF(D228&lt;3,FALSE,ISERROR(MATCH(J228,'Ontology and concepts per UC'!$A$2:$A$62,0)))</f>
        <v>0</v>
      </c>
      <c r="L228" s="2"/>
      <c r="M228" s="2" t="s">
        <v>689</v>
      </c>
      <c r="N228" s="2"/>
      <c r="O228" s="1" t="b">
        <v>0</v>
      </c>
      <c r="P228" s="1">
        <v>0</v>
      </c>
      <c r="Q228" s="1">
        <v>0</v>
      </c>
      <c r="R228" s="1" t="b">
        <f t="shared" si="5"/>
        <v>1</v>
      </c>
      <c r="S228" s="2" t="s">
        <v>51</v>
      </c>
      <c r="T228" s="1" t="str">
        <f>IF(S228="","",VLOOKUP(S228,'Ontology and concepts per UC'!$F$2:$J$46,5,FALSE))</f>
        <v>Parámetros de progresión</v>
      </c>
      <c r="U228" s="1" t="b">
        <f t="array" ref="U228">(INDEX('Ontology and concepts per UC'!$G$2:$I$46,MATCH($S228,'Ontology and concepts per UC'!$F$2:$F$46,0),MATCH(LEFT($A228,3),'Ontology and concepts per UC'!$G$1:$I$1,0))=0)</f>
        <v>0</v>
      </c>
      <c r="V228" s="1" t="b">
        <f t="shared" si="6"/>
        <v>1</v>
      </c>
      <c r="W228" s="1" t="b">
        <v>0</v>
      </c>
      <c r="X228" s="1" t="b">
        <v>0</v>
      </c>
      <c r="Y228" s="1" t="b">
        <v>0</v>
      </c>
      <c r="Z228" s="1" t="b">
        <v>1</v>
      </c>
      <c r="AA228" s="1" t="s">
        <v>675</v>
      </c>
    </row>
    <row r="229" spans="1:27" x14ac:dyDescent="0.25">
      <c r="A229" s="1" t="s">
        <v>652</v>
      </c>
      <c r="B229" s="2" t="s">
        <v>690</v>
      </c>
      <c r="C229" s="2" t="s">
        <v>208</v>
      </c>
      <c r="D229" s="6">
        <f t="shared" si="0"/>
        <v>1</v>
      </c>
      <c r="E229" s="7" t="str">
        <f t="shared" si="1"/>
        <v>EpidemiologicalParameter</v>
      </c>
      <c r="F229" s="8" t="b">
        <f>IF(D229&lt;1,FALSE,ISERROR(MATCH(E229,'Ontology and concepts per UC'!$A$2:$A$62,0)))</f>
        <v>0</v>
      </c>
      <c r="G229" s="9" t="str">
        <f t="shared" si="2"/>
        <v/>
      </c>
      <c r="H229" s="9" t="str">
        <f t="shared" si="3"/>
        <v/>
      </c>
      <c r="I229" s="8" t="b">
        <f>IF(D229&lt;2,FALSE,ISERROR(MATCH(H229,'Ontology and concepts per UC'!$A$2:$A$62,0)))</f>
        <v>0</v>
      </c>
      <c r="J229" s="9" t="str">
        <f t="shared" si="4"/>
        <v/>
      </c>
      <c r="K229" s="8" t="b">
        <f>IF(D229&lt;3,FALSE,ISERROR(MATCH(J229,'Ontology and concepts per UC'!$A$2:$A$62,0)))</f>
        <v>0</v>
      </c>
      <c r="L229" s="2"/>
      <c r="M229" s="2" t="s">
        <v>691</v>
      </c>
      <c r="N229" s="2"/>
      <c r="O229" s="1" t="b">
        <v>0</v>
      </c>
      <c r="P229" s="1">
        <v>0</v>
      </c>
      <c r="Q229" s="1">
        <v>0</v>
      </c>
      <c r="R229" s="1" t="b">
        <f t="shared" si="5"/>
        <v>1</v>
      </c>
      <c r="S229" s="2" t="s">
        <v>367</v>
      </c>
      <c r="T229" s="1" t="str">
        <f>IF(S229="","",VLOOKUP(S229,'Ontology and concepts per UC'!$F$2:$J$46,5,FALSE))</f>
        <v>Parámetros de progresión</v>
      </c>
      <c r="U229" s="1" t="b">
        <f t="array" ref="U229">(INDEX('Ontology and concepts per UC'!$G$2:$I$46,MATCH($S229,'Ontology and concepts per UC'!$F$2:$F$46,0),MATCH(LEFT($A229,3),'Ontology and concepts per UC'!$G$1:$I$1,0))=0)</f>
        <v>0</v>
      </c>
      <c r="V229" s="1" t="b">
        <f t="shared" si="6"/>
        <v>1</v>
      </c>
      <c r="W229" s="1" t="b">
        <v>0</v>
      </c>
      <c r="X229" s="1" t="b">
        <v>0</v>
      </c>
      <c r="Y229" s="1" t="b">
        <v>0</v>
      </c>
      <c r="Z229" s="1" t="b">
        <v>1</v>
      </c>
      <c r="AA229" s="1" t="s">
        <v>675</v>
      </c>
    </row>
    <row r="230" spans="1:27" x14ac:dyDescent="0.25">
      <c r="A230" s="1" t="s">
        <v>652</v>
      </c>
      <c r="B230" s="2" t="s">
        <v>692</v>
      </c>
      <c r="C230" s="2" t="s">
        <v>208</v>
      </c>
      <c r="D230" s="6">
        <f t="shared" si="0"/>
        <v>1</v>
      </c>
      <c r="E230" s="7" t="str">
        <f t="shared" si="1"/>
        <v>EpidemiologicalParameter</v>
      </c>
      <c r="F230" s="8" t="b">
        <f>IF(D230&lt;1,FALSE,ISERROR(MATCH(E230,'Ontology and concepts per UC'!$A$2:$A$62,0)))</f>
        <v>0</v>
      </c>
      <c r="G230" s="9" t="str">
        <f t="shared" si="2"/>
        <v/>
      </c>
      <c r="H230" s="9" t="str">
        <f t="shared" si="3"/>
        <v/>
      </c>
      <c r="I230" s="8" t="b">
        <f>IF(D230&lt;2,FALSE,ISERROR(MATCH(H230,'Ontology and concepts per UC'!$A$2:$A$62,0)))</f>
        <v>0</v>
      </c>
      <c r="J230" s="9" t="str">
        <f t="shared" si="4"/>
        <v/>
      </c>
      <c r="K230" s="8" t="b">
        <f>IF(D230&lt;3,FALSE,ISERROR(MATCH(J230,'Ontology and concepts per UC'!$A$2:$A$62,0)))</f>
        <v>0</v>
      </c>
      <c r="L230" s="2"/>
      <c r="M230" s="2" t="s">
        <v>693</v>
      </c>
      <c r="N230" s="2"/>
      <c r="O230" s="1" t="b">
        <v>0</v>
      </c>
      <c r="P230" s="1">
        <v>0</v>
      </c>
      <c r="Q230" s="1">
        <v>0</v>
      </c>
      <c r="R230" s="1" t="b">
        <f t="shared" si="5"/>
        <v>1</v>
      </c>
      <c r="S230" s="2" t="s">
        <v>58</v>
      </c>
      <c r="T230" s="1" t="str">
        <f>IF(S230="","",VLOOKUP(S230,'Ontology and concepts per UC'!$F$2:$J$46,5,FALSE))</f>
        <v>Parámetros de progresión</v>
      </c>
      <c r="U230" s="1" t="b">
        <f t="array" ref="U230">(INDEX('Ontology and concepts per UC'!$G$2:$I$46,MATCH($S230,'Ontology and concepts per UC'!$F$2:$F$46,0),MATCH(LEFT($A230,3),'Ontology and concepts per UC'!$G$1:$I$1,0))=0)</f>
        <v>0</v>
      </c>
      <c r="V230" s="1" t="b">
        <f t="shared" si="6"/>
        <v>1</v>
      </c>
      <c r="W230" s="1" t="b">
        <v>0</v>
      </c>
      <c r="X230" s="1" t="b">
        <v>0</v>
      </c>
      <c r="Y230" s="1" t="b">
        <v>0</v>
      </c>
      <c r="Z230" s="1" t="b">
        <v>1</v>
      </c>
      <c r="AA230" s="1" t="s">
        <v>675</v>
      </c>
    </row>
    <row r="231" spans="1:27" x14ac:dyDescent="0.25">
      <c r="A231" s="1" t="s">
        <v>652</v>
      </c>
      <c r="B231" s="2" t="s">
        <v>694</v>
      </c>
      <c r="C231" s="2" t="s">
        <v>208</v>
      </c>
      <c r="D231" s="6">
        <f t="shared" si="0"/>
        <v>1</v>
      </c>
      <c r="E231" s="7" t="str">
        <f t="shared" si="1"/>
        <v>EpidemiologicalParameter</v>
      </c>
      <c r="F231" s="8" t="b">
        <f>IF(D231&lt;1,FALSE,ISERROR(MATCH(E231,'Ontology and concepts per UC'!$A$2:$A$62,0)))</f>
        <v>0</v>
      </c>
      <c r="G231" s="9" t="str">
        <f t="shared" si="2"/>
        <v/>
      </c>
      <c r="H231" s="9" t="str">
        <f t="shared" si="3"/>
        <v/>
      </c>
      <c r="I231" s="8" t="b">
        <f>IF(D231&lt;2,FALSE,ISERROR(MATCH(H231,'Ontology and concepts per UC'!$A$2:$A$62,0)))</f>
        <v>0</v>
      </c>
      <c r="J231" s="9" t="str">
        <f t="shared" si="4"/>
        <v/>
      </c>
      <c r="K231" s="8" t="b">
        <f>IF(D231&lt;3,FALSE,ISERROR(MATCH(J231,'Ontology and concepts per UC'!$A$2:$A$62,0)))</f>
        <v>0</v>
      </c>
      <c r="L231" s="2"/>
      <c r="M231" s="2" t="s">
        <v>695</v>
      </c>
      <c r="N231" s="2"/>
      <c r="O231" s="1" t="b">
        <v>0</v>
      </c>
      <c r="P231" s="1">
        <v>0</v>
      </c>
      <c r="Q231" s="1">
        <v>0</v>
      </c>
      <c r="R231" s="1" t="b">
        <f t="shared" si="5"/>
        <v>1</v>
      </c>
      <c r="S231" s="2" t="s">
        <v>367</v>
      </c>
      <c r="T231" s="1" t="str">
        <f>IF(S231="","",VLOOKUP(S231,'Ontology and concepts per UC'!$F$2:$J$46,5,FALSE))</f>
        <v>Parámetros de progresión</v>
      </c>
      <c r="U231" s="1" t="b">
        <f t="array" ref="U231">(INDEX('Ontology and concepts per UC'!$G$2:$I$46,MATCH($S231,'Ontology and concepts per UC'!$F$2:$F$46,0),MATCH(LEFT($A231,3),'Ontology and concepts per UC'!$G$1:$I$1,0))=0)</f>
        <v>0</v>
      </c>
      <c r="V231" s="1" t="b">
        <f t="shared" si="6"/>
        <v>1</v>
      </c>
      <c r="W231" s="1" t="b">
        <v>0</v>
      </c>
      <c r="X231" s="1" t="b">
        <v>0</v>
      </c>
      <c r="Y231" s="1" t="b">
        <v>0</v>
      </c>
      <c r="Z231" s="1" t="b">
        <v>1</v>
      </c>
      <c r="AA231" s="1" t="s">
        <v>675</v>
      </c>
    </row>
    <row r="232" spans="1:27" x14ac:dyDescent="0.25">
      <c r="A232" s="1" t="s">
        <v>652</v>
      </c>
      <c r="B232" s="2" t="s">
        <v>696</v>
      </c>
      <c r="C232" s="2" t="s">
        <v>208</v>
      </c>
      <c r="D232" s="6">
        <f t="shared" si="0"/>
        <v>1</v>
      </c>
      <c r="E232" s="7" t="str">
        <f t="shared" si="1"/>
        <v>EpidemiologicalParameter</v>
      </c>
      <c r="F232" s="8" t="b">
        <f>IF(D232&lt;1,FALSE,ISERROR(MATCH(E232,'Ontology and concepts per UC'!$A$2:$A$62,0)))</f>
        <v>0</v>
      </c>
      <c r="G232" s="9" t="str">
        <f t="shared" si="2"/>
        <v/>
      </c>
      <c r="H232" s="9" t="str">
        <f t="shared" si="3"/>
        <v/>
      </c>
      <c r="I232" s="8" t="b">
        <f>IF(D232&lt;2,FALSE,ISERROR(MATCH(H232,'Ontology and concepts per UC'!$A$2:$A$62,0)))</f>
        <v>0</v>
      </c>
      <c r="J232" s="9" t="str">
        <f t="shared" si="4"/>
        <v/>
      </c>
      <c r="K232" s="8" t="b">
        <f>IF(D232&lt;3,FALSE,ISERROR(MATCH(J232,'Ontology and concepts per UC'!$A$2:$A$62,0)))</f>
        <v>0</v>
      </c>
      <c r="L232" s="2"/>
      <c r="M232" s="2" t="s">
        <v>697</v>
      </c>
      <c r="N232" s="2"/>
      <c r="O232" s="1" t="b">
        <v>0</v>
      </c>
      <c r="P232" s="1">
        <v>0</v>
      </c>
      <c r="Q232" s="1">
        <v>0</v>
      </c>
      <c r="R232" s="1" t="b">
        <f t="shared" si="5"/>
        <v>1</v>
      </c>
      <c r="S232" s="2" t="s">
        <v>55</v>
      </c>
      <c r="T232" s="1" t="str">
        <f>IF(S232="","",VLOOKUP(S232,'Ontology and concepts per UC'!$F$2:$J$46,5,FALSE))</f>
        <v>Parámetros de progresión</v>
      </c>
      <c r="U232" s="1" t="b">
        <f t="array" ref="U232">(INDEX('Ontology and concepts per UC'!$G$2:$I$46,MATCH($S232,'Ontology and concepts per UC'!$F$2:$F$46,0),MATCH(LEFT($A232,3),'Ontology and concepts per UC'!$G$1:$I$1,0))=0)</f>
        <v>0</v>
      </c>
      <c r="V232" s="1" t="b">
        <f t="shared" si="6"/>
        <v>1</v>
      </c>
      <c r="W232" s="1" t="b">
        <v>0</v>
      </c>
      <c r="X232" s="1" t="b">
        <v>0</v>
      </c>
      <c r="Y232" s="1" t="b">
        <v>0</v>
      </c>
      <c r="Z232" s="1" t="b">
        <v>1</v>
      </c>
      <c r="AA232" s="1" t="s">
        <v>675</v>
      </c>
    </row>
    <row r="233" spans="1:27" x14ac:dyDescent="0.25">
      <c r="A233" s="1" t="s">
        <v>652</v>
      </c>
      <c r="B233" s="2" t="s">
        <v>698</v>
      </c>
      <c r="C233" s="2" t="s">
        <v>208</v>
      </c>
      <c r="D233" s="6">
        <f t="shared" si="0"/>
        <v>1</v>
      </c>
      <c r="E233" s="7" t="str">
        <f t="shared" si="1"/>
        <v>EpidemiologicalParameter</v>
      </c>
      <c r="F233" s="8" t="b">
        <f>IF(D233&lt;1,FALSE,ISERROR(MATCH(E233,'Ontology and concepts per UC'!$A$2:$A$62,0)))</f>
        <v>0</v>
      </c>
      <c r="G233" s="9" t="str">
        <f t="shared" si="2"/>
        <v/>
      </c>
      <c r="H233" s="9" t="str">
        <f t="shared" si="3"/>
        <v/>
      </c>
      <c r="I233" s="8" t="b">
        <f>IF(D233&lt;2,FALSE,ISERROR(MATCH(H233,'Ontology and concepts per UC'!$A$2:$A$62,0)))</f>
        <v>0</v>
      </c>
      <c r="J233" s="9" t="str">
        <f t="shared" si="4"/>
        <v/>
      </c>
      <c r="K233" s="8" t="b">
        <f>IF(D233&lt;3,FALSE,ISERROR(MATCH(J233,'Ontology and concepts per UC'!$A$2:$A$62,0)))</f>
        <v>0</v>
      </c>
      <c r="L233" s="2"/>
      <c r="M233" s="2" t="s">
        <v>699</v>
      </c>
      <c r="N233" s="2"/>
      <c r="O233" s="1" t="b">
        <v>0</v>
      </c>
      <c r="P233" s="1">
        <v>0</v>
      </c>
      <c r="Q233" s="1">
        <v>0</v>
      </c>
      <c r="R233" s="1" t="b">
        <f t="shared" si="5"/>
        <v>1</v>
      </c>
      <c r="S233" s="2" t="s">
        <v>367</v>
      </c>
      <c r="T233" s="1" t="str">
        <f>IF(S233="","",VLOOKUP(S233,'Ontology and concepts per UC'!$F$2:$J$46,5,FALSE))</f>
        <v>Parámetros de progresión</v>
      </c>
      <c r="U233" s="1" t="b">
        <f t="array" ref="U233">(INDEX('Ontology and concepts per UC'!$G$2:$I$46,MATCH($S233,'Ontology and concepts per UC'!$F$2:$F$46,0),MATCH(LEFT($A233,3),'Ontology and concepts per UC'!$G$1:$I$1,0))=0)</f>
        <v>0</v>
      </c>
      <c r="V233" s="1" t="b">
        <f t="shared" si="6"/>
        <v>1</v>
      </c>
      <c r="W233" s="1" t="b">
        <v>0</v>
      </c>
      <c r="X233" s="1" t="b">
        <v>0</v>
      </c>
      <c r="Y233" s="1" t="b">
        <v>0</v>
      </c>
      <c r="Z233" s="1" t="b">
        <v>1</v>
      </c>
      <c r="AA233" s="1" t="s">
        <v>675</v>
      </c>
    </row>
    <row r="234" spans="1:27" x14ac:dyDescent="0.25">
      <c r="A234" s="1" t="s">
        <v>652</v>
      </c>
      <c r="B234" s="2" t="s">
        <v>700</v>
      </c>
      <c r="C234" s="2" t="s">
        <v>208</v>
      </c>
      <c r="D234" s="6">
        <f t="shared" si="0"/>
        <v>1</v>
      </c>
      <c r="E234" s="7" t="str">
        <f t="shared" si="1"/>
        <v>EpidemiologicalParameter</v>
      </c>
      <c r="F234" s="8" t="b">
        <f>IF(D234&lt;1,FALSE,ISERROR(MATCH(E234,'Ontology and concepts per UC'!$A$2:$A$62,0)))</f>
        <v>0</v>
      </c>
      <c r="G234" s="9" t="str">
        <f t="shared" si="2"/>
        <v/>
      </c>
      <c r="H234" s="9" t="str">
        <f t="shared" si="3"/>
        <v/>
      </c>
      <c r="I234" s="8" t="b">
        <f>IF(D234&lt;2,FALSE,ISERROR(MATCH(H234,'Ontology and concepts per UC'!$A$2:$A$62,0)))</f>
        <v>0</v>
      </c>
      <c r="J234" s="9" t="str">
        <f t="shared" si="4"/>
        <v/>
      </c>
      <c r="K234" s="8" t="b">
        <f>IF(D234&lt;3,FALSE,ISERROR(MATCH(J234,'Ontology and concepts per UC'!$A$2:$A$62,0)))</f>
        <v>0</v>
      </c>
      <c r="L234" s="2"/>
      <c r="M234" s="2" t="s">
        <v>701</v>
      </c>
      <c r="N234" s="2"/>
      <c r="O234" s="1" t="b">
        <v>0</v>
      </c>
      <c r="P234" s="1">
        <v>0</v>
      </c>
      <c r="Q234" s="1">
        <v>0</v>
      </c>
      <c r="R234" s="1" t="b">
        <f t="shared" si="5"/>
        <v>1</v>
      </c>
      <c r="S234" s="2" t="s">
        <v>55</v>
      </c>
      <c r="T234" s="1" t="str">
        <f>IF(S234="","",VLOOKUP(S234,'Ontology and concepts per UC'!$F$2:$J$46,5,FALSE))</f>
        <v>Parámetros de progresión</v>
      </c>
      <c r="U234" s="1" t="b">
        <f t="array" ref="U234">(INDEX('Ontology and concepts per UC'!$G$2:$I$46,MATCH($S234,'Ontology and concepts per UC'!$F$2:$F$46,0),MATCH(LEFT($A234,3),'Ontology and concepts per UC'!$G$1:$I$1,0))=0)</f>
        <v>0</v>
      </c>
      <c r="V234" s="1" t="b">
        <f t="shared" si="6"/>
        <v>1</v>
      </c>
      <c r="W234" s="1" t="b">
        <v>0</v>
      </c>
      <c r="X234" s="1" t="b">
        <v>0</v>
      </c>
      <c r="Y234" s="1" t="b">
        <v>0</v>
      </c>
      <c r="Z234" s="1" t="b">
        <v>1</v>
      </c>
      <c r="AA234" s="1" t="s">
        <v>675</v>
      </c>
    </row>
    <row r="235" spans="1:27" x14ac:dyDescent="0.25">
      <c r="A235" s="1" t="s">
        <v>652</v>
      </c>
      <c r="B235" s="2" t="s">
        <v>702</v>
      </c>
      <c r="C235" s="2" t="s">
        <v>208</v>
      </c>
      <c r="D235" s="6">
        <f t="shared" si="0"/>
        <v>1</v>
      </c>
      <c r="E235" s="7" t="str">
        <f t="shared" si="1"/>
        <v>EpidemiologicalParameter</v>
      </c>
      <c r="F235" s="8" t="b">
        <f>IF(D235&lt;1,FALSE,ISERROR(MATCH(E235,'Ontology and concepts per UC'!$A$2:$A$62,0)))</f>
        <v>0</v>
      </c>
      <c r="G235" s="9" t="str">
        <f t="shared" si="2"/>
        <v/>
      </c>
      <c r="H235" s="9" t="str">
        <f t="shared" si="3"/>
        <v/>
      </c>
      <c r="I235" s="8" t="b">
        <f>IF(D235&lt;2,FALSE,ISERROR(MATCH(H235,'Ontology and concepts per UC'!$A$2:$A$62,0)))</f>
        <v>0</v>
      </c>
      <c r="J235" s="9" t="str">
        <f t="shared" si="4"/>
        <v/>
      </c>
      <c r="K235" s="8" t="b">
        <f>IF(D235&lt;3,FALSE,ISERROR(MATCH(J235,'Ontology and concepts per UC'!$A$2:$A$62,0)))</f>
        <v>0</v>
      </c>
      <c r="L235" s="2"/>
      <c r="M235" s="2" t="s">
        <v>703</v>
      </c>
      <c r="N235" s="2"/>
      <c r="O235" s="1" t="b">
        <v>0</v>
      </c>
      <c r="P235" s="1">
        <v>0</v>
      </c>
      <c r="Q235" s="1">
        <v>0</v>
      </c>
      <c r="R235" s="1" t="b">
        <f t="shared" si="5"/>
        <v>1</v>
      </c>
      <c r="S235" s="2" t="s">
        <v>107</v>
      </c>
      <c r="T235" s="1" t="str">
        <f>IF(S235="","",VLOOKUP(S235,'Ontology and concepts per UC'!$F$2:$J$46,5,FALSE))</f>
        <v>Parcial</v>
      </c>
      <c r="U235" s="1" t="b">
        <f t="array" ref="U235">(INDEX('Ontology and concepts per UC'!$G$2:$I$46,MATCH($S235,'Ontology and concepts per UC'!$F$2:$F$46,0),MATCH(LEFT($A235,3),'Ontology and concepts per UC'!$G$1:$I$1,0))=0)</f>
        <v>0</v>
      </c>
      <c r="V235" s="1" t="b">
        <f t="shared" si="6"/>
        <v>1</v>
      </c>
      <c r="W235" s="1" t="b">
        <v>0</v>
      </c>
      <c r="X235" s="1" t="b">
        <v>0</v>
      </c>
      <c r="Y235" s="1" t="b">
        <v>0</v>
      </c>
      <c r="Z235" s="1" t="b">
        <v>1</v>
      </c>
      <c r="AA235" s="1" t="s">
        <v>675</v>
      </c>
    </row>
    <row r="236" spans="1:27" x14ac:dyDescent="0.25">
      <c r="A236" s="1" t="s">
        <v>652</v>
      </c>
      <c r="B236" s="2" t="s">
        <v>704</v>
      </c>
      <c r="C236" s="2" t="s">
        <v>208</v>
      </c>
      <c r="D236" s="6">
        <f t="shared" si="0"/>
        <v>1</v>
      </c>
      <c r="E236" s="7" t="str">
        <f t="shared" si="1"/>
        <v>EpidemiologicalParameter</v>
      </c>
      <c r="F236" s="8" t="b">
        <f>IF(D236&lt;1,FALSE,ISERROR(MATCH(E236,'Ontology and concepts per UC'!$A$2:$A$62,0)))</f>
        <v>0</v>
      </c>
      <c r="G236" s="9" t="str">
        <f t="shared" si="2"/>
        <v/>
      </c>
      <c r="H236" s="9" t="str">
        <f t="shared" si="3"/>
        <v/>
      </c>
      <c r="I236" s="8" t="b">
        <f>IF(D236&lt;2,FALSE,ISERROR(MATCH(H236,'Ontology and concepts per UC'!$A$2:$A$62,0)))</f>
        <v>0</v>
      </c>
      <c r="J236" s="9" t="str">
        <f t="shared" si="4"/>
        <v/>
      </c>
      <c r="K236" s="8" t="b">
        <f>IF(D236&lt;3,FALSE,ISERROR(MATCH(J236,'Ontology and concepts per UC'!$A$2:$A$62,0)))</f>
        <v>0</v>
      </c>
      <c r="L236" s="2"/>
      <c r="M236" s="2" t="s">
        <v>705</v>
      </c>
      <c r="N236" s="2"/>
      <c r="O236" s="1" t="b">
        <v>0</v>
      </c>
      <c r="P236" s="1">
        <v>0</v>
      </c>
      <c r="Q236" s="1">
        <v>0</v>
      </c>
      <c r="R236" s="1" t="b">
        <f t="shared" si="5"/>
        <v>1</v>
      </c>
      <c r="S236" s="2" t="s">
        <v>107</v>
      </c>
      <c r="T236" s="1" t="str">
        <f>IF(S236="","",VLOOKUP(S236,'Ontology and concepts per UC'!$F$2:$J$46,5,FALSE))</f>
        <v>Parcial</v>
      </c>
      <c r="U236" s="1" t="b">
        <f t="array" ref="U236">(INDEX('Ontology and concepts per UC'!$G$2:$I$46,MATCH($S236,'Ontology and concepts per UC'!$F$2:$F$46,0),MATCH(LEFT($A236,3),'Ontology and concepts per UC'!$G$1:$I$1,0))=0)</f>
        <v>0</v>
      </c>
      <c r="V236" s="1" t="b">
        <f t="shared" si="6"/>
        <v>1</v>
      </c>
      <c r="W236" s="1" t="b">
        <v>0</v>
      </c>
      <c r="X236" s="1" t="b">
        <v>0</v>
      </c>
      <c r="Y236" s="1" t="b">
        <v>0</v>
      </c>
      <c r="Z236" s="1" t="b">
        <v>1</v>
      </c>
      <c r="AA236" s="1" t="s">
        <v>675</v>
      </c>
    </row>
    <row r="237" spans="1:27" x14ac:dyDescent="0.25">
      <c r="A237" s="1" t="s">
        <v>652</v>
      </c>
      <c r="B237" s="2" t="s">
        <v>706</v>
      </c>
      <c r="C237" s="2" t="s">
        <v>208</v>
      </c>
      <c r="D237" s="6">
        <f t="shared" si="0"/>
        <v>1</v>
      </c>
      <c r="E237" s="7" t="str">
        <f t="shared" si="1"/>
        <v>EpidemiologicalParameter</v>
      </c>
      <c r="F237" s="8" t="b">
        <f>IF(D237&lt;1,FALSE,ISERROR(MATCH(E237,'Ontology and concepts per UC'!$A$2:$A$62,0)))</f>
        <v>0</v>
      </c>
      <c r="G237" s="9" t="str">
        <f t="shared" si="2"/>
        <v/>
      </c>
      <c r="H237" s="9" t="str">
        <f t="shared" si="3"/>
        <v/>
      </c>
      <c r="I237" s="8" t="b">
        <f>IF(D237&lt;2,FALSE,ISERROR(MATCH(H237,'Ontology and concepts per UC'!$A$2:$A$62,0)))</f>
        <v>0</v>
      </c>
      <c r="J237" s="9" t="str">
        <f t="shared" si="4"/>
        <v/>
      </c>
      <c r="K237" s="8" t="b">
        <f>IF(D237&lt;3,FALSE,ISERROR(MATCH(J237,'Ontology and concepts per UC'!$A$2:$A$62,0)))</f>
        <v>0</v>
      </c>
      <c r="L237" s="2"/>
      <c r="M237" s="2" t="s">
        <v>707</v>
      </c>
      <c r="N237" s="2"/>
      <c r="O237" s="1" t="b">
        <v>0</v>
      </c>
      <c r="P237" s="1">
        <v>0</v>
      </c>
      <c r="Q237" s="1">
        <v>0</v>
      </c>
      <c r="R237" s="1" t="b">
        <f t="shared" si="5"/>
        <v>1</v>
      </c>
      <c r="S237" s="2" t="s">
        <v>107</v>
      </c>
      <c r="T237" s="1" t="str">
        <f>IF(S237="","",VLOOKUP(S237,'Ontology and concepts per UC'!$F$2:$J$46,5,FALSE))</f>
        <v>Parcial</v>
      </c>
      <c r="U237" s="1" t="b">
        <f t="array" ref="U237">(INDEX('Ontology and concepts per UC'!$G$2:$I$46,MATCH($S237,'Ontology and concepts per UC'!$F$2:$F$46,0),MATCH(LEFT($A237,3),'Ontology and concepts per UC'!$G$1:$I$1,0))=0)</f>
        <v>0</v>
      </c>
      <c r="V237" s="1" t="b">
        <f t="shared" si="6"/>
        <v>1</v>
      </c>
      <c r="W237" s="1" t="b">
        <v>0</v>
      </c>
      <c r="X237" s="1" t="b">
        <v>0</v>
      </c>
      <c r="Y237" s="1" t="b">
        <v>0</v>
      </c>
      <c r="Z237" s="1" t="b">
        <v>1</v>
      </c>
      <c r="AA237" s="1" t="s">
        <v>675</v>
      </c>
    </row>
    <row r="238" spans="1:27" x14ac:dyDescent="0.25">
      <c r="A238" s="1" t="s">
        <v>652</v>
      </c>
      <c r="B238" s="2" t="s">
        <v>708</v>
      </c>
      <c r="C238" s="2" t="s">
        <v>208</v>
      </c>
      <c r="D238" s="6">
        <f t="shared" si="0"/>
        <v>1</v>
      </c>
      <c r="E238" s="7" t="str">
        <f t="shared" si="1"/>
        <v>EpidemiologicalParameter</v>
      </c>
      <c r="F238" s="8" t="b">
        <f>IF(D238&lt;1,FALSE,ISERROR(MATCH(E238,'Ontology and concepts per UC'!$A$2:$A$62,0)))</f>
        <v>0</v>
      </c>
      <c r="G238" s="9" t="str">
        <f t="shared" si="2"/>
        <v/>
      </c>
      <c r="H238" s="9" t="str">
        <f t="shared" si="3"/>
        <v/>
      </c>
      <c r="I238" s="8" t="b">
        <f>IF(D238&lt;2,FALSE,ISERROR(MATCH(H238,'Ontology and concepts per UC'!$A$2:$A$62,0)))</f>
        <v>0</v>
      </c>
      <c r="J238" s="9" t="str">
        <f t="shared" si="4"/>
        <v/>
      </c>
      <c r="K238" s="8" t="b">
        <f>IF(D238&lt;3,FALSE,ISERROR(MATCH(J238,'Ontology and concepts per UC'!$A$2:$A$62,0)))</f>
        <v>0</v>
      </c>
      <c r="L238" s="2"/>
      <c r="M238" s="2" t="s">
        <v>709</v>
      </c>
      <c r="N238" s="2"/>
      <c r="O238" s="1" t="b">
        <v>0</v>
      </c>
      <c r="P238" s="1">
        <v>0</v>
      </c>
      <c r="Q238" s="1">
        <v>0</v>
      </c>
      <c r="R238" s="1" t="b">
        <f t="shared" si="5"/>
        <v>1</v>
      </c>
      <c r="S238" s="2" t="s">
        <v>107</v>
      </c>
      <c r="T238" s="1" t="str">
        <f>IF(S238="","",VLOOKUP(S238,'Ontology and concepts per UC'!$F$2:$J$46,5,FALSE))</f>
        <v>Parcial</v>
      </c>
      <c r="U238" s="1" t="b">
        <f t="array" ref="U238">(INDEX('Ontology and concepts per UC'!$G$2:$I$46,MATCH($S238,'Ontology and concepts per UC'!$F$2:$F$46,0),MATCH(LEFT($A238,3),'Ontology and concepts per UC'!$G$1:$I$1,0))=0)</f>
        <v>0</v>
      </c>
      <c r="V238" s="1" t="b">
        <f t="shared" si="6"/>
        <v>1</v>
      </c>
      <c r="W238" s="1" t="b">
        <v>0</v>
      </c>
      <c r="X238" s="1" t="b">
        <v>0</v>
      </c>
      <c r="Y238" s="1" t="b">
        <v>0</v>
      </c>
      <c r="Z238" s="1" t="b">
        <v>1</v>
      </c>
      <c r="AA238" s="1" t="s">
        <v>675</v>
      </c>
    </row>
    <row r="239" spans="1:27" x14ac:dyDescent="0.25">
      <c r="A239" s="1" t="s">
        <v>652</v>
      </c>
      <c r="B239" s="2" t="s">
        <v>710</v>
      </c>
      <c r="C239" s="2" t="s">
        <v>208</v>
      </c>
      <c r="D239" s="6">
        <f t="shared" si="0"/>
        <v>1</v>
      </c>
      <c r="E239" s="7" t="str">
        <f t="shared" si="1"/>
        <v>EpidemiologicalParameter</v>
      </c>
      <c r="F239" s="8" t="b">
        <f>IF(D239&lt;1,FALSE,ISERROR(MATCH(E239,'Ontology and concepts per UC'!$A$2:$A$62,0)))</f>
        <v>0</v>
      </c>
      <c r="G239" s="9" t="str">
        <f t="shared" si="2"/>
        <v/>
      </c>
      <c r="H239" s="9" t="str">
        <f t="shared" si="3"/>
        <v/>
      </c>
      <c r="I239" s="8" t="b">
        <f>IF(D239&lt;2,FALSE,ISERROR(MATCH(H239,'Ontology and concepts per UC'!$A$2:$A$62,0)))</f>
        <v>0</v>
      </c>
      <c r="J239" s="9" t="str">
        <f t="shared" si="4"/>
        <v/>
      </c>
      <c r="K239" s="8" t="b">
        <f>IF(D239&lt;3,FALSE,ISERROR(MATCH(J239,'Ontology and concepts per UC'!$A$2:$A$62,0)))</f>
        <v>0</v>
      </c>
      <c r="L239" s="2"/>
      <c r="M239" s="2" t="s">
        <v>711</v>
      </c>
      <c r="N239" s="2"/>
      <c r="O239" s="1" t="b">
        <v>0</v>
      </c>
      <c r="P239" s="1">
        <v>0</v>
      </c>
      <c r="Q239" s="1">
        <v>0</v>
      </c>
      <c r="R239" s="1" t="b">
        <f t="shared" si="5"/>
        <v>1</v>
      </c>
      <c r="S239" s="2" t="s">
        <v>107</v>
      </c>
      <c r="T239" s="1" t="str">
        <f>IF(S239="","",VLOOKUP(S239,'Ontology and concepts per UC'!$F$2:$J$46,5,FALSE))</f>
        <v>Parcial</v>
      </c>
      <c r="U239" s="1" t="b">
        <f t="array" ref="U239">(INDEX('Ontology and concepts per UC'!$G$2:$I$46,MATCH($S239,'Ontology and concepts per UC'!$F$2:$F$46,0),MATCH(LEFT($A239,3),'Ontology and concepts per UC'!$G$1:$I$1,0))=0)</f>
        <v>0</v>
      </c>
      <c r="V239" s="1" t="b">
        <f t="shared" si="6"/>
        <v>1</v>
      </c>
      <c r="W239" s="1" t="b">
        <v>0</v>
      </c>
      <c r="X239" s="1" t="b">
        <v>0</v>
      </c>
      <c r="Y239" s="1" t="b">
        <v>0</v>
      </c>
      <c r="Z239" s="1" t="b">
        <v>1</v>
      </c>
      <c r="AA239" s="1" t="s">
        <v>675</v>
      </c>
    </row>
    <row r="240" spans="1:27" x14ac:dyDescent="0.25">
      <c r="A240" s="1" t="s">
        <v>652</v>
      </c>
      <c r="B240" s="2" t="s">
        <v>712</v>
      </c>
      <c r="C240" s="2" t="s">
        <v>208</v>
      </c>
      <c r="D240" s="6">
        <f t="shared" si="0"/>
        <v>1</v>
      </c>
      <c r="E240" s="7" t="str">
        <f t="shared" si="1"/>
        <v>EpidemiologicalParameter</v>
      </c>
      <c r="F240" s="8" t="b">
        <f>IF(D240&lt;1,FALSE,ISERROR(MATCH(E240,'Ontology and concepts per UC'!$A$2:$A$62,0)))</f>
        <v>0</v>
      </c>
      <c r="G240" s="9" t="str">
        <f t="shared" si="2"/>
        <v/>
      </c>
      <c r="H240" s="9" t="str">
        <f t="shared" si="3"/>
        <v/>
      </c>
      <c r="I240" s="8" t="b">
        <f>IF(D240&lt;2,FALSE,ISERROR(MATCH(H240,'Ontology and concepts per UC'!$A$2:$A$62,0)))</f>
        <v>0</v>
      </c>
      <c r="J240" s="9" t="str">
        <f t="shared" si="4"/>
        <v/>
      </c>
      <c r="K240" s="8" t="b">
        <f>IF(D240&lt;3,FALSE,ISERROR(MATCH(J240,'Ontology and concepts per UC'!$A$2:$A$62,0)))</f>
        <v>0</v>
      </c>
      <c r="L240" s="2"/>
      <c r="M240" s="2" t="s">
        <v>713</v>
      </c>
      <c r="N240" s="2"/>
      <c r="O240" s="1" t="b">
        <v>0</v>
      </c>
      <c r="P240" s="1">
        <v>0</v>
      </c>
      <c r="Q240" s="1">
        <v>0</v>
      </c>
      <c r="R240" s="1" t="b">
        <f t="shared" si="5"/>
        <v>1</v>
      </c>
      <c r="S240" s="2" t="s">
        <v>107</v>
      </c>
      <c r="T240" s="1" t="str">
        <f>IF(S240="","",VLOOKUP(S240,'Ontology and concepts per UC'!$F$2:$J$46,5,FALSE))</f>
        <v>Parcial</v>
      </c>
      <c r="U240" s="1" t="b">
        <f t="array" ref="U240">(INDEX('Ontology and concepts per UC'!$G$2:$I$46,MATCH($S240,'Ontology and concepts per UC'!$F$2:$F$46,0),MATCH(LEFT($A240,3),'Ontology and concepts per UC'!$G$1:$I$1,0))=0)</f>
        <v>0</v>
      </c>
      <c r="V240" s="1" t="b">
        <f t="shared" si="6"/>
        <v>1</v>
      </c>
      <c r="W240" s="1" t="b">
        <v>0</v>
      </c>
      <c r="X240" s="1" t="b">
        <v>0</v>
      </c>
      <c r="Y240" s="1" t="b">
        <v>0</v>
      </c>
      <c r="Z240" s="1" t="b">
        <v>1</v>
      </c>
      <c r="AA240" s="1" t="s">
        <v>675</v>
      </c>
    </row>
    <row r="241" spans="1:27" x14ac:dyDescent="0.25">
      <c r="A241" s="1" t="s">
        <v>652</v>
      </c>
      <c r="B241" s="2" t="s">
        <v>714</v>
      </c>
      <c r="C241" s="2" t="s">
        <v>208</v>
      </c>
      <c r="D241" s="6">
        <f t="shared" si="0"/>
        <v>1</v>
      </c>
      <c r="E241" s="7" t="str">
        <f t="shared" si="1"/>
        <v>EpidemiologicalParameter</v>
      </c>
      <c r="F241" s="8" t="b">
        <f>IF(D241&lt;1,FALSE,ISERROR(MATCH(E241,'Ontology and concepts per UC'!$A$2:$A$62,0)))</f>
        <v>0</v>
      </c>
      <c r="G241" s="9" t="str">
        <f t="shared" si="2"/>
        <v/>
      </c>
      <c r="H241" s="9" t="str">
        <f t="shared" si="3"/>
        <v/>
      </c>
      <c r="I241" s="8" t="b">
        <f>IF(D241&lt;2,FALSE,ISERROR(MATCH(H241,'Ontology and concepts per UC'!$A$2:$A$62,0)))</f>
        <v>0</v>
      </c>
      <c r="J241" s="9" t="str">
        <f t="shared" si="4"/>
        <v/>
      </c>
      <c r="K241" s="8" t="b">
        <f>IF(D241&lt;3,FALSE,ISERROR(MATCH(J241,'Ontology and concepts per UC'!$A$2:$A$62,0)))</f>
        <v>0</v>
      </c>
      <c r="L241" s="2"/>
      <c r="M241" s="2" t="s">
        <v>715</v>
      </c>
      <c r="N241" s="2"/>
      <c r="O241" s="1" t="b">
        <v>0</v>
      </c>
      <c r="P241" s="1">
        <v>0</v>
      </c>
      <c r="Q241" s="1">
        <v>0</v>
      </c>
      <c r="R241" s="1" t="b">
        <f t="shared" si="5"/>
        <v>1</v>
      </c>
      <c r="S241" s="2" t="s">
        <v>107</v>
      </c>
      <c r="T241" s="1" t="str">
        <f>IF(S241="","",VLOOKUP(S241,'Ontology and concepts per UC'!$F$2:$J$46,5,FALSE))</f>
        <v>Parcial</v>
      </c>
      <c r="U241" s="1" t="b">
        <f t="array" ref="U241">(INDEX('Ontology and concepts per UC'!$G$2:$I$46,MATCH($S241,'Ontology and concepts per UC'!$F$2:$F$46,0),MATCH(LEFT($A241,3),'Ontology and concepts per UC'!$G$1:$I$1,0))=0)</f>
        <v>0</v>
      </c>
      <c r="V241" s="1" t="b">
        <f t="shared" si="6"/>
        <v>1</v>
      </c>
      <c r="W241" s="1" t="b">
        <v>0</v>
      </c>
      <c r="X241" s="1" t="b">
        <v>0</v>
      </c>
      <c r="Y241" s="1" t="b">
        <v>0</v>
      </c>
      <c r="Z241" s="1" t="b">
        <v>1</v>
      </c>
      <c r="AA241" s="1" t="s">
        <v>675</v>
      </c>
    </row>
    <row r="242" spans="1:27" x14ac:dyDescent="0.25">
      <c r="A242" s="1" t="s">
        <v>652</v>
      </c>
      <c r="B242" s="2" t="s">
        <v>716</v>
      </c>
      <c r="C242" s="2" t="s">
        <v>208</v>
      </c>
      <c r="D242" s="6">
        <f t="shared" si="0"/>
        <v>1</v>
      </c>
      <c r="E242" s="7" t="str">
        <f t="shared" si="1"/>
        <v>EpidemiologicalParameter</v>
      </c>
      <c r="F242" s="8" t="b">
        <f>IF(D242&lt;1,FALSE,ISERROR(MATCH(E242,'Ontology and concepts per UC'!$A$2:$A$62,0)))</f>
        <v>0</v>
      </c>
      <c r="G242" s="9" t="str">
        <f t="shared" si="2"/>
        <v/>
      </c>
      <c r="H242" s="9" t="str">
        <f t="shared" si="3"/>
        <v/>
      </c>
      <c r="I242" s="8" t="b">
        <f>IF(D242&lt;2,FALSE,ISERROR(MATCH(H242,'Ontology and concepts per UC'!$A$2:$A$62,0)))</f>
        <v>0</v>
      </c>
      <c r="J242" s="9" t="str">
        <f t="shared" si="4"/>
        <v/>
      </c>
      <c r="K242" s="8" t="b">
        <f>IF(D242&lt;3,FALSE,ISERROR(MATCH(J242,'Ontology and concepts per UC'!$A$2:$A$62,0)))</f>
        <v>0</v>
      </c>
      <c r="L242" s="2"/>
      <c r="M242" s="2" t="s">
        <v>717</v>
      </c>
      <c r="N242" s="2"/>
      <c r="O242" s="1" t="b">
        <v>0</v>
      </c>
      <c r="P242" s="1">
        <v>0</v>
      </c>
      <c r="Q242" s="1">
        <v>0</v>
      </c>
      <c r="R242" s="1" t="b">
        <f t="shared" si="5"/>
        <v>1</v>
      </c>
      <c r="S242" s="2" t="s">
        <v>38</v>
      </c>
      <c r="T242" s="1" t="str">
        <f>IF(S242="","",VLOOKUP(S242,'Ontology and concepts per UC'!$F$2:$J$46,5,FALSE))</f>
        <v>Parámetro epidemiológico</v>
      </c>
      <c r="U242" s="1" t="b">
        <f t="array" ref="U242">(INDEX('Ontology and concepts per UC'!$G$2:$I$46,MATCH($S242,'Ontology and concepts per UC'!$F$2:$F$46,0),MATCH(LEFT($A242,3),'Ontology and concepts per UC'!$G$1:$I$1,0))=0)</f>
        <v>0</v>
      </c>
      <c r="V242" s="1" t="b">
        <f t="shared" si="6"/>
        <v>0</v>
      </c>
      <c r="W242" s="1" t="b">
        <v>0</v>
      </c>
      <c r="X242" s="1" t="b">
        <v>0</v>
      </c>
      <c r="Y242" s="1" t="b">
        <v>0</v>
      </c>
      <c r="Z242" s="1" t="b">
        <v>0</v>
      </c>
      <c r="AA242" s="1"/>
    </row>
    <row r="243" spans="1:27" x14ac:dyDescent="0.25">
      <c r="A243" s="1" t="s">
        <v>652</v>
      </c>
      <c r="B243" s="2" t="s">
        <v>718</v>
      </c>
      <c r="C243" s="2" t="s">
        <v>208</v>
      </c>
      <c r="D243" s="6">
        <f t="shared" si="0"/>
        <v>1</v>
      </c>
      <c r="E243" s="7" t="str">
        <f t="shared" si="1"/>
        <v>EpidemiologicalParameter</v>
      </c>
      <c r="F243" s="8" t="b">
        <f>IF(D243&lt;1,FALSE,ISERROR(MATCH(E243,'Ontology and concepts per UC'!$A$2:$A$62,0)))</f>
        <v>0</v>
      </c>
      <c r="G243" s="9" t="str">
        <f t="shared" si="2"/>
        <v/>
      </c>
      <c r="H243" s="9" t="str">
        <f t="shared" si="3"/>
        <v/>
      </c>
      <c r="I243" s="8" t="b">
        <f>IF(D243&lt;2,FALSE,ISERROR(MATCH(H243,'Ontology and concepts per UC'!$A$2:$A$62,0)))</f>
        <v>0</v>
      </c>
      <c r="J243" s="9" t="str">
        <f t="shared" si="4"/>
        <v/>
      </c>
      <c r="K243" s="8" t="b">
        <f>IF(D243&lt;3,FALSE,ISERROR(MATCH(J243,'Ontology and concepts per UC'!$A$2:$A$62,0)))</f>
        <v>0</v>
      </c>
      <c r="L243" s="2"/>
      <c r="M243" s="2" t="s">
        <v>719</v>
      </c>
      <c r="N243" s="2"/>
      <c r="O243" s="1" t="b">
        <v>0</v>
      </c>
      <c r="P243" s="1">
        <v>0</v>
      </c>
      <c r="Q243" s="1">
        <v>0</v>
      </c>
      <c r="R243" s="1" t="b">
        <f t="shared" si="5"/>
        <v>0</v>
      </c>
      <c r="S243" s="2" t="s">
        <v>38</v>
      </c>
      <c r="T243" s="1" t="str">
        <f>IF(S243="","",VLOOKUP(S243,'Ontology and concepts per UC'!$F$2:$J$46,5,FALSE))</f>
        <v>Parámetro epidemiológico</v>
      </c>
      <c r="U243" s="1" t="b">
        <f t="array" ref="U243">(INDEX('Ontology and concepts per UC'!$G$2:$I$46,MATCH($S243,'Ontology and concepts per UC'!$F$2:$F$46,0),MATCH(LEFT($A243,3),'Ontology and concepts per UC'!$G$1:$I$1,0))=0)</f>
        <v>0</v>
      </c>
      <c r="V243" s="1" t="b">
        <f t="shared" si="6"/>
        <v>0</v>
      </c>
      <c r="W243" s="1" t="b">
        <v>0</v>
      </c>
      <c r="X243" s="1" t="b">
        <v>0</v>
      </c>
      <c r="Y243" s="1" t="b">
        <v>0</v>
      </c>
      <c r="Z243" s="1" t="b">
        <v>0</v>
      </c>
      <c r="AA243" s="1"/>
    </row>
    <row r="244" spans="1:27" x14ac:dyDescent="0.25">
      <c r="A244" s="1" t="s">
        <v>652</v>
      </c>
      <c r="B244" s="2" t="s">
        <v>720</v>
      </c>
      <c r="C244" s="2" t="s">
        <v>208</v>
      </c>
      <c r="D244" s="6">
        <f t="shared" si="0"/>
        <v>1</v>
      </c>
      <c r="E244" s="7" t="str">
        <f t="shared" si="1"/>
        <v>EpidemiologicalParameter</v>
      </c>
      <c r="F244" s="8" t="b">
        <f>IF(D244&lt;1,FALSE,ISERROR(MATCH(E244,'Ontology and concepts per UC'!$A$2:$A$62,0)))</f>
        <v>0</v>
      </c>
      <c r="G244" s="9" t="str">
        <f t="shared" si="2"/>
        <v/>
      </c>
      <c r="H244" s="9" t="str">
        <f t="shared" si="3"/>
        <v/>
      </c>
      <c r="I244" s="8" t="b">
        <f>IF(D244&lt;2,FALSE,ISERROR(MATCH(H244,'Ontology and concepts per UC'!$A$2:$A$62,0)))</f>
        <v>0</v>
      </c>
      <c r="J244" s="9" t="str">
        <f t="shared" si="4"/>
        <v/>
      </c>
      <c r="K244" s="8" t="b">
        <f>IF(D244&lt;3,FALSE,ISERROR(MATCH(J244,'Ontology and concepts per UC'!$A$2:$A$62,0)))</f>
        <v>0</v>
      </c>
      <c r="L244" s="2"/>
      <c r="M244" s="2" t="s">
        <v>721</v>
      </c>
      <c r="N244" s="2"/>
      <c r="O244" s="1" t="b">
        <v>0</v>
      </c>
      <c r="P244" s="1">
        <v>0</v>
      </c>
      <c r="Q244" s="1">
        <v>0</v>
      </c>
      <c r="R244" s="1" t="b">
        <f t="shared" si="5"/>
        <v>1</v>
      </c>
      <c r="S244" s="2" t="s">
        <v>367</v>
      </c>
      <c r="T244" s="1" t="str">
        <f>IF(S244="","",VLOOKUP(S244,'Ontology and concepts per UC'!$F$2:$J$46,5,FALSE))</f>
        <v>Parámetros de progresión</v>
      </c>
      <c r="U244" s="1" t="b">
        <f t="array" ref="U244">(INDEX('Ontology and concepts per UC'!$G$2:$I$46,MATCH($S244,'Ontology and concepts per UC'!$F$2:$F$46,0),MATCH(LEFT($A244,3),'Ontology and concepts per UC'!$G$1:$I$1,0))=0)</f>
        <v>0</v>
      </c>
      <c r="V244" s="1" t="b">
        <f t="shared" si="6"/>
        <v>1</v>
      </c>
      <c r="W244" s="1" t="b">
        <v>0</v>
      </c>
      <c r="X244" s="1" t="b">
        <v>0</v>
      </c>
      <c r="Y244" s="1" t="b">
        <v>0</v>
      </c>
      <c r="Z244" s="1" t="b">
        <v>1</v>
      </c>
      <c r="AA244" s="1" t="s">
        <v>675</v>
      </c>
    </row>
    <row r="245" spans="1:27" x14ac:dyDescent="0.25">
      <c r="A245" s="1" t="s">
        <v>652</v>
      </c>
      <c r="B245" s="2" t="s">
        <v>722</v>
      </c>
      <c r="C245" s="2" t="s">
        <v>208</v>
      </c>
      <c r="D245" s="6">
        <f t="shared" si="0"/>
        <v>1</v>
      </c>
      <c r="E245" s="7" t="str">
        <f t="shared" si="1"/>
        <v>EpidemiologicalParameter</v>
      </c>
      <c r="F245" s="8" t="b">
        <f>IF(D245&lt;1,FALSE,ISERROR(MATCH(E245,'Ontology and concepts per UC'!$A$2:$A$62,0)))</f>
        <v>0</v>
      </c>
      <c r="G245" s="9" t="str">
        <f t="shared" si="2"/>
        <v/>
      </c>
      <c r="H245" s="9" t="str">
        <f t="shared" si="3"/>
        <v/>
      </c>
      <c r="I245" s="8" t="b">
        <f>IF(D245&lt;2,FALSE,ISERROR(MATCH(H245,'Ontology and concepts per UC'!$A$2:$A$62,0)))</f>
        <v>0</v>
      </c>
      <c r="J245" s="9" t="str">
        <f t="shared" si="4"/>
        <v/>
      </c>
      <c r="K245" s="8" t="b">
        <f>IF(D245&lt;3,FALSE,ISERROR(MATCH(J245,'Ontology and concepts per UC'!$A$2:$A$62,0)))</f>
        <v>0</v>
      </c>
      <c r="L245" s="2"/>
      <c r="M245" s="2" t="s">
        <v>723</v>
      </c>
      <c r="N245" s="2"/>
      <c r="O245" s="1" t="b">
        <v>0</v>
      </c>
      <c r="P245" s="1">
        <v>0</v>
      </c>
      <c r="Q245" s="1">
        <v>0</v>
      </c>
      <c r="R245" s="1" t="b">
        <f t="shared" si="5"/>
        <v>1</v>
      </c>
      <c r="S245" s="2" t="s">
        <v>58</v>
      </c>
      <c r="T245" s="1" t="str">
        <f>IF(S245="","",VLOOKUP(S245,'Ontology and concepts per UC'!$F$2:$J$46,5,FALSE))</f>
        <v>Parámetros de progresión</v>
      </c>
      <c r="U245" s="1" t="b">
        <f t="array" ref="U245">(INDEX('Ontology and concepts per UC'!$G$2:$I$46,MATCH($S245,'Ontology and concepts per UC'!$F$2:$F$46,0),MATCH(LEFT($A245,3),'Ontology and concepts per UC'!$G$1:$I$1,0))=0)</f>
        <v>0</v>
      </c>
      <c r="V245" s="1" t="b">
        <f t="shared" si="6"/>
        <v>1</v>
      </c>
      <c r="W245" s="1" t="b">
        <v>0</v>
      </c>
      <c r="X245" s="1" t="b">
        <v>0</v>
      </c>
      <c r="Y245" s="1" t="b">
        <v>0</v>
      </c>
      <c r="Z245" s="1" t="b">
        <v>1</v>
      </c>
      <c r="AA245" s="1" t="s">
        <v>675</v>
      </c>
    </row>
    <row r="246" spans="1:27" x14ac:dyDescent="0.25">
      <c r="A246" s="1" t="s">
        <v>652</v>
      </c>
      <c r="B246" s="2" t="s">
        <v>156</v>
      </c>
      <c r="C246" s="2" t="s">
        <v>208</v>
      </c>
      <c r="D246" s="6">
        <f t="shared" si="0"/>
        <v>1</v>
      </c>
      <c r="E246" s="7" t="str">
        <f t="shared" si="1"/>
        <v>EpidemiologicalParameter</v>
      </c>
      <c r="F246" s="8" t="b">
        <f>IF(D246&lt;1,FALSE,ISERROR(MATCH(E246,'Ontology and concepts per UC'!$A$2:$A$62,0)))</f>
        <v>0</v>
      </c>
      <c r="G246" s="9" t="str">
        <f t="shared" si="2"/>
        <v/>
      </c>
      <c r="H246" s="9" t="str">
        <f t="shared" si="3"/>
        <v/>
      </c>
      <c r="I246" s="8" t="b">
        <f>IF(D246&lt;2,FALSE,ISERROR(MATCH(H246,'Ontology and concepts per UC'!$A$2:$A$62,0)))</f>
        <v>0</v>
      </c>
      <c r="J246" s="9" t="str">
        <f t="shared" si="4"/>
        <v/>
      </c>
      <c r="K246" s="8" t="b">
        <f>IF(D246&lt;3,FALSE,ISERROR(MATCH(J246,'Ontology and concepts per UC'!$A$2:$A$62,0)))</f>
        <v>0</v>
      </c>
      <c r="L246" s="2"/>
      <c r="M246" s="2" t="s">
        <v>724</v>
      </c>
      <c r="N246" s="2"/>
      <c r="O246" s="1" t="b">
        <v>0</v>
      </c>
      <c r="P246" s="1">
        <v>0</v>
      </c>
      <c r="Q246" s="1">
        <v>0</v>
      </c>
      <c r="R246" s="1" t="b">
        <f t="shared" si="5"/>
        <v>1</v>
      </c>
      <c r="S246" s="2" t="s">
        <v>47</v>
      </c>
      <c r="T246" s="1" t="str">
        <f>IF(S246="","",VLOOKUP(S246,'Ontology and concepts per UC'!$F$2:$J$46,5,FALSE))</f>
        <v>Parámetros de intervención</v>
      </c>
      <c r="U246" s="1" t="b">
        <f t="array" ref="U246">(INDEX('Ontology and concepts per UC'!$G$2:$I$46,MATCH($S246,'Ontology and concepts per UC'!$F$2:$F$46,0),MATCH(LEFT($A246,3),'Ontology and concepts per UC'!$G$1:$I$1,0))=0)</f>
        <v>0</v>
      </c>
      <c r="V246" s="1" t="b">
        <f t="shared" si="6"/>
        <v>1</v>
      </c>
      <c r="W246" s="1" t="b">
        <v>0</v>
      </c>
      <c r="X246" s="1" t="b">
        <v>0</v>
      </c>
      <c r="Y246" s="1" t="b">
        <v>0</v>
      </c>
      <c r="Z246" s="1" t="b">
        <v>1</v>
      </c>
      <c r="AA246" s="1" t="s">
        <v>675</v>
      </c>
    </row>
    <row r="247" spans="1:27" x14ac:dyDescent="0.25">
      <c r="A247" s="1" t="s">
        <v>652</v>
      </c>
      <c r="B247" s="2" t="s">
        <v>154</v>
      </c>
      <c r="C247" s="2" t="s">
        <v>208</v>
      </c>
      <c r="D247" s="6">
        <f t="shared" si="0"/>
        <v>1</v>
      </c>
      <c r="E247" s="7" t="str">
        <f t="shared" si="1"/>
        <v>EpidemiologicalParameter</v>
      </c>
      <c r="F247" s="8" t="b">
        <f>IF(D247&lt;1,FALSE,ISERROR(MATCH(E247,'Ontology and concepts per UC'!$A$2:$A$62,0)))</f>
        <v>0</v>
      </c>
      <c r="G247" s="9" t="str">
        <f t="shared" si="2"/>
        <v/>
      </c>
      <c r="H247" s="9" t="str">
        <f t="shared" si="3"/>
        <v/>
      </c>
      <c r="I247" s="8" t="b">
        <f>IF(D247&lt;2,FALSE,ISERROR(MATCH(H247,'Ontology and concepts per UC'!$A$2:$A$62,0)))</f>
        <v>0</v>
      </c>
      <c r="J247" s="9" t="str">
        <f t="shared" si="4"/>
        <v/>
      </c>
      <c r="K247" s="8" t="b">
        <f>IF(D247&lt;3,FALSE,ISERROR(MATCH(J247,'Ontology and concepts per UC'!$A$2:$A$62,0)))</f>
        <v>0</v>
      </c>
      <c r="L247" s="2"/>
      <c r="M247" s="2" t="s">
        <v>725</v>
      </c>
      <c r="N247" s="2"/>
      <c r="O247" s="1" t="b">
        <v>0</v>
      </c>
      <c r="P247" s="1">
        <v>0</v>
      </c>
      <c r="Q247" s="1">
        <v>0</v>
      </c>
      <c r="R247" s="1" t="b">
        <f t="shared" si="5"/>
        <v>1</v>
      </c>
      <c r="S247" s="2" t="s">
        <v>46</v>
      </c>
      <c r="T247" s="1" t="str">
        <f>IF(S247="","",VLOOKUP(S247,'Ontology and concepts per UC'!$F$2:$J$46,5,FALSE))</f>
        <v>Parámetros de intervención</v>
      </c>
      <c r="U247" s="1" t="b">
        <f t="array" ref="U247">(INDEX('Ontology and concepts per UC'!$G$2:$I$46,MATCH($S247,'Ontology and concepts per UC'!$F$2:$F$46,0),MATCH(LEFT($A247,3),'Ontology and concepts per UC'!$G$1:$I$1,0))=0)</f>
        <v>0</v>
      </c>
      <c r="V247" s="1" t="b">
        <f t="shared" si="6"/>
        <v>1</v>
      </c>
      <c r="W247" s="1" t="b">
        <v>0</v>
      </c>
      <c r="X247" s="1" t="b">
        <v>0</v>
      </c>
      <c r="Y247" s="1" t="b">
        <v>0</v>
      </c>
      <c r="Z247" s="1" t="b">
        <v>1</v>
      </c>
      <c r="AA247" s="1" t="s">
        <v>675</v>
      </c>
    </row>
    <row r="248" spans="1:27" x14ac:dyDescent="0.25">
      <c r="A248" s="1" t="s">
        <v>652</v>
      </c>
      <c r="B248" s="2" t="s">
        <v>726</v>
      </c>
      <c r="C248" s="2" t="s">
        <v>727</v>
      </c>
      <c r="D248" s="6">
        <f t="shared" si="0"/>
        <v>1</v>
      </c>
      <c r="E248" s="7" t="str">
        <f t="shared" si="1"/>
        <v>FollowUpParameter</v>
      </c>
      <c r="F248" s="8" t="b">
        <f>IF(D248&lt;1,FALSE,ISERROR(MATCH(E248,'Ontology and concepts per UC'!$A$2:$A$62,0)))</f>
        <v>1</v>
      </c>
      <c r="G248" s="9" t="str">
        <f t="shared" si="2"/>
        <v/>
      </c>
      <c r="H248" s="9" t="str">
        <f t="shared" si="3"/>
        <v/>
      </c>
      <c r="I248" s="8" t="b">
        <f>IF(D248&lt;2,FALSE,ISERROR(MATCH(H248,'Ontology and concepts per UC'!$A$2:$A$62,0)))</f>
        <v>0</v>
      </c>
      <c r="J248" s="9" t="str">
        <f t="shared" si="4"/>
        <v/>
      </c>
      <c r="K248" s="8" t="b">
        <f>IF(D248&lt;3,FALSE,ISERROR(MATCH(J248,'Ontology and concepts per UC'!$A$2:$A$62,0)))</f>
        <v>0</v>
      </c>
      <c r="L248" s="2"/>
      <c r="M248" s="2" t="s">
        <v>728</v>
      </c>
      <c r="N248" s="2"/>
      <c r="O248" s="1" t="b">
        <v>0</v>
      </c>
      <c r="P248" s="1">
        <v>1</v>
      </c>
      <c r="Q248" s="1">
        <v>0</v>
      </c>
      <c r="R248" s="1" t="b">
        <f t="shared" si="5"/>
        <v>1</v>
      </c>
      <c r="S248" s="2" t="s">
        <v>60</v>
      </c>
      <c r="T248" s="1" t="str">
        <f>IF(S248="","",VLOOKUP(S248,'Ontology and concepts per UC'!$F$2:$J$46,5,FALSE))</f>
        <v>Tratamiento/seguimiento</v>
      </c>
      <c r="U248" s="1" t="b">
        <f t="array" ref="U248">(INDEX('Ontology and concepts per UC'!$G$2:$I$46,MATCH($S248,'Ontology and concepts per UC'!$F$2:$F$46,0),MATCH(LEFT($A248,3),'Ontology and concepts per UC'!$G$1:$I$1,0))=0)</f>
        <v>0</v>
      </c>
      <c r="V248" s="1" t="b">
        <f t="shared" si="6"/>
        <v>1</v>
      </c>
      <c r="W248" s="1" t="b">
        <v>1</v>
      </c>
      <c r="X248" s="1" t="b">
        <v>0</v>
      </c>
      <c r="Y248" s="1" t="b">
        <v>0</v>
      </c>
      <c r="Z248" s="1" t="b">
        <v>1</v>
      </c>
      <c r="AA248" s="1" t="s">
        <v>729</v>
      </c>
    </row>
    <row r="249" spans="1:27" x14ac:dyDescent="0.25">
      <c r="A249" s="1" t="s">
        <v>652</v>
      </c>
      <c r="B249" s="2" t="s">
        <v>730</v>
      </c>
      <c r="C249" s="2" t="s">
        <v>727</v>
      </c>
      <c r="D249" s="6">
        <f t="shared" si="0"/>
        <v>1</v>
      </c>
      <c r="E249" s="7" t="str">
        <f t="shared" si="1"/>
        <v>FollowUpParameter</v>
      </c>
      <c r="F249" s="8" t="b">
        <f>IF(D249&lt;1,FALSE,ISERROR(MATCH(E249,'Ontology and concepts per UC'!$A$2:$A$62,0)))</f>
        <v>1</v>
      </c>
      <c r="G249" s="9" t="str">
        <f t="shared" si="2"/>
        <v/>
      </c>
      <c r="H249" s="9" t="str">
        <f t="shared" si="3"/>
        <v/>
      </c>
      <c r="I249" s="8" t="b">
        <f>IF(D249&lt;2,FALSE,ISERROR(MATCH(H249,'Ontology and concepts per UC'!$A$2:$A$62,0)))</f>
        <v>0</v>
      </c>
      <c r="J249" s="9" t="str">
        <f t="shared" si="4"/>
        <v/>
      </c>
      <c r="K249" s="8" t="b">
        <f>IF(D249&lt;3,FALSE,ISERROR(MATCH(J249,'Ontology and concepts per UC'!$A$2:$A$62,0)))</f>
        <v>0</v>
      </c>
      <c r="L249" s="2"/>
      <c r="M249" s="2" t="s">
        <v>731</v>
      </c>
      <c r="N249" s="2"/>
      <c r="O249" s="1" t="b">
        <v>0</v>
      </c>
      <c r="P249" s="1">
        <v>1</v>
      </c>
      <c r="Q249" s="1">
        <v>0</v>
      </c>
      <c r="R249" s="1" t="b">
        <f t="shared" si="5"/>
        <v>1</v>
      </c>
      <c r="S249" s="2" t="s">
        <v>60</v>
      </c>
      <c r="T249" s="1" t="str">
        <f>IF(S249="","",VLOOKUP(S249,'Ontology and concepts per UC'!$F$2:$J$46,5,FALSE))</f>
        <v>Tratamiento/seguimiento</v>
      </c>
      <c r="U249" s="1" t="b">
        <f t="array" ref="U249">(INDEX('Ontology and concepts per UC'!$G$2:$I$46,MATCH($S249,'Ontology and concepts per UC'!$F$2:$F$46,0),MATCH(LEFT($A249,3),'Ontology and concepts per UC'!$G$1:$I$1,0))=0)</f>
        <v>0</v>
      </c>
      <c r="V249" s="1" t="b">
        <f t="shared" si="6"/>
        <v>1</v>
      </c>
      <c r="W249" s="1" t="b">
        <v>1</v>
      </c>
      <c r="X249" s="1" t="b">
        <v>0</v>
      </c>
      <c r="Y249" s="1" t="b">
        <v>0</v>
      </c>
      <c r="Z249" s="1" t="b">
        <v>1</v>
      </c>
      <c r="AA249" s="1" t="s">
        <v>729</v>
      </c>
    </row>
    <row r="250" spans="1:27" x14ac:dyDescent="0.25">
      <c r="A250" s="1" t="s">
        <v>652</v>
      </c>
      <c r="B250" s="2" t="s">
        <v>732</v>
      </c>
      <c r="C250" s="2" t="s">
        <v>727</v>
      </c>
      <c r="D250" s="6">
        <f t="shared" si="0"/>
        <v>1</v>
      </c>
      <c r="E250" s="7" t="str">
        <f t="shared" si="1"/>
        <v>FollowUpParameter</v>
      </c>
      <c r="F250" s="8" t="b">
        <f>IF(D250&lt;1,FALSE,ISERROR(MATCH(E250,'Ontology and concepts per UC'!$A$2:$A$62,0)))</f>
        <v>1</v>
      </c>
      <c r="G250" s="9" t="str">
        <f t="shared" si="2"/>
        <v/>
      </c>
      <c r="H250" s="9" t="str">
        <f t="shared" si="3"/>
        <v/>
      </c>
      <c r="I250" s="8" t="b">
        <f>IF(D250&lt;2,FALSE,ISERROR(MATCH(H250,'Ontology and concepts per UC'!$A$2:$A$62,0)))</f>
        <v>0</v>
      </c>
      <c r="J250" s="9" t="str">
        <f t="shared" si="4"/>
        <v/>
      </c>
      <c r="K250" s="8" t="b">
        <f>IF(D250&lt;3,FALSE,ISERROR(MATCH(J250,'Ontology and concepts per UC'!$A$2:$A$62,0)))</f>
        <v>0</v>
      </c>
      <c r="L250" s="2" t="s">
        <v>733</v>
      </c>
      <c r="M250" s="2" t="s">
        <v>734</v>
      </c>
      <c r="N250" s="2"/>
      <c r="O250" s="1" t="b">
        <v>0</v>
      </c>
      <c r="P250" s="1">
        <v>1</v>
      </c>
      <c r="Q250" s="1">
        <v>1</v>
      </c>
      <c r="R250" s="1" t="b">
        <f t="shared" si="5"/>
        <v>1</v>
      </c>
      <c r="S250" s="2" t="s">
        <v>107</v>
      </c>
      <c r="T250" s="1" t="str">
        <f>IF(S250="","",VLOOKUP(S250,'Ontology and concepts per UC'!$F$2:$J$46,5,FALSE))</f>
        <v>Parcial</v>
      </c>
      <c r="U250" s="1" t="b">
        <f t="array" ref="U250">(INDEX('Ontology and concepts per UC'!$G$2:$I$46,MATCH($S250,'Ontology and concepts per UC'!$F$2:$F$46,0),MATCH(LEFT($A250,3),'Ontology and concepts per UC'!$G$1:$I$1,0))=0)</f>
        <v>0</v>
      </c>
      <c r="V250" s="1" t="b">
        <f t="shared" si="6"/>
        <v>1</v>
      </c>
      <c r="W250" s="1" t="b">
        <v>1</v>
      </c>
      <c r="X250" s="1" t="b">
        <v>0</v>
      </c>
      <c r="Y250" s="1" t="b">
        <v>0</v>
      </c>
      <c r="Z250" s="1" t="b">
        <v>1</v>
      </c>
      <c r="AA250" s="1" t="s">
        <v>735</v>
      </c>
    </row>
    <row r="251" spans="1:27" x14ac:dyDescent="0.25">
      <c r="A251" s="1" t="s">
        <v>652</v>
      </c>
      <c r="B251" s="2" t="s">
        <v>736</v>
      </c>
      <c r="C251" s="2" t="s">
        <v>727</v>
      </c>
      <c r="D251" s="6">
        <f t="shared" si="0"/>
        <v>1</v>
      </c>
      <c r="E251" s="7" t="str">
        <f t="shared" si="1"/>
        <v>FollowUpParameter</v>
      </c>
      <c r="F251" s="8" t="b">
        <f>IF(D251&lt;1,FALSE,ISERROR(MATCH(E251,'Ontology and concepts per UC'!$A$2:$A$62,0)))</f>
        <v>1</v>
      </c>
      <c r="G251" s="9" t="str">
        <f t="shared" si="2"/>
        <v/>
      </c>
      <c r="H251" s="9" t="str">
        <f t="shared" si="3"/>
        <v/>
      </c>
      <c r="I251" s="8" t="b">
        <f>IF(D251&lt;2,FALSE,ISERROR(MATCH(H251,'Ontology and concepts per UC'!$A$2:$A$62,0)))</f>
        <v>0</v>
      </c>
      <c r="J251" s="9" t="str">
        <f t="shared" si="4"/>
        <v/>
      </c>
      <c r="K251" s="8" t="b">
        <f>IF(D251&lt;3,FALSE,ISERROR(MATCH(J251,'Ontology and concepts per UC'!$A$2:$A$62,0)))</f>
        <v>0</v>
      </c>
      <c r="L251" s="2"/>
      <c r="M251" s="2" t="s">
        <v>737</v>
      </c>
      <c r="N251" s="2"/>
      <c r="O251" s="1" t="b">
        <v>0</v>
      </c>
      <c r="P251" s="1">
        <v>1</v>
      </c>
      <c r="Q251" s="1">
        <v>0</v>
      </c>
      <c r="R251" s="1" t="b">
        <f t="shared" si="5"/>
        <v>1</v>
      </c>
      <c r="S251" s="2" t="s">
        <v>60</v>
      </c>
      <c r="T251" s="1" t="str">
        <f>IF(S251="","",VLOOKUP(S251,'Ontology and concepts per UC'!$F$2:$J$46,5,FALSE))</f>
        <v>Tratamiento/seguimiento</v>
      </c>
      <c r="U251" s="1" t="b">
        <f t="array" ref="U251">(INDEX('Ontology and concepts per UC'!$G$2:$I$46,MATCH($S251,'Ontology and concepts per UC'!$F$2:$F$46,0),MATCH(LEFT($A251,3),'Ontology and concepts per UC'!$G$1:$I$1,0))=0)</f>
        <v>0</v>
      </c>
      <c r="V251" s="1" t="b">
        <f t="shared" si="6"/>
        <v>1</v>
      </c>
      <c r="W251" s="1" t="b">
        <v>1</v>
      </c>
      <c r="X251" s="1" t="b">
        <v>0</v>
      </c>
      <c r="Y251" s="1" t="b">
        <v>0</v>
      </c>
      <c r="Z251" s="1" t="b">
        <v>1</v>
      </c>
      <c r="AA251" s="1" t="s">
        <v>729</v>
      </c>
    </row>
    <row r="252" spans="1:27" x14ac:dyDescent="0.25">
      <c r="A252" s="1" t="s">
        <v>652</v>
      </c>
      <c r="B252" s="2" t="s">
        <v>738</v>
      </c>
      <c r="C252" s="2" t="s">
        <v>727</v>
      </c>
      <c r="D252" s="6">
        <f t="shared" si="0"/>
        <v>1</v>
      </c>
      <c r="E252" s="7" t="str">
        <f t="shared" si="1"/>
        <v>FollowUpParameter</v>
      </c>
      <c r="F252" s="8" t="b">
        <f>IF(D252&lt;1,FALSE,ISERROR(MATCH(E252,'Ontology and concepts per UC'!$A$2:$A$62,0)))</f>
        <v>1</v>
      </c>
      <c r="G252" s="9" t="str">
        <f t="shared" si="2"/>
        <v/>
      </c>
      <c r="H252" s="9" t="str">
        <f t="shared" si="3"/>
        <v/>
      </c>
      <c r="I252" s="8" t="b">
        <f>IF(D252&lt;2,FALSE,ISERROR(MATCH(H252,'Ontology and concepts per UC'!$A$2:$A$62,0)))</f>
        <v>0</v>
      </c>
      <c r="J252" s="9" t="str">
        <f t="shared" si="4"/>
        <v/>
      </c>
      <c r="K252" s="8" t="b">
        <f>IF(D252&lt;3,FALSE,ISERROR(MATCH(J252,'Ontology and concepts per UC'!$A$2:$A$62,0)))</f>
        <v>0</v>
      </c>
      <c r="L252" s="2" t="s">
        <v>739</v>
      </c>
      <c r="M252" s="2" t="s">
        <v>740</v>
      </c>
      <c r="N252" s="2"/>
      <c r="O252" s="1" t="b">
        <v>0</v>
      </c>
      <c r="P252" s="1">
        <v>1</v>
      </c>
      <c r="Q252" s="1">
        <v>1</v>
      </c>
      <c r="R252" s="1" t="b">
        <f t="shared" si="5"/>
        <v>1</v>
      </c>
      <c r="S252" s="2" t="s">
        <v>60</v>
      </c>
      <c r="T252" s="1" t="str">
        <f>IF(S252="","",VLOOKUP(S252,'Ontology and concepts per UC'!$F$2:$J$46,5,FALSE))</f>
        <v>Tratamiento/seguimiento</v>
      </c>
      <c r="U252" s="1" t="b">
        <f t="array" ref="U252">(INDEX('Ontology and concepts per UC'!$G$2:$I$46,MATCH($S252,'Ontology and concepts per UC'!$F$2:$F$46,0),MATCH(LEFT($A252,3),'Ontology and concepts per UC'!$G$1:$I$1,0))=0)</f>
        <v>0</v>
      </c>
      <c r="V252" s="1" t="b">
        <f t="shared" si="6"/>
        <v>1</v>
      </c>
      <c r="W252" s="1" t="b">
        <v>1</v>
      </c>
      <c r="X252" s="1" t="b">
        <v>0</v>
      </c>
      <c r="Y252" s="1" t="b">
        <v>0</v>
      </c>
      <c r="Z252" s="1" t="b">
        <v>1</v>
      </c>
      <c r="AA252" s="1" t="s">
        <v>735</v>
      </c>
    </row>
    <row r="253" spans="1:27" x14ac:dyDescent="0.25">
      <c r="A253" s="1" t="s">
        <v>652</v>
      </c>
      <c r="B253" s="2" t="s">
        <v>741</v>
      </c>
      <c r="C253" s="2" t="s">
        <v>742</v>
      </c>
      <c r="D253" s="6">
        <f t="shared" si="0"/>
        <v>1</v>
      </c>
      <c r="E253" s="7" t="str">
        <f t="shared" si="1"/>
        <v>HealthState</v>
      </c>
      <c r="F253" s="8" t="b">
        <f>IF(D253&lt;1,FALSE,ISERROR(MATCH(E253,'Ontology and concepts per UC'!$A$2:$A$62,0)))</f>
        <v>1</v>
      </c>
      <c r="G253" s="9" t="str">
        <f t="shared" si="2"/>
        <v/>
      </c>
      <c r="H253" s="9" t="str">
        <f t="shared" si="3"/>
        <v/>
      </c>
      <c r="I253" s="8" t="b">
        <f>IF(D253&lt;2,FALSE,ISERROR(MATCH(H253,'Ontology and concepts per UC'!$A$2:$A$62,0)))</f>
        <v>0</v>
      </c>
      <c r="J253" s="9" t="str">
        <f t="shared" si="4"/>
        <v/>
      </c>
      <c r="K253" s="8" t="b">
        <f>IF(D253&lt;3,FALSE,ISERROR(MATCH(J253,'Ontology and concepts per UC'!$A$2:$A$62,0)))</f>
        <v>0</v>
      </c>
      <c r="L253" s="2"/>
      <c r="M253" s="2" t="s">
        <v>743</v>
      </c>
      <c r="N253" s="2"/>
      <c r="O253" s="1" t="b">
        <v>0</v>
      </c>
      <c r="P253" s="1">
        <v>1</v>
      </c>
      <c r="Q253" s="1">
        <v>0</v>
      </c>
      <c r="R253" s="1" t="b">
        <f t="shared" si="5"/>
        <v>0</v>
      </c>
      <c r="S253" s="2" t="s">
        <v>187</v>
      </c>
      <c r="T253" s="1" t="str">
        <f>IF(S253="","",VLOOKUP(S253,'Ontology and concepts per UC'!$F$2:$J$46,5,FALSE))</f>
        <v>Otros</v>
      </c>
      <c r="U253" s="1" t="b">
        <f t="array" ref="U253">(INDEX('Ontology and concepts per UC'!$G$2:$I$46,MATCH($S253,'Ontology and concepts per UC'!$F$2:$F$46,0),MATCH(LEFT($A253,3),'Ontology and concepts per UC'!$G$1:$I$1,0))=0)</f>
        <v>1</v>
      </c>
      <c r="V253" s="1" t="b">
        <f t="shared" si="6"/>
        <v>1</v>
      </c>
      <c r="W253" s="1" t="b">
        <v>1</v>
      </c>
      <c r="X253" s="1" t="b">
        <v>0</v>
      </c>
      <c r="Y253" s="1" t="b">
        <v>0</v>
      </c>
      <c r="Z253" s="1" t="b">
        <v>0</v>
      </c>
      <c r="AA253" s="1" t="s">
        <v>744</v>
      </c>
    </row>
    <row r="254" spans="1:27" x14ac:dyDescent="0.25">
      <c r="A254" s="1" t="s">
        <v>652</v>
      </c>
      <c r="B254" s="2" t="s">
        <v>745</v>
      </c>
      <c r="C254" s="2" t="s">
        <v>742</v>
      </c>
      <c r="D254" s="6">
        <f t="shared" si="0"/>
        <v>1</v>
      </c>
      <c r="E254" s="7" t="str">
        <f t="shared" si="1"/>
        <v>HealthState</v>
      </c>
      <c r="F254" s="8" t="b">
        <f>IF(D254&lt;1,FALSE,ISERROR(MATCH(E254,'Ontology and concepts per UC'!$A$2:$A$62,0)))</f>
        <v>1</v>
      </c>
      <c r="G254" s="9" t="str">
        <f t="shared" si="2"/>
        <v/>
      </c>
      <c r="H254" s="9" t="str">
        <f t="shared" si="3"/>
        <v/>
      </c>
      <c r="I254" s="8" t="b">
        <f>IF(D254&lt;2,FALSE,ISERROR(MATCH(H254,'Ontology and concepts per UC'!$A$2:$A$62,0)))</f>
        <v>0</v>
      </c>
      <c r="J254" s="9" t="str">
        <f t="shared" si="4"/>
        <v/>
      </c>
      <c r="K254" s="8" t="b">
        <f>IF(D254&lt;3,FALSE,ISERROR(MATCH(J254,'Ontology and concepts per UC'!$A$2:$A$62,0)))</f>
        <v>0</v>
      </c>
      <c r="L254" s="2"/>
      <c r="M254" s="2" t="s">
        <v>746</v>
      </c>
      <c r="N254" s="2"/>
      <c r="O254" s="1" t="b">
        <v>0</v>
      </c>
      <c r="P254" s="1">
        <v>1</v>
      </c>
      <c r="Q254" s="1">
        <v>0</v>
      </c>
      <c r="R254" s="1" t="b">
        <f t="shared" si="5"/>
        <v>0</v>
      </c>
      <c r="S254" s="2" t="s">
        <v>187</v>
      </c>
      <c r="T254" s="1" t="str">
        <f>IF(S254="","",VLOOKUP(S254,'Ontology and concepts per UC'!$F$2:$J$46,5,FALSE))</f>
        <v>Otros</v>
      </c>
      <c r="U254" s="1" t="b">
        <f t="array" ref="U254">(INDEX('Ontology and concepts per UC'!$G$2:$I$46,MATCH($S254,'Ontology and concepts per UC'!$F$2:$F$46,0),MATCH(LEFT($A254,3),'Ontology and concepts per UC'!$G$1:$I$1,0))=0)</f>
        <v>1</v>
      </c>
      <c r="V254" s="1" t="b">
        <f t="shared" si="6"/>
        <v>1</v>
      </c>
      <c r="W254" s="1" t="b">
        <v>1</v>
      </c>
      <c r="X254" s="1" t="b">
        <v>0</v>
      </c>
      <c r="Y254" s="1" t="b">
        <v>0</v>
      </c>
      <c r="Z254" s="1" t="b">
        <v>0</v>
      </c>
      <c r="AA254" s="1" t="s">
        <v>744</v>
      </c>
    </row>
    <row r="255" spans="1:27" x14ac:dyDescent="0.25">
      <c r="A255" s="1" t="s">
        <v>652</v>
      </c>
      <c r="B255" s="2" t="s">
        <v>747</v>
      </c>
      <c r="C255" s="2" t="s">
        <v>742</v>
      </c>
      <c r="D255" s="6">
        <f t="shared" si="0"/>
        <v>1</v>
      </c>
      <c r="E255" s="7" t="str">
        <f t="shared" si="1"/>
        <v>HealthState</v>
      </c>
      <c r="F255" s="8" t="b">
        <f>IF(D255&lt;1,FALSE,ISERROR(MATCH(E255,'Ontology and concepts per UC'!$A$2:$A$62,0)))</f>
        <v>1</v>
      </c>
      <c r="G255" s="9" t="str">
        <f t="shared" si="2"/>
        <v/>
      </c>
      <c r="H255" s="9" t="str">
        <f t="shared" si="3"/>
        <v/>
      </c>
      <c r="I255" s="8" t="b">
        <f>IF(D255&lt;2,FALSE,ISERROR(MATCH(H255,'Ontology and concepts per UC'!$A$2:$A$62,0)))</f>
        <v>0</v>
      </c>
      <c r="J255" s="9" t="str">
        <f t="shared" si="4"/>
        <v/>
      </c>
      <c r="K255" s="8" t="b">
        <f>IF(D255&lt;3,FALSE,ISERROR(MATCH(J255,'Ontology and concepts per UC'!$A$2:$A$62,0)))</f>
        <v>0</v>
      </c>
      <c r="L255" s="2"/>
      <c r="M255" s="2" t="s">
        <v>748</v>
      </c>
      <c r="N255" s="2"/>
      <c r="O255" s="1" t="b">
        <v>0</v>
      </c>
      <c r="P255" s="1">
        <v>1</v>
      </c>
      <c r="Q255" s="1">
        <v>0</v>
      </c>
      <c r="R255" s="1" t="b">
        <f t="shared" si="5"/>
        <v>0</v>
      </c>
      <c r="S255" s="2" t="s">
        <v>187</v>
      </c>
      <c r="T255" s="1" t="str">
        <f>IF(S255="","",VLOOKUP(S255,'Ontology and concepts per UC'!$F$2:$J$46,5,FALSE))</f>
        <v>Otros</v>
      </c>
      <c r="U255" s="1" t="b">
        <f t="array" ref="U255">(INDEX('Ontology and concepts per UC'!$G$2:$I$46,MATCH($S255,'Ontology and concepts per UC'!$F$2:$F$46,0),MATCH(LEFT($A255,3),'Ontology and concepts per UC'!$G$1:$I$1,0))=0)</f>
        <v>1</v>
      </c>
      <c r="V255" s="1" t="b">
        <f t="shared" si="6"/>
        <v>1</v>
      </c>
      <c r="W255" s="1" t="b">
        <v>1</v>
      </c>
      <c r="X255" s="1" t="b">
        <v>0</v>
      </c>
      <c r="Y255" s="1" t="b">
        <v>0</v>
      </c>
      <c r="Z255" s="1" t="b">
        <v>0</v>
      </c>
      <c r="AA255" s="1" t="s">
        <v>744</v>
      </c>
    </row>
    <row r="256" spans="1:27" x14ac:dyDescent="0.25">
      <c r="A256" s="1" t="s">
        <v>652</v>
      </c>
      <c r="B256" s="2" t="s">
        <v>749</v>
      </c>
      <c r="C256" s="2" t="s">
        <v>742</v>
      </c>
      <c r="D256" s="6">
        <f t="shared" si="0"/>
        <v>1</v>
      </c>
      <c r="E256" s="7" t="str">
        <f t="shared" si="1"/>
        <v>HealthState</v>
      </c>
      <c r="F256" s="8" t="b">
        <f>IF(D256&lt;1,FALSE,ISERROR(MATCH(E256,'Ontology and concepts per UC'!$A$2:$A$62,0)))</f>
        <v>1</v>
      </c>
      <c r="G256" s="9" t="str">
        <f t="shared" si="2"/>
        <v/>
      </c>
      <c r="H256" s="9" t="str">
        <f t="shared" si="3"/>
        <v/>
      </c>
      <c r="I256" s="8" t="b">
        <f>IF(D256&lt;2,FALSE,ISERROR(MATCH(H256,'Ontology and concepts per UC'!$A$2:$A$62,0)))</f>
        <v>0</v>
      </c>
      <c r="J256" s="9" t="str">
        <f t="shared" si="4"/>
        <v/>
      </c>
      <c r="K256" s="8" t="b">
        <f>IF(D256&lt;3,FALSE,ISERROR(MATCH(J256,'Ontology and concepts per UC'!$A$2:$A$62,0)))</f>
        <v>0</v>
      </c>
      <c r="L256" s="2" t="s">
        <v>750</v>
      </c>
      <c r="M256" s="2" t="s">
        <v>751</v>
      </c>
      <c r="N256" s="2"/>
      <c r="O256" s="1" t="b">
        <v>0</v>
      </c>
      <c r="P256" s="1">
        <v>1</v>
      </c>
      <c r="Q256" s="1">
        <v>1</v>
      </c>
      <c r="R256" s="1" t="b">
        <f t="shared" si="5"/>
        <v>0</v>
      </c>
      <c r="S256" s="2" t="s">
        <v>187</v>
      </c>
      <c r="T256" s="1" t="str">
        <f>IF(S256="","",VLOOKUP(S256,'Ontology and concepts per UC'!$F$2:$J$46,5,FALSE))</f>
        <v>Otros</v>
      </c>
      <c r="U256" s="1" t="b">
        <f t="array" ref="U256">(INDEX('Ontology and concepts per UC'!$G$2:$I$46,MATCH($S256,'Ontology and concepts per UC'!$F$2:$F$46,0),MATCH(LEFT($A256,3),'Ontology and concepts per UC'!$G$1:$I$1,0))=0)</f>
        <v>1</v>
      </c>
      <c r="V256" s="1" t="b">
        <f t="shared" si="6"/>
        <v>1</v>
      </c>
      <c r="W256" s="1" t="b">
        <v>1</v>
      </c>
      <c r="X256" s="1" t="b">
        <v>0</v>
      </c>
      <c r="Y256" s="1" t="b">
        <v>0</v>
      </c>
      <c r="Z256" s="1" t="b">
        <v>0</v>
      </c>
      <c r="AA256" s="1" t="s">
        <v>752</v>
      </c>
    </row>
    <row r="257" spans="1:27" x14ac:dyDescent="0.25">
      <c r="A257" s="1" t="s">
        <v>652</v>
      </c>
      <c r="B257" s="2" t="s">
        <v>114</v>
      </c>
      <c r="C257" s="2" t="s">
        <v>115</v>
      </c>
      <c r="D257" s="6">
        <f t="shared" ref="D257:D511" si="7">IF(ISBLANK(C257),0,LEN(C257)-LEN(SUBSTITUTE(C257,";",""))+1)</f>
        <v>1</v>
      </c>
      <c r="E257" s="7" t="str">
        <f t="shared" ref="E257:E511" si="8">IF(D257&lt;2,C257,LEFT(C257,FIND(";",C257)-1))</f>
        <v>Intervention</v>
      </c>
      <c r="F257" s="8" t="b">
        <f>IF(D257&lt;1,FALSE,ISERROR(MATCH(E257,'Ontology and concepts per UC'!$A$2:$A$62,0)))</f>
        <v>0</v>
      </c>
      <c r="G257" s="9" t="str">
        <f t="shared" ref="G257:G511" si="9">IF(D257&lt;2,"",MID(C257,LEN(E257)+3,LEN(C257)-FIND(";",C257)-1))</f>
        <v/>
      </c>
      <c r="H257" s="9" t="str">
        <f t="shared" ref="H257:H511" si="10">IF(D257&lt;3,G257,LEFT(G257,FIND(";",G257)-1))</f>
        <v/>
      </c>
      <c r="I257" s="8" t="b">
        <f>IF(D257&lt;2,FALSE,ISERROR(MATCH(H257,'Ontology and concepts per UC'!$A$2:$A$62,0)))</f>
        <v>0</v>
      </c>
      <c r="J257" s="9" t="str">
        <f t="shared" ref="J257:J511" si="11">IF(D257&lt;3,"",RIGHT(G257,LEN(G257)-FIND(";",G257)-1))</f>
        <v/>
      </c>
      <c r="K257" s="8" t="b">
        <f>IF(D257&lt;3,FALSE,ISERROR(MATCH(J257,'Ontology and concepts per UC'!$A$2:$A$62,0)))</f>
        <v>0</v>
      </c>
      <c r="L257" s="2" t="s">
        <v>753</v>
      </c>
      <c r="M257" s="2" t="s">
        <v>754</v>
      </c>
      <c r="N257" s="2"/>
      <c r="O257" s="1" t="b">
        <v>0</v>
      </c>
      <c r="P257" s="1">
        <v>0</v>
      </c>
      <c r="Q257" s="1">
        <v>2</v>
      </c>
      <c r="R257" s="1" t="b">
        <f t="shared" ref="R257:R511" si="12">NOT(ISERROR(SEARCH("hasSource",M257)))</f>
        <v>1</v>
      </c>
      <c r="S257" s="2" t="s">
        <v>62</v>
      </c>
      <c r="T257" s="1" t="str">
        <f>IF(S257="","",VLOOKUP(S257,'Ontology and concepts per UC'!$F$2:$J$46,5,FALSE))</f>
        <v>Tratamiento/seguimiento</v>
      </c>
      <c r="U257" s="1" t="b">
        <f t="array" ref="U257">(INDEX('Ontology and concepts per UC'!$G$2:$I$46,MATCH($S257,'Ontology and concepts per UC'!$F$2:$F$46,0),MATCH(LEFT($A257,3),'Ontology and concepts per UC'!$G$1:$I$1,0))=0)</f>
        <v>0</v>
      </c>
      <c r="V257" s="1" t="b">
        <f t="shared" ref="V257:V511" si="13">COUNTIF(W257:Z257,TRUE)&gt;0</f>
        <v>1</v>
      </c>
      <c r="W257" s="1" t="b">
        <v>1</v>
      </c>
      <c r="X257" s="1" t="b">
        <v>0</v>
      </c>
      <c r="Y257" s="1" t="b">
        <v>0</v>
      </c>
      <c r="Z257" s="1" t="b">
        <v>1</v>
      </c>
      <c r="AA257" s="1" t="s">
        <v>755</v>
      </c>
    </row>
    <row r="258" spans="1:27" x14ac:dyDescent="0.25">
      <c r="A258" s="1" t="s">
        <v>652</v>
      </c>
      <c r="B258" s="2" t="s">
        <v>756</v>
      </c>
      <c r="C258" s="2" t="s">
        <v>115</v>
      </c>
      <c r="D258" s="6">
        <f t="shared" si="7"/>
        <v>1</v>
      </c>
      <c r="E258" s="7" t="str">
        <f t="shared" si="8"/>
        <v>Intervention</v>
      </c>
      <c r="F258" s="8" t="b">
        <f>IF(D258&lt;1,FALSE,ISERROR(MATCH(E258,'Ontology and concepts per UC'!$A$2:$A$62,0)))</f>
        <v>0</v>
      </c>
      <c r="G258" s="9" t="str">
        <f t="shared" si="9"/>
        <v/>
      </c>
      <c r="H258" s="9" t="str">
        <f t="shared" si="10"/>
        <v/>
      </c>
      <c r="I258" s="8" t="b">
        <f>IF(D258&lt;2,FALSE,ISERROR(MATCH(H258,'Ontology and concepts per UC'!$A$2:$A$62,0)))</f>
        <v>0</v>
      </c>
      <c r="J258" s="9" t="str">
        <f t="shared" si="11"/>
        <v/>
      </c>
      <c r="K258" s="8" t="b">
        <f>IF(D258&lt;3,FALSE,ISERROR(MATCH(J258,'Ontology and concepts per UC'!$A$2:$A$62,0)))</f>
        <v>0</v>
      </c>
      <c r="L258" s="2" t="s">
        <v>757</v>
      </c>
      <c r="M258" s="2" t="s">
        <v>758</v>
      </c>
      <c r="N258" s="2"/>
      <c r="O258" s="1" t="b">
        <v>0</v>
      </c>
      <c r="P258" s="1">
        <v>0</v>
      </c>
      <c r="Q258" s="1">
        <v>2</v>
      </c>
      <c r="R258" s="1" t="b">
        <f t="shared" si="12"/>
        <v>1</v>
      </c>
      <c r="S258" s="2" t="s">
        <v>22</v>
      </c>
      <c r="T258" s="1" t="str">
        <f>IF(S258="","",VLOOKUP(S258,'Ontology and concepts per UC'!$F$2:$J$46,5,FALSE))</f>
        <v>Modelo Conceptual</v>
      </c>
      <c r="U258" s="1" t="b">
        <f t="array" ref="U258">(INDEX('Ontology and concepts per UC'!$G$2:$I$46,MATCH($S258,'Ontology and concepts per UC'!$F$2:$F$46,0),MATCH(LEFT($A258,3),'Ontology and concepts per UC'!$G$1:$I$1,0))=0)</f>
        <v>0</v>
      </c>
      <c r="V258" s="1" t="b">
        <f t="shared" si="13"/>
        <v>1</v>
      </c>
      <c r="W258" s="1" t="b">
        <v>1</v>
      </c>
      <c r="X258" s="1" t="b">
        <v>0</v>
      </c>
      <c r="Y258" s="1" t="b">
        <v>0</v>
      </c>
      <c r="Z258" s="1" t="b">
        <v>1</v>
      </c>
      <c r="AA258" s="1" t="s">
        <v>759</v>
      </c>
    </row>
    <row r="259" spans="1:27" x14ac:dyDescent="0.25">
      <c r="A259" s="1" t="s">
        <v>652</v>
      </c>
      <c r="B259" s="2" t="s">
        <v>121</v>
      </c>
      <c r="C259" s="2" t="s">
        <v>115</v>
      </c>
      <c r="D259" s="6">
        <f t="shared" si="7"/>
        <v>1</v>
      </c>
      <c r="E259" s="7" t="str">
        <f t="shared" si="8"/>
        <v>Intervention</v>
      </c>
      <c r="F259" s="8" t="b">
        <f>IF(D259&lt;1,FALSE,ISERROR(MATCH(E259,'Ontology and concepts per UC'!$A$2:$A$62,0)))</f>
        <v>0</v>
      </c>
      <c r="G259" s="9" t="str">
        <f t="shared" si="9"/>
        <v/>
      </c>
      <c r="H259" s="9" t="str">
        <f t="shared" si="10"/>
        <v/>
      </c>
      <c r="I259" s="8" t="b">
        <f>IF(D259&lt;2,FALSE,ISERROR(MATCH(H259,'Ontology and concepts per UC'!$A$2:$A$62,0)))</f>
        <v>0</v>
      </c>
      <c r="J259" s="9" t="str">
        <f t="shared" si="11"/>
        <v/>
      </c>
      <c r="K259" s="8" t="b">
        <f>IF(D259&lt;3,FALSE,ISERROR(MATCH(J259,'Ontology and concepts per UC'!$A$2:$A$62,0)))</f>
        <v>0</v>
      </c>
      <c r="L259" s="2" t="s">
        <v>760</v>
      </c>
      <c r="M259" s="2" t="s">
        <v>761</v>
      </c>
      <c r="N259" s="2"/>
      <c r="O259" s="1" t="b">
        <v>0</v>
      </c>
      <c r="P259" s="1">
        <v>0</v>
      </c>
      <c r="Q259" s="1">
        <v>1</v>
      </c>
      <c r="R259" s="1" t="b">
        <f t="shared" si="12"/>
        <v>1</v>
      </c>
      <c r="S259" s="2" t="s">
        <v>24</v>
      </c>
      <c r="T259" s="1" t="str">
        <f>IF(S259="","",VLOOKUP(S259,'Ontology and concepts per UC'!$F$2:$J$46,5,FALSE))</f>
        <v>Modelo Conceptual</v>
      </c>
      <c r="U259" s="1" t="b">
        <f t="array" ref="U259">(INDEX('Ontology and concepts per UC'!$G$2:$I$46,MATCH($S259,'Ontology and concepts per UC'!$F$2:$F$46,0),MATCH(LEFT($A259,3),'Ontology and concepts per UC'!$G$1:$I$1,0))=0)</f>
        <v>0</v>
      </c>
      <c r="V259" s="1" t="b">
        <f t="shared" si="13"/>
        <v>1</v>
      </c>
      <c r="W259" s="1" t="b">
        <v>1</v>
      </c>
      <c r="X259" s="1" t="b">
        <v>0</v>
      </c>
      <c r="Y259" s="1" t="b">
        <v>0</v>
      </c>
      <c r="Z259" s="1" t="b">
        <v>1</v>
      </c>
      <c r="AA259" s="1" t="s">
        <v>762</v>
      </c>
    </row>
    <row r="260" spans="1:27" x14ac:dyDescent="0.25">
      <c r="A260" s="1" t="s">
        <v>652</v>
      </c>
      <c r="B260" s="2" t="s">
        <v>763</v>
      </c>
      <c r="C260" s="2" t="s">
        <v>115</v>
      </c>
      <c r="D260" s="6">
        <f t="shared" si="7"/>
        <v>1</v>
      </c>
      <c r="E260" s="7" t="str">
        <f t="shared" si="8"/>
        <v>Intervention</v>
      </c>
      <c r="F260" s="8" t="b">
        <f>IF(D260&lt;1,FALSE,ISERROR(MATCH(E260,'Ontology and concepts per UC'!$A$2:$A$62,0)))</f>
        <v>0</v>
      </c>
      <c r="G260" s="9" t="str">
        <f t="shared" si="9"/>
        <v/>
      </c>
      <c r="H260" s="9" t="str">
        <f t="shared" si="10"/>
        <v/>
      </c>
      <c r="I260" s="8" t="b">
        <f>IF(D260&lt;2,FALSE,ISERROR(MATCH(H260,'Ontology and concepts per UC'!$A$2:$A$62,0)))</f>
        <v>0</v>
      </c>
      <c r="J260" s="9" t="str">
        <f t="shared" si="11"/>
        <v/>
      </c>
      <c r="K260" s="8" t="b">
        <f>IF(D260&lt;3,FALSE,ISERROR(MATCH(J260,'Ontology and concepts per UC'!$A$2:$A$62,0)))</f>
        <v>0</v>
      </c>
      <c r="L260" s="2" t="s">
        <v>764</v>
      </c>
      <c r="M260" s="2" t="s">
        <v>765</v>
      </c>
      <c r="N260" s="2"/>
      <c r="O260" s="1" t="b">
        <v>0</v>
      </c>
      <c r="P260" s="1">
        <v>0</v>
      </c>
      <c r="Q260" s="1">
        <v>2</v>
      </c>
      <c r="R260" s="1" t="b">
        <f t="shared" si="12"/>
        <v>1</v>
      </c>
      <c r="S260" s="2" t="s">
        <v>107</v>
      </c>
      <c r="T260" s="1" t="str">
        <f>IF(S260="","",VLOOKUP(S260,'Ontology and concepts per UC'!$F$2:$J$46,5,FALSE))</f>
        <v>Parcial</v>
      </c>
      <c r="U260" s="1" t="b">
        <f t="array" ref="U260">(INDEX('Ontology and concepts per UC'!$G$2:$I$46,MATCH($S260,'Ontology and concepts per UC'!$F$2:$F$46,0),MATCH(LEFT($A260,3),'Ontology and concepts per UC'!$G$1:$I$1,0))=0)</f>
        <v>0</v>
      </c>
      <c r="V260" s="1" t="b">
        <f t="shared" si="13"/>
        <v>1</v>
      </c>
      <c r="W260" s="1" t="b">
        <v>1</v>
      </c>
      <c r="X260" s="1" t="b">
        <v>0</v>
      </c>
      <c r="Y260" s="1" t="b">
        <v>0</v>
      </c>
      <c r="Z260" s="1" t="b">
        <v>1</v>
      </c>
      <c r="AA260" s="1" t="s">
        <v>766</v>
      </c>
    </row>
    <row r="261" spans="1:27" x14ac:dyDescent="0.25">
      <c r="A261" s="1" t="s">
        <v>652</v>
      </c>
      <c r="B261" s="2" t="s">
        <v>767</v>
      </c>
      <c r="C261" s="2" t="s">
        <v>115</v>
      </c>
      <c r="D261" s="6">
        <f t="shared" si="7"/>
        <v>1</v>
      </c>
      <c r="E261" s="7" t="str">
        <f t="shared" si="8"/>
        <v>Intervention</v>
      </c>
      <c r="F261" s="8" t="b">
        <f>IF(D261&lt;1,FALSE,ISERROR(MATCH(E261,'Ontology and concepts per UC'!$A$2:$A$62,0)))</f>
        <v>0</v>
      </c>
      <c r="G261" s="9" t="str">
        <f t="shared" si="9"/>
        <v/>
      </c>
      <c r="H261" s="9" t="str">
        <f t="shared" si="10"/>
        <v/>
      </c>
      <c r="I261" s="8" t="b">
        <f>IF(D261&lt;2,FALSE,ISERROR(MATCH(H261,'Ontology and concepts per UC'!$A$2:$A$62,0)))</f>
        <v>0</v>
      </c>
      <c r="J261" s="9" t="str">
        <f t="shared" si="11"/>
        <v/>
      </c>
      <c r="K261" s="8" t="b">
        <f>IF(D261&lt;3,FALSE,ISERROR(MATCH(J261,'Ontology and concepts per UC'!$A$2:$A$62,0)))</f>
        <v>0</v>
      </c>
      <c r="L261" s="2" t="s">
        <v>768</v>
      </c>
      <c r="M261" s="2" t="s">
        <v>769</v>
      </c>
      <c r="N261" s="2"/>
      <c r="O261" s="1" t="b">
        <v>0</v>
      </c>
      <c r="P261" s="1">
        <v>0</v>
      </c>
      <c r="Q261" s="1">
        <v>3</v>
      </c>
      <c r="R261" s="1" t="b">
        <f t="shared" si="12"/>
        <v>1</v>
      </c>
      <c r="S261" s="2" t="s">
        <v>62</v>
      </c>
      <c r="T261" s="1" t="str">
        <f>IF(S261="","",VLOOKUP(S261,'Ontology and concepts per UC'!$F$2:$J$46,5,FALSE))</f>
        <v>Tratamiento/seguimiento</v>
      </c>
      <c r="U261" s="1" t="b">
        <f t="array" ref="U261">(INDEX('Ontology and concepts per UC'!$G$2:$I$46,MATCH($S261,'Ontology and concepts per UC'!$F$2:$F$46,0),MATCH(LEFT($A261,3),'Ontology and concepts per UC'!$G$1:$I$1,0))=0)</f>
        <v>0</v>
      </c>
      <c r="V261" s="1" t="b">
        <f t="shared" si="13"/>
        <v>1</v>
      </c>
      <c r="W261" s="1" t="b">
        <v>1</v>
      </c>
      <c r="X261" s="1" t="b">
        <v>0</v>
      </c>
      <c r="Y261" s="1" t="b">
        <v>0</v>
      </c>
      <c r="Z261" s="1" t="b">
        <v>1</v>
      </c>
      <c r="AA261" s="1" t="s">
        <v>770</v>
      </c>
    </row>
    <row r="262" spans="1:27" x14ac:dyDescent="0.25">
      <c r="A262" s="1" t="s">
        <v>652</v>
      </c>
      <c r="B262" s="2" t="s">
        <v>771</v>
      </c>
      <c r="C262" s="2" t="s">
        <v>125</v>
      </c>
      <c r="D262" s="6">
        <f t="shared" si="7"/>
        <v>1</v>
      </c>
      <c r="E262" s="7" t="str">
        <f t="shared" si="8"/>
        <v>Manifestation</v>
      </c>
      <c r="F262" s="8" t="b">
        <f>IF(D262&lt;1,FALSE,ISERROR(MATCH(E262,'Ontology and concepts per UC'!$A$2:$A$62,0)))</f>
        <v>0</v>
      </c>
      <c r="G262" s="9" t="str">
        <f t="shared" si="9"/>
        <v/>
      </c>
      <c r="H262" s="9" t="str">
        <f t="shared" si="10"/>
        <v/>
      </c>
      <c r="I262" s="8" t="b">
        <f>IF(D262&lt;2,FALSE,ISERROR(MATCH(H262,'Ontology and concepts per UC'!$A$2:$A$62,0)))</f>
        <v>0</v>
      </c>
      <c r="J262" s="9" t="str">
        <f t="shared" si="11"/>
        <v/>
      </c>
      <c r="K262" s="8" t="b">
        <f>IF(D262&lt;3,FALSE,ISERROR(MATCH(J262,'Ontology and concepts per UC'!$A$2:$A$62,0)))</f>
        <v>0</v>
      </c>
      <c r="L262" s="2"/>
      <c r="M262" s="2" t="s">
        <v>772</v>
      </c>
      <c r="N262" s="2"/>
      <c r="O262" s="1" t="b">
        <v>0</v>
      </c>
      <c r="P262" s="1">
        <v>0</v>
      </c>
      <c r="Q262" s="1">
        <v>0</v>
      </c>
      <c r="R262" s="1" t="b">
        <f t="shared" si="12"/>
        <v>1</v>
      </c>
      <c r="S262" s="2" t="s">
        <v>32</v>
      </c>
      <c r="T262" s="1" t="str">
        <f>IF(S262="","",VLOOKUP(S262,'Ontology and concepts per UC'!$F$2:$J$46,5,FALSE))</f>
        <v>Modelo Conceptual</v>
      </c>
      <c r="U262" s="1" t="b">
        <f t="array" ref="U262">(INDEX('Ontology and concepts per UC'!$G$2:$I$46,MATCH($S262,'Ontology and concepts per UC'!$F$2:$F$46,0),MATCH(LEFT($A262,3),'Ontology and concepts per UC'!$G$1:$I$1,0))=0)</f>
        <v>0</v>
      </c>
      <c r="V262" s="1" t="b">
        <f t="shared" si="13"/>
        <v>1</v>
      </c>
      <c r="W262" s="1" t="b">
        <v>0</v>
      </c>
      <c r="X262" s="1" t="b">
        <v>0</v>
      </c>
      <c r="Y262" s="1" t="b">
        <v>0</v>
      </c>
      <c r="Z262" s="1" t="b">
        <v>1</v>
      </c>
      <c r="AA262" s="1" t="s">
        <v>675</v>
      </c>
    </row>
    <row r="263" spans="1:27" x14ac:dyDescent="0.25">
      <c r="A263" s="1" t="s">
        <v>652</v>
      </c>
      <c r="B263" s="2" t="s">
        <v>773</v>
      </c>
      <c r="C263" s="2" t="s">
        <v>125</v>
      </c>
      <c r="D263" s="6">
        <f t="shared" si="7"/>
        <v>1</v>
      </c>
      <c r="E263" s="7" t="str">
        <f t="shared" si="8"/>
        <v>Manifestation</v>
      </c>
      <c r="F263" s="8" t="b">
        <f>IF(D263&lt;1,FALSE,ISERROR(MATCH(E263,'Ontology and concepts per UC'!$A$2:$A$62,0)))</f>
        <v>0</v>
      </c>
      <c r="G263" s="9" t="str">
        <f t="shared" si="9"/>
        <v/>
      </c>
      <c r="H263" s="9" t="str">
        <f t="shared" si="10"/>
        <v/>
      </c>
      <c r="I263" s="8" t="b">
        <f>IF(D263&lt;2,FALSE,ISERROR(MATCH(H263,'Ontology and concepts per UC'!$A$2:$A$62,0)))</f>
        <v>0</v>
      </c>
      <c r="J263" s="9" t="str">
        <f t="shared" si="11"/>
        <v/>
      </c>
      <c r="K263" s="8" t="b">
        <f>IF(D263&lt;3,FALSE,ISERROR(MATCH(J263,'Ontology and concepts per UC'!$A$2:$A$62,0)))</f>
        <v>0</v>
      </c>
      <c r="L263" s="2"/>
      <c r="M263" s="2" t="s">
        <v>774</v>
      </c>
      <c r="N263" s="2"/>
      <c r="O263" s="1" t="b">
        <v>0</v>
      </c>
      <c r="P263" s="1">
        <v>0</v>
      </c>
      <c r="Q263" s="1">
        <v>0</v>
      </c>
      <c r="R263" s="1" t="b">
        <f t="shared" si="12"/>
        <v>1</v>
      </c>
      <c r="S263" s="2" t="s">
        <v>31</v>
      </c>
      <c r="T263" s="1" t="str">
        <f>IF(S263="","",VLOOKUP(S263,'Ontology and concepts per UC'!$F$2:$J$46,5,FALSE))</f>
        <v>Modelo Conceptual</v>
      </c>
      <c r="U263" s="1" t="b">
        <f t="array" ref="U263">(INDEX('Ontology and concepts per UC'!$G$2:$I$46,MATCH($S263,'Ontology and concepts per UC'!$F$2:$F$46,0),MATCH(LEFT($A263,3),'Ontology and concepts per UC'!$G$1:$I$1,0))=0)</f>
        <v>0</v>
      </c>
      <c r="V263" s="1" t="b">
        <f t="shared" si="13"/>
        <v>1</v>
      </c>
      <c r="W263" s="1" t="b">
        <v>0</v>
      </c>
      <c r="X263" s="1" t="b">
        <v>0</v>
      </c>
      <c r="Y263" s="1" t="b">
        <v>0</v>
      </c>
      <c r="Z263" s="1" t="b">
        <v>1</v>
      </c>
      <c r="AA263" s="1" t="s">
        <v>675</v>
      </c>
    </row>
    <row r="264" spans="1:27" x14ac:dyDescent="0.25">
      <c r="A264" s="1" t="s">
        <v>652</v>
      </c>
      <c r="B264" s="2" t="s">
        <v>775</v>
      </c>
      <c r="C264" s="2" t="s">
        <v>125</v>
      </c>
      <c r="D264" s="6">
        <f t="shared" si="7"/>
        <v>1</v>
      </c>
      <c r="E264" s="7" t="str">
        <f t="shared" si="8"/>
        <v>Manifestation</v>
      </c>
      <c r="F264" s="8" t="b">
        <f>IF(D264&lt;1,FALSE,ISERROR(MATCH(E264,'Ontology and concepts per UC'!$A$2:$A$62,0)))</f>
        <v>0</v>
      </c>
      <c r="G264" s="9" t="str">
        <f t="shared" si="9"/>
        <v/>
      </c>
      <c r="H264" s="9" t="str">
        <f t="shared" si="10"/>
        <v/>
      </c>
      <c r="I264" s="8" t="b">
        <f>IF(D264&lt;2,FALSE,ISERROR(MATCH(H264,'Ontology and concepts per UC'!$A$2:$A$62,0)))</f>
        <v>0</v>
      </c>
      <c r="J264" s="9" t="str">
        <f t="shared" si="11"/>
        <v/>
      </c>
      <c r="K264" s="8" t="b">
        <f>IF(D264&lt;3,FALSE,ISERROR(MATCH(J264,'Ontology and concepts per UC'!$A$2:$A$62,0)))</f>
        <v>0</v>
      </c>
      <c r="L264" s="2" t="s">
        <v>776</v>
      </c>
      <c r="M264" s="2" t="s">
        <v>777</v>
      </c>
      <c r="N264" s="2"/>
      <c r="O264" s="1" t="b">
        <v>0</v>
      </c>
      <c r="P264" s="1">
        <v>0</v>
      </c>
      <c r="Q264" s="1">
        <v>2</v>
      </c>
      <c r="R264" s="1" t="b">
        <f t="shared" si="12"/>
        <v>1</v>
      </c>
      <c r="S264" s="2" t="s">
        <v>325</v>
      </c>
      <c r="T264" s="1" t="str">
        <f>IF(S264="","",VLOOKUP(S264,'Ontology and concepts per UC'!$F$2:$J$46,5,FALSE))</f>
        <v>Modelo Conceptual</v>
      </c>
      <c r="U264" s="1" t="b">
        <f t="array" ref="U264">(INDEX('Ontology and concepts per UC'!$G$2:$I$46,MATCH($S264,'Ontology and concepts per UC'!$F$2:$F$46,0),MATCH(LEFT($A264,3),'Ontology and concepts per UC'!$G$1:$I$1,0))=0)</f>
        <v>0</v>
      </c>
      <c r="V264" s="1" t="b">
        <f t="shared" si="13"/>
        <v>1</v>
      </c>
      <c r="W264" s="1" t="b">
        <v>1</v>
      </c>
      <c r="X264" s="1" t="b">
        <v>0</v>
      </c>
      <c r="Y264" s="1" t="b">
        <v>0</v>
      </c>
      <c r="Z264" s="1" t="b">
        <v>1</v>
      </c>
      <c r="AA264" s="1" t="s">
        <v>778</v>
      </c>
    </row>
    <row r="265" spans="1:27" x14ac:dyDescent="0.25">
      <c r="A265" s="1" t="s">
        <v>652</v>
      </c>
      <c r="B265" s="2" t="s">
        <v>779</v>
      </c>
      <c r="C265" s="2" t="s">
        <v>125</v>
      </c>
      <c r="D265" s="6">
        <f t="shared" si="7"/>
        <v>1</v>
      </c>
      <c r="E265" s="7" t="str">
        <f t="shared" si="8"/>
        <v>Manifestation</v>
      </c>
      <c r="F265" s="8" t="b">
        <f>IF(D265&lt;1,FALSE,ISERROR(MATCH(E265,'Ontology and concepts per UC'!$A$2:$A$62,0)))</f>
        <v>0</v>
      </c>
      <c r="G265" s="9" t="str">
        <f t="shared" si="9"/>
        <v/>
      </c>
      <c r="H265" s="9" t="str">
        <f t="shared" si="10"/>
        <v/>
      </c>
      <c r="I265" s="8" t="b">
        <f>IF(D265&lt;2,FALSE,ISERROR(MATCH(H265,'Ontology and concepts per UC'!$A$2:$A$62,0)))</f>
        <v>0</v>
      </c>
      <c r="J265" s="9" t="str">
        <f t="shared" si="11"/>
        <v/>
      </c>
      <c r="K265" s="8" t="b">
        <f>IF(D265&lt;3,FALSE,ISERROR(MATCH(J265,'Ontology and concepts per UC'!$A$2:$A$62,0)))</f>
        <v>0</v>
      </c>
      <c r="L265" s="2"/>
      <c r="M265" s="2" t="s">
        <v>780</v>
      </c>
      <c r="N265" s="2"/>
      <c r="O265" s="1" t="b">
        <v>0</v>
      </c>
      <c r="P265" s="1">
        <v>0</v>
      </c>
      <c r="Q265" s="1">
        <v>0</v>
      </c>
      <c r="R265" s="1" t="b">
        <f t="shared" si="12"/>
        <v>1</v>
      </c>
      <c r="S265" s="2" t="s">
        <v>325</v>
      </c>
      <c r="T265" s="1" t="str">
        <f>IF(S265="","",VLOOKUP(S265,'Ontology and concepts per UC'!$F$2:$J$46,5,FALSE))</f>
        <v>Modelo Conceptual</v>
      </c>
      <c r="U265" s="1" t="b">
        <f t="array" ref="U265">(INDEX('Ontology and concepts per UC'!$G$2:$I$46,MATCH($S265,'Ontology and concepts per UC'!$F$2:$F$46,0),MATCH(LEFT($A265,3),'Ontology and concepts per UC'!$G$1:$I$1,0))=0)</f>
        <v>0</v>
      </c>
      <c r="V265" s="1" t="b">
        <f t="shared" si="13"/>
        <v>1</v>
      </c>
      <c r="W265" s="1" t="b">
        <v>0</v>
      </c>
      <c r="X265" s="1" t="b">
        <v>0</v>
      </c>
      <c r="Y265" s="1" t="b">
        <v>0</v>
      </c>
      <c r="Z265" s="1" t="b">
        <v>1</v>
      </c>
      <c r="AA265" s="1" t="s">
        <v>675</v>
      </c>
    </row>
    <row r="266" spans="1:27" x14ac:dyDescent="0.25">
      <c r="A266" s="1" t="s">
        <v>652</v>
      </c>
      <c r="B266" s="2" t="s">
        <v>781</v>
      </c>
      <c r="C266" s="2" t="s">
        <v>125</v>
      </c>
      <c r="D266" s="6">
        <f t="shared" si="7"/>
        <v>1</v>
      </c>
      <c r="E266" s="7" t="str">
        <f t="shared" si="8"/>
        <v>Manifestation</v>
      </c>
      <c r="F266" s="8" t="b">
        <f>IF(D266&lt;1,FALSE,ISERROR(MATCH(E266,'Ontology and concepts per UC'!$A$2:$A$62,0)))</f>
        <v>0</v>
      </c>
      <c r="G266" s="9" t="str">
        <f t="shared" si="9"/>
        <v/>
      </c>
      <c r="H266" s="9" t="str">
        <f t="shared" si="10"/>
        <v/>
      </c>
      <c r="I266" s="8" t="b">
        <f>IF(D266&lt;2,FALSE,ISERROR(MATCH(H266,'Ontology and concepts per UC'!$A$2:$A$62,0)))</f>
        <v>0</v>
      </c>
      <c r="J266" s="9" t="str">
        <f t="shared" si="11"/>
        <v/>
      </c>
      <c r="K266" s="8" t="b">
        <f>IF(D266&lt;3,FALSE,ISERROR(MATCH(J266,'Ontology and concepts per UC'!$A$2:$A$62,0)))</f>
        <v>0</v>
      </c>
      <c r="L266" s="2" t="s">
        <v>782</v>
      </c>
      <c r="M266" s="2" t="s">
        <v>783</v>
      </c>
      <c r="N266" s="2"/>
      <c r="O266" s="1" t="b">
        <v>0</v>
      </c>
      <c r="P266" s="1">
        <v>0</v>
      </c>
      <c r="Q266" s="1">
        <v>1</v>
      </c>
      <c r="R266" s="1" t="b">
        <f t="shared" si="12"/>
        <v>1</v>
      </c>
      <c r="S266" s="2" t="s">
        <v>325</v>
      </c>
      <c r="T266" s="1" t="str">
        <f>IF(S266="","",VLOOKUP(S266,'Ontology and concepts per UC'!$F$2:$J$46,5,FALSE))</f>
        <v>Modelo Conceptual</v>
      </c>
      <c r="U266" s="1" t="b">
        <f t="array" ref="U266">(INDEX('Ontology and concepts per UC'!$G$2:$I$46,MATCH($S266,'Ontology and concepts per UC'!$F$2:$F$46,0),MATCH(LEFT($A266,3),'Ontology and concepts per UC'!$G$1:$I$1,0))=0)</f>
        <v>0</v>
      </c>
      <c r="V266" s="1" t="b">
        <f t="shared" si="13"/>
        <v>1</v>
      </c>
      <c r="W266" s="1" t="b">
        <v>1</v>
      </c>
      <c r="X266" s="1" t="b">
        <v>0</v>
      </c>
      <c r="Y266" s="1" t="b">
        <v>0</v>
      </c>
      <c r="Z266" s="1" t="b">
        <v>1</v>
      </c>
      <c r="AA266" s="1" t="s">
        <v>784</v>
      </c>
    </row>
    <row r="267" spans="1:27" x14ac:dyDescent="0.25">
      <c r="A267" s="1" t="s">
        <v>652</v>
      </c>
      <c r="B267" s="2" t="s">
        <v>785</v>
      </c>
      <c r="C267" s="2" t="s">
        <v>125</v>
      </c>
      <c r="D267" s="6">
        <f t="shared" si="7"/>
        <v>1</v>
      </c>
      <c r="E267" s="7" t="str">
        <f t="shared" si="8"/>
        <v>Manifestation</v>
      </c>
      <c r="F267" s="8" t="b">
        <f>IF(D267&lt;1,FALSE,ISERROR(MATCH(E267,'Ontology and concepts per UC'!$A$2:$A$62,0)))</f>
        <v>0</v>
      </c>
      <c r="G267" s="9" t="str">
        <f t="shared" si="9"/>
        <v/>
      </c>
      <c r="H267" s="9" t="str">
        <f t="shared" si="10"/>
        <v/>
      </c>
      <c r="I267" s="8" t="b">
        <f>IF(D267&lt;2,FALSE,ISERROR(MATCH(H267,'Ontology and concepts per UC'!$A$2:$A$62,0)))</f>
        <v>0</v>
      </c>
      <c r="J267" s="9" t="str">
        <f t="shared" si="11"/>
        <v/>
      </c>
      <c r="K267" s="8" t="b">
        <f>IF(D267&lt;3,FALSE,ISERROR(MATCH(J267,'Ontology and concepts per UC'!$A$2:$A$62,0)))</f>
        <v>0</v>
      </c>
      <c r="L267" s="2"/>
      <c r="M267" s="2" t="s">
        <v>786</v>
      </c>
      <c r="N267" s="2"/>
      <c r="O267" s="1" t="b">
        <v>0</v>
      </c>
      <c r="P267" s="1">
        <v>0</v>
      </c>
      <c r="Q267" s="1">
        <v>0</v>
      </c>
      <c r="R267" s="1" t="b">
        <f t="shared" si="12"/>
        <v>1</v>
      </c>
      <c r="S267" s="2" t="s">
        <v>325</v>
      </c>
      <c r="T267" s="1" t="str">
        <f>IF(S267="","",VLOOKUP(S267,'Ontology and concepts per UC'!$F$2:$J$46,5,FALSE))</f>
        <v>Modelo Conceptual</v>
      </c>
      <c r="U267" s="1" t="b">
        <f t="array" ref="U267">(INDEX('Ontology and concepts per UC'!$G$2:$I$46,MATCH($S267,'Ontology and concepts per UC'!$F$2:$F$46,0),MATCH(LEFT($A267,3),'Ontology and concepts per UC'!$G$1:$I$1,0))=0)</f>
        <v>0</v>
      </c>
      <c r="V267" s="1" t="b">
        <f t="shared" si="13"/>
        <v>1</v>
      </c>
      <c r="W267" s="1" t="b">
        <v>0</v>
      </c>
      <c r="X267" s="1" t="b">
        <v>0</v>
      </c>
      <c r="Y267" s="1" t="b">
        <v>0</v>
      </c>
      <c r="Z267" s="1" t="b">
        <v>1</v>
      </c>
      <c r="AA267" s="1" t="s">
        <v>675</v>
      </c>
    </row>
    <row r="268" spans="1:27" x14ac:dyDescent="0.25">
      <c r="A268" s="1" t="s">
        <v>652</v>
      </c>
      <c r="B268" s="2" t="s">
        <v>787</v>
      </c>
      <c r="C268" s="2" t="s">
        <v>125</v>
      </c>
      <c r="D268" s="6">
        <f t="shared" si="7"/>
        <v>1</v>
      </c>
      <c r="E268" s="7" t="str">
        <f t="shared" si="8"/>
        <v>Manifestation</v>
      </c>
      <c r="F268" s="8" t="b">
        <f>IF(D268&lt;1,FALSE,ISERROR(MATCH(E268,'Ontology and concepts per UC'!$A$2:$A$62,0)))</f>
        <v>0</v>
      </c>
      <c r="G268" s="9" t="str">
        <f t="shared" si="9"/>
        <v/>
      </c>
      <c r="H268" s="9" t="str">
        <f t="shared" si="10"/>
        <v/>
      </c>
      <c r="I268" s="8" t="b">
        <f>IF(D268&lt;2,FALSE,ISERROR(MATCH(H268,'Ontology and concepts per UC'!$A$2:$A$62,0)))</f>
        <v>0</v>
      </c>
      <c r="J268" s="9" t="str">
        <f t="shared" si="11"/>
        <v/>
      </c>
      <c r="K268" s="8" t="b">
        <f>IF(D268&lt;3,FALSE,ISERROR(MATCH(J268,'Ontology and concepts per UC'!$A$2:$A$62,0)))</f>
        <v>0</v>
      </c>
      <c r="L268" s="2"/>
      <c r="M268" s="2" t="s">
        <v>788</v>
      </c>
      <c r="N268" s="2"/>
      <c r="O268" s="1" t="b">
        <v>0</v>
      </c>
      <c r="P268" s="1">
        <v>0</v>
      </c>
      <c r="Q268" s="1">
        <v>0</v>
      </c>
      <c r="R268" s="1" t="b">
        <f t="shared" si="12"/>
        <v>1</v>
      </c>
      <c r="S268" s="2" t="s">
        <v>29</v>
      </c>
      <c r="T268" s="1" t="str">
        <f>IF(S268="","",VLOOKUP(S268,'Ontology and concepts per UC'!$F$2:$J$46,5,FALSE))</f>
        <v>Modelo Conceptual</v>
      </c>
      <c r="U268" s="1" t="b">
        <f t="array" ref="U268">(INDEX('Ontology and concepts per UC'!$G$2:$I$46,MATCH($S268,'Ontology and concepts per UC'!$F$2:$F$46,0),MATCH(LEFT($A268,3),'Ontology and concepts per UC'!$G$1:$I$1,0))=0)</f>
        <v>0</v>
      </c>
      <c r="V268" s="1" t="b">
        <f t="shared" si="13"/>
        <v>1</v>
      </c>
      <c r="W268" s="1" t="b">
        <v>0</v>
      </c>
      <c r="X268" s="1" t="b">
        <v>0</v>
      </c>
      <c r="Y268" s="1" t="b">
        <v>0</v>
      </c>
      <c r="Z268" s="1" t="b">
        <v>1</v>
      </c>
      <c r="AA268" s="1" t="s">
        <v>675</v>
      </c>
    </row>
    <row r="269" spans="1:27" x14ac:dyDescent="0.25">
      <c r="A269" s="1" t="s">
        <v>652</v>
      </c>
      <c r="B269" s="2" t="s">
        <v>789</v>
      </c>
      <c r="C269" s="2" t="s">
        <v>125</v>
      </c>
      <c r="D269" s="6">
        <f t="shared" si="7"/>
        <v>1</v>
      </c>
      <c r="E269" s="7" t="str">
        <f t="shared" si="8"/>
        <v>Manifestation</v>
      </c>
      <c r="F269" s="8" t="b">
        <f>IF(D269&lt;1,FALSE,ISERROR(MATCH(E269,'Ontology and concepts per UC'!$A$2:$A$62,0)))</f>
        <v>0</v>
      </c>
      <c r="G269" s="9" t="str">
        <f t="shared" si="9"/>
        <v/>
      </c>
      <c r="H269" s="9" t="str">
        <f t="shared" si="10"/>
        <v/>
      </c>
      <c r="I269" s="8" t="b">
        <f>IF(D269&lt;2,FALSE,ISERROR(MATCH(H269,'Ontology and concepts per UC'!$A$2:$A$62,0)))</f>
        <v>0</v>
      </c>
      <c r="J269" s="9" t="str">
        <f t="shared" si="11"/>
        <v/>
      </c>
      <c r="K269" s="8" t="b">
        <f>IF(D269&lt;3,FALSE,ISERROR(MATCH(J269,'Ontology and concepts per UC'!$A$2:$A$62,0)))</f>
        <v>0</v>
      </c>
      <c r="L269" s="2"/>
      <c r="M269" s="2" t="s">
        <v>790</v>
      </c>
      <c r="N269" s="2"/>
      <c r="O269" s="1" t="b">
        <v>0</v>
      </c>
      <c r="P269" s="1">
        <v>0</v>
      </c>
      <c r="Q269" s="1">
        <v>0</v>
      </c>
      <c r="R269" s="1" t="b">
        <f t="shared" si="12"/>
        <v>1</v>
      </c>
      <c r="S269" s="2" t="s">
        <v>325</v>
      </c>
      <c r="T269" s="1" t="str">
        <f>IF(S269="","",VLOOKUP(S269,'Ontology and concepts per UC'!$F$2:$J$46,5,FALSE))</f>
        <v>Modelo Conceptual</v>
      </c>
      <c r="U269" s="1" t="b">
        <f t="array" ref="U269">(INDEX('Ontology and concepts per UC'!$G$2:$I$46,MATCH($S269,'Ontology and concepts per UC'!$F$2:$F$46,0),MATCH(LEFT($A269,3),'Ontology and concepts per UC'!$G$1:$I$1,0))=0)</f>
        <v>0</v>
      </c>
      <c r="V269" s="1" t="b">
        <f t="shared" si="13"/>
        <v>1</v>
      </c>
      <c r="W269" s="1" t="b">
        <v>0</v>
      </c>
      <c r="X269" s="1" t="b">
        <v>0</v>
      </c>
      <c r="Y269" s="1" t="b">
        <v>0</v>
      </c>
      <c r="Z269" s="1" t="b">
        <v>1</v>
      </c>
      <c r="AA269" s="1" t="s">
        <v>675</v>
      </c>
    </row>
    <row r="270" spans="1:27" x14ac:dyDescent="0.25">
      <c r="A270" s="1" t="s">
        <v>652</v>
      </c>
      <c r="B270" s="2" t="s">
        <v>791</v>
      </c>
      <c r="C270" s="2" t="s">
        <v>125</v>
      </c>
      <c r="D270" s="6">
        <f t="shared" si="7"/>
        <v>1</v>
      </c>
      <c r="E270" s="7" t="str">
        <f t="shared" si="8"/>
        <v>Manifestation</v>
      </c>
      <c r="F270" s="8" t="b">
        <f>IF(D270&lt;1,FALSE,ISERROR(MATCH(E270,'Ontology and concepts per UC'!$A$2:$A$62,0)))</f>
        <v>0</v>
      </c>
      <c r="G270" s="9" t="str">
        <f t="shared" si="9"/>
        <v/>
      </c>
      <c r="H270" s="9" t="str">
        <f t="shared" si="10"/>
        <v/>
      </c>
      <c r="I270" s="8" t="b">
        <f>IF(D270&lt;2,FALSE,ISERROR(MATCH(H270,'Ontology and concepts per UC'!$A$2:$A$62,0)))</f>
        <v>0</v>
      </c>
      <c r="J270" s="9" t="str">
        <f t="shared" si="11"/>
        <v/>
      </c>
      <c r="K270" s="8" t="b">
        <f>IF(D270&lt;3,FALSE,ISERROR(MATCH(J270,'Ontology and concepts per UC'!$A$2:$A$62,0)))</f>
        <v>0</v>
      </c>
      <c r="L270" s="2" t="s">
        <v>792</v>
      </c>
      <c r="M270" s="2" t="s">
        <v>793</v>
      </c>
      <c r="N270" s="2"/>
      <c r="O270" s="1" t="b">
        <v>0</v>
      </c>
      <c r="P270" s="1">
        <v>0</v>
      </c>
      <c r="Q270" s="1">
        <v>3</v>
      </c>
      <c r="R270" s="1" t="b">
        <f t="shared" si="12"/>
        <v>1</v>
      </c>
      <c r="S270" s="2" t="s">
        <v>32</v>
      </c>
      <c r="T270" s="1" t="str">
        <f>IF(S270="","",VLOOKUP(S270,'Ontology and concepts per UC'!$F$2:$J$46,5,FALSE))</f>
        <v>Modelo Conceptual</v>
      </c>
      <c r="U270" s="1" t="b">
        <f t="array" ref="U270">(INDEX('Ontology and concepts per UC'!$G$2:$I$46,MATCH($S270,'Ontology and concepts per UC'!$F$2:$F$46,0),MATCH(LEFT($A270,3),'Ontology and concepts per UC'!$G$1:$I$1,0))=0)</f>
        <v>0</v>
      </c>
      <c r="V270" s="1" t="b">
        <f t="shared" si="13"/>
        <v>1</v>
      </c>
      <c r="W270" s="1" t="b">
        <v>1</v>
      </c>
      <c r="X270" s="1" t="b">
        <v>0</v>
      </c>
      <c r="Y270" s="1" t="b">
        <v>0</v>
      </c>
      <c r="Z270" s="1" t="b">
        <v>1</v>
      </c>
      <c r="AA270" s="1" t="s">
        <v>794</v>
      </c>
    </row>
    <row r="271" spans="1:27" x14ac:dyDescent="0.25">
      <c r="A271" s="1" t="s">
        <v>652</v>
      </c>
      <c r="B271" s="2" t="s">
        <v>795</v>
      </c>
      <c r="C271" s="2" t="s">
        <v>125</v>
      </c>
      <c r="D271" s="6">
        <f t="shared" si="7"/>
        <v>1</v>
      </c>
      <c r="E271" s="7" t="str">
        <f t="shared" si="8"/>
        <v>Manifestation</v>
      </c>
      <c r="F271" s="8" t="b">
        <f>IF(D271&lt;1,FALSE,ISERROR(MATCH(E271,'Ontology and concepts per UC'!$A$2:$A$62,0)))</f>
        <v>0</v>
      </c>
      <c r="G271" s="9" t="str">
        <f t="shared" si="9"/>
        <v/>
      </c>
      <c r="H271" s="9" t="str">
        <f t="shared" si="10"/>
        <v/>
      </c>
      <c r="I271" s="8" t="b">
        <f>IF(D271&lt;2,FALSE,ISERROR(MATCH(H271,'Ontology and concepts per UC'!$A$2:$A$62,0)))</f>
        <v>0</v>
      </c>
      <c r="J271" s="9" t="str">
        <f t="shared" si="11"/>
        <v/>
      </c>
      <c r="K271" s="8" t="b">
        <f>IF(D271&lt;3,FALSE,ISERROR(MATCH(J271,'Ontology and concepts per UC'!$A$2:$A$62,0)))</f>
        <v>0</v>
      </c>
      <c r="L271" s="2"/>
      <c r="M271" s="2" t="s">
        <v>796</v>
      </c>
      <c r="N271" s="2"/>
      <c r="O271" s="1" t="b">
        <v>0</v>
      </c>
      <c r="P271" s="1">
        <v>0</v>
      </c>
      <c r="Q271" s="1">
        <v>0</v>
      </c>
      <c r="R271" s="1" t="b">
        <f t="shared" si="12"/>
        <v>1</v>
      </c>
      <c r="S271" s="2" t="s">
        <v>325</v>
      </c>
      <c r="T271" s="1" t="str">
        <f>IF(S271="","",VLOOKUP(S271,'Ontology and concepts per UC'!$F$2:$J$46,5,FALSE))</f>
        <v>Modelo Conceptual</v>
      </c>
      <c r="U271" s="1" t="b">
        <f t="array" ref="U271">(INDEX('Ontology and concepts per UC'!$G$2:$I$46,MATCH($S271,'Ontology and concepts per UC'!$F$2:$F$46,0),MATCH(LEFT($A271,3),'Ontology and concepts per UC'!$G$1:$I$1,0))=0)</f>
        <v>0</v>
      </c>
      <c r="V271" s="1" t="b">
        <f t="shared" si="13"/>
        <v>1</v>
      </c>
      <c r="W271" s="1" t="b">
        <v>0</v>
      </c>
      <c r="X271" s="1" t="b">
        <v>0</v>
      </c>
      <c r="Y271" s="1" t="b">
        <v>0</v>
      </c>
      <c r="Z271" s="1" t="b">
        <v>1</v>
      </c>
      <c r="AA271" s="1" t="s">
        <v>675</v>
      </c>
    </row>
    <row r="272" spans="1:27" x14ac:dyDescent="0.25">
      <c r="A272" s="1" t="s">
        <v>652</v>
      </c>
      <c r="B272" s="2" t="s">
        <v>797</v>
      </c>
      <c r="C272" s="2" t="s">
        <v>125</v>
      </c>
      <c r="D272" s="6">
        <f t="shared" si="7"/>
        <v>1</v>
      </c>
      <c r="E272" s="7" t="str">
        <f t="shared" si="8"/>
        <v>Manifestation</v>
      </c>
      <c r="F272" s="8" t="b">
        <f>IF(D272&lt;1,FALSE,ISERROR(MATCH(E272,'Ontology and concepts per UC'!$A$2:$A$62,0)))</f>
        <v>0</v>
      </c>
      <c r="G272" s="9" t="str">
        <f t="shared" si="9"/>
        <v/>
      </c>
      <c r="H272" s="9" t="str">
        <f t="shared" si="10"/>
        <v/>
      </c>
      <c r="I272" s="8" t="b">
        <f>IF(D272&lt;2,FALSE,ISERROR(MATCH(H272,'Ontology and concepts per UC'!$A$2:$A$62,0)))</f>
        <v>0</v>
      </c>
      <c r="J272" s="9" t="str">
        <f t="shared" si="11"/>
        <v/>
      </c>
      <c r="K272" s="8" t="b">
        <f>IF(D272&lt;3,FALSE,ISERROR(MATCH(J272,'Ontology and concepts per UC'!$A$2:$A$62,0)))</f>
        <v>0</v>
      </c>
      <c r="L272" s="2" t="s">
        <v>798</v>
      </c>
      <c r="M272" s="2" t="s">
        <v>799</v>
      </c>
      <c r="N272" s="2"/>
      <c r="O272" s="1" t="b">
        <v>0</v>
      </c>
      <c r="P272" s="1">
        <v>0</v>
      </c>
      <c r="Q272" s="1">
        <v>3</v>
      </c>
      <c r="R272" s="1" t="b">
        <f t="shared" si="12"/>
        <v>0</v>
      </c>
      <c r="S272" s="2" t="s">
        <v>325</v>
      </c>
      <c r="T272" s="1" t="str">
        <f>IF(S272="","",VLOOKUP(S272,'Ontology and concepts per UC'!$F$2:$J$46,5,FALSE))</f>
        <v>Modelo Conceptual</v>
      </c>
      <c r="U272" s="1" t="b">
        <f t="array" ref="U272">(INDEX('Ontology and concepts per UC'!$G$2:$I$46,MATCH($S272,'Ontology and concepts per UC'!$F$2:$F$46,0),MATCH(LEFT($A272,3),'Ontology and concepts per UC'!$G$1:$I$1,0))=0)</f>
        <v>0</v>
      </c>
      <c r="V272" s="1" t="b">
        <f t="shared" si="13"/>
        <v>1</v>
      </c>
      <c r="W272" s="1" t="b">
        <v>1</v>
      </c>
      <c r="X272" s="1" t="b">
        <v>0</v>
      </c>
      <c r="Y272" s="1" t="b">
        <v>0</v>
      </c>
      <c r="Z272" s="1" t="b">
        <v>0</v>
      </c>
      <c r="AA272" s="1" t="s">
        <v>800</v>
      </c>
    </row>
    <row r="273" spans="1:27" x14ac:dyDescent="0.25">
      <c r="A273" s="1" t="s">
        <v>652</v>
      </c>
      <c r="B273" s="2" t="s">
        <v>801</v>
      </c>
      <c r="C273" s="2" t="s">
        <v>125</v>
      </c>
      <c r="D273" s="6">
        <f t="shared" si="7"/>
        <v>1</v>
      </c>
      <c r="E273" s="7" t="str">
        <f t="shared" si="8"/>
        <v>Manifestation</v>
      </c>
      <c r="F273" s="8" t="b">
        <f>IF(D273&lt;1,FALSE,ISERROR(MATCH(E273,'Ontology and concepts per UC'!$A$2:$A$62,0)))</f>
        <v>0</v>
      </c>
      <c r="G273" s="9" t="str">
        <f t="shared" si="9"/>
        <v/>
      </c>
      <c r="H273" s="9" t="str">
        <f t="shared" si="10"/>
        <v/>
      </c>
      <c r="I273" s="8" t="b">
        <f>IF(D273&lt;2,FALSE,ISERROR(MATCH(H273,'Ontology and concepts per UC'!$A$2:$A$62,0)))</f>
        <v>0</v>
      </c>
      <c r="J273" s="9" t="str">
        <f t="shared" si="11"/>
        <v/>
      </c>
      <c r="K273" s="8" t="b">
        <f>IF(D273&lt;3,FALSE,ISERROR(MATCH(J273,'Ontology and concepts per UC'!$A$2:$A$62,0)))</f>
        <v>0</v>
      </c>
      <c r="L273" s="2" t="s">
        <v>802</v>
      </c>
      <c r="M273" s="2" t="s">
        <v>803</v>
      </c>
      <c r="N273" s="2"/>
      <c r="O273" s="1" t="b">
        <v>0</v>
      </c>
      <c r="P273" s="1">
        <v>0</v>
      </c>
      <c r="Q273" s="1">
        <v>1</v>
      </c>
      <c r="R273" s="1" t="b">
        <f t="shared" si="12"/>
        <v>0</v>
      </c>
      <c r="S273" s="2" t="s">
        <v>31</v>
      </c>
      <c r="T273" s="1" t="str">
        <f>IF(S273="","",VLOOKUP(S273,'Ontology and concepts per UC'!$F$2:$J$46,5,FALSE))</f>
        <v>Modelo Conceptual</v>
      </c>
      <c r="U273" s="1" t="b">
        <f t="array" ref="U273">(INDEX('Ontology and concepts per UC'!$G$2:$I$46,MATCH($S273,'Ontology and concepts per UC'!$F$2:$F$46,0),MATCH(LEFT($A273,3),'Ontology and concepts per UC'!$G$1:$I$1,0))=0)</f>
        <v>0</v>
      </c>
      <c r="V273" s="1" t="b">
        <f t="shared" si="13"/>
        <v>1</v>
      </c>
      <c r="W273" s="1" t="b">
        <v>1</v>
      </c>
      <c r="X273" s="1" t="b">
        <v>0</v>
      </c>
      <c r="Y273" s="1" t="b">
        <v>0</v>
      </c>
      <c r="Z273" s="1" t="b">
        <v>0</v>
      </c>
      <c r="AA273" s="1" t="s">
        <v>804</v>
      </c>
    </row>
    <row r="274" spans="1:27" x14ac:dyDescent="0.25">
      <c r="A274" s="1" t="s">
        <v>652</v>
      </c>
      <c r="B274" s="2" t="s">
        <v>805</v>
      </c>
      <c r="C274" s="2" t="s">
        <v>125</v>
      </c>
      <c r="D274" s="6">
        <f t="shared" si="7"/>
        <v>1</v>
      </c>
      <c r="E274" s="7" t="str">
        <f t="shared" si="8"/>
        <v>Manifestation</v>
      </c>
      <c r="F274" s="8" t="b">
        <f>IF(D274&lt;1,FALSE,ISERROR(MATCH(E274,'Ontology and concepts per UC'!$A$2:$A$62,0)))</f>
        <v>0</v>
      </c>
      <c r="G274" s="9" t="str">
        <f t="shared" si="9"/>
        <v/>
      </c>
      <c r="H274" s="9" t="str">
        <f t="shared" si="10"/>
        <v/>
      </c>
      <c r="I274" s="8" t="b">
        <f>IF(D274&lt;2,FALSE,ISERROR(MATCH(H274,'Ontology and concepts per UC'!$A$2:$A$62,0)))</f>
        <v>0</v>
      </c>
      <c r="J274" s="9" t="str">
        <f t="shared" si="11"/>
        <v/>
      </c>
      <c r="K274" s="8" t="b">
        <f>IF(D274&lt;3,FALSE,ISERROR(MATCH(J274,'Ontology and concepts per UC'!$A$2:$A$62,0)))</f>
        <v>0</v>
      </c>
      <c r="L274" s="2" t="s">
        <v>806</v>
      </c>
      <c r="M274" s="2" t="s">
        <v>807</v>
      </c>
      <c r="N274" s="2"/>
      <c r="O274" s="1" t="b">
        <v>0</v>
      </c>
      <c r="P274" s="1">
        <v>0</v>
      </c>
      <c r="Q274" s="1">
        <v>2</v>
      </c>
      <c r="R274" s="1" t="b">
        <f t="shared" si="12"/>
        <v>0</v>
      </c>
      <c r="S274" s="2" t="s">
        <v>325</v>
      </c>
      <c r="T274" s="1" t="str">
        <f>IF(S274="","",VLOOKUP(S274,'Ontology and concepts per UC'!$F$2:$J$46,5,FALSE))</f>
        <v>Modelo Conceptual</v>
      </c>
      <c r="U274" s="1" t="b">
        <f t="array" ref="U274">(INDEX('Ontology and concepts per UC'!$G$2:$I$46,MATCH($S274,'Ontology and concepts per UC'!$F$2:$F$46,0),MATCH(LEFT($A274,3),'Ontology and concepts per UC'!$G$1:$I$1,0))=0)</f>
        <v>0</v>
      </c>
      <c r="V274" s="1" t="b">
        <f t="shared" si="13"/>
        <v>1</v>
      </c>
      <c r="W274" s="1" t="b">
        <v>1</v>
      </c>
      <c r="X274" s="1" t="b">
        <v>0</v>
      </c>
      <c r="Y274" s="1" t="b">
        <v>0</v>
      </c>
      <c r="Z274" s="1" t="b">
        <v>0</v>
      </c>
      <c r="AA274" s="1" t="s">
        <v>804</v>
      </c>
    </row>
    <row r="275" spans="1:27" x14ac:dyDescent="0.25">
      <c r="A275" s="1" t="s">
        <v>652</v>
      </c>
      <c r="B275" s="2" t="s">
        <v>808</v>
      </c>
      <c r="C275" s="2" t="s">
        <v>125</v>
      </c>
      <c r="D275" s="6">
        <f t="shared" si="7"/>
        <v>1</v>
      </c>
      <c r="E275" s="7" t="str">
        <f t="shared" si="8"/>
        <v>Manifestation</v>
      </c>
      <c r="F275" s="8" t="b">
        <f>IF(D275&lt;1,FALSE,ISERROR(MATCH(E275,'Ontology and concepts per UC'!$A$2:$A$62,0)))</f>
        <v>0</v>
      </c>
      <c r="G275" s="9" t="str">
        <f t="shared" si="9"/>
        <v/>
      </c>
      <c r="H275" s="9" t="str">
        <f t="shared" si="10"/>
        <v/>
      </c>
      <c r="I275" s="8" t="b">
        <f>IF(D275&lt;2,FALSE,ISERROR(MATCH(H275,'Ontology and concepts per UC'!$A$2:$A$62,0)))</f>
        <v>0</v>
      </c>
      <c r="J275" s="9" t="str">
        <f t="shared" si="11"/>
        <v/>
      </c>
      <c r="K275" s="8" t="b">
        <f>IF(D275&lt;3,FALSE,ISERROR(MATCH(J275,'Ontology and concepts per UC'!$A$2:$A$62,0)))</f>
        <v>0</v>
      </c>
      <c r="L275" s="2"/>
      <c r="M275" s="2" t="s">
        <v>809</v>
      </c>
      <c r="N275" s="2"/>
      <c r="O275" s="1" t="b">
        <v>0</v>
      </c>
      <c r="P275" s="1">
        <v>0</v>
      </c>
      <c r="Q275" s="1">
        <v>0</v>
      </c>
      <c r="R275" s="1" t="b">
        <f t="shared" si="12"/>
        <v>0</v>
      </c>
      <c r="S275" s="2" t="s">
        <v>325</v>
      </c>
      <c r="T275" s="1" t="str">
        <f>IF(S275="","",VLOOKUP(S275,'Ontology and concepts per UC'!$F$2:$J$46,5,FALSE))</f>
        <v>Modelo Conceptual</v>
      </c>
      <c r="U275" s="1" t="b">
        <f t="array" ref="U275">(INDEX('Ontology and concepts per UC'!$G$2:$I$46,MATCH($S275,'Ontology and concepts per UC'!$F$2:$F$46,0),MATCH(LEFT($A275,3),'Ontology and concepts per UC'!$G$1:$I$1,0))=0)</f>
        <v>0</v>
      </c>
      <c r="V275" s="1" t="b">
        <f t="shared" si="13"/>
        <v>0</v>
      </c>
      <c r="W275" s="1" t="b">
        <v>0</v>
      </c>
      <c r="X275" s="1" t="b">
        <v>0</v>
      </c>
      <c r="Y275" s="1" t="b">
        <v>0</v>
      </c>
      <c r="Z275" s="1" t="b">
        <v>0</v>
      </c>
      <c r="AA275" s="1"/>
    </row>
    <row r="276" spans="1:27" x14ac:dyDescent="0.25">
      <c r="A276" s="1" t="s">
        <v>652</v>
      </c>
      <c r="B276" s="2" t="s">
        <v>810</v>
      </c>
      <c r="C276" s="2" t="s">
        <v>125</v>
      </c>
      <c r="D276" s="6">
        <f t="shared" si="7"/>
        <v>1</v>
      </c>
      <c r="E276" s="7" t="str">
        <f t="shared" si="8"/>
        <v>Manifestation</v>
      </c>
      <c r="F276" s="8" t="b">
        <f>IF(D276&lt;1,FALSE,ISERROR(MATCH(E276,'Ontology and concepts per UC'!$A$2:$A$62,0)))</f>
        <v>0</v>
      </c>
      <c r="G276" s="9" t="str">
        <f t="shared" si="9"/>
        <v/>
      </c>
      <c r="H276" s="9" t="str">
        <f t="shared" si="10"/>
        <v/>
      </c>
      <c r="I276" s="8" t="b">
        <f>IF(D276&lt;2,FALSE,ISERROR(MATCH(H276,'Ontology and concepts per UC'!$A$2:$A$62,0)))</f>
        <v>0</v>
      </c>
      <c r="J276" s="9" t="str">
        <f t="shared" si="11"/>
        <v/>
      </c>
      <c r="K276" s="8" t="b">
        <f>IF(D276&lt;3,FALSE,ISERROR(MATCH(J276,'Ontology and concepts per UC'!$A$2:$A$62,0)))</f>
        <v>0</v>
      </c>
      <c r="L276" s="2" t="s">
        <v>811</v>
      </c>
      <c r="M276" s="2" t="s">
        <v>812</v>
      </c>
      <c r="N276" s="2"/>
      <c r="O276" s="1" t="b">
        <v>0</v>
      </c>
      <c r="P276" s="1">
        <v>0</v>
      </c>
      <c r="Q276" s="1">
        <v>1</v>
      </c>
      <c r="R276" s="1" t="b">
        <f t="shared" si="12"/>
        <v>0</v>
      </c>
      <c r="S276" s="2" t="s">
        <v>29</v>
      </c>
      <c r="T276" s="1" t="str">
        <f>IF(S276="","",VLOOKUP(S276,'Ontology and concepts per UC'!$F$2:$J$46,5,FALSE))</f>
        <v>Modelo Conceptual</v>
      </c>
      <c r="U276" s="1" t="b">
        <f t="array" ref="U276">(INDEX('Ontology and concepts per UC'!$G$2:$I$46,MATCH($S276,'Ontology and concepts per UC'!$F$2:$F$46,0),MATCH(LEFT($A276,3),'Ontology and concepts per UC'!$G$1:$I$1,0))=0)</f>
        <v>0</v>
      </c>
      <c r="V276" s="1" t="b">
        <f t="shared" si="13"/>
        <v>1</v>
      </c>
      <c r="W276" s="1" t="b">
        <v>1</v>
      </c>
      <c r="X276" s="1" t="b">
        <v>0</v>
      </c>
      <c r="Y276" s="1" t="b">
        <v>0</v>
      </c>
      <c r="Z276" s="1" t="b">
        <v>0</v>
      </c>
      <c r="AA276" s="1" t="s">
        <v>804</v>
      </c>
    </row>
    <row r="277" spans="1:27" x14ac:dyDescent="0.25">
      <c r="A277" s="1" t="s">
        <v>652</v>
      </c>
      <c r="B277" s="2" t="s">
        <v>813</v>
      </c>
      <c r="C277" s="2" t="s">
        <v>125</v>
      </c>
      <c r="D277" s="6">
        <f t="shared" si="7"/>
        <v>1</v>
      </c>
      <c r="E277" s="7" t="str">
        <f t="shared" si="8"/>
        <v>Manifestation</v>
      </c>
      <c r="F277" s="8" t="b">
        <f>IF(D277&lt;1,FALSE,ISERROR(MATCH(E277,'Ontology and concepts per UC'!$A$2:$A$62,0)))</f>
        <v>0</v>
      </c>
      <c r="G277" s="9" t="str">
        <f t="shared" si="9"/>
        <v/>
      </c>
      <c r="H277" s="9" t="str">
        <f t="shared" si="10"/>
        <v/>
      </c>
      <c r="I277" s="8" t="b">
        <f>IF(D277&lt;2,FALSE,ISERROR(MATCH(H277,'Ontology and concepts per UC'!$A$2:$A$62,0)))</f>
        <v>0</v>
      </c>
      <c r="J277" s="9" t="str">
        <f t="shared" si="11"/>
        <v/>
      </c>
      <c r="K277" s="8" t="b">
        <f>IF(D277&lt;3,FALSE,ISERROR(MATCH(J277,'Ontology and concepts per UC'!$A$2:$A$62,0)))</f>
        <v>0</v>
      </c>
      <c r="L277" s="2" t="s">
        <v>814</v>
      </c>
      <c r="M277" s="2" t="s">
        <v>815</v>
      </c>
      <c r="N277" s="2"/>
      <c r="O277" s="1" t="b">
        <v>0</v>
      </c>
      <c r="P277" s="1">
        <v>0</v>
      </c>
      <c r="Q277" s="1">
        <v>1</v>
      </c>
      <c r="R277" s="1" t="b">
        <f t="shared" si="12"/>
        <v>0</v>
      </c>
      <c r="S277" s="2" t="s">
        <v>26</v>
      </c>
      <c r="T277" s="1" t="str">
        <f>IF(S277="","",VLOOKUP(S277,'Ontology and concepts per UC'!$F$2:$J$46,5,FALSE))</f>
        <v>Modelo Conceptual</v>
      </c>
      <c r="U277" s="1" t="b">
        <f t="array" ref="U277">(INDEX('Ontology and concepts per UC'!$G$2:$I$46,MATCH($S277,'Ontology and concepts per UC'!$F$2:$F$46,0),MATCH(LEFT($A277,3),'Ontology and concepts per UC'!$G$1:$I$1,0))=0)</f>
        <v>0</v>
      </c>
      <c r="V277" s="1" t="b">
        <f t="shared" si="13"/>
        <v>1</v>
      </c>
      <c r="W277" s="1" t="b">
        <v>1</v>
      </c>
      <c r="X277" s="1" t="b">
        <v>0</v>
      </c>
      <c r="Y277" s="1" t="b">
        <v>0</v>
      </c>
      <c r="Z277" s="1" t="b">
        <v>0</v>
      </c>
      <c r="AA277" s="1" t="s">
        <v>816</v>
      </c>
    </row>
    <row r="278" spans="1:27" x14ac:dyDescent="0.25">
      <c r="A278" s="1" t="s">
        <v>652</v>
      </c>
      <c r="B278" s="2" t="s">
        <v>817</v>
      </c>
      <c r="C278" s="2" t="s">
        <v>125</v>
      </c>
      <c r="D278" s="6">
        <f t="shared" si="7"/>
        <v>1</v>
      </c>
      <c r="E278" s="7" t="str">
        <f t="shared" si="8"/>
        <v>Manifestation</v>
      </c>
      <c r="F278" s="8" t="b">
        <f>IF(D278&lt;1,FALSE,ISERROR(MATCH(E278,'Ontology and concepts per UC'!$A$2:$A$62,0)))</f>
        <v>0</v>
      </c>
      <c r="G278" s="9" t="str">
        <f t="shared" si="9"/>
        <v/>
      </c>
      <c r="H278" s="9" t="str">
        <f t="shared" si="10"/>
        <v/>
      </c>
      <c r="I278" s="8" t="b">
        <f>IF(D278&lt;2,FALSE,ISERROR(MATCH(H278,'Ontology and concepts per UC'!$A$2:$A$62,0)))</f>
        <v>0</v>
      </c>
      <c r="J278" s="9" t="str">
        <f t="shared" si="11"/>
        <v/>
      </c>
      <c r="K278" s="8" t="b">
        <f>IF(D278&lt;3,FALSE,ISERROR(MATCH(J278,'Ontology and concepts per UC'!$A$2:$A$62,0)))</f>
        <v>0</v>
      </c>
      <c r="L278" s="2"/>
      <c r="M278" s="2" t="s">
        <v>818</v>
      </c>
      <c r="N278" s="2"/>
      <c r="O278" s="1" t="b">
        <v>0</v>
      </c>
      <c r="P278" s="1">
        <v>0</v>
      </c>
      <c r="Q278" s="1">
        <v>0</v>
      </c>
      <c r="R278" s="1" t="b">
        <f t="shared" si="12"/>
        <v>0</v>
      </c>
      <c r="S278" s="2" t="s">
        <v>28</v>
      </c>
      <c r="T278" s="1" t="str">
        <f>IF(S278="","",VLOOKUP(S278,'Ontology and concepts per UC'!$F$2:$J$46,5,FALSE))</f>
        <v>Modelo Conceptual</v>
      </c>
      <c r="U278" s="1" t="b">
        <f t="array" ref="U278">(INDEX('Ontology and concepts per UC'!$G$2:$I$46,MATCH($S278,'Ontology and concepts per UC'!$F$2:$F$46,0),MATCH(LEFT($A278,3),'Ontology and concepts per UC'!$G$1:$I$1,0))=0)</f>
        <v>0</v>
      </c>
      <c r="V278" s="1" t="b">
        <f t="shared" si="13"/>
        <v>0</v>
      </c>
      <c r="W278" s="1" t="b">
        <v>0</v>
      </c>
      <c r="X278" s="1" t="b">
        <v>0</v>
      </c>
      <c r="Y278" s="1" t="b">
        <v>0</v>
      </c>
      <c r="Z278" s="1" t="b">
        <v>0</v>
      </c>
      <c r="AA278" s="1"/>
    </row>
    <row r="279" spans="1:27" x14ac:dyDescent="0.25">
      <c r="A279" s="1" t="s">
        <v>652</v>
      </c>
      <c r="B279" s="2" t="s">
        <v>819</v>
      </c>
      <c r="C279" s="2" t="s">
        <v>125</v>
      </c>
      <c r="D279" s="6">
        <f t="shared" si="7"/>
        <v>1</v>
      </c>
      <c r="E279" s="7" t="str">
        <f t="shared" si="8"/>
        <v>Manifestation</v>
      </c>
      <c r="F279" s="8" t="b">
        <f>IF(D279&lt;1,FALSE,ISERROR(MATCH(E279,'Ontology and concepts per UC'!$A$2:$A$62,0)))</f>
        <v>0</v>
      </c>
      <c r="G279" s="9" t="str">
        <f t="shared" si="9"/>
        <v/>
      </c>
      <c r="H279" s="9" t="str">
        <f t="shared" si="10"/>
        <v/>
      </c>
      <c r="I279" s="8" t="b">
        <f>IF(D279&lt;2,FALSE,ISERROR(MATCH(H279,'Ontology and concepts per UC'!$A$2:$A$62,0)))</f>
        <v>0</v>
      </c>
      <c r="J279" s="9" t="str">
        <f t="shared" si="11"/>
        <v/>
      </c>
      <c r="K279" s="8" t="b">
        <f>IF(D279&lt;3,FALSE,ISERROR(MATCH(J279,'Ontology and concepts per UC'!$A$2:$A$62,0)))</f>
        <v>0</v>
      </c>
      <c r="L279" s="2" t="s">
        <v>820</v>
      </c>
      <c r="M279" s="2" t="s">
        <v>821</v>
      </c>
      <c r="N279" s="2"/>
      <c r="O279" s="1" t="b">
        <v>0</v>
      </c>
      <c r="P279" s="1">
        <v>0</v>
      </c>
      <c r="Q279" s="1">
        <v>3</v>
      </c>
      <c r="R279" s="1" t="b">
        <f t="shared" si="12"/>
        <v>1</v>
      </c>
      <c r="S279" s="2" t="s">
        <v>30</v>
      </c>
      <c r="T279" s="1" t="str">
        <f>IF(S279="","",VLOOKUP(S279,'Ontology and concepts per UC'!$F$2:$J$46,5,FALSE))</f>
        <v>Modelo Conceptual</v>
      </c>
      <c r="U279" s="1" t="b">
        <f t="array" ref="U279">(INDEX('Ontology and concepts per UC'!$G$2:$I$46,MATCH($S279,'Ontology and concepts per UC'!$F$2:$F$46,0),MATCH(LEFT($A279,3),'Ontology and concepts per UC'!$G$1:$I$1,0))=0)</f>
        <v>0</v>
      </c>
      <c r="V279" s="1" t="b">
        <f t="shared" si="13"/>
        <v>1</v>
      </c>
      <c r="W279" s="1" t="b">
        <v>1</v>
      </c>
      <c r="X279" s="1" t="b">
        <v>0</v>
      </c>
      <c r="Y279" s="1" t="b">
        <v>0</v>
      </c>
      <c r="Z279" s="1" t="b">
        <v>0</v>
      </c>
      <c r="AA279" s="1" t="s">
        <v>822</v>
      </c>
    </row>
    <row r="280" spans="1:27" x14ac:dyDescent="0.25">
      <c r="A280" s="1" t="s">
        <v>652</v>
      </c>
      <c r="B280" s="2" t="s">
        <v>823</v>
      </c>
      <c r="C280" s="2" t="s">
        <v>125</v>
      </c>
      <c r="D280" s="6">
        <f t="shared" si="7"/>
        <v>1</v>
      </c>
      <c r="E280" s="7" t="str">
        <f t="shared" si="8"/>
        <v>Manifestation</v>
      </c>
      <c r="F280" s="8" t="b">
        <f>IF(D280&lt;1,FALSE,ISERROR(MATCH(E280,'Ontology and concepts per UC'!$A$2:$A$62,0)))</f>
        <v>0</v>
      </c>
      <c r="G280" s="9" t="str">
        <f t="shared" si="9"/>
        <v/>
      </c>
      <c r="H280" s="9" t="str">
        <f t="shared" si="10"/>
        <v/>
      </c>
      <c r="I280" s="8" t="b">
        <f>IF(D280&lt;2,FALSE,ISERROR(MATCH(H280,'Ontology and concepts per UC'!$A$2:$A$62,0)))</f>
        <v>0</v>
      </c>
      <c r="J280" s="9" t="str">
        <f t="shared" si="11"/>
        <v/>
      </c>
      <c r="K280" s="8" t="b">
        <f>IF(D280&lt;3,FALSE,ISERROR(MATCH(J280,'Ontology and concepts per UC'!$A$2:$A$62,0)))</f>
        <v>0</v>
      </c>
      <c r="L280" s="2" t="s">
        <v>824</v>
      </c>
      <c r="M280" s="2" t="s">
        <v>825</v>
      </c>
      <c r="N280" s="2"/>
      <c r="O280" s="1" t="b">
        <v>0</v>
      </c>
      <c r="P280" s="1">
        <v>0</v>
      </c>
      <c r="Q280" s="1">
        <v>1</v>
      </c>
      <c r="R280" s="1" t="b">
        <f t="shared" si="12"/>
        <v>0</v>
      </c>
      <c r="S280" s="2" t="s">
        <v>32</v>
      </c>
      <c r="T280" s="1" t="str">
        <f>IF(S280="","",VLOOKUP(S280,'Ontology and concepts per UC'!$F$2:$J$46,5,FALSE))</f>
        <v>Modelo Conceptual</v>
      </c>
      <c r="U280" s="1" t="b">
        <f t="array" ref="U280">(INDEX('Ontology and concepts per UC'!$G$2:$I$46,MATCH($S280,'Ontology and concepts per UC'!$F$2:$F$46,0),MATCH(LEFT($A280,3),'Ontology and concepts per UC'!$G$1:$I$1,0))=0)</f>
        <v>0</v>
      </c>
      <c r="V280" s="1" t="b">
        <f t="shared" si="13"/>
        <v>1</v>
      </c>
      <c r="W280" s="1" t="b">
        <v>1</v>
      </c>
      <c r="X280" s="1" t="b">
        <v>0</v>
      </c>
      <c r="Y280" s="1" t="b">
        <v>0</v>
      </c>
      <c r="Z280" s="1" t="b">
        <v>0</v>
      </c>
      <c r="AA280" s="1" t="s">
        <v>816</v>
      </c>
    </row>
    <row r="281" spans="1:27" x14ac:dyDescent="0.25">
      <c r="A281" s="1" t="s">
        <v>652</v>
      </c>
      <c r="B281" s="2" t="s">
        <v>826</v>
      </c>
      <c r="C281" s="2" t="s">
        <v>827</v>
      </c>
      <c r="D281" s="6">
        <f t="shared" si="7"/>
        <v>1</v>
      </c>
      <c r="E281" s="7" t="str">
        <f t="shared" si="8"/>
        <v>TransitionParameter</v>
      </c>
      <c r="F281" s="8" t="b">
        <f>IF(D281&lt;1,FALSE,ISERROR(MATCH(E281,'Ontology and concepts per UC'!$A$2:$A$62,0)))</f>
        <v>1</v>
      </c>
      <c r="G281" s="9" t="str">
        <f t="shared" si="9"/>
        <v/>
      </c>
      <c r="H281" s="9" t="str">
        <f t="shared" si="10"/>
        <v/>
      </c>
      <c r="I281" s="8" t="b">
        <f>IF(D281&lt;2,FALSE,ISERROR(MATCH(H281,'Ontology and concepts per UC'!$A$2:$A$62,0)))</f>
        <v>0</v>
      </c>
      <c r="J281" s="9" t="str">
        <f t="shared" si="11"/>
        <v/>
      </c>
      <c r="K281" s="8" t="b">
        <f>IF(D281&lt;3,FALSE,ISERROR(MATCH(J281,'Ontology and concepts per UC'!$A$2:$A$62,0)))</f>
        <v>0</v>
      </c>
      <c r="L281" s="2"/>
      <c r="M281" s="2" t="s">
        <v>828</v>
      </c>
      <c r="N281" s="2"/>
      <c r="O281" s="1" t="b">
        <v>0</v>
      </c>
      <c r="P281" s="1">
        <v>1</v>
      </c>
      <c r="Q281" s="1">
        <v>0</v>
      </c>
      <c r="R281" s="1" t="b">
        <f t="shared" si="12"/>
        <v>1</v>
      </c>
      <c r="S281" s="2" t="s">
        <v>42</v>
      </c>
      <c r="T281" s="1" t="str">
        <f>IF(S281="","",VLOOKUP(S281,'Ontology and concepts per UC'!$F$2:$J$46,5,FALSE))</f>
        <v>Parámetros de intervención</v>
      </c>
      <c r="U281" s="1" t="b">
        <f t="array" ref="U281">(INDEX('Ontology and concepts per UC'!$G$2:$I$46,MATCH($S281,'Ontology and concepts per UC'!$F$2:$F$46,0),MATCH(LEFT($A281,3),'Ontology and concepts per UC'!$G$1:$I$1,0))=0)</f>
        <v>0</v>
      </c>
      <c r="V281" s="1" t="b">
        <f t="shared" si="13"/>
        <v>1</v>
      </c>
      <c r="W281" s="1" t="b">
        <v>1</v>
      </c>
      <c r="X281" s="1" t="b">
        <v>0</v>
      </c>
      <c r="Y281" s="1" t="b">
        <v>0</v>
      </c>
      <c r="Z281" s="1" t="b">
        <v>1</v>
      </c>
      <c r="AA281" s="1" t="s">
        <v>829</v>
      </c>
    </row>
    <row r="282" spans="1:27" x14ac:dyDescent="0.25">
      <c r="A282" s="1" t="s">
        <v>652</v>
      </c>
      <c r="B282" s="2" t="s">
        <v>830</v>
      </c>
      <c r="C282" s="2" t="s">
        <v>827</v>
      </c>
      <c r="D282" s="6">
        <f t="shared" si="7"/>
        <v>1</v>
      </c>
      <c r="E282" s="7" t="str">
        <f t="shared" si="8"/>
        <v>TransitionParameter</v>
      </c>
      <c r="F282" s="8" t="b">
        <f>IF(D282&lt;1,FALSE,ISERROR(MATCH(E282,'Ontology and concepts per UC'!$A$2:$A$62,0)))</f>
        <v>1</v>
      </c>
      <c r="G282" s="9" t="str">
        <f t="shared" si="9"/>
        <v/>
      </c>
      <c r="H282" s="9" t="str">
        <f t="shared" si="10"/>
        <v/>
      </c>
      <c r="I282" s="8" t="b">
        <f>IF(D282&lt;2,FALSE,ISERROR(MATCH(H282,'Ontology and concepts per UC'!$A$2:$A$62,0)))</f>
        <v>0</v>
      </c>
      <c r="J282" s="9" t="str">
        <f t="shared" si="11"/>
        <v/>
      </c>
      <c r="K282" s="8" t="b">
        <f>IF(D282&lt;3,FALSE,ISERROR(MATCH(J282,'Ontology and concepts per UC'!$A$2:$A$62,0)))</f>
        <v>0</v>
      </c>
      <c r="L282" s="2"/>
      <c r="M282" s="2" t="s">
        <v>831</v>
      </c>
      <c r="N282" s="2"/>
      <c r="O282" s="1" t="b">
        <v>0</v>
      </c>
      <c r="P282" s="1">
        <v>1</v>
      </c>
      <c r="Q282" s="1">
        <v>0</v>
      </c>
      <c r="R282" s="1" t="b">
        <f t="shared" si="12"/>
        <v>0</v>
      </c>
      <c r="S282" s="2" t="s">
        <v>187</v>
      </c>
      <c r="T282" s="1" t="str">
        <f>IF(S282="","",VLOOKUP(S282,'Ontology and concepts per UC'!$F$2:$J$46,5,FALSE))</f>
        <v>Otros</v>
      </c>
      <c r="U282" s="1" t="b">
        <f t="array" ref="U282">(INDEX('Ontology and concepts per UC'!$G$2:$I$46,MATCH($S282,'Ontology and concepts per UC'!$F$2:$F$46,0),MATCH(LEFT($A282,3),'Ontology and concepts per UC'!$G$1:$I$1,0))=0)</f>
        <v>1</v>
      </c>
      <c r="V282" s="1" t="b">
        <f t="shared" si="13"/>
        <v>1</v>
      </c>
      <c r="W282" s="1" t="b">
        <v>1</v>
      </c>
      <c r="X282" s="1" t="b">
        <v>0</v>
      </c>
      <c r="Y282" s="1" t="b">
        <v>0</v>
      </c>
      <c r="Z282" s="1" t="b">
        <v>0</v>
      </c>
      <c r="AA282" s="1" t="s">
        <v>832</v>
      </c>
    </row>
    <row r="283" spans="1:27" x14ac:dyDescent="0.25">
      <c r="A283" s="1" t="s">
        <v>652</v>
      </c>
      <c r="B283" s="2" t="s">
        <v>833</v>
      </c>
      <c r="C283" s="2" t="s">
        <v>827</v>
      </c>
      <c r="D283" s="6">
        <f t="shared" si="7"/>
        <v>1</v>
      </c>
      <c r="E283" s="7" t="str">
        <f t="shared" si="8"/>
        <v>TransitionParameter</v>
      </c>
      <c r="F283" s="8" t="b">
        <f>IF(D283&lt;1,FALSE,ISERROR(MATCH(E283,'Ontology and concepts per UC'!$A$2:$A$62,0)))</f>
        <v>1</v>
      </c>
      <c r="G283" s="9" t="str">
        <f t="shared" si="9"/>
        <v/>
      </c>
      <c r="H283" s="9" t="str">
        <f t="shared" si="10"/>
        <v/>
      </c>
      <c r="I283" s="8" t="b">
        <f>IF(D283&lt;2,FALSE,ISERROR(MATCH(H283,'Ontology and concepts per UC'!$A$2:$A$62,0)))</f>
        <v>0</v>
      </c>
      <c r="J283" s="9" t="str">
        <f t="shared" si="11"/>
        <v/>
      </c>
      <c r="K283" s="8" t="b">
        <f>IF(D283&lt;3,FALSE,ISERROR(MATCH(J283,'Ontology and concepts per UC'!$A$2:$A$62,0)))</f>
        <v>0</v>
      </c>
      <c r="L283" s="2"/>
      <c r="M283" s="2" t="s">
        <v>834</v>
      </c>
      <c r="N283" s="2"/>
      <c r="O283" s="1" t="b">
        <v>0</v>
      </c>
      <c r="P283" s="1">
        <v>1</v>
      </c>
      <c r="Q283" s="1">
        <v>0</v>
      </c>
      <c r="R283" s="1" t="b">
        <f t="shared" si="12"/>
        <v>0</v>
      </c>
      <c r="S283" s="2" t="s">
        <v>187</v>
      </c>
      <c r="T283" s="1" t="str">
        <f>IF(S283="","",VLOOKUP(S283,'Ontology and concepts per UC'!$F$2:$J$46,5,FALSE))</f>
        <v>Otros</v>
      </c>
      <c r="U283" s="1" t="b">
        <f t="array" ref="U283">(INDEX('Ontology and concepts per UC'!$G$2:$I$46,MATCH($S283,'Ontology and concepts per UC'!$F$2:$F$46,0),MATCH(LEFT($A283,3),'Ontology and concepts per UC'!$G$1:$I$1,0))=0)</f>
        <v>1</v>
      </c>
      <c r="V283" s="1" t="b">
        <f t="shared" si="13"/>
        <v>1</v>
      </c>
      <c r="W283" s="1" t="b">
        <v>1</v>
      </c>
      <c r="X283" s="1" t="b">
        <v>0</v>
      </c>
      <c r="Y283" s="1" t="b">
        <v>0</v>
      </c>
      <c r="Z283" s="1" t="b">
        <v>0</v>
      </c>
      <c r="AA283" s="1" t="s">
        <v>832</v>
      </c>
    </row>
    <row r="284" spans="1:27" x14ac:dyDescent="0.25">
      <c r="A284" s="1" t="s">
        <v>652</v>
      </c>
      <c r="B284" s="2" t="s">
        <v>835</v>
      </c>
      <c r="C284" s="2" t="s">
        <v>827</v>
      </c>
      <c r="D284" s="6">
        <f t="shared" si="7"/>
        <v>1</v>
      </c>
      <c r="E284" s="7" t="str">
        <f t="shared" si="8"/>
        <v>TransitionParameter</v>
      </c>
      <c r="F284" s="8" t="b">
        <f>IF(D284&lt;1,FALSE,ISERROR(MATCH(E284,'Ontology and concepts per UC'!$A$2:$A$62,0)))</f>
        <v>1</v>
      </c>
      <c r="G284" s="9" t="str">
        <f t="shared" si="9"/>
        <v/>
      </c>
      <c r="H284" s="9" t="str">
        <f t="shared" si="10"/>
        <v/>
      </c>
      <c r="I284" s="8" t="b">
        <f>IF(D284&lt;2,FALSE,ISERROR(MATCH(H284,'Ontology and concepts per UC'!$A$2:$A$62,0)))</f>
        <v>0</v>
      </c>
      <c r="J284" s="9" t="str">
        <f t="shared" si="11"/>
        <v/>
      </c>
      <c r="K284" s="8" t="b">
        <f>IF(D284&lt;3,FALSE,ISERROR(MATCH(J284,'Ontology and concepts per UC'!$A$2:$A$62,0)))</f>
        <v>0</v>
      </c>
      <c r="L284" s="2"/>
      <c r="M284" s="2" t="s">
        <v>836</v>
      </c>
      <c r="N284" s="2"/>
      <c r="O284" s="1" t="b">
        <v>0</v>
      </c>
      <c r="P284" s="1">
        <v>1</v>
      </c>
      <c r="Q284" s="1">
        <v>0</v>
      </c>
      <c r="R284" s="1" t="b">
        <f t="shared" si="12"/>
        <v>0</v>
      </c>
      <c r="S284" s="2" t="s">
        <v>187</v>
      </c>
      <c r="T284" s="1" t="str">
        <f>IF(S284="","",VLOOKUP(S284,'Ontology and concepts per UC'!$F$2:$J$46,5,FALSE))</f>
        <v>Otros</v>
      </c>
      <c r="U284" s="1" t="b">
        <f t="array" ref="U284">(INDEX('Ontology and concepts per UC'!$G$2:$I$46,MATCH($S284,'Ontology and concepts per UC'!$F$2:$F$46,0),MATCH(LEFT($A284,3),'Ontology and concepts per UC'!$G$1:$I$1,0))=0)</f>
        <v>1</v>
      </c>
      <c r="V284" s="1" t="b">
        <f t="shared" si="13"/>
        <v>1</v>
      </c>
      <c r="W284" s="1" t="b">
        <v>1</v>
      </c>
      <c r="X284" s="1" t="b">
        <v>0</v>
      </c>
      <c r="Y284" s="1" t="b">
        <v>0</v>
      </c>
      <c r="Z284" s="1" t="b">
        <v>0</v>
      </c>
      <c r="AA284" s="1" t="s">
        <v>832</v>
      </c>
    </row>
    <row r="285" spans="1:27" x14ac:dyDescent="0.25">
      <c r="A285" s="1" t="s">
        <v>652</v>
      </c>
      <c r="B285" s="2" t="s">
        <v>837</v>
      </c>
      <c r="C285" s="2" t="s">
        <v>838</v>
      </c>
      <c r="D285" s="6">
        <f t="shared" si="7"/>
        <v>1</v>
      </c>
      <c r="E285" s="7" t="str">
        <f t="shared" si="8"/>
        <v>TreatmentParameter</v>
      </c>
      <c r="F285" s="8" t="b">
        <f>IF(D285&lt;1,FALSE,ISERROR(MATCH(E285,'Ontology and concepts per UC'!$A$2:$A$62,0)))</f>
        <v>1</v>
      </c>
      <c r="G285" s="9" t="str">
        <f t="shared" si="9"/>
        <v/>
      </c>
      <c r="H285" s="9" t="str">
        <f t="shared" si="10"/>
        <v/>
      </c>
      <c r="I285" s="8" t="b">
        <f>IF(D285&lt;2,FALSE,ISERROR(MATCH(H285,'Ontology and concepts per UC'!$A$2:$A$62,0)))</f>
        <v>0</v>
      </c>
      <c r="J285" s="9" t="str">
        <f t="shared" si="11"/>
        <v/>
      </c>
      <c r="K285" s="8" t="b">
        <f>IF(D285&lt;3,FALSE,ISERROR(MATCH(J285,'Ontology and concepts per UC'!$A$2:$A$62,0)))</f>
        <v>0</v>
      </c>
      <c r="L285" s="2"/>
      <c r="M285" s="2" t="s">
        <v>839</v>
      </c>
      <c r="N285" s="2"/>
      <c r="O285" s="1" t="b">
        <v>0</v>
      </c>
      <c r="P285" s="1">
        <v>1</v>
      </c>
      <c r="Q285" s="1">
        <v>0</v>
      </c>
      <c r="R285" s="1" t="b">
        <f t="shared" si="12"/>
        <v>0</v>
      </c>
      <c r="S285" s="2" t="s">
        <v>45</v>
      </c>
      <c r="T285" s="1" t="str">
        <f>IF(S285="","",VLOOKUP(S285,'Ontology and concepts per UC'!$F$2:$J$46,5,FALSE))</f>
        <v>Parámetros de intervención</v>
      </c>
      <c r="U285" s="1" t="b">
        <f t="array" ref="U285">(INDEX('Ontology and concepts per UC'!$G$2:$I$46,MATCH($S285,'Ontology and concepts per UC'!$F$2:$F$46,0),MATCH(LEFT($A285,3),'Ontology and concepts per UC'!$G$1:$I$1,0))=0)</f>
        <v>0</v>
      </c>
      <c r="V285" s="1" t="b">
        <f t="shared" si="13"/>
        <v>1</v>
      </c>
      <c r="W285" s="1" t="b">
        <v>1</v>
      </c>
      <c r="X285" s="1" t="b">
        <v>0</v>
      </c>
      <c r="Y285" s="1" t="b">
        <v>0</v>
      </c>
      <c r="Z285" s="1" t="b">
        <v>1</v>
      </c>
      <c r="AA285" s="1" t="s">
        <v>840</v>
      </c>
    </row>
    <row r="286" spans="1:27" x14ac:dyDescent="0.25">
      <c r="A286" s="1" t="s">
        <v>652</v>
      </c>
      <c r="B286" s="2" t="s">
        <v>841</v>
      </c>
      <c r="C286" s="2" t="s">
        <v>838</v>
      </c>
      <c r="D286" s="6">
        <f t="shared" si="7"/>
        <v>1</v>
      </c>
      <c r="E286" s="7" t="str">
        <f t="shared" si="8"/>
        <v>TreatmentParameter</v>
      </c>
      <c r="F286" s="8" t="b">
        <f>IF(D286&lt;1,FALSE,ISERROR(MATCH(E286,'Ontology and concepts per UC'!$A$2:$A$62,0)))</f>
        <v>1</v>
      </c>
      <c r="G286" s="9" t="str">
        <f t="shared" si="9"/>
        <v/>
      </c>
      <c r="H286" s="9" t="str">
        <f t="shared" si="10"/>
        <v/>
      </c>
      <c r="I286" s="8" t="b">
        <f>IF(D286&lt;2,FALSE,ISERROR(MATCH(H286,'Ontology and concepts per UC'!$A$2:$A$62,0)))</f>
        <v>0</v>
      </c>
      <c r="J286" s="9" t="str">
        <f t="shared" si="11"/>
        <v/>
      </c>
      <c r="K286" s="8" t="b">
        <f>IF(D286&lt;3,FALSE,ISERROR(MATCH(J286,'Ontology and concepts per UC'!$A$2:$A$62,0)))</f>
        <v>0</v>
      </c>
      <c r="L286" s="2"/>
      <c r="M286" s="2" t="s">
        <v>842</v>
      </c>
      <c r="N286" s="2"/>
      <c r="O286" s="1" t="b">
        <v>0</v>
      </c>
      <c r="P286" s="1">
        <v>1</v>
      </c>
      <c r="Q286" s="1">
        <v>0</v>
      </c>
      <c r="R286" s="1" t="b">
        <f t="shared" si="12"/>
        <v>0</v>
      </c>
      <c r="S286" s="2" t="s">
        <v>62</v>
      </c>
      <c r="T286" s="1" t="str">
        <f>IF(S286="","",VLOOKUP(S286,'Ontology and concepts per UC'!$F$2:$J$46,5,FALSE))</f>
        <v>Tratamiento/seguimiento</v>
      </c>
      <c r="U286" s="1" t="b">
        <f t="array" ref="U286">(INDEX('Ontology and concepts per UC'!$G$2:$I$46,MATCH($S286,'Ontology and concepts per UC'!$F$2:$F$46,0),MATCH(LEFT($A286,3),'Ontology and concepts per UC'!$G$1:$I$1,0))=0)</f>
        <v>0</v>
      </c>
      <c r="V286" s="1" t="b">
        <f t="shared" si="13"/>
        <v>1</v>
      </c>
      <c r="W286" s="1" t="b">
        <v>1</v>
      </c>
      <c r="X286" s="1" t="b">
        <v>0</v>
      </c>
      <c r="Y286" s="1" t="b">
        <v>0</v>
      </c>
      <c r="Z286" s="1" t="b">
        <v>0</v>
      </c>
      <c r="AA286" s="1" t="s">
        <v>843</v>
      </c>
    </row>
    <row r="287" spans="1:27" x14ac:dyDescent="0.25">
      <c r="A287" s="1" t="s">
        <v>652</v>
      </c>
      <c r="B287" s="2" t="s">
        <v>844</v>
      </c>
      <c r="C287" s="2" t="s">
        <v>838</v>
      </c>
      <c r="D287" s="6">
        <f t="shared" si="7"/>
        <v>1</v>
      </c>
      <c r="E287" s="7" t="str">
        <f t="shared" si="8"/>
        <v>TreatmentParameter</v>
      </c>
      <c r="F287" s="8" t="b">
        <f>IF(D287&lt;1,FALSE,ISERROR(MATCH(E287,'Ontology and concepts per UC'!$A$2:$A$62,0)))</f>
        <v>1</v>
      </c>
      <c r="G287" s="9" t="str">
        <f t="shared" si="9"/>
        <v/>
      </c>
      <c r="H287" s="9" t="str">
        <f t="shared" si="10"/>
        <v/>
      </c>
      <c r="I287" s="8" t="b">
        <f>IF(D287&lt;2,FALSE,ISERROR(MATCH(H287,'Ontology and concepts per UC'!$A$2:$A$62,0)))</f>
        <v>0</v>
      </c>
      <c r="J287" s="9" t="str">
        <f t="shared" si="11"/>
        <v/>
      </c>
      <c r="K287" s="8" t="b">
        <f>IF(D287&lt;3,FALSE,ISERROR(MATCH(J287,'Ontology and concepts per UC'!$A$2:$A$62,0)))</f>
        <v>0</v>
      </c>
      <c r="L287" s="2"/>
      <c r="M287" s="2" t="s">
        <v>845</v>
      </c>
      <c r="N287" s="2"/>
      <c r="O287" s="1" t="b">
        <v>0</v>
      </c>
      <c r="P287" s="1">
        <v>1</v>
      </c>
      <c r="Q287" s="1">
        <v>0</v>
      </c>
      <c r="R287" s="1" t="b">
        <f t="shared" si="12"/>
        <v>0</v>
      </c>
      <c r="S287" s="2" t="s">
        <v>62</v>
      </c>
      <c r="T287" s="1" t="str">
        <f>IF(S287="","",VLOOKUP(S287,'Ontology and concepts per UC'!$F$2:$J$46,5,FALSE))</f>
        <v>Tratamiento/seguimiento</v>
      </c>
      <c r="U287" s="1" t="b">
        <f t="array" ref="U287">(INDEX('Ontology and concepts per UC'!$G$2:$I$46,MATCH($S287,'Ontology and concepts per UC'!$F$2:$F$46,0),MATCH(LEFT($A287,3),'Ontology and concepts per UC'!$G$1:$I$1,0))=0)</f>
        <v>0</v>
      </c>
      <c r="V287" s="1" t="b">
        <f t="shared" si="13"/>
        <v>1</v>
      </c>
      <c r="W287" s="1" t="b">
        <v>1</v>
      </c>
      <c r="X287" s="1" t="b">
        <v>0</v>
      </c>
      <c r="Y287" s="1" t="b">
        <v>0</v>
      </c>
      <c r="Z287" s="1" t="b">
        <v>0</v>
      </c>
      <c r="AA287" s="1" t="s">
        <v>843</v>
      </c>
    </row>
    <row r="288" spans="1:27" x14ac:dyDescent="0.25">
      <c r="A288" s="1" t="s">
        <v>652</v>
      </c>
      <c r="B288" s="2" t="s">
        <v>846</v>
      </c>
      <c r="C288" s="2" t="s">
        <v>172</v>
      </c>
      <c r="D288" s="6">
        <f t="shared" si="7"/>
        <v>1</v>
      </c>
      <c r="E288" s="7" t="str">
        <f t="shared" si="8"/>
        <v>UtilityParameter</v>
      </c>
      <c r="F288" s="8" t="b">
        <f>IF(D288&lt;1,FALSE,ISERROR(MATCH(E288,'Ontology and concepts per UC'!$A$2:$A$62,0)))</f>
        <v>1</v>
      </c>
      <c r="G288" s="9" t="str">
        <f t="shared" si="9"/>
        <v/>
      </c>
      <c r="H288" s="9" t="str">
        <f t="shared" si="10"/>
        <v/>
      </c>
      <c r="I288" s="8" t="b">
        <f>IF(D288&lt;2,FALSE,ISERROR(MATCH(H288,'Ontology and concepts per UC'!$A$2:$A$62,0)))</f>
        <v>0</v>
      </c>
      <c r="J288" s="9" t="str">
        <f t="shared" si="11"/>
        <v/>
      </c>
      <c r="K288" s="8" t="b">
        <f>IF(D288&lt;3,FALSE,ISERROR(MATCH(J288,'Ontology and concepts per UC'!$A$2:$A$62,0)))</f>
        <v>0</v>
      </c>
      <c r="L288" s="2"/>
      <c r="M288" s="2" t="s">
        <v>847</v>
      </c>
      <c r="N288" s="2"/>
      <c r="O288" s="1" t="b">
        <v>0</v>
      </c>
      <c r="P288" s="1">
        <v>1</v>
      </c>
      <c r="Q288" s="1">
        <v>0</v>
      </c>
      <c r="R288" s="1" t="b">
        <f t="shared" si="12"/>
        <v>0</v>
      </c>
      <c r="S288" s="2" t="s">
        <v>174</v>
      </c>
      <c r="T288" s="1" t="str">
        <f>IF(S288="","",VLOOKUP(S288,'Ontology and concepts per UC'!$F$2:$J$46,5,FALSE))</f>
        <v>Utilidad</v>
      </c>
      <c r="U288" s="1" t="b">
        <f t="array" ref="U288">(INDEX('Ontology and concepts per UC'!$G$2:$I$46,MATCH($S288,'Ontology and concepts per UC'!$F$2:$F$46,0),MATCH(LEFT($A288,3),'Ontology and concepts per UC'!$G$1:$I$1,0))=0)</f>
        <v>0</v>
      </c>
      <c r="V288" s="1" t="b">
        <f t="shared" si="13"/>
        <v>1</v>
      </c>
      <c r="W288" s="1" t="b">
        <v>1</v>
      </c>
      <c r="X288" s="1" t="b">
        <v>0</v>
      </c>
      <c r="Y288" s="1" t="b">
        <v>0</v>
      </c>
      <c r="Z288" s="1" t="b">
        <v>0</v>
      </c>
      <c r="AA288" s="1" t="s">
        <v>175</v>
      </c>
    </row>
    <row r="289" spans="1:27" x14ac:dyDescent="0.25">
      <c r="A289" s="1" t="s">
        <v>652</v>
      </c>
      <c r="B289" s="2" t="s">
        <v>848</v>
      </c>
      <c r="C289" s="2" t="s">
        <v>172</v>
      </c>
      <c r="D289" s="6">
        <f t="shared" si="7"/>
        <v>1</v>
      </c>
      <c r="E289" s="7" t="str">
        <f t="shared" si="8"/>
        <v>UtilityParameter</v>
      </c>
      <c r="F289" s="8" t="b">
        <f>IF(D289&lt;1,FALSE,ISERROR(MATCH(E289,'Ontology and concepts per UC'!$A$2:$A$62,0)))</f>
        <v>1</v>
      </c>
      <c r="G289" s="9" t="str">
        <f t="shared" si="9"/>
        <v/>
      </c>
      <c r="H289" s="9" t="str">
        <f t="shared" si="10"/>
        <v/>
      </c>
      <c r="I289" s="8" t="b">
        <f>IF(D289&lt;2,FALSE,ISERROR(MATCH(H289,'Ontology and concepts per UC'!$A$2:$A$62,0)))</f>
        <v>0</v>
      </c>
      <c r="J289" s="9" t="str">
        <f t="shared" si="11"/>
        <v/>
      </c>
      <c r="K289" s="8" t="b">
        <f>IF(D289&lt;3,FALSE,ISERROR(MATCH(J289,'Ontology and concepts per UC'!$A$2:$A$62,0)))</f>
        <v>0</v>
      </c>
      <c r="L289" s="2"/>
      <c r="M289" s="2" t="s">
        <v>849</v>
      </c>
      <c r="N289" s="2"/>
      <c r="O289" s="1" t="b">
        <v>0</v>
      </c>
      <c r="P289" s="1">
        <v>1</v>
      </c>
      <c r="Q289" s="1">
        <v>0</v>
      </c>
      <c r="R289" s="1" t="b">
        <f t="shared" si="12"/>
        <v>0</v>
      </c>
      <c r="S289" s="2" t="s">
        <v>69</v>
      </c>
      <c r="T289" s="1" t="str">
        <f>IF(S289="","",VLOOKUP(S289,'Ontology and concepts per UC'!$F$2:$J$46,5,FALSE))</f>
        <v>Utilidad</v>
      </c>
      <c r="U289" s="1" t="b">
        <f t="array" ref="U289">(INDEX('Ontology and concepts per UC'!$G$2:$I$46,MATCH($S289,'Ontology and concepts per UC'!$F$2:$F$46,0),MATCH(LEFT($A289,3),'Ontology and concepts per UC'!$G$1:$I$1,0))=0)</f>
        <v>0</v>
      </c>
      <c r="V289" s="1" t="b">
        <f t="shared" si="13"/>
        <v>1</v>
      </c>
      <c r="W289" s="1" t="b">
        <v>1</v>
      </c>
      <c r="X289" s="1" t="b">
        <v>0</v>
      </c>
      <c r="Y289" s="1" t="b">
        <v>0</v>
      </c>
      <c r="Z289" s="1" t="b">
        <v>0</v>
      </c>
      <c r="AA289" s="1" t="s">
        <v>175</v>
      </c>
    </row>
    <row r="290" spans="1:27" x14ac:dyDescent="0.25">
      <c r="A290" s="1" t="s">
        <v>652</v>
      </c>
      <c r="B290" s="2" t="s">
        <v>850</v>
      </c>
      <c r="C290" s="2" t="s">
        <v>172</v>
      </c>
      <c r="D290" s="6">
        <f t="shared" si="7"/>
        <v>1</v>
      </c>
      <c r="E290" s="7" t="str">
        <f t="shared" si="8"/>
        <v>UtilityParameter</v>
      </c>
      <c r="F290" s="8" t="b">
        <f>IF(D290&lt;1,FALSE,ISERROR(MATCH(E290,'Ontology and concepts per UC'!$A$2:$A$62,0)))</f>
        <v>1</v>
      </c>
      <c r="G290" s="9" t="str">
        <f t="shared" si="9"/>
        <v/>
      </c>
      <c r="H290" s="9" t="str">
        <f t="shared" si="10"/>
        <v/>
      </c>
      <c r="I290" s="8" t="b">
        <f>IF(D290&lt;2,FALSE,ISERROR(MATCH(H290,'Ontology and concepts per UC'!$A$2:$A$62,0)))</f>
        <v>0</v>
      </c>
      <c r="J290" s="9" t="str">
        <f t="shared" si="11"/>
        <v/>
      </c>
      <c r="K290" s="8" t="b">
        <f>IF(D290&lt;3,FALSE,ISERROR(MATCH(J290,'Ontology and concepts per UC'!$A$2:$A$62,0)))</f>
        <v>0</v>
      </c>
      <c r="L290" s="2"/>
      <c r="M290" s="2" t="s">
        <v>851</v>
      </c>
      <c r="N290" s="2"/>
      <c r="O290" s="1" t="b">
        <v>0</v>
      </c>
      <c r="P290" s="1">
        <v>1</v>
      </c>
      <c r="Q290" s="1">
        <v>0</v>
      </c>
      <c r="R290" s="1" t="b">
        <f t="shared" si="12"/>
        <v>0</v>
      </c>
      <c r="S290" s="2" t="s">
        <v>174</v>
      </c>
      <c r="T290" s="1" t="str">
        <f>IF(S290="","",VLOOKUP(S290,'Ontology and concepts per UC'!$F$2:$J$46,5,FALSE))</f>
        <v>Utilidad</v>
      </c>
      <c r="U290" s="1" t="b">
        <f t="array" ref="U290">(INDEX('Ontology and concepts per UC'!$G$2:$I$46,MATCH($S290,'Ontology and concepts per UC'!$F$2:$F$46,0),MATCH(LEFT($A290,3),'Ontology and concepts per UC'!$G$1:$I$1,0))=0)</f>
        <v>0</v>
      </c>
      <c r="V290" s="1" t="b">
        <f t="shared" si="13"/>
        <v>1</v>
      </c>
      <c r="W290" s="1" t="b">
        <v>1</v>
      </c>
      <c r="X290" s="1" t="b">
        <v>0</v>
      </c>
      <c r="Y290" s="1" t="b">
        <v>0</v>
      </c>
      <c r="Z290" s="1" t="b">
        <v>0</v>
      </c>
      <c r="AA290" s="1" t="s">
        <v>175</v>
      </c>
    </row>
    <row r="291" spans="1:27" x14ac:dyDescent="0.25">
      <c r="A291" s="1" t="s">
        <v>652</v>
      </c>
      <c r="B291" s="2" t="s">
        <v>852</v>
      </c>
      <c r="C291" s="2" t="s">
        <v>172</v>
      </c>
      <c r="D291" s="6">
        <f t="shared" si="7"/>
        <v>1</v>
      </c>
      <c r="E291" s="7" t="str">
        <f t="shared" si="8"/>
        <v>UtilityParameter</v>
      </c>
      <c r="F291" s="8" t="b">
        <f>IF(D291&lt;1,FALSE,ISERROR(MATCH(E291,'Ontology and concepts per UC'!$A$2:$A$62,0)))</f>
        <v>1</v>
      </c>
      <c r="G291" s="9" t="str">
        <f t="shared" si="9"/>
        <v/>
      </c>
      <c r="H291" s="9" t="str">
        <f t="shared" si="10"/>
        <v/>
      </c>
      <c r="I291" s="8" t="b">
        <f>IF(D291&lt;2,FALSE,ISERROR(MATCH(H291,'Ontology and concepts per UC'!$A$2:$A$62,0)))</f>
        <v>0</v>
      </c>
      <c r="J291" s="9" t="str">
        <f t="shared" si="11"/>
        <v/>
      </c>
      <c r="K291" s="8" t="b">
        <f>IF(D291&lt;3,FALSE,ISERROR(MATCH(J291,'Ontology and concepts per UC'!$A$2:$A$62,0)))</f>
        <v>0</v>
      </c>
      <c r="L291" s="2"/>
      <c r="M291" s="2" t="s">
        <v>853</v>
      </c>
      <c r="N291" s="2"/>
      <c r="O291" s="1" t="b">
        <v>0</v>
      </c>
      <c r="P291" s="1">
        <v>1</v>
      </c>
      <c r="Q291" s="1">
        <v>0</v>
      </c>
      <c r="R291" s="1" t="b">
        <f t="shared" si="12"/>
        <v>1</v>
      </c>
      <c r="S291" s="2" t="s">
        <v>174</v>
      </c>
      <c r="T291" s="1" t="str">
        <f>IF(S291="","",VLOOKUP(S291,'Ontology and concepts per UC'!$F$2:$J$46,5,FALSE))</f>
        <v>Utilidad</v>
      </c>
      <c r="U291" s="1" t="b">
        <f t="array" ref="U291">(INDEX('Ontology and concepts per UC'!$G$2:$I$46,MATCH($S291,'Ontology and concepts per UC'!$F$2:$F$46,0),MATCH(LEFT($A291,3),'Ontology and concepts per UC'!$G$1:$I$1,0))=0)</f>
        <v>0</v>
      </c>
      <c r="V291" s="1" t="b">
        <f t="shared" si="13"/>
        <v>1</v>
      </c>
      <c r="W291" s="1" t="b">
        <v>1</v>
      </c>
      <c r="X291" s="1" t="b">
        <v>0</v>
      </c>
      <c r="Y291" s="1" t="b">
        <v>0</v>
      </c>
      <c r="Z291" s="1" t="b">
        <v>1</v>
      </c>
      <c r="AA291" s="1" t="s">
        <v>854</v>
      </c>
    </row>
    <row r="292" spans="1:27" x14ac:dyDescent="0.25">
      <c r="A292" s="1" t="s">
        <v>652</v>
      </c>
      <c r="B292" s="2" t="s">
        <v>855</v>
      </c>
      <c r="C292" s="2" t="s">
        <v>172</v>
      </c>
      <c r="D292" s="6">
        <f t="shared" si="7"/>
        <v>1</v>
      </c>
      <c r="E292" s="7" t="str">
        <f t="shared" si="8"/>
        <v>UtilityParameter</v>
      </c>
      <c r="F292" s="8" t="b">
        <f>IF(D292&lt;1,FALSE,ISERROR(MATCH(E292,'Ontology and concepts per UC'!$A$2:$A$62,0)))</f>
        <v>1</v>
      </c>
      <c r="G292" s="9" t="str">
        <f t="shared" si="9"/>
        <v/>
      </c>
      <c r="H292" s="9" t="str">
        <f t="shared" si="10"/>
        <v/>
      </c>
      <c r="I292" s="8" t="b">
        <f>IF(D292&lt;2,FALSE,ISERROR(MATCH(H292,'Ontology and concepts per UC'!$A$2:$A$62,0)))</f>
        <v>0</v>
      </c>
      <c r="J292" s="9" t="str">
        <f t="shared" si="11"/>
        <v/>
      </c>
      <c r="K292" s="8" t="b">
        <f>IF(D292&lt;3,FALSE,ISERROR(MATCH(J292,'Ontology and concepts per UC'!$A$2:$A$62,0)))</f>
        <v>0</v>
      </c>
      <c r="L292" s="2"/>
      <c r="M292" s="2" t="s">
        <v>856</v>
      </c>
      <c r="N292" s="2"/>
      <c r="O292" s="1" t="b">
        <v>0</v>
      </c>
      <c r="P292" s="1">
        <v>1</v>
      </c>
      <c r="Q292" s="1">
        <v>0</v>
      </c>
      <c r="R292" s="1" t="b">
        <f t="shared" si="12"/>
        <v>1</v>
      </c>
      <c r="S292" s="2" t="s">
        <v>174</v>
      </c>
      <c r="T292" s="1" t="str">
        <f>IF(S292="","",VLOOKUP(S292,'Ontology and concepts per UC'!$F$2:$J$46,5,FALSE))</f>
        <v>Utilidad</v>
      </c>
      <c r="U292" s="1" t="b">
        <f t="array" ref="U292">(INDEX('Ontology and concepts per UC'!$G$2:$I$46,MATCH($S292,'Ontology and concepts per UC'!$F$2:$F$46,0),MATCH(LEFT($A292,3),'Ontology and concepts per UC'!$G$1:$I$1,0))=0)</f>
        <v>0</v>
      </c>
      <c r="V292" s="1" t="b">
        <f t="shared" si="13"/>
        <v>1</v>
      </c>
      <c r="W292" s="1" t="b">
        <v>1</v>
      </c>
      <c r="X292" s="1" t="b">
        <v>0</v>
      </c>
      <c r="Y292" s="1" t="b">
        <v>0</v>
      </c>
      <c r="Z292" s="1" t="b">
        <v>1</v>
      </c>
      <c r="AA292" s="1" t="s">
        <v>854</v>
      </c>
    </row>
    <row r="293" spans="1:27" x14ac:dyDescent="0.25">
      <c r="A293" s="1" t="s">
        <v>652</v>
      </c>
      <c r="B293" s="2" t="s">
        <v>857</v>
      </c>
      <c r="C293" s="2" t="s">
        <v>172</v>
      </c>
      <c r="D293" s="6">
        <f t="shared" si="7"/>
        <v>1</v>
      </c>
      <c r="E293" s="7" t="str">
        <f t="shared" si="8"/>
        <v>UtilityParameter</v>
      </c>
      <c r="F293" s="8" t="b">
        <f>IF(D293&lt;1,FALSE,ISERROR(MATCH(E293,'Ontology and concepts per UC'!$A$2:$A$62,0)))</f>
        <v>1</v>
      </c>
      <c r="G293" s="9" t="str">
        <f t="shared" si="9"/>
        <v/>
      </c>
      <c r="H293" s="9" t="str">
        <f t="shared" si="10"/>
        <v/>
      </c>
      <c r="I293" s="8" t="b">
        <f>IF(D293&lt;2,FALSE,ISERROR(MATCH(H293,'Ontology and concepts per UC'!$A$2:$A$62,0)))</f>
        <v>0</v>
      </c>
      <c r="J293" s="9" t="str">
        <f t="shared" si="11"/>
        <v/>
      </c>
      <c r="K293" s="8" t="b">
        <f>IF(D293&lt;3,FALSE,ISERROR(MATCH(J293,'Ontology and concepts per UC'!$A$2:$A$62,0)))</f>
        <v>0</v>
      </c>
      <c r="L293" s="2"/>
      <c r="M293" s="2" t="s">
        <v>858</v>
      </c>
      <c r="N293" s="2"/>
      <c r="O293" s="1" t="b">
        <v>0</v>
      </c>
      <c r="P293" s="1">
        <v>1</v>
      </c>
      <c r="Q293" s="1">
        <v>0</v>
      </c>
      <c r="R293" s="1" t="b">
        <f t="shared" si="12"/>
        <v>1</v>
      </c>
      <c r="S293" s="2" t="s">
        <v>69</v>
      </c>
      <c r="T293" s="1" t="str">
        <f>IF(S293="","",VLOOKUP(S293,'Ontology and concepts per UC'!$F$2:$J$46,5,FALSE))</f>
        <v>Utilidad</v>
      </c>
      <c r="U293" s="1" t="b">
        <f t="array" ref="U293">(INDEX('Ontology and concepts per UC'!$G$2:$I$46,MATCH($S293,'Ontology and concepts per UC'!$F$2:$F$46,0),MATCH(LEFT($A293,3),'Ontology and concepts per UC'!$G$1:$I$1,0))=0)</f>
        <v>0</v>
      </c>
      <c r="V293" s="1" t="b">
        <f t="shared" si="13"/>
        <v>1</v>
      </c>
      <c r="W293" s="1" t="b">
        <v>1</v>
      </c>
      <c r="X293" s="1" t="b">
        <v>0</v>
      </c>
      <c r="Y293" s="1" t="b">
        <v>0</v>
      </c>
      <c r="Z293" s="1" t="b">
        <v>1</v>
      </c>
      <c r="AA293" s="1" t="s">
        <v>854</v>
      </c>
    </row>
    <row r="294" spans="1:27" x14ac:dyDescent="0.25">
      <c r="A294" s="1" t="s">
        <v>652</v>
      </c>
      <c r="B294" s="2" t="s">
        <v>859</v>
      </c>
      <c r="C294" s="2" t="s">
        <v>172</v>
      </c>
      <c r="D294" s="6">
        <f t="shared" si="7"/>
        <v>1</v>
      </c>
      <c r="E294" s="7" t="str">
        <f t="shared" si="8"/>
        <v>UtilityParameter</v>
      </c>
      <c r="F294" s="8" t="b">
        <f>IF(D294&lt;1,FALSE,ISERROR(MATCH(E294,'Ontology and concepts per UC'!$A$2:$A$62,0)))</f>
        <v>1</v>
      </c>
      <c r="G294" s="9" t="str">
        <f t="shared" si="9"/>
        <v/>
      </c>
      <c r="H294" s="9" t="str">
        <f t="shared" si="10"/>
        <v/>
      </c>
      <c r="I294" s="8" t="b">
        <f>IF(D294&lt;2,FALSE,ISERROR(MATCH(H294,'Ontology and concepts per UC'!$A$2:$A$62,0)))</f>
        <v>0</v>
      </c>
      <c r="J294" s="9" t="str">
        <f t="shared" si="11"/>
        <v/>
      </c>
      <c r="K294" s="8" t="b">
        <f>IF(D294&lt;3,FALSE,ISERROR(MATCH(J294,'Ontology and concepts per UC'!$A$2:$A$62,0)))</f>
        <v>0</v>
      </c>
      <c r="L294" s="2"/>
      <c r="M294" s="2" t="s">
        <v>860</v>
      </c>
      <c r="N294" s="2"/>
      <c r="O294" s="1" t="b">
        <v>0</v>
      </c>
      <c r="P294" s="1">
        <v>1</v>
      </c>
      <c r="Q294" s="1">
        <v>0</v>
      </c>
      <c r="R294" s="1" t="b">
        <f t="shared" si="12"/>
        <v>0</v>
      </c>
      <c r="S294" s="2" t="s">
        <v>65</v>
      </c>
      <c r="T294" s="1" t="str">
        <f>IF(S294="","",VLOOKUP(S294,'Ontology and concepts per UC'!$F$2:$J$46,5,FALSE))</f>
        <v>Utilidad</v>
      </c>
      <c r="U294" s="1" t="b">
        <f t="array" ref="U294">(INDEX('Ontology and concepts per UC'!$G$2:$I$46,MATCH($S294,'Ontology and concepts per UC'!$F$2:$F$46,0),MATCH(LEFT($A294,3),'Ontology and concepts per UC'!$G$1:$I$1,0))=0)</f>
        <v>0</v>
      </c>
      <c r="V294" s="1" t="b">
        <f t="shared" si="13"/>
        <v>1</v>
      </c>
      <c r="W294" s="1" t="b">
        <v>1</v>
      </c>
      <c r="X294" s="1" t="b">
        <v>0</v>
      </c>
      <c r="Y294" s="1" t="b">
        <v>0</v>
      </c>
      <c r="Z294" s="1" t="b">
        <v>0</v>
      </c>
      <c r="AA294" s="1" t="s">
        <v>175</v>
      </c>
    </row>
    <row r="295" spans="1:27" x14ac:dyDescent="0.25">
      <c r="A295" s="1" t="s">
        <v>652</v>
      </c>
      <c r="B295" s="2" t="s">
        <v>861</v>
      </c>
      <c r="C295" s="2" t="s">
        <v>172</v>
      </c>
      <c r="D295" s="6">
        <f t="shared" si="7"/>
        <v>1</v>
      </c>
      <c r="E295" s="7" t="str">
        <f t="shared" si="8"/>
        <v>UtilityParameter</v>
      </c>
      <c r="F295" s="8" t="b">
        <f>IF(D295&lt;1,FALSE,ISERROR(MATCH(E295,'Ontology and concepts per UC'!$A$2:$A$62,0)))</f>
        <v>1</v>
      </c>
      <c r="G295" s="9" t="str">
        <f t="shared" si="9"/>
        <v/>
      </c>
      <c r="H295" s="9" t="str">
        <f t="shared" si="10"/>
        <v/>
      </c>
      <c r="I295" s="8" t="b">
        <f>IF(D295&lt;2,FALSE,ISERROR(MATCH(H295,'Ontology and concepts per UC'!$A$2:$A$62,0)))</f>
        <v>0</v>
      </c>
      <c r="J295" s="9" t="str">
        <f t="shared" si="11"/>
        <v/>
      </c>
      <c r="K295" s="8" t="b">
        <f>IF(D295&lt;3,FALSE,ISERROR(MATCH(J295,'Ontology and concepts per UC'!$A$2:$A$62,0)))</f>
        <v>0</v>
      </c>
      <c r="L295" s="2"/>
      <c r="M295" s="2" t="s">
        <v>862</v>
      </c>
      <c r="N295" s="2"/>
      <c r="O295" s="1" t="b">
        <v>0</v>
      </c>
      <c r="P295" s="1">
        <v>1</v>
      </c>
      <c r="Q295" s="1">
        <v>0</v>
      </c>
      <c r="R295" s="1" t="b">
        <f t="shared" si="12"/>
        <v>1</v>
      </c>
      <c r="S295" s="2" t="s">
        <v>70</v>
      </c>
      <c r="T295" s="1" t="str">
        <f>IF(S295="","",VLOOKUP(S295,'Ontology and concepts per UC'!$F$2:$J$46,5,FALSE))</f>
        <v>Utilidad</v>
      </c>
      <c r="U295" s="1" t="b">
        <f t="array" ref="U295">(INDEX('Ontology and concepts per UC'!$G$2:$I$46,MATCH($S295,'Ontology and concepts per UC'!$F$2:$F$46,0),MATCH(LEFT($A295,3),'Ontology and concepts per UC'!$G$1:$I$1,0))=0)</f>
        <v>0</v>
      </c>
      <c r="V295" s="1" t="b">
        <f t="shared" si="13"/>
        <v>1</v>
      </c>
      <c r="W295" s="1" t="b">
        <v>1</v>
      </c>
      <c r="X295" s="1" t="b">
        <v>0</v>
      </c>
      <c r="Y295" s="1" t="b">
        <v>0</v>
      </c>
      <c r="Z295" s="1" t="b">
        <v>1</v>
      </c>
      <c r="AA295" s="1" t="s">
        <v>854</v>
      </c>
    </row>
    <row r="296" spans="1:27" x14ac:dyDescent="0.25">
      <c r="A296" s="1" t="s">
        <v>652</v>
      </c>
      <c r="B296" s="2" t="s">
        <v>863</v>
      </c>
      <c r="C296" s="2" t="s">
        <v>172</v>
      </c>
      <c r="D296" s="6">
        <f t="shared" si="7"/>
        <v>1</v>
      </c>
      <c r="E296" s="7" t="str">
        <f t="shared" si="8"/>
        <v>UtilityParameter</v>
      </c>
      <c r="F296" s="8" t="b">
        <f>IF(D296&lt;1,FALSE,ISERROR(MATCH(E296,'Ontology and concepts per UC'!$A$2:$A$62,0)))</f>
        <v>1</v>
      </c>
      <c r="G296" s="9" t="str">
        <f t="shared" si="9"/>
        <v/>
      </c>
      <c r="H296" s="9" t="str">
        <f t="shared" si="10"/>
        <v/>
      </c>
      <c r="I296" s="8" t="b">
        <f>IF(D296&lt;2,FALSE,ISERROR(MATCH(H296,'Ontology and concepts per UC'!$A$2:$A$62,0)))</f>
        <v>0</v>
      </c>
      <c r="J296" s="9" t="str">
        <f t="shared" si="11"/>
        <v/>
      </c>
      <c r="K296" s="8" t="b">
        <f>IF(D296&lt;3,FALSE,ISERROR(MATCH(J296,'Ontology and concepts per UC'!$A$2:$A$62,0)))</f>
        <v>0</v>
      </c>
      <c r="L296" s="2"/>
      <c r="M296" s="2" t="s">
        <v>864</v>
      </c>
      <c r="N296" s="2"/>
      <c r="O296" s="1" t="b">
        <v>0</v>
      </c>
      <c r="P296" s="1">
        <v>1</v>
      </c>
      <c r="Q296" s="1">
        <v>0</v>
      </c>
      <c r="R296" s="1" t="b">
        <f t="shared" si="12"/>
        <v>0</v>
      </c>
      <c r="S296" s="2" t="s">
        <v>67</v>
      </c>
      <c r="T296" s="1" t="str">
        <f>IF(S296="","",VLOOKUP(S296,'Ontology and concepts per UC'!$F$2:$J$46,5,FALSE))</f>
        <v>Utilidad</v>
      </c>
      <c r="U296" s="1" t="b">
        <f t="array" ref="U296">(INDEX('Ontology and concepts per UC'!$G$2:$I$46,MATCH($S296,'Ontology and concepts per UC'!$F$2:$F$46,0),MATCH(LEFT($A296,3),'Ontology and concepts per UC'!$G$1:$I$1,0))=0)</f>
        <v>0</v>
      </c>
      <c r="V296" s="1" t="b">
        <f t="shared" si="13"/>
        <v>1</v>
      </c>
      <c r="W296" s="1" t="b">
        <v>1</v>
      </c>
      <c r="X296" s="1" t="b">
        <v>0</v>
      </c>
      <c r="Y296" s="1" t="b">
        <v>0</v>
      </c>
      <c r="Z296" s="1" t="b">
        <v>0</v>
      </c>
      <c r="AA296" s="1" t="s">
        <v>175</v>
      </c>
    </row>
    <row r="297" spans="1:27" x14ac:dyDescent="0.25">
      <c r="A297" s="1" t="s">
        <v>652</v>
      </c>
      <c r="B297" s="2" t="s">
        <v>865</v>
      </c>
      <c r="C297" s="2" t="s">
        <v>172</v>
      </c>
      <c r="D297" s="6">
        <f t="shared" si="7"/>
        <v>1</v>
      </c>
      <c r="E297" s="7" t="str">
        <f t="shared" si="8"/>
        <v>UtilityParameter</v>
      </c>
      <c r="F297" s="8" t="b">
        <f>IF(D297&lt;1,FALSE,ISERROR(MATCH(E297,'Ontology and concepts per UC'!$A$2:$A$62,0)))</f>
        <v>1</v>
      </c>
      <c r="G297" s="9" t="str">
        <f t="shared" si="9"/>
        <v/>
      </c>
      <c r="H297" s="9" t="str">
        <f t="shared" si="10"/>
        <v/>
      </c>
      <c r="I297" s="8" t="b">
        <f>IF(D297&lt;2,FALSE,ISERROR(MATCH(H297,'Ontology and concepts per UC'!$A$2:$A$62,0)))</f>
        <v>0</v>
      </c>
      <c r="J297" s="9" t="str">
        <f t="shared" si="11"/>
        <v/>
      </c>
      <c r="K297" s="8" t="b">
        <f>IF(D297&lt;3,FALSE,ISERROR(MATCH(J297,'Ontology and concepts per UC'!$A$2:$A$62,0)))</f>
        <v>0</v>
      </c>
      <c r="L297" s="2"/>
      <c r="M297" s="2" t="s">
        <v>866</v>
      </c>
      <c r="N297" s="2"/>
      <c r="O297" s="1" t="b">
        <v>0</v>
      </c>
      <c r="P297" s="1">
        <v>1</v>
      </c>
      <c r="Q297" s="1">
        <v>0</v>
      </c>
      <c r="R297" s="1" t="b">
        <f t="shared" si="12"/>
        <v>1</v>
      </c>
      <c r="S297" s="2" t="s">
        <v>67</v>
      </c>
      <c r="T297" s="1" t="str">
        <f>IF(S297="","",VLOOKUP(S297,'Ontology and concepts per UC'!$F$2:$J$46,5,FALSE))</f>
        <v>Utilidad</v>
      </c>
      <c r="U297" s="1" t="b">
        <f t="array" ref="U297">(INDEX('Ontology and concepts per UC'!$G$2:$I$46,MATCH($S297,'Ontology and concepts per UC'!$F$2:$F$46,0),MATCH(LEFT($A297,3),'Ontology and concepts per UC'!$G$1:$I$1,0))=0)</f>
        <v>0</v>
      </c>
      <c r="V297" s="1" t="b">
        <f t="shared" si="13"/>
        <v>1</v>
      </c>
      <c r="W297" s="1" t="b">
        <v>1</v>
      </c>
      <c r="X297" s="1" t="b">
        <v>0</v>
      </c>
      <c r="Y297" s="1" t="b">
        <v>0</v>
      </c>
      <c r="Z297" s="1" t="b">
        <v>1</v>
      </c>
      <c r="AA297" s="1" t="s">
        <v>854</v>
      </c>
    </row>
    <row r="298" spans="1:27" x14ac:dyDescent="0.25">
      <c r="A298" s="1" t="s">
        <v>652</v>
      </c>
      <c r="B298" s="2" t="s">
        <v>867</v>
      </c>
      <c r="C298" s="2" t="s">
        <v>172</v>
      </c>
      <c r="D298" s="6">
        <f t="shared" si="7"/>
        <v>1</v>
      </c>
      <c r="E298" s="7" t="str">
        <f t="shared" si="8"/>
        <v>UtilityParameter</v>
      </c>
      <c r="F298" s="8" t="b">
        <f>IF(D298&lt;1,FALSE,ISERROR(MATCH(E298,'Ontology and concepts per UC'!$A$2:$A$62,0)))</f>
        <v>1</v>
      </c>
      <c r="G298" s="9" t="str">
        <f t="shared" si="9"/>
        <v/>
      </c>
      <c r="H298" s="9" t="str">
        <f t="shared" si="10"/>
        <v/>
      </c>
      <c r="I298" s="8" t="b">
        <f>IF(D298&lt;2,FALSE,ISERROR(MATCH(H298,'Ontology and concepts per UC'!$A$2:$A$62,0)))</f>
        <v>0</v>
      </c>
      <c r="J298" s="9" t="str">
        <f t="shared" si="11"/>
        <v/>
      </c>
      <c r="K298" s="8" t="b">
        <f>IF(D298&lt;3,FALSE,ISERROR(MATCH(J298,'Ontology and concepts per UC'!$A$2:$A$62,0)))</f>
        <v>0</v>
      </c>
      <c r="L298" s="2"/>
      <c r="M298" s="2" t="s">
        <v>868</v>
      </c>
      <c r="N298" s="2"/>
      <c r="O298" s="1" t="b">
        <v>0</v>
      </c>
      <c r="P298" s="1">
        <v>1</v>
      </c>
      <c r="Q298" s="1">
        <v>0</v>
      </c>
      <c r="R298" s="1" t="b">
        <f t="shared" si="12"/>
        <v>0</v>
      </c>
      <c r="S298" s="2" t="s">
        <v>20</v>
      </c>
      <c r="T298" s="1" t="str">
        <f>IF(S298="","",VLOOKUP(S298,'Ontology and concepts per UC'!$F$2:$J$46,5,FALSE))</f>
        <v>Modelo Conceptual</v>
      </c>
      <c r="U298" s="1" t="b">
        <f t="array" ref="U298">(INDEX('Ontology and concepts per UC'!$G$2:$I$46,MATCH($S298,'Ontology and concepts per UC'!$F$2:$F$46,0),MATCH(LEFT($A298,3),'Ontology and concepts per UC'!$G$1:$I$1,0))=0)</f>
        <v>0</v>
      </c>
      <c r="V298" s="1" t="b">
        <f t="shared" si="13"/>
        <v>1</v>
      </c>
      <c r="W298" s="1" t="b">
        <v>1</v>
      </c>
      <c r="X298" s="1" t="b">
        <v>0</v>
      </c>
      <c r="Y298" s="1" t="b">
        <v>0</v>
      </c>
      <c r="Z298" s="1" t="b">
        <v>0</v>
      </c>
      <c r="AA298" s="1" t="s">
        <v>869</v>
      </c>
    </row>
    <row r="299" spans="1:27" x14ac:dyDescent="0.25">
      <c r="A299" s="1" t="s">
        <v>652</v>
      </c>
      <c r="B299" s="2" t="s">
        <v>870</v>
      </c>
      <c r="C299" s="2" t="s">
        <v>172</v>
      </c>
      <c r="D299" s="6">
        <f t="shared" si="7"/>
        <v>1</v>
      </c>
      <c r="E299" s="7" t="str">
        <f t="shared" si="8"/>
        <v>UtilityParameter</v>
      </c>
      <c r="F299" s="8" t="b">
        <f>IF(D299&lt;1,FALSE,ISERROR(MATCH(E299,'Ontology and concepts per UC'!$A$2:$A$62,0)))</f>
        <v>1</v>
      </c>
      <c r="G299" s="9" t="str">
        <f t="shared" si="9"/>
        <v/>
      </c>
      <c r="H299" s="9" t="str">
        <f t="shared" si="10"/>
        <v/>
      </c>
      <c r="I299" s="8" t="b">
        <f>IF(D299&lt;2,FALSE,ISERROR(MATCH(H299,'Ontology and concepts per UC'!$A$2:$A$62,0)))</f>
        <v>0</v>
      </c>
      <c r="J299" s="9" t="str">
        <f t="shared" si="11"/>
        <v/>
      </c>
      <c r="K299" s="8" t="b">
        <f>IF(D299&lt;3,FALSE,ISERROR(MATCH(J299,'Ontology and concepts per UC'!$A$2:$A$62,0)))</f>
        <v>0</v>
      </c>
      <c r="L299" s="2"/>
      <c r="M299" s="2" t="s">
        <v>871</v>
      </c>
      <c r="N299" s="2"/>
      <c r="O299" s="1" t="b">
        <v>0</v>
      </c>
      <c r="P299" s="1">
        <v>1</v>
      </c>
      <c r="Q299" s="1">
        <v>0</v>
      </c>
      <c r="R299" s="1" t="b">
        <f t="shared" si="12"/>
        <v>0</v>
      </c>
      <c r="S299" s="2" t="s">
        <v>20</v>
      </c>
      <c r="T299" s="1" t="str">
        <f>IF(S299="","",VLOOKUP(S299,'Ontology and concepts per UC'!$F$2:$J$46,5,FALSE))</f>
        <v>Modelo Conceptual</v>
      </c>
      <c r="U299" s="1" t="b">
        <f t="array" ref="U299">(INDEX('Ontology and concepts per UC'!$G$2:$I$46,MATCH($S299,'Ontology and concepts per UC'!$F$2:$F$46,0),MATCH(LEFT($A299,3),'Ontology and concepts per UC'!$G$1:$I$1,0))=0)</f>
        <v>0</v>
      </c>
      <c r="V299" s="1" t="b">
        <f t="shared" si="13"/>
        <v>1</v>
      </c>
      <c r="W299" s="1" t="b">
        <v>1</v>
      </c>
      <c r="X299" s="1" t="b">
        <v>0</v>
      </c>
      <c r="Y299" s="1" t="b">
        <v>0</v>
      </c>
      <c r="Z299" s="1" t="b">
        <v>0</v>
      </c>
      <c r="AA299" s="1" t="s">
        <v>175</v>
      </c>
    </row>
    <row r="300" spans="1:27" x14ac:dyDescent="0.25">
      <c r="A300" s="1" t="s">
        <v>652</v>
      </c>
      <c r="B300" s="2" t="s">
        <v>872</v>
      </c>
      <c r="C300" s="2" t="s">
        <v>172</v>
      </c>
      <c r="D300" s="6">
        <f t="shared" si="7"/>
        <v>1</v>
      </c>
      <c r="E300" s="7" t="str">
        <f t="shared" si="8"/>
        <v>UtilityParameter</v>
      </c>
      <c r="F300" s="8" t="b">
        <f>IF(D300&lt;1,FALSE,ISERROR(MATCH(E300,'Ontology and concepts per UC'!$A$2:$A$62,0)))</f>
        <v>1</v>
      </c>
      <c r="G300" s="9" t="str">
        <f t="shared" si="9"/>
        <v/>
      </c>
      <c r="H300" s="9" t="str">
        <f t="shared" si="10"/>
        <v/>
      </c>
      <c r="I300" s="8" t="b">
        <f>IF(D300&lt;2,FALSE,ISERROR(MATCH(H300,'Ontology and concepts per UC'!$A$2:$A$62,0)))</f>
        <v>0</v>
      </c>
      <c r="J300" s="9" t="str">
        <f t="shared" si="11"/>
        <v/>
      </c>
      <c r="K300" s="8" t="b">
        <f>IF(D300&lt;3,FALSE,ISERROR(MATCH(J300,'Ontology and concepts per UC'!$A$2:$A$62,0)))</f>
        <v>0</v>
      </c>
      <c r="L300" s="2"/>
      <c r="M300" s="2" t="s">
        <v>873</v>
      </c>
      <c r="N300" s="2"/>
      <c r="O300" s="1" t="b">
        <v>0</v>
      </c>
      <c r="P300" s="1">
        <v>1</v>
      </c>
      <c r="Q300" s="1">
        <v>0</v>
      </c>
      <c r="R300" s="1" t="b">
        <f t="shared" si="12"/>
        <v>0</v>
      </c>
      <c r="S300" s="2" t="s">
        <v>107</v>
      </c>
      <c r="T300" s="1" t="str">
        <f>IF(S300="","",VLOOKUP(S300,'Ontology and concepts per UC'!$F$2:$J$46,5,FALSE))</f>
        <v>Parcial</v>
      </c>
      <c r="U300" s="1" t="b">
        <f t="array" ref="U300">(INDEX('Ontology and concepts per UC'!$G$2:$I$46,MATCH($S300,'Ontology and concepts per UC'!$F$2:$F$46,0),MATCH(LEFT($A300,3),'Ontology and concepts per UC'!$G$1:$I$1,0))=0)</f>
        <v>0</v>
      </c>
      <c r="V300" s="1" t="b">
        <f t="shared" si="13"/>
        <v>1</v>
      </c>
      <c r="W300" s="1" t="b">
        <v>1</v>
      </c>
      <c r="X300" s="1" t="b">
        <v>0</v>
      </c>
      <c r="Y300" s="1" t="b">
        <v>0</v>
      </c>
      <c r="Z300" s="1" t="b">
        <v>0</v>
      </c>
      <c r="AA300" s="1" t="s">
        <v>175</v>
      </c>
    </row>
    <row r="301" spans="1:27" x14ac:dyDescent="0.25">
      <c r="A301" s="1" t="s">
        <v>652</v>
      </c>
      <c r="B301" s="2" t="s">
        <v>874</v>
      </c>
      <c r="C301" s="2" t="s">
        <v>172</v>
      </c>
      <c r="D301" s="6">
        <f t="shared" si="7"/>
        <v>1</v>
      </c>
      <c r="E301" s="7" t="str">
        <f t="shared" si="8"/>
        <v>UtilityParameter</v>
      </c>
      <c r="F301" s="8" t="b">
        <f>IF(D301&lt;1,FALSE,ISERROR(MATCH(E301,'Ontology and concepts per UC'!$A$2:$A$62,0)))</f>
        <v>1</v>
      </c>
      <c r="G301" s="9" t="str">
        <f t="shared" si="9"/>
        <v/>
      </c>
      <c r="H301" s="9" t="str">
        <f t="shared" si="10"/>
        <v/>
      </c>
      <c r="I301" s="8" t="b">
        <f>IF(D301&lt;2,FALSE,ISERROR(MATCH(H301,'Ontology and concepts per UC'!$A$2:$A$62,0)))</f>
        <v>0</v>
      </c>
      <c r="J301" s="9" t="str">
        <f t="shared" si="11"/>
        <v/>
      </c>
      <c r="K301" s="8" t="b">
        <f>IF(D301&lt;3,FALSE,ISERROR(MATCH(J301,'Ontology and concepts per UC'!$A$2:$A$62,0)))</f>
        <v>0</v>
      </c>
      <c r="L301" s="2"/>
      <c r="M301" s="2" t="s">
        <v>875</v>
      </c>
      <c r="N301" s="2"/>
      <c r="O301" s="1" t="b">
        <v>0</v>
      </c>
      <c r="P301" s="1">
        <v>1</v>
      </c>
      <c r="Q301" s="1">
        <v>0</v>
      </c>
      <c r="R301" s="1" t="b">
        <f t="shared" si="12"/>
        <v>0</v>
      </c>
      <c r="S301" s="2" t="s">
        <v>20</v>
      </c>
      <c r="T301" s="1" t="str">
        <f>IF(S301="","",VLOOKUP(S301,'Ontology and concepts per UC'!$F$2:$J$46,5,FALSE))</f>
        <v>Modelo Conceptual</v>
      </c>
      <c r="U301" s="1" t="b">
        <f t="array" ref="U301">(INDEX('Ontology and concepts per UC'!$G$2:$I$46,MATCH($S301,'Ontology and concepts per UC'!$F$2:$F$46,0),MATCH(LEFT($A301,3),'Ontology and concepts per UC'!$G$1:$I$1,0))=0)</f>
        <v>0</v>
      </c>
      <c r="V301" s="1" t="b">
        <f t="shared" si="13"/>
        <v>1</v>
      </c>
      <c r="W301" s="1" t="b">
        <v>1</v>
      </c>
      <c r="X301" s="1" t="b">
        <v>0</v>
      </c>
      <c r="Y301" s="1" t="b">
        <v>0</v>
      </c>
      <c r="Z301" s="1" t="b">
        <v>0</v>
      </c>
      <c r="AA301" s="1" t="s">
        <v>175</v>
      </c>
    </row>
    <row r="302" spans="1:27" x14ac:dyDescent="0.25">
      <c r="A302" s="1" t="s">
        <v>652</v>
      </c>
      <c r="B302" s="2" t="s">
        <v>876</v>
      </c>
      <c r="C302" s="2" t="s">
        <v>172</v>
      </c>
      <c r="D302" s="6">
        <f t="shared" si="7"/>
        <v>1</v>
      </c>
      <c r="E302" s="7" t="str">
        <f t="shared" si="8"/>
        <v>UtilityParameter</v>
      </c>
      <c r="F302" s="8" t="b">
        <f>IF(D302&lt;1,FALSE,ISERROR(MATCH(E302,'Ontology and concepts per UC'!$A$2:$A$62,0)))</f>
        <v>1</v>
      </c>
      <c r="G302" s="9" t="str">
        <f t="shared" si="9"/>
        <v/>
      </c>
      <c r="H302" s="9" t="str">
        <f t="shared" si="10"/>
        <v/>
      </c>
      <c r="I302" s="8" t="b">
        <f>IF(D302&lt;2,FALSE,ISERROR(MATCH(H302,'Ontology and concepts per UC'!$A$2:$A$62,0)))</f>
        <v>0</v>
      </c>
      <c r="J302" s="9" t="str">
        <f t="shared" si="11"/>
        <v/>
      </c>
      <c r="K302" s="8" t="b">
        <f>IF(D302&lt;3,FALSE,ISERROR(MATCH(J302,'Ontology and concepts per UC'!$A$2:$A$62,0)))</f>
        <v>0</v>
      </c>
      <c r="L302" s="2"/>
      <c r="M302" s="2" t="s">
        <v>877</v>
      </c>
      <c r="N302" s="2"/>
      <c r="O302" s="1" t="b">
        <v>0</v>
      </c>
      <c r="P302" s="1">
        <v>1</v>
      </c>
      <c r="Q302" s="1">
        <v>0</v>
      </c>
      <c r="R302" s="1" t="b">
        <f t="shared" si="12"/>
        <v>1</v>
      </c>
      <c r="S302" s="2" t="s">
        <v>20</v>
      </c>
      <c r="T302" s="1" t="str">
        <f>IF(S302="","",VLOOKUP(S302,'Ontology and concepts per UC'!$F$2:$J$46,5,FALSE))</f>
        <v>Modelo Conceptual</v>
      </c>
      <c r="U302" s="1" t="b">
        <f t="array" ref="U302">(INDEX('Ontology and concepts per UC'!$G$2:$I$46,MATCH($S302,'Ontology and concepts per UC'!$F$2:$F$46,0),MATCH(LEFT($A302,3),'Ontology and concepts per UC'!$G$1:$I$1,0))=0)</f>
        <v>0</v>
      </c>
      <c r="V302" s="1" t="b">
        <f t="shared" si="13"/>
        <v>1</v>
      </c>
      <c r="W302" s="1" t="b">
        <v>1</v>
      </c>
      <c r="X302" s="1" t="b">
        <v>0</v>
      </c>
      <c r="Y302" s="1" t="b">
        <v>0</v>
      </c>
      <c r="Z302" s="1" t="b">
        <v>1</v>
      </c>
      <c r="AA302" s="1" t="s">
        <v>854</v>
      </c>
    </row>
    <row r="303" spans="1:27" x14ac:dyDescent="0.25">
      <c r="A303" s="1" t="s">
        <v>652</v>
      </c>
      <c r="B303" s="2" t="s">
        <v>878</v>
      </c>
      <c r="C303" s="2" t="s">
        <v>172</v>
      </c>
      <c r="D303" s="6">
        <f t="shared" si="7"/>
        <v>1</v>
      </c>
      <c r="E303" s="7" t="str">
        <f t="shared" si="8"/>
        <v>UtilityParameter</v>
      </c>
      <c r="F303" s="8" t="b">
        <f>IF(D303&lt;1,FALSE,ISERROR(MATCH(E303,'Ontology and concepts per UC'!$A$2:$A$62,0)))</f>
        <v>1</v>
      </c>
      <c r="G303" s="9" t="str">
        <f t="shared" si="9"/>
        <v/>
      </c>
      <c r="H303" s="9" t="str">
        <f t="shared" si="10"/>
        <v/>
      </c>
      <c r="I303" s="8" t="b">
        <f>IF(D303&lt;2,FALSE,ISERROR(MATCH(H303,'Ontology and concepts per UC'!$A$2:$A$62,0)))</f>
        <v>0</v>
      </c>
      <c r="J303" s="9" t="str">
        <f t="shared" si="11"/>
        <v/>
      </c>
      <c r="K303" s="8" t="b">
        <f>IF(D303&lt;3,FALSE,ISERROR(MATCH(J303,'Ontology and concepts per UC'!$A$2:$A$62,0)))</f>
        <v>0</v>
      </c>
      <c r="L303" s="2"/>
      <c r="M303" s="2" t="s">
        <v>879</v>
      </c>
      <c r="N303" s="2"/>
      <c r="O303" s="1" t="b">
        <v>0</v>
      </c>
      <c r="P303" s="1">
        <v>1</v>
      </c>
      <c r="Q303" s="1">
        <v>0</v>
      </c>
      <c r="R303" s="1" t="b">
        <f t="shared" si="12"/>
        <v>1</v>
      </c>
      <c r="S303" s="2" t="s">
        <v>174</v>
      </c>
      <c r="T303" s="1" t="str">
        <f>IF(S303="","",VLOOKUP(S303,'Ontology and concepts per UC'!$F$2:$J$46,5,FALSE))</f>
        <v>Utilidad</v>
      </c>
      <c r="U303" s="1" t="b">
        <f t="array" ref="U303">(INDEX('Ontology and concepts per UC'!$G$2:$I$46,MATCH($S303,'Ontology and concepts per UC'!$F$2:$F$46,0),MATCH(LEFT($A303,3),'Ontology and concepts per UC'!$G$1:$I$1,0))=0)</f>
        <v>0</v>
      </c>
      <c r="V303" s="1" t="b">
        <f t="shared" si="13"/>
        <v>1</v>
      </c>
      <c r="W303" s="1" t="b">
        <v>1</v>
      </c>
      <c r="X303" s="1" t="b">
        <v>0</v>
      </c>
      <c r="Y303" s="1" t="b">
        <v>0</v>
      </c>
      <c r="Z303" s="1" t="b">
        <v>1</v>
      </c>
      <c r="AA303" s="1" t="s">
        <v>854</v>
      </c>
    </row>
    <row r="304" spans="1:27" x14ac:dyDescent="0.25">
      <c r="A304" s="1" t="s">
        <v>652</v>
      </c>
      <c r="B304" s="2" t="s">
        <v>880</v>
      </c>
      <c r="C304" s="2"/>
      <c r="D304" s="6">
        <f t="shared" si="7"/>
        <v>0</v>
      </c>
      <c r="E304" s="7">
        <f t="shared" si="8"/>
        <v>0</v>
      </c>
      <c r="F304" s="8" t="b">
        <f>IF(D304&lt;1,FALSE,ISERROR(MATCH(E304,'Ontology and concepts per UC'!$A$2:$A$62,0)))</f>
        <v>0</v>
      </c>
      <c r="G304" s="9" t="str">
        <f t="shared" si="9"/>
        <v/>
      </c>
      <c r="H304" s="9" t="str">
        <f t="shared" si="10"/>
        <v/>
      </c>
      <c r="I304" s="8" t="b">
        <f>IF(D304&lt;2,FALSE,ISERROR(MATCH(H304,'Ontology and concepts per UC'!$A$2:$A$62,0)))</f>
        <v>0</v>
      </c>
      <c r="J304" s="9" t="str">
        <f t="shared" si="11"/>
        <v/>
      </c>
      <c r="K304" s="8" t="b">
        <f>IF(D304&lt;3,FALSE,ISERROR(MATCH(J304,'Ontology and concepts per UC'!$A$2:$A$62,0)))</f>
        <v>0</v>
      </c>
      <c r="L304" s="2" t="s">
        <v>881</v>
      </c>
      <c r="M304" s="2"/>
      <c r="N304" s="2"/>
      <c r="O304" s="1" t="b">
        <v>1</v>
      </c>
      <c r="P304" s="1">
        <v>0</v>
      </c>
      <c r="Q304" s="1">
        <v>1</v>
      </c>
      <c r="R304" s="1" t="b">
        <f t="shared" si="12"/>
        <v>0</v>
      </c>
      <c r="S304" s="2" t="s">
        <v>187</v>
      </c>
      <c r="T304" s="1" t="str">
        <f>IF(S304="","",VLOOKUP(S304,'Ontology and concepts per UC'!$F$2:$J$46,5,FALSE))</f>
        <v>Otros</v>
      </c>
      <c r="U304" s="1" t="b">
        <f t="array" ref="U304">(INDEX('Ontology and concepts per UC'!$G$2:$I$46,MATCH($S304,'Ontology and concepts per UC'!$F$2:$F$46,0),MATCH(LEFT($A304,3),'Ontology and concepts per UC'!$G$1:$I$1,0))=0)</f>
        <v>1</v>
      </c>
      <c r="V304" s="1" t="b">
        <f t="shared" si="13"/>
        <v>1</v>
      </c>
      <c r="W304" s="1" t="b">
        <v>1</v>
      </c>
      <c r="X304" s="1" t="b">
        <v>0</v>
      </c>
      <c r="Y304" s="1" t="b">
        <v>0</v>
      </c>
      <c r="Z304" s="1" t="b">
        <v>0</v>
      </c>
      <c r="AA304" s="1" t="s">
        <v>882</v>
      </c>
    </row>
    <row r="305" spans="1:27" x14ac:dyDescent="0.25">
      <c r="A305" s="1" t="s">
        <v>883</v>
      </c>
      <c r="B305" s="2" t="s">
        <v>884</v>
      </c>
      <c r="C305" s="2" t="s">
        <v>192</v>
      </c>
      <c r="D305" s="6">
        <f t="shared" si="7"/>
        <v>1</v>
      </c>
      <c r="E305" s="7" t="str">
        <f t="shared" si="8"/>
        <v>AcuteManifestation</v>
      </c>
      <c r="F305" s="8" t="b">
        <f>IF(D305&lt;1,FALSE,ISERROR(MATCH(E305,'Ontology and concepts per UC'!$A$2:$A$62,0)))</f>
        <v>0</v>
      </c>
      <c r="G305" s="9" t="str">
        <f t="shared" si="9"/>
        <v/>
      </c>
      <c r="H305" s="9" t="str">
        <f t="shared" si="10"/>
        <v/>
      </c>
      <c r="I305" s="8" t="b">
        <f>IF(D305&lt;2,FALSE,ISERROR(MATCH(H305,'Ontology and concepts per UC'!$A$2:$A$62,0)))</f>
        <v>0</v>
      </c>
      <c r="J305" s="9" t="str">
        <f t="shared" si="11"/>
        <v/>
      </c>
      <c r="K305" s="8" t="b">
        <f>IF(D305&lt;3,FALSE,ISERROR(MATCH(J305,'Ontology and concepts per UC'!$A$2:$A$62,0)))</f>
        <v>0</v>
      </c>
      <c r="L305" s="2"/>
      <c r="M305" s="2" t="s">
        <v>885</v>
      </c>
      <c r="N305" s="2"/>
      <c r="O305" s="1" t="b">
        <v>0</v>
      </c>
      <c r="P305" s="1">
        <v>0</v>
      </c>
      <c r="Q305" s="1">
        <v>0</v>
      </c>
      <c r="R305" s="1" t="b">
        <f t="shared" si="12"/>
        <v>1</v>
      </c>
      <c r="S305" s="2" t="s">
        <v>325</v>
      </c>
      <c r="T305" s="1" t="str">
        <f>IF(S305="","",VLOOKUP(S305,'Ontology and concepts per UC'!$F$2:$J$46,5,FALSE))</f>
        <v>Modelo Conceptual</v>
      </c>
      <c r="U305" s="1" t="b">
        <f t="array" ref="U305">(INDEX('Ontology and concepts per UC'!$G$2:$I$46,MATCH($S305,'Ontology and concepts per UC'!$F$2:$F$46,0),MATCH(LEFT($A305,3),'Ontology and concepts per UC'!$G$1:$I$1,0))=0)</f>
        <v>0</v>
      </c>
      <c r="V305" s="1" t="b">
        <f t="shared" si="13"/>
        <v>0</v>
      </c>
      <c r="W305" s="1" t="b">
        <v>0</v>
      </c>
      <c r="X305" s="1" t="b">
        <v>0</v>
      </c>
      <c r="Y305" s="1" t="b">
        <v>0</v>
      </c>
      <c r="Z305" s="1" t="b">
        <v>0</v>
      </c>
      <c r="AA305" s="1"/>
    </row>
    <row r="306" spans="1:27" x14ac:dyDescent="0.25">
      <c r="A306" s="1" t="s">
        <v>883</v>
      </c>
      <c r="B306" s="2" t="s">
        <v>886</v>
      </c>
      <c r="C306" s="2" t="s">
        <v>192</v>
      </c>
      <c r="D306" s="6">
        <f t="shared" si="7"/>
        <v>1</v>
      </c>
      <c r="E306" s="7" t="str">
        <f t="shared" si="8"/>
        <v>AcuteManifestation</v>
      </c>
      <c r="F306" s="8" t="b">
        <f>IF(D306&lt;1,FALSE,ISERROR(MATCH(E306,'Ontology and concepts per UC'!$A$2:$A$62,0)))</f>
        <v>0</v>
      </c>
      <c r="G306" s="9" t="str">
        <f t="shared" si="9"/>
        <v/>
      </c>
      <c r="H306" s="9" t="str">
        <f t="shared" si="10"/>
        <v/>
      </c>
      <c r="I306" s="8" t="b">
        <f>IF(D306&lt;2,FALSE,ISERROR(MATCH(H306,'Ontology and concepts per UC'!$A$2:$A$62,0)))</f>
        <v>0</v>
      </c>
      <c r="J306" s="9" t="str">
        <f t="shared" si="11"/>
        <v/>
      </c>
      <c r="K306" s="8" t="b">
        <f>IF(D306&lt;3,FALSE,ISERROR(MATCH(J306,'Ontology and concepts per UC'!$A$2:$A$62,0)))</f>
        <v>0</v>
      </c>
      <c r="L306" s="2"/>
      <c r="M306" s="2" t="s">
        <v>887</v>
      </c>
      <c r="N306" s="2"/>
      <c r="O306" s="1" t="b">
        <v>0</v>
      </c>
      <c r="P306" s="1">
        <v>0</v>
      </c>
      <c r="Q306" s="1">
        <v>0</v>
      </c>
      <c r="R306" s="1" t="b">
        <f t="shared" si="12"/>
        <v>1</v>
      </c>
      <c r="S306" s="2" t="s">
        <v>325</v>
      </c>
      <c r="T306" s="1" t="str">
        <f>IF(S306="","",VLOOKUP(S306,'Ontology and concepts per UC'!$F$2:$J$46,5,FALSE))</f>
        <v>Modelo Conceptual</v>
      </c>
      <c r="U306" s="1" t="b">
        <f t="array" ref="U306">(INDEX('Ontology and concepts per UC'!$G$2:$I$46,MATCH($S306,'Ontology and concepts per UC'!$F$2:$F$46,0),MATCH(LEFT($A306,3),'Ontology and concepts per UC'!$G$1:$I$1,0))=0)</f>
        <v>0</v>
      </c>
      <c r="V306" s="1" t="b">
        <f t="shared" si="13"/>
        <v>0</v>
      </c>
      <c r="W306" s="1" t="b">
        <v>0</v>
      </c>
      <c r="X306" s="1" t="b">
        <v>0</v>
      </c>
      <c r="Y306" s="1" t="b">
        <v>0</v>
      </c>
      <c r="Z306" s="1" t="b">
        <v>0</v>
      </c>
      <c r="AA306" s="1"/>
    </row>
    <row r="307" spans="1:27" x14ac:dyDescent="0.25">
      <c r="A307" s="1" t="s">
        <v>883</v>
      </c>
      <c r="B307" s="2" t="s">
        <v>888</v>
      </c>
      <c r="C307" s="2" t="s">
        <v>192</v>
      </c>
      <c r="D307" s="6">
        <f t="shared" si="7"/>
        <v>1</v>
      </c>
      <c r="E307" s="7" t="str">
        <f t="shared" si="8"/>
        <v>AcuteManifestation</v>
      </c>
      <c r="F307" s="8" t="b">
        <f>IF(D307&lt;1,FALSE,ISERROR(MATCH(E307,'Ontology and concepts per UC'!$A$2:$A$62,0)))</f>
        <v>0</v>
      </c>
      <c r="G307" s="9" t="str">
        <f t="shared" si="9"/>
        <v/>
      </c>
      <c r="H307" s="9" t="str">
        <f t="shared" si="10"/>
        <v/>
      </c>
      <c r="I307" s="8" t="b">
        <f>IF(D307&lt;2,FALSE,ISERROR(MATCH(H307,'Ontology and concepts per UC'!$A$2:$A$62,0)))</f>
        <v>0</v>
      </c>
      <c r="J307" s="9" t="str">
        <f t="shared" si="11"/>
        <v/>
      </c>
      <c r="K307" s="8" t="b">
        <f>IF(D307&lt;3,FALSE,ISERROR(MATCH(J307,'Ontology and concepts per UC'!$A$2:$A$62,0)))</f>
        <v>0</v>
      </c>
      <c r="L307" s="2"/>
      <c r="M307" s="2" t="s">
        <v>889</v>
      </c>
      <c r="N307" s="2"/>
      <c r="O307" s="1" t="b">
        <v>0</v>
      </c>
      <c r="P307" s="1">
        <v>0</v>
      </c>
      <c r="Q307" s="1">
        <v>0</v>
      </c>
      <c r="R307" s="1" t="b">
        <f t="shared" si="12"/>
        <v>1</v>
      </c>
      <c r="S307" s="2" t="s">
        <v>31</v>
      </c>
      <c r="T307" s="1" t="str">
        <f>IF(S307="","",VLOOKUP(S307,'Ontology and concepts per UC'!$F$2:$J$46,5,FALSE))</f>
        <v>Modelo Conceptual</v>
      </c>
      <c r="U307" s="1" t="b">
        <f t="array" ref="U307">(INDEX('Ontology and concepts per UC'!$G$2:$I$46,MATCH($S307,'Ontology and concepts per UC'!$F$2:$F$46,0),MATCH(LEFT($A307,3),'Ontology and concepts per UC'!$G$1:$I$1,0))=0)</f>
        <v>0</v>
      </c>
      <c r="V307" s="1" t="b">
        <f t="shared" si="13"/>
        <v>0</v>
      </c>
      <c r="W307" s="1" t="b">
        <v>0</v>
      </c>
      <c r="X307" s="1" t="b">
        <v>0</v>
      </c>
      <c r="Y307" s="1" t="b">
        <v>0</v>
      </c>
      <c r="Z307" s="1" t="b">
        <v>0</v>
      </c>
      <c r="AA307" s="1"/>
    </row>
    <row r="308" spans="1:27" x14ac:dyDescent="0.25">
      <c r="A308" s="1" t="s">
        <v>883</v>
      </c>
      <c r="B308" s="2" t="s">
        <v>890</v>
      </c>
      <c r="C308" s="2" t="s">
        <v>192</v>
      </c>
      <c r="D308" s="6">
        <f t="shared" si="7"/>
        <v>1</v>
      </c>
      <c r="E308" s="7" t="str">
        <f t="shared" si="8"/>
        <v>AcuteManifestation</v>
      </c>
      <c r="F308" s="8" t="b">
        <f>IF(D308&lt;1,FALSE,ISERROR(MATCH(E308,'Ontology and concepts per UC'!$A$2:$A$62,0)))</f>
        <v>0</v>
      </c>
      <c r="G308" s="9" t="str">
        <f t="shared" si="9"/>
        <v/>
      </c>
      <c r="H308" s="9" t="str">
        <f t="shared" si="10"/>
        <v/>
      </c>
      <c r="I308" s="8" t="b">
        <f>IF(D308&lt;2,FALSE,ISERROR(MATCH(H308,'Ontology and concepts per UC'!$A$2:$A$62,0)))</f>
        <v>0</v>
      </c>
      <c r="J308" s="9" t="str">
        <f t="shared" si="11"/>
        <v/>
      </c>
      <c r="K308" s="8" t="b">
        <f>IF(D308&lt;3,FALSE,ISERROR(MATCH(J308,'Ontology and concepts per UC'!$A$2:$A$62,0)))</f>
        <v>0</v>
      </c>
      <c r="L308" s="2"/>
      <c r="M308" s="2" t="s">
        <v>891</v>
      </c>
      <c r="N308" s="2"/>
      <c r="O308" s="1" t="b">
        <v>0</v>
      </c>
      <c r="P308" s="1">
        <v>0</v>
      </c>
      <c r="Q308" s="1">
        <v>0</v>
      </c>
      <c r="R308" s="1" t="b">
        <f t="shared" si="12"/>
        <v>1</v>
      </c>
      <c r="S308" s="2" t="s">
        <v>28</v>
      </c>
      <c r="T308" s="1" t="str">
        <f>IF(S308="","",VLOOKUP(S308,'Ontology and concepts per UC'!$F$2:$J$46,5,FALSE))</f>
        <v>Modelo Conceptual</v>
      </c>
      <c r="U308" s="1" t="b">
        <f t="array" ref="U308">(INDEX('Ontology and concepts per UC'!$G$2:$I$46,MATCH($S308,'Ontology and concepts per UC'!$F$2:$F$46,0),MATCH(LEFT($A308,3),'Ontology and concepts per UC'!$G$1:$I$1,0))=0)</f>
        <v>0</v>
      </c>
      <c r="V308" s="1" t="b">
        <f t="shared" si="13"/>
        <v>0</v>
      </c>
      <c r="W308" s="1" t="b">
        <v>0</v>
      </c>
      <c r="X308" s="1" t="b">
        <v>0</v>
      </c>
      <c r="Y308" s="1" t="b">
        <v>0</v>
      </c>
      <c r="Z308" s="1" t="b">
        <v>0</v>
      </c>
      <c r="AA308" s="1"/>
    </row>
    <row r="309" spans="1:27" x14ac:dyDescent="0.25">
      <c r="A309" s="1" t="s">
        <v>883</v>
      </c>
      <c r="B309" s="2" t="s">
        <v>892</v>
      </c>
      <c r="C309" s="2" t="s">
        <v>192</v>
      </c>
      <c r="D309" s="6">
        <f t="shared" si="7"/>
        <v>1</v>
      </c>
      <c r="E309" s="7" t="str">
        <f t="shared" si="8"/>
        <v>AcuteManifestation</v>
      </c>
      <c r="F309" s="8" t="b">
        <f>IF(D309&lt;1,FALSE,ISERROR(MATCH(E309,'Ontology and concepts per UC'!$A$2:$A$62,0)))</f>
        <v>0</v>
      </c>
      <c r="G309" s="9" t="str">
        <f t="shared" si="9"/>
        <v/>
      </c>
      <c r="H309" s="9" t="str">
        <f t="shared" si="10"/>
        <v/>
      </c>
      <c r="I309" s="8" t="b">
        <f>IF(D309&lt;2,FALSE,ISERROR(MATCH(H309,'Ontology and concepts per UC'!$A$2:$A$62,0)))</f>
        <v>0</v>
      </c>
      <c r="J309" s="9" t="str">
        <f t="shared" si="11"/>
        <v/>
      </c>
      <c r="K309" s="8" t="b">
        <f>IF(D309&lt;3,FALSE,ISERROR(MATCH(J309,'Ontology and concepts per UC'!$A$2:$A$62,0)))</f>
        <v>0</v>
      </c>
      <c r="L309" s="2"/>
      <c r="M309" s="2" t="s">
        <v>893</v>
      </c>
      <c r="N309" s="2"/>
      <c r="O309" s="1" t="b">
        <v>0</v>
      </c>
      <c r="P309" s="1">
        <v>0</v>
      </c>
      <c r="Q309" s="1">
        <v>0</v>
      </c>
      <c r="R309" s="1" t="b">
        <f t="shared" si="12"/>
        <v>1</v>
      </c>
      <c r="S309" s="2" t="s">
        <v>325</v>
      </c>
      <c r="T309" s="1" t="str">
        <f>IF(S309="","",VLOOKUP(S309,'Ontology and concepts per UC'!$F$2:$J$46,5,FALSE))</f>
        <v>Modelo Conceptual</v>
      </c>
      <c r="U309" s="1" t="b">
        <f t="array" ref="U309">(INDEX('Ontology and concepts per UC'!$G$2:$I$46,MATCH($S309,'Ontology and concepts per UC'!$F$2:$F$46,0),MATCH(LEFT($A309,3),'Ontology and concepts per UC'!$G$1:$I$1,0))=0)</f>
        <v>0</v>
      </c>
      <c r="V309" s="1" t="b">
        <f t="shared" si="13"/>
        <v>0</v>
      </c>
      <c r="W309" s="1" t="b">
        <v>0</v>
      </c>
      <c r="X309" s="1" t="b">
        <v>0</v>
      </c>
      <c r="Y309" s="1" t="b">
        <v>0</v>
      </c>
      <c r="Z309" s="1" t="b">
        <v>0</v>
      </c>
      <c r="AA309" s="1"/>
    </row>
    <row r="310" spans="1:27" x14ac:dyDescent="0.25">
      <c r="A310" s="1" t="s">
        <v>883</v>
      </c>
      <c r="B310" s="2" t="s">
        <v>894</v>
      </c>
      <c r="C310" s="2" t="s">
        <v>192</v>
      </c>
      <c r="D310" s="6">
        <f t="shared" si="7"/>
        <v>1</v>
      </c>
      <c r="E310" s="7" t="str">
        <f t="shared" si="8"/>
        <v>AcuteManifestation</v>
      </c>
      <c r="F310" s="8" t="b">
        <f>IF(D310&lt;1,FALSE,ISERROR(MATCH(E310,'Ontology and concepts per UC'!$A$2:$A$62,0)))</f>
        <v>0</v>
      </c>
      <c r="G310" s="9" t="str">
        <f t="shared" si="9"/>
        <v/>
      </c>
      <c r="H310" s="9" t="str">
        <f t="shared" si="10"/>
        <v/>
      </c>
      <c r="I310" s="8" t="b">
        <f>IF(D310&lt;2,FALSE,ISERROR(MATCH(H310,'Ontology and concepts per UC'!$A$2:$A$62,0)))</f>
        <v>0</v>
      </c>
      <c r="J310" s="9" t="str">
        <f t="shared" si="11"/>
        <v/>
      </c>
      <c r="K310" s="8" t="b">
        <f>IF(D310&lt;3,FALSE,ISERROR(MATCH(J310,'Ontology and concepts per UC'!$A$2:$A$62,0)))</f>
        <v>0</v>
      </c>
      <c r="L310" s="2"/>
      <c r="M310" s="2" t="s">
        <v>895</v>
      </c>
      <c r="N310" s="2"/>
      <c r="O310" s="1" t="b">
        <v>0</v>
      </c>
      <c r="P310" s="1">
        <v>0</v>
      </c>
      <c r="Q310" s="1">
        <v>0</v>
      </c>
      <c r="R310" s="1" t="b">
        <f t="shared" si="12"/>
        <v>1</v>
      </c>
      <c r="S310" s="2" t="s">
        <v>30</v>
      </c>
      <c r="T310" s="1" t="str">
        <f>IF(S310="","",VLOOKUP(S310,'Ontology and concepts per UC'!$F$2:$J$46,5,FALSE))</f>
        <v>Modelo Conceptual</v>
      </c>
      <c r="U310" s="1" t="b">
        <f t="array" ref="U310">(INDEX('Ontology and concepts per UC'!$G$2:$I$46,MATCH($S310,'Ontology and concepts per UC'!$F$2:$F$46,0),MATCH(LEFT($A310,3),'Ontology and concepts per UC'!$G$1:$I$1,0))=0)</f>
        <v>0</v>
      </c>
      <c r="V310" s="1" t="b">
        <f t="shared" si="13"/>
        <v>0</v>
      </c>
      <c r="W310" s="1" t="b">
        <v>0</v>
      </c>
      <c r="X310" s="1" t="b">
        <v>0</v>
      </c>
      <c r="Y310" s="1" t="b">
        <v>0</v>
      </c>
      <c r="Z310" s="1" t="b">
        <v>0</v>
      </c>
      <c r="AA310" s="1"/>
    </row>
    <row r="311" spans="1:27" x14ac:dyDescent="0.25">
      <c r="A311" s="1" t="s">
        <v>883</v>
      </c>
      <c r="B311" s="2" t="s">
        <v>896</v>
      </c>
      <c r="C311" s="2" t="s">
        <v>27</v>
      </c>
      <c r="D311" s="6">
        <f t="shared" si="7"/>
        <v>1</v>
      </c>
      <c r="E311" s="7" t="str">
        <f t="shared" si="8"/>
        <v>ChronicManifestation</v>
      </c>
      <c r="F311" s="8" t="b">
        <f>IF(D311&lt;1,FALSE,ISERROR(MATCH(E311,'Ontology and concepts per UC'!$A$2:$A$62,0)))</f>
        <v>0</v>
      </c>
      <c r="G311" s="9" t="str">
        <f t="shared" si="9"/>
        <v/>
      </c>
      <c r="H311" s="9" t="str">
        <f t="shared" si="10"/>
        <v/>
      </c>
      <c r="I311" s="8" t="b">
        <f>IF(D311&lt;2,FALSE,ISERROR(MATCH(H311,'Ontology and concepts per UC'!$A$2:$A$62,0)))</f>
        <v>0</v>
      </c>
      <c r="J311" s="9" t="str">
        <f t="shared" si="11"/>
        <v/>
      </c>
      <c r="K311" s="8" t="b">
        <f>IF(D311&lt;3,FALSE,ISERROR(MATCH(J311,'Ontology and concepts per UC'!$A$2:$A$62,0)))</f>
        <v>0</v>
      </c>
      <c r="L311" s="2"/>
      <c r="M311" s="2" t="s">
        <v>897</v>
      </c>
      <c r="N311" s="2"/>
      <c r="O311" s="1" t="b">
        <v>0</v>
      </c>
      <c r="P311" s="1">
        <v>0</v>
      </c>
      <c r="Q311" s="1">
        <v>0</v>
      </c>
      <c r="R311" s="1" t="b">
        <f t="shared" si="12"/>
        <v>1</v>
      </c>
      <c r="S311" s="2" t="s">
        <v>325</v>
      </c>
      <c r="T311" s="1" t="str">
        <f>IF(S311="","",VLOOKUP(S311,'Ontology and concepts per UC'!$F$2:$J$46,5,FALSE))</f>
        <v>Modelo Conceptual</v>
      </c>
      <c r="U311" s="1" t="b">
        <f t="array" ref="U311">(INDEX('Ontology and concepts per UC'!$G$2:$I$46,MATCH($S311,'Ontology and concepts per UC'!$F$2:$F$46,0),MATCH(LEFT($A311,3),'Ontology and concepts per UC'!$G$1:$I$1,0))=0)</f>
        <v>0</v>
      </c>
      <c r="V311" s="1" t="b">
        <f t="shared" si="13"/>
        <v>0</v>
      </c>
      <c r="W311" s="1" t="b">
        <v>0</v>
      </c>
      <c r="X311" s="1" t="b">
        <v>0</v>
      </c>
      <c r="Y311" s="1" t="b">
        <v>0</v>
      </c>
      <c r="Z311" s="1" t="b">
        <v>0</v>
      </c>
    </row>
    <row r="312" spans="1:27" x14ac:dyDescent="0.25">
      <c r="A312" s="1" t="s">
        <v>883</v>
      </c>
      <c r="B312" s="2" t="s">
        <v>898</v>
      </c>
      <c r="C312" s="2" t="s">
        <v>27</v>
      </c>
      <c r="D312" s="6">
        <f t="shared" si="7"/>
        <v>1</v>
      </c>
      <c r="E312" s="7" t="str">
        <f t="shared" si="8"/>
        <v>ChronicManifestation</v>
      </c>
      <c r="F312" s="8" t="b">
        <f>IF(D312&lt;1,FALSE,ISERROR(MATCH(E312,'Ontology and concepts per UC'!$A$2:$A$62,0)))</f>
        <v>0</v>
      </c>
      <c r="G312" s="9" t="str">
        <f t="shared" si="9"/>
        <v/>
      </c>
      <c r="H312" s="9" t="str">
        <f t="shared" si="10"/>
        <v/>
      </c>
      <c r="I312" s="8" t="b">
        <f>IF(D312&lt;2,FALSE,ISERROR(MATCH(H312,'Ontology and concepts per UC'!$A$2:$A$62,0)))</f>
        <v>0</v>
      </c>
      <c r="J312" s="9" t="str">
        <f t="shared" si="11"/>
        <v/>
      </c>
      <c r="K312" s="8" t="b">
        <f>IF(D312&lt;3,FALSE,ISERROR(MATCH(J312,'Ontology and concepts per UC'!$A$2:$A$62,0)))</f>
        <v>0</v>
      </c>
      <c r="L312" s="2"/>
      <c r="M312" s="2" t="s">
        <v>899</v>
      </c>
      <c r="N312" s="2"/>
      <c r="O312" s="1" t="b">
        <v>0</v>
      </c>
      <c r="P312" s="1">
        <v>0</v>
      </c>
      <c r="Q312" s="1">
        <v>0</v>
      </c>
      <c r="R312" s="1" t="b">
        <f t="shared" si="12"/>
        <v>1</v>
      </c>
      <c r="S312" s="2" t="s">
        <v>29</v>
      </c>
      <c r="T312" s="1" t="str">
        <f>IF(S312="","",VLOOKUP(S312,'Ontology and concepts per UC'!$F$2:$J$46,5,FALSE))</f>
        <v>Modelo Conceptual</v>
      </c>
      <c r="U312" s="1" t="b">
        <f t="array" ref="U312">(INDEX('Ontology and concepts per UC'!$G$2:$I$46,MATCH($S312,'Ontology and concepts per UC'!$F$2:$F$46,0),MATCH(LEFT($A312,3),'Ontology and concepts per UC'!$G$1:$I$1,0))=0)</f>
        <v>0</v>
      </c>
      <c r="V312" s="1" t="b">
        <f t="shared" si="13"/>
        <v>0</v>
      </c>
      <c r="W312" s="1" t="b">
        <v>0</v>
      </c>
      <c r="X312" s="1" t="b">
        <v>0</v>
      </c>
      <c r="Y312" s="1" t="b">
        <v>0</v>
      </c>
      <c r="Z312" s="1" t="b">
        <v>0</v>
      </c>
    </row>
    <row r="313" spans="1:27" x14ac:dyDescent="0.25">
      <c r="A313" s="1" t="s">
        <v>883</v>
      </c>
      <c r="B313" s="2" t="s">
        <v>900</v>
      </c>
      <c r="C313" s="2" t="s">
        <v>27</v>
      </c>
      <c r="D313" s="6">
        <f t="shared" si="7"/>
        <v>1</v>
      </c>
      <c r="E313" s="7" t="str">
        <f t="shared" si="8"/>
        <v>ChronicManifestation</v>
      </c>
      <c r="F313" s="8" t="b">
        <f>IF(D313&lt;1,FALSE,ISERROR(MATCH(E313,'Ontology and concepts per UC'!$A$2:$A$62,0)))</f>
        <v>0</v>
      </c>
      <c r="G313" s="9" t="str">
        <f t="shared" si="9"/>
        <v/>
      </c>
      <c r="H313" s="9" t="str">
        <f t="shared" si="10"/>
        <v/>
      </c>
      <c r="I313" s="8" t="b">
        <f>IF(D313&lt;2,FALSE,ISERROR(MATCH(H313,'Ontology and concepts per UC'!$A$2:$A$62,0)))</f>
        <v>0</v>
      </c>
      <c r="J313" s="9" t="str">
        <f t="shared" si="11"/>
        <v/>
      </c>
      <c r="K313" s="8" t="b">
        <f>IF(D313&lt;3,FALSE,ISERROR(MATCH(J313,'Ontology and concepts per UC'!$A$2:$A$62,0)))</f>
        <v>0</v>
      </c>
      <c r="L313" s="2"/>
      <c r="M313" s="2" t="s">
        <v>901</v>
      </c>
      <c r="N313" s="2"/>
      <c r="O313" s="1" t="b">
        <v>0</v>
      </c>
      <c r="P313" s="1">
        <v>0</v>
      </c>
      <c r="Q313" s="1">
        <v>0</v>
      </c>
      <c r="R313" s="1" t="b">
        <f t="shared" si="12"/>
        <v>1</v>
      </c>
      <c r="S313" s="2" t="s">
        <v>325</v>
      </c>
      <c r="T313" s="1" t="str">
        <f>IF(S313="","",VLOOKUP(S313,'Ontology and concepts per UC'!$F$2:$J$46,5,FALSE))</f>
        <v>Modelo Conceptual</v>
      </c>
      <c r="U313" s="1" t="b">
        <f t="array" ref="U313">(INDEX('Ontology and concepts per UC'!$G$2:$I$46,MATCH($S313,'Ontology and concepts per UC'!$F$2:$F$46,0),MATCH(LEFT($A313,3),'Ontology and concepts per UC'!$G$1:$I$1,0))=0)</f>
        <v>0</v>
      </c>
      <c r="V313" s="1" t="b">
        <f t="shared" si="13"/>
        <v>0</v>
      </c>
      <c r="W313" s="1" t="b">
        <v>0</v>
      </c>
      <c r="X313" s="1" t="b">
        <v>0</v>
      </c>
      <c r="Y313" s="1" t="b">
        <v>0</v>
      </c>
      <c r="Z313" s="1" t="b">
        <v>0</v>
      </c>
    </row>
    <row r="314" spans="1:27" x14ac:dyDescent="0.25">
      <c r="A314" s="1" t="s">
        <v>883</v>
      </c>
      <c r="B314" s="2" t="s">
        <v>902</v>
      </c>
      <c r="C314" s="2" t="s">
        <v>27</v>
      </c>
      <c r="D314" s="6">
        <f t="shared" si="7"/>
        <v>1</v>
      </c>
      <c r="E314" s="7" t="str">
        <f t="shared" si="8"/>
        <v>ChronicManifestation</v>
      </c>
      <c r="F314" s="8" t="b">
        <f>IF(D314&lt;1,FALSE,ISERROR(MATCH(E314,'Ontology and concepts per UC'!$A$2:$A$62,0)))</f>
        <v>0</v>
      </c>
      <c r="G314" s="9" t="str">
        <f t="shared" si="9"/>
        <v/>
      </c>
      <c r="H314" s="9" t="str">
        <f t="shared" si="10"/>
        <v/>
      </c>
      <c r="I314" s="8" t="b">
        <f>IF(D314&lt;2,FALSE,ISERROR(MATCH(H314,'Ontology and concepts per UC'!$A$2:$A$62,0)))</f>
        <v>0</v>
      </c>
      <c r="J314" s="9" t="str">
        <f t="shared" si="11"/>
        <v/>
      </c>
      <c r="K314" s="8" t="b">
        <f>IF(D314&lt;3,FALSE,ISERROR(MATCH(J314,'Ontology and concepts per UC'!$A$2:$A$62,0)))</f>
        <v>0</v>
      </c>
      <c r="L314" s="2"/>
      <c r="M314" s="2" t="s">
        <v>903</v>
      </c>
      <c r="N314" s="2"/>
      <c r="O314" s="1" t="b">
        <v>0</v>
      </c>
      <c r="P314" s="1">
        <v>0</v>
      </c>
      <c r="Q314" s="1">
        <v>0</v>
      </c>
      <c r="R314" s="1" t="b">
        <f t="shared" si="12"/>
        <v>1</v>
      </c>
      <c r="S314" s="2" t="s">
        <v>26</v>
      </c>
      <c r="T314" s="1" t="str">
        <f>IF(S314="","",VLOOKUP(S314,'Ontology and concepts per UC'!$F$2:$J$46,5,FALSE))</f>
        <v>Modelo Conceptual</v>
      </c>
      <c r="U314" s="1" t="b">
        <f t="array" ref="U314">(INDEX('Ontology and concepts per UC'!$G$2:$I$46,MATCH($S314,'Ontology and concepts per UC'!$F$2:$F$46,0),MATCH(LEFT($A314,3),'Ontology and concepts per UC'!$G$1:$I$1,0))=0)</f>
        <v>0</v>
      </c>
      <c r="V314" s="1" t="b">
        <f t="shared" si="13"/>
        <v>0</v>
      </c>
      <c r="W314" s="1" t="b">
        <v>0</v>
      </c>
      <c r="X314" s="1" t="b">
        <v>0</v>
      </c>
      <c r="Y314" s="1" t="b">
        <v>0</v>
      </c>
      <c r="Z314" s="1" t="b">
        <v>0</v>
      </c>
    </row>
    <row r="315" spans="1:27" x14ac:dyDescent="0.25">
      <c r="A315" s="1" t="s">
        <v>883</v>
      </c>
      <c r="B315" s="2" t="s">
        <v>904</v>
      </c>
      <c r="C315" s="2" t="s">
        <v>27</v>
      </c>
      <c r="D315" s="6">
        <f t="shared" si="7"/>
        <v>1</v>
      </c>
      <c r="E315" s="7" t="str">
        <f t="shared" si="8"/>
        <v>ChronicManifestation</v>
      </c>
      <c r="F315" s="8" t="b">
        <f>IF(D315&lt;1,FALSE,ISERROR(MATCH(E315,'Ontology and concepts per UC'!$A$2:$A$62,0)))</f>
        <v>0</v>
      </c>
      <c r="G315" s="9" t="str">
        <f t="shared" si="9"/>
        <v/>
      </c>
      <c r="H315" s="9" t="str">
        <f t="shared" si="10"/>
        <v/>
      </c>
      <c r="I315" s="8" t="b">
        <f>IF(D315&lt;2,FALSE,ISERROR(MATCH(H315,'Ontology and concepts per UC'!$A$2:$A$62,0)))</f>
        <v>0</v>
      </c>
      <c r="J315" s="9" t="str">
        <f t="shared" si="11"/>
        <v/>
      </c>
      <c r="K315" s="8" t="b">
        <f>IF(D315&lt;3,FALSE,ISERROR(MATCH(J315,'Ontology and concepts per UC'!$A$2:$A$62,0)))</f>
        <v>0</v>
      </c>
      <c r="L315" s="2"/>
      <c r="M315" s="2" t="s">
        <v>905</v>
      </c>
      <c r="N315" s="2"/>
      <c r="O315" s="1" t="b">
        <v>0</v>
      </c>
      <c r="P315" s="1">
        <v>0</v>
      </c>
      <c r="Q315" s="1">
        <v>0</v>
      </c>
      <c r="R315" s="1" t="b">
        <f t="shared" si="12"/>
        <v>1</v>
      </c>
      <c r="S315" s="2" t="s">
        <v>31</v>
      </c>
      <c r="T315" s="1" t="str">
        <f>IF(S315="","",VLOOKUP(S315,'Ontology and concepts per UC'!$F$2:$J$46,5,FALSE))</f>
        <v>Modelo Conceptual</v>
      </c>
      <c r="U315" s="1" t="b">
        <f t="array" ref="U315">(INDEX('Ontology and concepts per UC'!$G$2:$I$46,MATCH($S315,'Ontology and concepts per UC'!$F$2:$F$46,0),MATCH(LEFT($A315,3),'Ontology and concepts per UC'!$G$1:$I$1,0))=0)</f>
        <v>0</v>
      </c>
      <c r="V315" s="1" t="b">
        <f t="shared" si="13"/>
        <v>0</v>
      </c>
      <c r="W315" s="1" t="b">
        <v>0</v>
      </c>
      <c r="X315" s="1" t="b">
        <v>0</v>
      </c>
      <c r="Y315" s="1" t="b">
        <v>0</v>
      </c>
      <c r="Z315" s="1" t="b">
        <v>0</v>
      </c>
    </row>
    <row r="316" spans="1:27" x14ac:dyDescent="0.25">
      <c r="A316" s="1" t="s">
        <v>883</v>
      </c>
      <c r="B316" s="2" t="s">
        <v>906</v>
      </c>
      <c r="C316" s="2" t="s">
        <v>27</v>
      </c>
      <c r="D316" s="6">
        <f t="shared" si="7"/>
        <v>1</v>
      </c>
      <c r="E316" s="7" t="str">
        <f t="shared" si="8"/>
        <v>ChronicManifestation</v>
      </c>
      <c r="F316" s="8" t="b">
        <f>IF(D316&lt;1,FALSE,ISERROR(MATCH(E316,'Ontology and concepts per UC'!$A$2:$A$62,0)))</f>
        <v>0</v>
      </c>
      <c r="G316" s="9" t="str">
        <f t="shared" si="9"/>
        <v/>
      </c>
      <c r="H316" s="9" t="str">
        <f t="shared" si="10"/>
        <v/>
      </c>
      <c r="I316" s="8" t="b">
        <f>IF(D316&lt;2,FALSE,ISERROR(MATCH(H316,'Ontology and concepts per UC'!$A$2:$A$62,0)))</f>
        <v>0</v>
      </c>
      <c r="J316" s="9" t="str">
        <f t="shared" si="11"/>
        <v/>
      </c>
      <c r="K316" s="8" t="b">
        <f>IF(D316&lt;3,FALSE,ISERROR(MATCH(J316,'Ontology and concepts per UC'!$A$2:$A$62,0)))</f>
        <v>0</v>
      </c>
      <c r="L316" s="2"/>
      <c r="M316" s="2" t="s">
        <v>907</v>
      </c>
      <c r="N316" s="2"/>
      <c r="O316" s="1" t="b">
        <v>0</v>
      </c>
      <c r="P316" s="1">
        <v>0</v>
      </c>
      <c r="Q316" s="1">
        <v>0</v>
      </c>
      <c r="R316" s="1" t="b">
        <f t="shared" si="12"/>
        <v>1</v>
      </c>
      <c r="S316" s="2" t="s">
        <v>325</v>
      </c>
      <c r="T316" s="1" t="str">
        <f>IF(S316="","",VLOOKUP(S316,'Ontology and concepts per UC'!$F$2:$J$46,5,FALSE))</f>
        <v>Modelo Conceptual</v>
      </c>
      <c r="U316" s="1" t="b">
        <f t="array" ref="U316">(INDEX('Ontology and concepts per UC'!$G$2:$I$46,MATCH($S316,'Ontology and concepts per UC'!$F$2:$F$46,0),MATCH(LEFT($A316,3),'Ontology and concepts per UC'!$G$1:$I$1,0))=0)</f>
        <v>0</v>
      </c>
      <c r="V316" s="1" t="b">
        <f t="shared" si="13"/>
        <v>0</v>
      </c>
      <c r="W316" s="1" t="b">
        <v>0</v>
      </c>
      <c r="X316" s="1" t="b">
        <v>0</v>
      </c>
      <c r="Y316" s="1" t="b">
        <v>0</v>
      </c>
      <c r="Z316" s="1" t="b">
        <v>0</v>
      </c>
    </row>
    <row r="317" spans="1:27" x14ac:dyDescent="0.25">
      <c r="A317" s="1" t="s">
        <v>883</v>
      </c>
      <c r="B317" s="2" t="s">
        <v>908</v>
      </c>
      <c r="C317" s="2" t="s">
        <v>27</v>
      </c>
      <c r="D317" s="6">
        <f t="shared" si="7"/>
        <v>1</v>
      </c>
      <c r="E317" s="7" t="str">
        <f t="shared" si="8"/>
        <v>ChronicManifestation</v>
      </c>
      <c r="F317" s="8" t="b">
        <f>IF(D317&lt;1,FALSE,ISERROR(MATCH(E317,'Ontology and concepts per UC'!$A$2:$A$62,0)))</f>
        <v>0</v>
      </c>
      <c r="G317" s="9" t="str">
        <f t="shared" si="9"/>
        <v/>
      </c>
      <c r="H317" s="9" t="str">
        <f t="shared" si="10"/>
        <v/>
      </c>
      <c r="I317" s="8" t="b">
        <f>IF(D317&lt;2,FALSE,ISERROR(MATCH(H317,'Ontology and concepts per UC'!$A$2:$A$62,0)))</f>
        <v>0</v>
      </c>
      <c r="J317" s="9" t="str">
        <f t="shared" si="11"/>
        <v/>
      </c>
      <c r="K317" s="8" t="b">
        <f>IF(D317&lt;3,FALSE,ISERROR(MATCH(J317,'Ontology and concepts per UC'!$A$2:$A$62,0)))</f>
        <v>0</v>
      </c>
      <c r="L317" s="2"/>
      <c r="M317" s="2" t="s">
        <v>909</v>
      </c>
      <c r="N317" s="2"/>
      <c r="O317" s="1" t="b">
        <v>0</v>
      </c>
      <c r="P317" s="1">
        <v>0</v>
      </c>
      <c r="Q317" s="1">
        <v>0</v>
      </c>
      <c r="R317" s="1" t="b">
        <f t="shared" si="12"/>
        <v>1</v>
      </c>
      <c r="S317" s="2" t="s">
        <v>32</v>
      </c>
      <c r="T317" s="1" t="str">
        <f>IF(S317="","",VLOOKUP(S317,'Ontology and concepts per UC'!$F$2:$J$46,5,FALSE))</f>
        <v>Modelo Conceptual</v>
      </c>
      <c r="U317" s="1" t="b">
        <f t="array" ref="U317">(INDEX('Ontology and concepts per UC'!$G$2:$I$46,MATCH($S317,'Ontology and concepts per UC'!$F$2:$F$46,0),MATCH(LEFT($A317,3),'Ontology and concepts per UC'!$G$1:$I$1,0))=0)</f>
        <v>0</v>
      </c>
      <c r="V317" s="1" t="b">
        <f t="shared" si="13"/>
        <v>0</v>
      </c>
      <c r="W317" s="1" t="b">
        <v>0</v>
      </c>
      <c r="X317" s="1" t="b">
        <v>0</v>
      </c>
      <c r="Y317" s="1" t="b">
        <v>0</v>
      </c>
      <c r="Z317" s="1" t="b">
        <v>0</v>
      </c>
    </row>
    <row r="318" spans="1:27" x14ac:dyDescent="0.25">
      <c r="A318" s="1" t="s">
        <v>883</v>
      </c>
      <c r="B318" s="2" t="s">
        <v>910</v>
      </c>
      <c r="C318" s="2" t="s">
        <v>27</v>
      </c>
      <c r="D318" s="6">
        <f t="shared" si="7"/>
        <v>1</v>
      </c>
      <c r="E318" s="7" t="str">
        <f t="shared" si="8"/>
        <v>ChronicManifestation</v>
      </c>
      <c r="F318" s="8" t="b">
        <f>IF(D318&lt;1,FALSE,ISERROR(MATCH(E318,'Ontology and concepts per UC'!$A$2:$A$62,0)))</f>
        <v>0</v>
      </c>
      <c r="G318" s="9" t="str">
        <f t="shared" si="9"/>
        <v/>
      </c>
      <c r="H318" s="9" t="str">
        <f t="shared" si="10"/>
        <v/>
      </c>
      <c r="I318" s="8" t="b">
        <f>IF(D318&lt;2,FALSE,ISERROR(MATCH(H318,'Ontology and concepts per UC'!$A$2:$A$62,0)))</f>
        <v>0</v>
      </c>
      <c r="J318" s="9" t="str">
        <f t="shared" si="11"/>
        <v/>
      </c>
      <c r="K318" s="8" t="b">
        <f>IF(D318&lt;3,FALSE,ISERROR(MATCH(J318,'Ontology and concepts per UC'!$A$2:$A$62,0)))</f>
        <v>0</v>
      </c>
      <c r="L318" s="2"/>
      <c r="M318" s="2" t="s">
        <v>911</v>
      </c>
      <c r="N318" s="2"/>
      <c r="O318" s="1" t="b">
        <v>0</v>
      </c>
      <c r="P318" s="1">
        <v>0</v>
      </c>
      <c r="Q318" s="1">
        <v>0</v>
      </c>
      <c r="R318" s="1" t="b">
        <f t="shared" si="12"/>
        <v>0</v>
      </c>
      <c r="S318" s="2" t="s">
        <v>325</v>
      </c>
      <c r="T318" s="1" t="str">
        <f>IF(S318="","",VLOOKUP(S318,'Ontology and concepts per UC'!$F$2:$J$46,5,FALSE))</f>
        <v>Modelo Conceptual</v>
      </c>
      <c r="U318" s="1" t="b">
        <f t="array" ref="U318">(INDEX('Ontology and concepts per UC'!$G$2:$I$46,MATCH($S318,'Ontology and concepts per UC'!$F$2:$F$46,0),MATCH(LEFT($A318,3),'Ontology and concepts per UC'!$G$1:$I$1,0))=0)</f>
        <v>0</v>
      </c>
      <c r="V318" s="1" t="b">
        <f t="shared" si="13"/>
        <v>0</v>
      </c>
      <c r="W318" s="1" t="b">
        <v>0</v>
      </c>
      <c r="X318" s="1" t="b">
        <v>0</v>
      </c>
      <c r="Y318" s="1" t="b">
        <v>0</v>
      </c>
      <c r="Z318" s="1" t="b">
        <v>0</v>
      </c>
      <c r="AA318" s="1"/>
    </row>
    <row r="319" spans="1:27" x14ac:dyDescent="0.25">
      <c r="A319" s="1" t="s">
        <v>883</v>
      </c>
      <c r="B319" s="2" t="s">
        <v>912</v>
      </c>
      <c r="C319" s="2" t="s">
        <v>27</v>
      </c>
      <c r="D319" s="6">
        <f t="shared" si="7"/>
        <v>1</v>
      </c>
      <c r="E319" s="7" t="str">
        <f t="shared" si="8"/>
        <v>ChronicManifestation</v>
      </c>
      <c r="F319" s="8" t="b">
        <f>IF(D319&lt;1,FALSE,ISERROR(MATCH(E319,'Ontology and concepts per UC'!$A$2:$A$62,0)))</f>
        <v>0</v>
      </c>
      <c r="G319" s="9" t="str">
        <f t="shared" si="9"/>
        <v/>
      </c>
      <c r="H319" s="9" t="str">
        <f t="shared" si="10"/>
        <v/>
      </c>
      <c r="I319" s="8" t="b">
        <f>IF(D319&lt;2,FALSE,ISERROR(MATCH(H319,'Ontology and concepts per UC'!$A$2:$A$62,0)))</f>
        <v>0</v>
      </c>
      <c r="J319" s="9" t="str">
        <f t="shared" si="11"/>
        <v/>
      </c>
      <c r="K319" s="8" t="b">
        <f>IF(D319&lt;3,FALSE,ISERROR(MATCH(J319,'Ontology and concepts per UC'!$A$2:$A$62,0)))</f>
        <v>0</v>
      </c>
      <c r="L319" s="2"/>
      <c r="M319" s="2" t="s">
        <v>913</v>
      </c>
      <c r="N319" s="2"/>
      <c r="O319" s="1" t="b">
        <v>0</v>
      </c>
      <c r="P319" s="1">
        <v>0</v>
      </c>
      <c r="Q319" s="1">
        <v>0</v>
      </c>
      <c r="R319" s="1" t="b">
        <f t="shared" si="12"/>
        <v>0</v>
      </c>
      <c r="S319" s="2" t="s">
        <v>325</v>
      </c>
      <c r="T319" s="1" t="str">
        <f>IF(S319="","",VLOOKUP(S319,'Ontology and concepts per UC'!$F$2:$J$46,5,FALSE))</f>
        <v>Modelo Conceptual</v>
      </c>
      <c r="U319" s="1" t="b">
        <f t="array" ref="U319">(INDEX('Ontology and concepts per UC'!$G$2:$I$46,MATCH($S319,'Ontology and concepts per UC'!$F$2:$F$46,0),MATCH(LEFT($A319,3),'Ontology and concepts per UC'!$G$1:$I$1,0))=0)</f>
        <v>0</v>
      </c>
      <c r="V319" s="1" t="b">
        <f t="shared" si="13"/>
        <v>0</v>
      </c>
      <c r="W319" s="1" t="b">
        <v>0</v>
      </c>
      <c r="X319" s="1" t="b">
        <v>0</v>
      </c>
      <c r="Y319" s="1" t="b">
        <v>0</v>
      </c>
      <c r="Z319" s="1" t="b">
        <v>0</v>
      </c>
      <c r="AA319" s="1"/>
    </row>
    <row r="320" spans="1:27" x14ac:dyDescent="0.25">
      <c r="A320" s="1" t="s">
        <v>883</v>
      </c>
      <c r="B320" s="2" t="s">
        <v>914</v>
      </c>
      <c r="C320" s="2" t="s">
        <v>27</v>
      </c>
      <c r="D320" s="6">
        <f t="shared" si="7"/>
        <v>1</v>
      </c>
      <c r="E320" s="7" t="str">
        <f t="shared" si="8"/>
        <v>ChronicManifestation</v>
      </c>
      <c r="F320" s="8" t="b">
        <f>IF(D320&lt;1,FALSE,ISERROR(MATCH(E320,'Ontology and concepts per UC'!$A$2:$A$62,0)))</f>
        <v>0</v>
      </c>
      <c r="G320" s="9" t="str">
        <f t="shared" si="9"/>
        <v/>
      </c>
      <c r="H320" s="9" t="str">
        <f t="shared" si="10"/>
        <v/>
      </c>
      <c r="I320" s="8" t="b">
        <f>IF(D320&lt;2,FALSE,ISERROR(MATCH(H320,'Ontology and concepts per UC'!$A$2:$A$62,0)))</f>
        <v>0</v>
      </c>
      <c r="J320" s="9" t="str">
        <f t="shared" si="11"/>
        <v/>
      </c>
      <c r="K320" s="8" t="b">
        <f>IF(D320&lt;3,FALSE,ISERROR(MATCH(J320,'Ontology and concepts per UC'!$A$2:$A$62,0)))</f>
        <v>0</v>
      </c>
      <c r="L320" s="2"/>
      <c r="M320" s="2" t="s">
        <v>915</v>
      </c>
      <c r="N320" s="2"/>
      <c r="O320" s="1" t="b">
        <v>0</v>
      </c>
      <c r="P320" s="1">
        <v>0</v>
      </c>
      <c r="Q320" s="1">
        <v>0</v>
      </c>
      <c r="R320" s="1" t="b">
        <f t="shared" si="12"/>
        <v>0</v>
      </c>
      <c r="S320" s="2" t="s">
        <v>29</v>
      </c>
      <c r="T320" s="1" t="str">
        <f>IF(S320="","",VLOOKUP(S320,'Ontology and concepts per UC'!$F$2:$J$46,5,FALSE))</f>
        <v>Modelo Conceptual</v>
      </c>
      <c r="U320" s="1" t="b">
        <f t="array" ref="U320">(INDEX('Ontology and concepts per UC'!$G$2:$I$46,MATCH($S320,'Ontology and concepts per UC'!$F$2:$F$46,0),MATCH(LEFT($A320,3),'Ontology and concepts per UC'!$G$1:$I$1,0))=0)</f>
        <v>0</v>
      </c>
      <c r="V320" s="1" t="b">
        <f t="shared" si="13"/>
        <v>0</v>
      </c>
      <c r="W320" s="1" t="b">
        <v>0</v>
      </c>
      <c r="X320" s="1" t="b">
        <v>0</v>
      </c>
      <c r="Y320" s="1" t="b">
        <v>0</v>
      </c>
      <c r="Z320" s="1" t="b">
        <v>0</v>
      </c>
      <c r="AA320" s="1"/>
    </row>
    <row r="321" spans="1:27" x14ac:dyDescent="0.25">
      <c r="A321" s="1" t="s">
        <v>883</v>
      </c>
      <c r="B321" s="2" t="s">
        <v>916</v>
      </c>
      <c r="C321" s="2" t="s">
        <v>27</v>
      </c>
      <c r="D321" s="6">
        <f t="shared" si="7"/>
        <v>1</v>
      </c>
      <c r="E321" s="7" t="str">
        <f t="shared" si="8"/>
        <v>ChronicManifestation</v>
      </c>
      <c r="F321" s="8" t="b">
        <f>IF(D321&lt;1,FALSE,ISERROR(MATCH(E321,'Ontology and concepts per UC'!$A$2:$A$62,0)))</f>
        <v>0</v>
      </c>
      <c r="G321" s="9" t="str">
        <f t="shared" si="9"/>
        <v/>
      </c>
      <c r="H321" s="9" t="str">
        <f t="shared" si="10"/>
        <v/>
      </c>
      <c r="I321" s="8" t="b">
        <f>IF(D321&lt;2,FALSE,ISERROR(MATCH(H321,'Ontology and concepts per UC'!$A$2:$A$62,0)))</f>
        <v>0</v>
      </c>
      <c r="J321" s="9" t="str">
        <f t="shared" si="11"/>
        <v/>
      </c>
      <c r="K321" s="8" t="b">
        <f>IF(D321&lt;3,FALSE,ISERROR(MATCH(J321,'Ontology and concepts per UC'!$A$2:$A$62,0)))</f>
        <v>0</v>
      </c>
      <c r="L321" s="2"/>
      <c r="M321" s="2" t="s">
        <v>917</v>
      </c>
      <c r="N321" s="2"/>
      <c r="O321" s="1" t="b">
        <v>0</v>
      </c>
      <c r="P321" s="1">
        <v>0</v>
      </c>
      <c r="Q321" s="1">
        <v>0</v>
      </c>
      <c r="R321" s="1" t="b">
        <f t="shared" si="12"/>
        <v>0</v>
      </c>
      <c r="S321" s="2" t="s">
        <v>26</v>
      </c>
      <c r="T321" s="1" t="str">
        <f>IF(S321="","",VLOOKUP(S321,'Ontology and concepts per UC'!$F$2:$J$46,5,FALSE))</f>
        <v>Modelo Conceptual</v>
      </c>
      <c r="U321" s="1" t="b">
        <f t="array" ref="U321">(INDEX('Ontology and concepts per UC'!$G$2:$I$46,MATCH($S321,'Ontology and concepts per UC'!$F$2:$F$46,0),MATCH(LEFT($A321,3),'Ontology and concepts per UC'!$G$1:$I$1,0))=0)</f>
        <v>0</v>
      </c>
      <c r="V321" s="1" t="b">
        <f t="shared" si="13"/>
        <v>0</v>
      </c>
      <c r="W321" s="1" t="b">
        <v>0</v>
      </c>
      <c r="X321" s="1" t="b">
        <v>0</v>
      </c>
      <c r="Y321" s="1" t="b">
        <v>0</v>
      </c>
      <c r="Z321" s="1" t="b">
        <v>0</v>
      </c>
      <c r="AA321" s="1"/>
    </row>
    <row r="322" spans="1:27" x14ac:dyDescent="0.25">
      <c r="A322" s="1" t="s">
        <v>883</v>
      </c>
      <c r="B322" s="2" t="s">
        <v>918</v>
      </c>
      <c r="C322" s="2" t="s">
        <v>27</v>
      </c>
      <c r="D322" s="6">
        <f t="shared" si="7"/>
        <v>1</v>
      </c>
      <c r="E322" s="7" t="str">
        <f t="shared" si="8"/>
        <v>ChronicManifestation</v>
      </c>
      <c r="F322" s="8" t="b">
        <f>IF(D322&lt;1,FALSE,ISERROR(MATCH(E322,'Ontology and concepts per UC'!$A$2:$A$62,0)))</f>
        <v>0</v>
      </c>
      <c r="G322" s="9" t="str">
        <f t="shared" si="9"/>
        <v/>
      </c>
      <c r="H322" s="9" t="str">
        <f t="shared" si="10"/>
        <v/>
      </c>
      <c r="I322" s="8" t="b">
        <f>IF(D322&lt;2,FALSE,ISERROR(MATCH(H322,'Ontology and concepts per UC'!$A$2:$A$62,0)))</f>
        <v>0</v>
      </c>
      <c r="J322" s="9" t="str">
        <f t="shared" si="11"/>
        <v/>
      </c>
      <c r="K322" s="8" t="b">
        <f>IF(D322&lt;3,FALSE,ISERROR(MATCH(J322,'Ontology and concepts per UC'!$A$2:$A$62,0)))</f>
        <v>0</v>
      </c>
      <c r="L322" s="2"/>
      <c r="M322" s="2" t="s">
        <v>919</v>
      </c>
      <c r="N322" s="2"/>
      <c r="O322" s="1" t="b">
        <v>0</v>
      </c>
      <c r="P322" s="1">
        <v>0</v>
      </c>
      <c r="Q322" s="1">
        <v>0</v>
      </c>
      <c r="R322" s="1" t="b">
        <f t="shared" si="12"/>
        <v>0</v>
      </c>
      <c r="S322" s="2" t="s">
        <v>28</v>
      </c>
      <c r="T322" s="1" t="str">
        <f>IF(S322="","",VLOOKUP(S322,'Ontology and concepts per UC'!$F$2:$J$46,5,FALSE))</f>
        <v>Modelo Conceptual</v>
      </c>
      <c r="U322" s="1" t="b">
        <f t="array" ref="U322">(INDEX('Ontology and concepts per UC'!$G$2:$I$46,MATCH($S322,'Ontology and concepts per UC'!$F$2:$F$46,0),MATCH(LEFT($A322,3),'Ontology and concepts per UC'!$G$1:$I$1,0))=0)</f>
        <v>0</v>
      </c>
      <c r="V322" s="1" t="b">
        <f t="shared" si="13"/>
        <v>0</v>
      </c>
      <c r="W322" s="1" t="b">
        <v>0</v>
      </c>
      <c r="X322" s="1" t="b">
        <v>0</v>
      </c>
      <c r="Y322" s="1" t="b">
        <v>0</v>
      </c>
      <c r="Z322" s="1" t="b">
        <v>0</v>
      </c>
      <c r="AA322" s="1"/>
    </row>
    <row r="323" spans="1:27" x14ac:dyDescent="0.25">
      <c r="A323" s="1" t="s">
        <v>883</v>
      </c>
      <c r="B323" s="2" t="s">
        <v>920</v>
      </c>
      <c r="C323" s="2" t="s">
        <v>27</v>
      </c>
      <c r="D323" s="6">
        <f t="shared" si="7"/>
        <v>1</v>
      </c>
      <c r="E323" s="7" t="str">
        <f t="shared" si="8"/>
        <v>ChronicManifestation</v>
      </c>
      <c r="F323" s="8" t="b">
        <f>IF(D323&lt;1,FALSE,ISERROR(MATCH(E323,'Ontology and concepts per UC'!$A$2:$A$62,0)))</f>
        <v>0</v>
      </c>
      <c r="G323" s="9" t="str">
        <f t="shared" si="9"/>
        <v/>
      </c>
      <c r="H323" s="9" t="str">
        <f t="shared" si="10"/>
        <v/>
      </c>
      <c r="I323" s="8" t="b">
        <f>IF(D323&lt;2,FALSE,ISERROR(MATCH(H323,'Ontology and concepts per UC'!$A$2:$A$62,0)))</f>
        <v>0</v>
      </c>
      <c r="J323" s="9" t="str">
        <f t="shared" si="11"/>
        <v/>
      </c>
      <c r="K323" s="8" t="b">
        <f>IF(D323&lt;3,FALSE,ISERROR(MATCH(J323,'Ontology and concepts per UC'!$A$2:$A$62,0)))</f>
        <v>0</v>
      </c>
      <c r="L323" s="2"/>
      <c r="M323" s="2" t="s">
        <v>921</v>
      </c>
      <c r="N323" s="2"/>
      <c r="O323" s="1" t="b">
        <v>0</v>
      </c>
      <c r="P323" s="1">
        <v>0</v>
      </c>
      <c r="Q323" s="1">
        <v>0</v>
      </c>
      <c r="R323" s="1" t="b">
        <f t="shared" si="12"/>
        <v>0</v>
      </c>
      <c r="S323" s="2" t="s">
        <v>325</v>
      </c>
      <c r="T323" s="1" t="str">
        <f>IF(S323="","",VLOOKUP(S323,'Ontology and concepts per UC'!$F$2:$J$46,5,FALSE))</f>
        <v>Modelo Conceptual</v>
      </c>
      <c r="U323" s="1" t="b">
        <f t="array" ref="U323">(INDEX('Ontology and concepts per UC'!$G$2:$I$46,MATCH($S323,'Ontology and concepts per UC'!$F$2:$F$46,0),MATCH(LEFT($A323,3),'Ontology and concepts per UC'!$G$1:$I$1,0))=0)</f>
        <v>0</v>
      </c>
      <c r="V323" s="1" t="b">
        <f t="shared" si="13"/>
        <v>0</v>
      </c>
      <c r="W323" s="1" t="b">
        <v>0</v>
      </c>
      <c r="X323" s="1" t="b">
        <v>0</v>
      </c>
      <c r="Y323" s="1" t="b">
        <v>0</v>
      </c>
      <c r="Z323" s="1" t="b">
        <v>0</v>
      </c>
      <c r="AA323" s="1"/>
    </row>
    <row r="324" spans="1:27" x14ac:dyDescent="0.25">
      <c r="A324" s="1" t="s">
        <v>883</v>
      </c>
      <c r="B324" s="2" t="s">
        <v>922</v>
      </c>
      <c r="C324" s="2" t="s">
        <v>27</v>
      </c>
      <c r="D324" s="6">
        <f t="shared" si="7"/>
        <v>1</v>
      </c>
      <c r="E324" s="7" t="str">
        <f t="shared" si="8"/>
        <v>ChronicManifestation</v>
      </c>
      <c r="F324" s="8" t="b">
        <f>IF(D324&lt;1,FALSE,ISERROR(MATCH(E324,'Ontology and concepts per UC'!$A$2:$A$62,0)))</f>
        <v>0</v>
      </c>
      <c r="G324" s="9" t="str">
        <f t="shared" si="9"/>
        <v/>
      </c>
      <c r="H324" s="9" t="str">
        <f t="shared" si="10"/>
        <v/>
      </c>
      <c r="I324" s="8" t="b">
        <f>IF(D324&lt;2,FALSE,ISERROR(MATCH(H324,'Ontology and concepts per UC'!$A$2:$A$62,0)))</f>
        <v>0</v>
      </c>
      <c r="J324" s="9" t="str">
        <f t="shared" si="11"/>
        <v/>
      </c>
      <c r="K324" s="8" t="b">
        <f>IF(D324&lt;3,FALSE,ISERROR(MATCH(J324,'Ontology and concepts per UC'!$A$2:$A$62,0)))</f>
        <v>0</v>
      </c>
      <c r="L324" s="2"/>
      <c r="M324" s="2" t="s">
        <v>923</v>
      </c>
      <c r="N324" s="2"/>
      <c r="O324" s="1" t="b">
        <v>0</v>
      </c>
      <c r="P324" s="1">
        <v>0</v>
      </c>
      <c r="Q324" s="1">
        <v>0</v>
      </c>
      <c r="R324" s="1" t="b">
        <f t="shared" si="12"/>
        <v>0</v>
      </c>
      <c r="S324" s="2" t="s">
        <v>30</v>
      </c>
      <c r="T324" s="1" t="str">
        <f>IF(S324="","",VLOOKUP(S324,'Ontology and concepts per UC'!$F$2:$J$46,5,FALSE))</f>
        <v>Modelo Conceptual</v>
      </c>
      <c r="U324" s="1" t="b">
        <f t="array" ref="U324">(INDEX('Ontology and concepts per UC'!$G$2:$I$46,MATCH($S324,'Ontology and concepts per UC'!$F$2:$F$46,0),MATCH(LEFT($A324,3),'Ontology and concepts per UC'!$G$1:$I$1,0))=0)</f>
        <v>0</v>
      </c>
      <c r="V324" s="1" t="b">
        <f t="shared" si="13"/>
        <v>0</v>
      </c>
      <c r="W324" s="1" t="b">
        <v>0</v>
      </c>
      <c r="X324" s="1" t="b">
        <v>0</v>
      </c>
      <c r="Y324" s="1" t="b">
        <v>0</v>
      </c>
      <c r="Z324" s="1" t="b">
        <v>0</v>
      </c>
      <c r="AA324" s="1"/>
    </row>
    <row r="325" spans="1:27" x14ac:dyDescent="0.25">
      <c r="A325" s="1" t="s">
        <v>883</v>
      </c>
      <c r="B325" s="2" t="s">
        <v>924</v>
      </c>
      <c r="C325" s="2" t="s">
        <v>27</v>
      </c>
      <c r="D325" s="6">
        <f t="shared" si="7"/>
        <v>1</v>
      </c>
      <c r="E325" s="7" t="str">
        <f t="shared" si="8"/>
        <v>ChronicManifestation</v>
      </c>
      <c r="F325" s="8" t="b">
        <f>IF(D325&lt;1,FALSE,ISERROR(MATCH(E325,'Ontology and concepts per UC'!$A$2:$A$62,0)))</f>
        <v>0</v>
      </c>
      <c r="G325" s="9" t="str">
        <f t="shared" si="9"/>
        <v/>
      </c>
      <c r="H325" s="9" t="str">
        <f t="shared" si="10"/>
        <v/>
      </c>
      <c r="I325" s="8" t="b">
        <f>IF(D325&lt;2,FALSE,ISERROR(MATCH(H325,'Ontology and concepts per UC'!$A$2:$A$62,0)))</f>
        <v>0</v>
      </c>
      <c r="J325" s="9" t="str">
        <f t="shared" si="11"/>
        <v/>
      </c>
      <c r="K325" s="8" t="b">
        <f>IF(D325&lt;3,FALSE,ISERROR(MATCH(J325,'Ontology and concepts per UC'!$A$2:$A$62,0)))</f>
        <v>0</v>
      </c>
      <c r="L325" s="2"/>
      <c r="M325" s="2" t="s">
        <v>925</v>
      </c>
      <c r="N325" s="2"/>
      <c r="O325" s="1" t="b">
        <v>0</v>
      </c>
      <c r="P325" s="1">
        <v>0</v>
      </c>
      <c r="Q325" s="1">
        <v>0</v>
      </c>
      <c r="R325" s="1" t="b">
        <f t="shared" si="12"/>
        <v>0</v>
      </c>
      <c r="S325" s="2" t="s">
        <v>31</v>
      </c>
      <c r="T325" s="1" t="str">
        <f>IF(S325="","",VLOOKUP(S325,'Ontology and concepts per UC'!$F$2:$J$46,5,FALSE))</f>
        <v>Modelo Conceptual</v>
      </c>
      <c r="U325" s="1" t="b">
        <f t="array" ref="U325">(INDEX('Ontology and concepts per UC'!$G$2:$I$46,MATCH($S325,'Ontology and concepts per UC'!$F$2:$F$46,0),MATCH(LEFT($A325,3),'Ontology and concepts per UC'!$G$1:$I$1,0))=0)</f>
        <v>0</v>
      </c>
      <c r="V325" s="1" t="b">
        <f t="shared" si="13"/>
        <v>0</v>
      </c>
      <c r="W325" s="1" t="b">
        <v>0</v>
      </c>
      <c r="X325" s="1" t="b">
        <v>0</v>
      </c>
      <c r="Y325" s="1" t="b">
        <v>0</v>
      </c>
      <c r="Z325" s="1" t="b">
        <v>0</v>
      </c>
      <c r="AA325" s="1"/>
    </row>
    <row r="326" spans="1:27" x14ac:dyDescent="0.25">
      <c r="A326" s="1" t="s">
        <v>883</v>
      </c>
      <c r="B326" s="2" t="s">
        <v>926</v>
      </c>
      <c r="C326" s="2" t="s">
        <v>27</v>
      </c>
      <c r="D326" s="6">
        <f t="shared" si="7"/>
        <v>1</v>
      </c>
      <c r="E326" s="7" t="str">
        <f t="shared" si="8"/>
        <v>ChronicManifestation</v>
      </c>
      <c r="F326" s="8" t="b">
        <f>IF(D326&lt;1,FALSE,ISERROR(MATCH(E326,'Ontology and concepts per UC'!$A$2:$A$62,0)))</f>
        <v>0</v>
      </c>
      <c r="G326" s="9" t="str">
        <f t="shared" si="9"/>
        <v/>
      </c>
      <c r="H326" s="9" t="str">
        <f t="shared" si="10"/>
        <v/>
      </c>
      <c r="I326" s="8" t="b">
        <f>IF(D326&lt;2,FALSE,ISERROR(MATCH(H326,'Ontology and concepts per UC'!$A$2:$A$62,0)))</f>
        <v>0</v>
      </c>
      <c r="J326" s="9" t="str">
        <f t="shared" si="11"/>
        <v/>
      </c>
      <c r="K326" s="8" t="b">
        <f>IF(D326&lt;3,FALSE,ISERROR(MATCH(J326,'Ontology and concepts per UC'!$A$2:$A$62,0)))</f>
        <v>0</v>
      </c>
      <c r="L326" s="2"/>
      <c r="M326" s="2" t="s">
        <v>927</v>
      </c>
      <c r="N326" s="2"/>
      <c r="O326" s="1" t="b">
        <v>0</v>
      </c>
      <c r="P326" s="1">
        <v>0</v>
      </c>
      <c r="Q326" s="1">
        <v>0</v>
      </c>
      <c r="R326" s="1" t="b">
        <f t="shared" si="12"/>
        <v>0</v>
      </c>
      <c r="S326" s="2" t="s">
        <v>32</v>
      </c>
      <c r="T326" s="1" t="str">
        <f>IF(S326="","",VLOOKUP(S326,'Ontology and concepts per UC'!$F$2:$J$46,5,FALSE))</f>
        <v>Modelo Conceptual</v>
      </c>
      <c r="U326" s="1" t="b">
        <f t="array" ref="U326">(INDEX('Ontology and concepts per UC'!$G$2:$I$46,MATCH($S326,'Ontology and concepts per UC'!$F$2:$F$46,0),MATCH(LEFT($A326,3),'Ontology and concepts per UC'!$G$1:$I$1,0))=0)</f>
        <v>0</v>
      </c>
      <c r="V326" s="1" t="b">
        <f t="shared" si="13"/>
        <v>0</v>
      </c>
      <c r="W326" s="1" t="b">
        <v>0</v>
      </c>
      <c r="X326" s="1" t="b">
        <v>0</v>
      </c>
      <c r="Y326" s="1" t="b">
        <v>0</v>
      </c>
      <c r="Z326" s="1" t="b">
        <v>0</v>
      </c>
      <c r="AA326" s="1"/>
    </row>
    <row r="327" spans="1:27" x14ac:dyDescent="0.25">
      <c r="A327" s="1" t="s">
        <v>883</v>
      </c>
      <c r="B327" s="2" t="s">
        <v>928</v>
      </c>
      <c r="C327" s="2" t="s">
        <v>929</v>
      </c>
      <c r="D327" s="6">
        <f t="shared" si="7"/>
        <v>2</v>
      </c>
      <c r="E327" s="7" t="str">
        <f t="shared" si="8"/>
        <v>DeterministicParameter</v>
      </c>
      <c r="F327" s="8" t="b">
        <f>IF(D327&lt;1,FALSE,ISERROR(MATCH(E327,'Ontology and concepts per UC'!$A$2:$A$62,0)))</f>
        <v>0</v>
      </c>
      <c r="G327" s="9" t="str">
        <f t="shared" si="9"/>
        <v>EpidemiologicalParameter</v>
      </c>
      <c r="H327" s="9" t="str">
        <f t="shared" si="10"/>
        <v>EpidemiologicalParameter</v>
      </c>
      <c r="I327" s="8" t="b">
        <f>IF(D327&lt;2,FALSE,ISERROR(MATCH(H327,'Ontology and concepts per UC'!$A$2:$A$62,0)))</f>
        <v>0</v>
      </c>
      <c r="J327" s="9" t="str">
        <f t="shared" si="11"/>
        <v/>
      </c>
      <c r="K327" s="8" t="b">
        <f>IF(D327&lt;3,FALSE,ISERROR(MATCH(J327,'Ontology and concepts per UC'!$A$2:$A$62,0)))</f>
        <v>0</v>
      </c>
      <c r="L327" s="2" t="s">
        <v>930</v>
      </c>
      <c r="M327" s="2" t="s">
        <v>931</v>
      </c>
      <c r="N327" s="2"/>
      <c r="O327" s="1" t="b">
        <v>0</v>
      </c>
      <c r="P327" s="1">
        <v>0</v>
      </c>
      <c r="Q327" s="1">
        <v>0</v>
      </c>
      <c r="R327" s="1" t="b">
        <f t="shared" si="12"/>
        <v>1</v>
      </c>
      <c r="S327" s="2" t="s">
        <v>38</v>
      </c>
      <c r="T327" s="1" t="str">
        <f>IF(S327="","",VLOOKUP(S327,'Ontology and concepts per UC'!$F$2:$J$46,5,FALSE))</f>
        <v>Parámetro epidemiológico</v>
      </c>
      <c r="U327" s="1" t="b">
        <f t="array" ref="U327">(INDEX('Ontology and concepts per UC'!$G$2:$I$46,MATCH($S327,'Ontology and concepts per UC'!$F$2:$F$46,0),MATCH(LEFT($A327,3),'Ontology and concepts per UC'!$G$1:$I$1,0))=0)</f>
        <v>0</v>
      </c>
      <c r="V327" s="1" t="b">
        <f t="shared" si="13"/>
        <v>0</v>
      </c>
      <c r="W327" s="1" t="b">
        <v>0</v>
      </c>
      <c r="X327" s="1" t="b">
        <v>0</v>
      </c>
      <c r="Y327" s="1" t="b">
        <v>0</v>
      </c>
      <c r="Z327" s="1" t="b">
        <v>0</v>
      </c>
    </row>
    <row r="328" spans="1:27" x14ac:dyDescent="0.25">
      <c r="A328" s="1" t="s">
        <v>883</v>
      </c>
      <c r="B328" s="2" t="s">
        <v>932</v>
      </c>
      <c r="C328" s="2" t="s">
        <v>929</v>
      </c>
      <c r="D328" s="6">
        <f t="shared" si="7"/>
        <v>2</v>
      </c>
      <c r="E328" s="7" t="str">
        <f t="shared" si="8"/>
        <v>DeterministicParameter</v>
      </c>
      <c r="F328" s="8" t="b">
        <f>IF(D328&lt;1,FALSE,ISERROR(MATCH(E328,'Ontology and concepts per UC'!$A$2:$A$62,0)))</f>
        <v>0</v>
      </c>
      <c r="G328" s="9" t="str">
        <f t="shared" si="9"/>
        <v>EpidemiologicalParameter</v>
      </c>
      <c r="H328" s="9" t="str">
        <f t="shared" si="10"/>
        <v>EpidemiologicalParameter</v>
      </c>
      <c r="I328" s="8" t="b">
        <f>IF(D328&lt;2,FALSE,ISERROR(MATCH(H328,'Ontology and concepts per UC'!$A$2:$A$62,0)))</f>
        <v>0</v>
      </c>
      <c r="J328" s="9" t="str">
        <f t="shared" si="11"/>
        <v/>
      </c>
      <c r="K328" s="8" t="b">
        <f>IF(D328&lt;3,FALSE,ISERROR(MATCH(J328,'Ontology and concepts per UC'!$A$2:$A$62,0)))</f>
        <v>0</v>
      </c>
      <c r="L328" s="2" t="s">
        <v>933</v>
      </c>
      <c r="M328" s="2" t="s">
        <v>934</v>
      </c>
      <c r="N328" s="2"/>
      <c r="O328" s="1" t="b">
        <v>0</v>
      </c>
      <c r="P328" s="1">
        <v>0</v>
      </c>
      <c r="Q328" s="1">
        <v>0</v>
      </c>
      <c r="R328" s="1" t="b">
        <f t="shared" si="12"/>
        <v>1</v>
      </c>
      <c r="S328" s="2" t="s">
        <v>38</v>
      </c>
      <c r="T328" s="1" t="str">
        <f>IF(S328="","",VLOOKUP(S328,'Ontology and concepts per UC'!$F$2:$J$46,5,FALSE))</f>
        <v>Parámetro epidemiológico</v>
      </c>
      <c r="U328" s="1" t="b">
        <f t="array" ref="U328">(INDEX('Ontology and concepts per UC'!$G$2:$I$46,MATCH($S328,'Ontology and concepts per UC'!$F$2:$F$46,0),MATCH(LEFT($A328,3),'Ontology and concepts per UC'!$G$1:$I$1,0))=0)</f>
        <v>0</v>
      </c>
      <c r="V328" s="1" t="b">
        <f t="shared" si="13"/>
        <v>0</v>
      </c>
      <c r="W328" s="1" t="b">
        <v>0</v>
      </c>
      <c r="X328" s="1" t="b">
        <v>0</v>
      </c>
      <c r="Y328" s="1" t="b">
        <v>0</v>
      </c>
      <c r="Z328" s="1" t="b">
        <v>0</v>
      </c>
    </row>
    <row r="329" spans="1:27" x14ac:dyDescent="0.25">
      <c r="A329" s="1" t="s">
        <v>883</v>
      </c>
      <c r="B329" s="2" t="s">
        <v>935</v>
      </c>
      <c r="C329" s="2" t="s">
        <v>929</v>
      </c>
      <c r="D329" s="6">
        <f t="shared" si="7"/>
        <v>2</v>
      </c>
      <c r="E329" s="7" t="str">
        <f t="shared" si="8"/>
        <v>DeterministicParameter</v>
      </c>
      <c r="F329" s="8" t="b">
        <f>IF(D329&lt;1,FALSE,ISERROR(MATCH(E329,'Ontology and concepts per UC'!$A$2:$A$62,0)))</f>
        <v>0</v>
      </c>
      <c r="G329" s="9" t="str">
        <f t="shared" si="9"/>
        <v>EpidemiologicalParameter</v>
      </c>
      <c r="H329" s="9" t="str">
        <f t="shared" si="10"/>
        <v>EpidemiologicalParameter</v>
      </c>
      <c r="I329" s="8" t="b">
        <f>IF(D329&lt;2,FALSE,ISERROR(MATCH(H329,'Ontology and concepts per UC'!$A$2:$A$62,0)))</f>
        <v>0</v>
      </c>
      <c r="J329" s="9" t="str">
        <f t="shared" si="11"/>
        <v/>
      </c>
      <c r="K329" s="8" t="b">
        <f>IF(D329&lt;3,FALSE,ISERROR(MATCH(J329,'Ontology and concepts per UC'!$A$2:$A$62,0)))</f>
        <v>0</v>
      </c>
      <c r="L329" s="2" t="s">
        <v>936</v>
      </c>
      <c r="M329" s="2" t="s">
        <v>937</v>
      </c>
      <c r="N329" s="2"/>
      <c r="O329" s="1" t="b">
        <v>0</v>
      </c>
      <c r="P329" s="1">
        <v>0</v>
      </c>
      <c r="Q329" s="1">
        <v>0</v>
      </c>
      <c r="R329" s="1" t="b">
        <f t="shared" si="12"/>
        <v>1</v>
      </c>
      <c r="S329" s="2" t="s">
        <v>187</v>
      </c>
      <c r="T329" s="1" t="str">
        <f>IF(S329="","",VLOOKUP(S329,'Ontology and concepts per UC'!$F$2:$J$46,5,FALSE))</f>
        <v>Otros</v>
      </c>
      <c r="U329" s="1" t="b">
        <f t="array" ref="U329">(INDEX('Ontology and concepts per UC'!$G$2:$I$46,MATCH($S329,'Ontology and concepts per UC'!$F$2:$F$46,0),MATCH(LEFT($A329,3),'Ontology and concepts per UC'!$G$1:$I$1,0))=0)</f>
        <v>1</v>
      </c>
      <c r="V329" s="1" t="b">
        <f t="shared" si="13"/>
        <v>0</v>
      </c>
      <c r="W329" s="1" t="b">
        <v>0</v>
      </c>
      <c r="X329" s="1" t="b">
        <v>0</v>
      </c>
      <c r="Y329" s="1" t="b">
        <v>0</v>
      </c>
      <c r="Z329" s="1" t="b">
        <v>0</v>
      </c>
    </row>
    <row r="330" spans="1:27" x14ac:dyDescent="0.25">
      <c r="A330" s="1" t="s">
        <v>883</v>
      </c>
      <c r="B330" s="2" t="s">
        <v>938</v>
      </c>
      <c r="C330" s="2" t="s">
        <v>929</v>
      </c>
      <c r="D330" s="6">
        <f t="shared" si="7"/>
        <v>2</v>
      </c>
      <c r="E330" s="7" t="str">
        <f t="shared" si="8"/>
        <v>DeterministicParameter</v>
      </c>
      <c r="F330" s="8" t="b">
        <f>IF(D330&lt;1,FALSE,ISERROR(MATCH(E330,'Ontology and concepts per UC'!$A$2:$A$62,0)))</f>
        <v>0</v>
      </c>
      <c r="G330" s="9" t="str">
        <f t="shared" si="9"/>
        <v>EpidemiologicalParameter</v>
      </c>
      <c r="H330" s="9" t="str">
        <f t="shared" si="10"/>
        <v>EpidemiologicalParameter</v>
      </c>
      <c r="I330" s="8" t="b">
        <f>IF(D330&lt;2,FALSE,ISERROR(MATCH(H330,'Ontology and concepts per UC'!$A$2:$A$62,0)))</f>
        <v>0</v>
      </c>
      <c r="J330" s="9" t="str">
        <f t="shared" si="11"/>
        <v/>
      </c>
      <c r="K330" s="8" t="b">
        <f>IF(D330&lt;3,FALSE,ISERROR(MATCH(J330,'Ontology and concepts per UC'!$A$2:$A$62,0)))</f>
        <v>0</v>
      </c>
      <c r="L330" s="2" t="s">
        <v>939</v>
      </c>
      <c r="M330" s="2" t="s">
        <v>940</v>
      </c>
      <c r="N330" s="2"/>
      <c r="O330" s="1" t="b">
        <v>0</v>
      </c>
      <c r="P330" s="1">
        <v>0</v>
      </c>
      <c r="Q330" s="1">
        <v>0</v>
      </c>
      <c r="R330" s="1" t="b">
        <f t="shared" si="12"/>
        <v>1</v>
      </c>
      <c r="S330" s="2" t="s">
        <v>187</v>
      </c>
      <c r="T330" s="1" t="str">
        <f>IF(S330="","",VLOOKUP(S330,'Ontology and concepts per UC'!$F$2:$J$46,5,FALSE))</f>
        <v>Otros</v>
      </c>
      <c r="U330" s="1" t="b">
        <f t="array" ref="U330">(INDEX('Ontology and concepts per UC'!$G$2:$I$46,MATCH($S330,'Ontology and concepts per UC'!$F$2:$F$46,0),MATCH(LEFT($A330,3),'Ontology and concepts per UC'!$G$1:$I$1,0))=0)</f>
        <v>1</v>
      </c>
      <c r="V330" s="1" t="b">
        <f t="shared" si="13"/>
        <v>0</v>
      </c>
      <c r="W330" s="1" t="b">
        <v>0</v>
      </c>
      <c r="X330" s="1" t="b">
        <v>0</v>
      </c>
      <c r="Y330" s="1" t="b">
        <v>0</v>
      </c>
      <c r="Z330" s="1" t="b">
        <v>0</v>
      </c>
    </row>
    <row r="331" spans="1:27" x14ac:dyDescent="0.25">
      <c r="A331" s="1" t="s">
        <v>883</v>
      </c>
      <c r="B331" s="2" t="s">
        <v>941</v>
      </c>
      <c r="C331" s="2" t="s">
        <v>942</v>
      </c>
      <c r="D331" s="6">
        <f t="shared" si="7"/>
        <v>2</v>
      </c>
      <c r="E331" s="7" t="str">
        <f t="shared" si="8"/>
        <v>DeterministicParameter</v>
      </c>
      <c r="F331" s="8" t="b">
        <f>IF(D331&lt;1,FALSE,ISERROR(MATCH(E331,'Ontology and concepts per UC'!$A$2:$A$62,0)))</f>
        <v>0</v>
      </c>
      <c r="G331" s="9" t="str">
        <f t="shared" si="9"/>
        <v>Parameter</v>
      </c>
      <c r="H331" s="9" t="str">
        <f t="shared" si="10"/>
        <v>Parameter</v>
      </c>
      <c r="I331" s="8" t="b">
        <f>IF(D331&lt;2,FALSE,ISERROR(MATCH(H331,'Ontology and concepts per UC'!$A$2:$A$62,0)))</f>
        <v>0</v>
      </c>
      <c r="J331" s="9" t="str">
        <f t="shared" si="11"/>
        <v/>
      </c>
      <c r="K331" s="8" t="b">
        <f>IF(D331&lt;3,FALSE,ISERROR(MATCH(J331,'Ontology and concepts per UC'!$A$2:$A$62,0)))</f>
        <v>0</v>
      </c>
      <c r="L331" s="2" t="s">
        <v>943</v>
      </c>
      <c r="M331" s="2" t="s">
        <v>944</v>
      </c>
      <c r="N331" s="2"/>
      <c r="O331" s="1" t="b">
        <v>0</v>
      </c>
      <c r="P331" s="1">
        <v>0</v>
      </c>
      <c r="Q331" s="1">
        <v>0</v>
      </c>
      <c r="R331" s="1" t="b">
        <f t="shared" si="12"/>
        <v>1</v>
      </c>
      <c r="S331" s="2" t="s">
        <v>367</v>
      </c>
      <c r="T331" s="1" t="str">
        <f>IF(S331="","",VLOOKUP(S331,'Ontology and concepts per UC'!$F$2:$J$46,5,FALSE))</f>
        <v>Parámetros de progresión</v>
      </c>
      <c r="U331" s="1" t="b">
        <f t="array" ref="U331">(INDEX('Ontology and concepts per UC'!$G$2:$I$46,MATCH($S331,'Ontology and concepts per UC'!$F$2:$F$46,0),MATCH(LEFT($A331,3),'Ontology and concepts per UC'!$G$1:$I$1,0))=0)</f>
        <v>0</v>
      </c>
      <c r="V331" s="1" t="b">
        <f t="shared" si="13"/>
        <v>0</v>
      </c>
      <c r="W331" s="1" t="b">
        <v>0</v>
      </c>
      <c r="X331" s="1" t="b">
        <v>0</v>
      </c>
      <c r="Y331" s="1" t="b">
        <v>0</v>
      </c>
      <c r="Z331" s="1" t="b">
        <v>0</v>
      </c>
      <c r="AA331" s="1"/>
    </row>
    <row r="332" spans="1:27" x14ac:dyDescent="0.25">
      <c r="A332" s="1" t="s">
        <v>883</v>
      </c>
      <c r="B332" s="2" t="s">
        <v>945</v>
      </c>
      <c r="C332" s="2" t="s">
        <v>942</v>
      </c>
      <c r="D332" s="6">
        <f t="shared" si="7"/>
        <v>2</v>
      </c>
      <c r="E332" s="7" t="str">
        <f t="shared" si="8"/>
        <v>DeterministicParameter</v>
      </c>
      <c r="F332" s="8" t="b">
        <f>IF(D332&lt;1,FALSE,ISERROR(MATCH(E332,'Ontology and concepts per UC'!$A$2:$A$62,0)))</f>
        <v>0</v>
      </c>
      <c r="G332" s="9" t="str">
        <f t="shared" si="9"/>
        <v>Parameter</v>
      </c>
      <c r="H332" s="9" t="str">
        <f t="shared" si="10"/>
        <v>Parameter</v>
      </c>
      <c r="I332" s="8" t="b">
        <f>IF(D332&lt;2,FALSE,ISERROR(MATCH(H332,'Ontology and concepts per UC'!$A$2:$A$62,0)))</f>
        <v>0</v>
      </c>
      <c r="J332" s="9" t="str">
        <f t="shared" si="11"/>
        <v/>
      </c>
      <c r="K332" s="8" t="b">
        <f>IF(D332&lt;3,FALSE,ISERROR(MATCH(J332,'Ontology and concepts per UC'!$A$2:$A$62,0)))</f>
        <v>0</v>
      </c>
      <c r="L332" s="2" t="s">
        <v>946</v>
      </c>
      <c r="M332" s="2" t="s">
        <v>947</v>
      </c>
      <c r="N332" s="2"/>
      <c r="O332" s="1" t="b">
        <v>0</v>
      </c>
      <c r="P332" s="1">
        <v>0</v>
      </c>
      <c r="Q332" s="1">
        <v>0</v>
      </c>
      <c r="R332" s="1" t="b">
        <f t="shared" si="12"/>
        <v>1</v>
      </c>
      <c r="S332" s="2" t="s">
        <v>367</v>
      </c>
      <c r="T332" s="1" t="str">
        <f>IF(S332="","",VLOOKUP(S332,'Ontology and concepts per UC'!$F$2:$J$46,5,FALSE))</f>
        <v>Parámetros de progresión</v>
      </c>
      <c r="U332" s="1" t="b">
        <f t="array" ref="U332">(INDEX('Ontology and concepts per UC'!$G$2:$I$46,MATCH($S332,'Ontology and concepts per UC'!$F$2:$F$46,0),MATCH(LEFT($A332,3),'Ontology and concepts per UC'!$G$1:$I$1,0))=0)</f>
        <v>0</v>
      </c>
      <c r="V332" s="1" t="b">
        <f t="shared" si="13"/>
        <v>0</v>
      </c>
      <c r="W332" s="1" t="b">
        <v>0</v>
      </c>
      <c r="X332" s="1" t="b">
        <v>0</v>
      </c>
      <c r="Y332" s="1" t="b">
        <v>0</v>
      </c>
      <c r="Z332" s="1" t="b">
        <v>0</v>
      </c>
      <c r="AA332" s="1"/>
    </row>
    <row r="333" spans="1:27" x14ac:dyDescent="0.25">
      <c r="A333" s="1" t="s">
        <v>883</v>
      </c>
      <c r="B333" s="2" t="s">
        <v>948</v>
      </c>
      <c r="C333" s="2" t="s">
        <v>942</v>
      </c>
      <c r="D333" s="6">
        <f t="shared" si="7"/>
        <v>2</v>
      </c>
      <c r="E333" s="7" t="str">
        <f t="shared" si="8"/>
        <v>DeterministicParameter</v>
      </c>
      <c r="F333" s="8" t="b">
        <f>IF(D333&lt;1,FALSE,ISERROR(MATCH(E333,'Ontology and concepts per UC'!$A$2:$A$62,0)))</f>
        <v>0</v>
      </c>
      <c r="G333" s="9" t="str">
        <f t="shared" si="9"/>
        <v>Parameter</v>
      </c>
      <c r="H333" s="9" t="str">
        <f t="shared" si="10"/>
        <v>Parameter</v>
      </c>
      <c r="I333" s="8" t="b">
        <f>IF(D333&lt;2,FALSE,ISERROR(MATCH(H333,'Ontology and concepts per UC'!$A$2:$A$62,0)))</f>
        <v>0</v>
      </c>
      <c r="J333" s="9" t="str">
        <f t="shared" si="11"/>
        <v/>
      </c>
      <c r="K333" s="8" t="b">
        <f>IF(D333&lt;3,FALSE,ISERROR(MATCH(J333,'Ontology and concepts per UC'!$A$2:$A$62,0)))</f>
        <v>0</v>
      </c>
      <c r="L333" s="2" t="s">
        <v>949</v>
      </c>
      <c r="M333" s="2" t="s">
        <v>950</v>
      </c>
      <c r="N333" s="2"/>
      <c r="O333" s="1" t="b">
        <v>0</v>
      </c>
      <c r="P333" s="1">
        <v>0</v>
      </c>
      <c r="Q333" s="1">
        <v>0</v>
      </c>
      <c r="R333" s="1" t="b">
        <f t="shared" si="12"/>
        <v>1</v>
      </c>
      <c r="S333" s="2" t="s">
        <v>367</v>
      </c>
      <c r="T333" s="1" t="str">
        <f>IF(S333="","",VLOOKUP(S333,'Ontology and concepts per UC'!$F$2:$J$46,5,FALSE))</f>
        <v>Parámetros de progresión</v>
      </c>
      <c r="U333" s="1" t="b">
        <f t="array" ref="U333">(INDEX('Ontology and concepts per UC'!$G$2:$I$46,MATCH($S333,'Ontology and concepts per UC'!$F$2:$F$46,0),MATCH(LEFT($A333,3),'Ontology and concepts per UC'!$G$1:$I$1,0))=0)</f>
        <v>0</v>
      </c>
      <c r="V333" s="1" t="b">
        <f t="shared" si="13"/>
        <v>0</v>
      </c>
      <c r="W333" s="1" t="b">
        <v>0</v>
      </c>
      <c r="X333" s="1" t="b">
        <v>0</v>
      </c>
      <c r="Y333" s="1" t="b">
        <v>0</v>
      </c>
      <c r="Z333" s="1" t="b">
        <v>0</v>
      </c>
      <c r="AA333" s="1"/>
    </row>
    <row r="334" spans="1:27" x14ac:dyDescent="0.25">
      <c r="A334" s="1" t="s">
        <v>883</v>
      </c>
      <c r="B334" s="2" t="s">
        <v>951</v>
      </c>
      <c r="C334" s="2" t="s">
        <v>942</v>
      </c>
      <c r="D334" s="6">
        <f t="shared" si="7"/>
        <v>2</v>
      </c>
      <c r="E334" s="7" t="str">
        <f t="shared" si="8"/>
        <v>DeterministicParameter</v>
      </c>
      <c r="F334" s="8" t="b">
        <f>IF(D334&lt;1,FALSE,ISERROR(MATCH(E334,'Ontology and concepts per UC'!$A$2:$A$62,0)))</f>
        <v>0</v>
      </c>
      <c r="G334" s="9" t="str">
        <f t="shared" si="9"/>
        <v>Parameter</v>
      </c>
      <c r="H334" s="9" t="str">
        <f t="shared" si="10"/>
        <v>Parameter</v>
      </c>
      <c r="I334" s="8" t="b">
        <f>IF(D334&lt;2,FALSE,ISERROR(MATCH(H334,'Ontology and concepts per UC'!$A$2:$A$62,0)))</f>
        <v>0</v>
      </c>
      <c r="J334" s="9" t="str">
        <f t="shared" si="11"/>
        <v/>
      </c>
      <c r="K334" s="8" t="b">
        <f>IF(D334&lt;3,FALSE,ISERROR(MATCH(J334,'Ontology and concepts per UC'!$A$2:$A$62,0)))</f>
        <v>0</v>
      </c>
      <c r="L334" s="2" t="s">
        <v>952</v>
      </c>
      <c r="M334" s="2" t="s">
        <v>953</v>
      </c>
      <c r="N334" s="2"/>
      <c r="O334" s="1" t="b">
        <v>0</v>
      </c>
      <c r="P334" s="1">
        <v>0</v>
      </c>
      <c r="Q334" s="1">
        <v>0</v>
      </c>
      <c r="R334" s="1" t="b">
        <f t="shared" si="12"/>
        <v>1</v>
      </c>
      <c r="S334" s="2" t="s">
        <v>56</v>
      </c>
      <c r="T334" s="1" t="str">
        <f>IF(S334="","",VLOOKUP(S334,'Ontology and concepts per UC'!$F$2:$J$46,5,FALSE))</f>
        <v>Parámetros de progresión</v>
      </c>
      <c r="U334" s="1" t="b">
        <f t="array" ref="U334">(INDEX('Ontology and concepts per UC'!$G$2:$I$46,MATCH($S334,'Ontology and concepts per UC'!$F$2:$F$46,0),MATCH(LEFT($A334,3),'Ontology and concepts per UC'!$G$1:$I$1,0))=0)</f>
        <v>0</v>
      </c>
      <c r="V334" s="1" t="b">
        <f t="shared" si="13"/>
        <v>1</v>
      </c>
      <c r="W334" s="1" t="b">
        <v>0</v>
      </c>
      <c r="X334" s="1" t="b">
        <v>0</v>
      </c>
      <c r="Y334" s="1" t="b">
        <v>0</v>
      </c>
      <c r="Z334" s="1" t="b">
        <v>1</v>
      </c>
      <c r="AA334" s="1" t="s">
        <v>675</v>
      </c>
    </row>
    <row r="335" spans="1:27" x14ac:dyDescent="0.25">
      <c r="A335" s="1" t="s">
        <v>883</v>
      </c>
      <c r="B335" s="2" t="s">
        <v>954</v>
      </c>
      <c r="C335" s="2" t="s">
        <v>942</v>
      </c>
      <c r="D335" s="6">
        <f t="shared" si="7"/>
        <v>2</v>
      </c>
      <c r="E335" s="7" t="str">
        <f t="shared" si="8"/>
        <v>DeterministicParameter</v>
      </c>
      <c r="F335" s="8" t="b">
        <f>IF(D335&lt;1,FALSE,ISERROR(MATCH(E335,'Ontology and concepts per UC'!$A$2:$A$62,0)))</f>
        <v>0</v>
      </c>
      <c r="G335" s="9" t="str">
        <f t="shared" si="9"/>
        <v>Parameter</v>
      </c>
      <c r="H335" s="9" t="str">
        <f t="shared" si="10"/>
        <v>Parameter</v>
      </c>
      <c r="I335" s="8" t="b">
        <f>IF(D335&lt;2,FALSE,ISERROR(MATCH(H335,'Ontology and concepts per UC'!$A$2:$A$62,0)))</f>
        <v>0</v>
      </c>
      <c r="J335" s="9" t="str">
        <f t="shared" si="11"/>
        <v/>
      </c>
      <c r="K335" s="8" t="b">
        <f>IF(D335&lt;3,FALSE,ISERROR(MATCH(J335,'Ontology and concepts per UC'!$A$2:$A$62,0)))</f>
        <v>0</v>
      </c>
      <c r="L335" s="2" t="s">
        <v>955</v>
      </c>
      <c r="M335" s="2" t="s">
        <v>956</v>
      </c>
      <c r="N335" s="2"/>
      <c r="O335" s="1" t="b">
        <v>0</v>
      </c>
      <c r="P335" s="1">
        <v>0</v>
      </c>
      <c r="Q335" s="1">
        <v>0</v>
      </c>
      <c r="R335" s="1" t="b">
        <f t="shared" si="12"/>
        <v>1</v>
      </c>
      <c r="S335" s="2" t="s">
        <v>54</v>
      </c>
      <c r="T335" s="1" t="str">
        <f>IF(S335="","",VLOOKUP(S335,'Ontology and concepts per UC'!$F$2:$J$46,5,FALSE))</f>
        <v>Parámetros de progresión</v>
      </c>
      <c r="U335" s="1" t="b">
        <f t="array" ref="U335">(INDEX('Ontology and concepts per UC'!$G$2:$I$46,MATCH($S335,'Ontology and concepts per UC'!$F$2:$F$46,0),MATCH(LEFT($A335,3),'Ontology and concepts per UC'!$G$1:$I$1,0))=0)</f>
        <v>0</v>
      </c>
      <c r="V335" s="1" t="b">
        <f t="shared" si="13"/>
        <v>1</v>
      </c>
      <c r="W335" s="1" t="b">
        <v>0</v>
      </c>
      <c r="X335" s="1" t="b">
        <v>0</v>
      </c>
      <c r="Y335" s="1" t="b">
        <v>0</v>
      </c>
      <c r="Z335" s="1" t="b">
        <v>1</v>
      </c>
      <c r="AA335" s="1" t="s">
        <v>675</v>
      </c>
    </row>
    <row r="336" spans="1:27" x14ac:dyDescent="0.25">
      <c r="A336" s="1" t="s">
        <v>883</v>
      </c>
      <c r="B336" s="2" t="s">
        <v>957</v>
      </c>
      <c r="C336" s="2" t="s">
        <v>942</v>
      </c>
      <c r="D336" s="6">
        <f t="shared" si="7"/>
        <v>2</v>
      </c>
      <c r="E336" s="7" t="str">
        <f t="shared" si="8"/>
        <v>DeterministicParameter</v>
      </c>
      <c r="F336" s="8" t="b">
        <f>IF(D336&lt;1,FALSE,ISERROR(MATCH(E336,'Ontology and concepts per UC'!$A$2:$A$62,0)))</f>
        <v>0</v>
      </c>
      <c r="G336" s="9" t="str">
        <f t="shared" si="9"/>
        <v>Parameter</v>
      </c>
      <c r="H336" s="9" t="str">
        <f t="shared" si="10"/>
        <v>Parameter</v>
      </c>
      <c r="I336" s="8" t="b">
        <f>IF(D336&lt;2,FALSE,ISERROR(MATCH(H336,'Ontology and concepts per UC'!$A$2:$A$62,0)))</f>
        <v>0</v>
      </c>
      <c r="J336" s="9" t="str">
        <f t="shared" si="11"/>
        <v/>
      </c>
      <c r="K336" s="8" t="b">
        <f>IF(D336&lt;3,FALSE,ISERROR(MATCH(J336,'Ontology and concepts per UC'!$A$2:$A$62,0)))</f>
        <v>0</v>
      </c>
      <c r="L336" s="2" t="s">
        <v>958</v>
      </c>
      <c r="M336" s="2" t="s">
        <v>959</v>
      </c>
      <c r="N336" s="2"/>
      <c r="O336" s="1" t="b">
        <v>0</v>
      </c>
      <c r="P336" s="1">
        <v>0</v>
      </c>
      <c r="Q336" s="1">
        <v>0</v>
      </c>
      <c r="R336" s="1" t="b">
        <f t="shared" si="12"/>
        <v>1</v>
      </c>
      <c r="S336" s="2" t="s">
        <v>50</v>
      </c>
      <c r="T336" s="1" t="str">
        <f>IF(S336="","",VLOOKUP(S336,'Ontology and concepts per UC'!$F$2:$J$46,5,FALSE))</f>
        <v>Parámetros de progresión</v>
      </c>
      <c r="U336" s="1" t="b">
        <f t="array" ref="U336">(INDEX('Ontology and concepts per UC'!$G$2:$I$46,MATCH($S336,'Ontology and concepts per UC'!$F$2:$F$46,0),MATCH(LEFT($A336,3),'Ontology and concepts per UC'!$G$1:$I$1,0))=0)</f>
        <v>0</v>
      </c>
      <c r="V336" s="1" t="b">
        <f t="shared" si="13"/>
        <v>1</v>
      </c>
      <c r="W336" s="1" t="b">
        <v>0</v>
      </c>
      <c r="X336" s="1" t="b">
        <v>0</v>
      </c>
      <c r="Y336" s="1" t="b">
        <v>0</v>
      </c>
      <c r="Z336" s="1" t="b">
        <v>1</v>
      </c>
      <c r="AA336" s="1" t="s">
        <v>675</v>
      </c>
    </row>
    <row r="337" spans="1:27" x14ac:dyDescent="0.25">
      <c r="A337" s="1" t="s">
        <v>883</v>
      </c>
      <c r="B337" s="2" t="s">
        <v>960</v>
      </c>
      <c r="C337" s="2" t="s">
        <v>942</v>
      </c>
      <c r="D337" s="6">
        <f t="shared" si="7"/>
        <v>2</v>
      </c>
      <c r="E337" s="7" t="str">
        <f t="shared" si="8"/>
        <v>DeterministicParameter</v>
      </c>
      <c r="F337" s="8" t="b">
        <f>IF(D337&lt;1,FALSE,ISERROR(MATCH(E337,'Ontology and concepts per UC'!$A$2:$A$62,0)))</f>
        <v>0</v>
      </c>
      <c r="G337" s="9" t="str">
        <f t="shared" si="9"/>
        <v>Parameter</v>
      </c>
      <c r="H337" s="9" t="str">
        <f t="shared" si="10"/>
        <v>Parameter</v>
      </c>
      <c r="I337" s="8" t="b">
        <f>IF(D337&lt;2,FALSE,ISERROR(MATCH(H337,'Ontology and concepts per UC'!$A$2:$A$62,0)))</f>
        <v>0</v>
      </c>
      <c r="J337" s="9" t="str">
        <f t="shared" si="11"/>
        <v/>
      </c>
      <c r="K337" s="8" t="b">
        <f>IF(D337&lt;3,FALSE,ISERROR(MATCH(J337,'Ontology and concepts per UC'!$A$2:$A$62,0)))</f>
        <v>0</v>
      </c>
      <c r="L337" s="2" t="s">
        <v>961</v>
      </c>
      <c r="M337" s="2" t="s">
        <v>962</v>
      </c>
      <c r="N337" s="2"/>
      <c r="O337" s="1" t="b">
        <v>0</v>
      </c>
      <c r="P337" s="1">
        <v>0</v>
      </c>
      <c r="Q337" s="1">
        <v>0</v>
      </c>
      <c r="R337" s="1" t="b">
        <f t="shared" si="12"/>
        <v>1</v>
      </c>
      <c r="S337" s="2" t="s">
        <v>51</v>
      </c>
      <c r="T337" s="1" t="str">
        <f>IF(S337="","",VLOOKUP(S337,'Ontology and concepts per UC'!$F$2:$J$46,5,FALSE))</f>
        <v>Parámetros de progresión</v>
      </c>
      <c r="U337" s="1" t="b">
        <f t="array" ref="U337">(INDEX('Ontology and concepts per UC'!$G$2:$I$46,MATCH($S337,'Ontology and concepts per UC'!$F$2:$F$46,0),MATCH(LEFT($A337,3),'Ontology and concepts per UC'!$G$1:$I$1,0))=0)</f>
        <v>0</v>
      </c>
      <c r="V337" s="1" t="b">
        <f t="shared" si="13"/>
        <v>1</v>
      </c>
      <c r="W337" s="1" t="b">
        <v>0</v>
      </c>
      <c r="X337" s="1" t="b">
        <v>0</v>
      </c>
      <c r="Y337" s="1" t="b">
        <v>0</v>
      </c>
      <c r="Z337" s="1" t="b">
        <v>1</v>
      </c>
      <c r="AA337" s="1" t="s">
        <v>675</v>
      </c>
    </row>
    <row r="338" spans="1:27" x14ac:dyDescent="0.25">
      <c r="A338" s="1" t="s">
        <v>883</v>
      </c>
      <c r="B338" s="2" t="s">
        <v>963</v>
      </c>
      <c r="C338" s="2" t="s">
        <v>942</v>
      </c>
      <c r="D338" s="6">
        <f t="shared" si="7"/>
        <v>2</v>
      </c>
      <c r="E338" s="7" t="str">
        <f t="shared" si="8"/>
        <v>DeterministicParameter</v>
      </c>
      <c r="F338" s="8" t="b">
        <f>IF(D338&lt;1,FALSE,ISERROR(MATCH(E338,'Ontology and concepts per UC'!$A$2:$A$62,0)))</f>
        <v>0</v>
      </c>
      <c r="G338" s="9" t="str">
        <f t="shared" si="9"/>
        <v>Parameter</v>
      </c>
      <c r="H338" s="9" t="str">
        <f t="shared" si="10"/>
        <v>Parameter</v>
      </c>
      <c r="I338" s="8" t="b">
        <f>IF(D338&lt;2,FALSE,ISERROR(MATCH(H338,'Ontology and concepts per UC'!$A$2:$A$62,0)))</f>
        <v>0</v>
      </c>
      <c r="J338" s="9" t="str">
        <f t="shared" si="11"/>
        <v/>
      </c>
      <c r="K338" s="8" t="b">
        <f>IF(D338&lt;3,FALSE,ISERROR(MATCH(J338,'Ontology and concepts per UC'!$A$2:$A$62,0)))</f>
        <v>0</v>
      </c>
      <c r="L338" s="2" t="s">
        <v>964</v>
      </c>
      <c r="M338" s="2" t="s">
        <v>965</v>
      </c>
      <c r="N338" s="2"/>
      <c r="O338" s="1" t="b">
        <v>0</v>
      </c>
      <c r="P338" s="1">
        <v>0</v>
      </c>
      <c r="Q338" s="1">
        <v>0</v>
      </c>
      <c r="R338" s="1" t="b">
        <f t="shared" si="12"/>
        <v>1</v>
      </c>
      <c r="S338" s="2" t="s">
        <v>367</v>
      </c>
      <c r="T338" s="1" t="str">
        <f>IF(S338="","",VLOOKUP(S338,'Ontology and concepts per UC'!$F$2:$J$46,5,FALSE))</f>
        <v>Parámetros de progresión</v>
      </c>
      <c r="U338" s="1" t="b">
        <f t="array" ref="U338">(INDEX('Ontology and concepts per UC'!$G$2:$I$46,MATCH($S338,'Ontology and concepts per UC'!$F$2:$F$46,0),MATCH(LEFT($A338,3),'Ontology and concepts per UC'!$G$1:$I$1,0))=0)</f>
        <v>0</v>
      </c>
      <c r="V338" s="1" t="b">
        <f t="shared" si="13"/>
        <v>0</v>
      </c>
      <c r="W338" s="1" t="b">
        <v>0</v>
      </c>
      <c r="X338" s="1" t="b">
        <v>0</v>
      </c>
      <c r="Y338" s="1" t="b">
        <v>0</v>
      </c>
      <c r="Z338" s="1" t="b">
        <v>0</v>
      </c>
      <c r="AA338" s="1"/>
    </row>
    <row r="339" spans="1:27" x14ac:dyDescent="0.25">
      <c r="A339" s="1" t="s">
        <v>883</v>
      </c>
      <c r="B339" s="2" t="s">
        <v>966</v>
      </c>
      <c r="C339" s="2" t="s">
        <v>942</v>
      </c>
      <c r="D339" s="6">
        <f t="shared" si="7"/>
        <v>2</v>
      </c>
      <c r="E339" s="7" t="str">
        <f t="shared" si="8"/>
        <v>DeterministicParameter</v>
      </c>
      <c r="F339" s="8" t="b">
        <f>IF(D339&lt;1,FALSE,ISERROR(MATCH(E339,'Ontology and concepts per UC'!$A$2:$A$62,0)))</f>
        <v>0</v>
      </c>
      <c r="G339" s="9" t="str">
        <f t="shared" si="9"/>
        <v>Parameter</v>
      </c>
      <c r="H339" s="9" t="str">
        <f t="shared" si="10"/>
        <v>Parameter</v>
      </c>
      <c r="I339" s="8" t="b">
        <f>IF(D339&lt;2,FALSE,ISERROR(MATCH(H339,'Ontology and concepts per UC'!$A$2:$A$62,0)))</f>
        <v>0</v>
      </c>
      <c r="J339" s="9" t="str">
        <f t="shared" si="11"/>
        <v/>
      </c>
      <c r="K339" s="8" t="b">
        <f>IF(D339&lt;3,FALSE,ISERROR(MATCH(J339,'Ontology and concepts per UC'!$A$2:$A$62,0)))</f>
        <v>0</v>
      </c>
      <c r="L339" s="2" t="s">
        <v>967</v>
      </c>
      <c r="M339" s="2" t="s">
        <v>968</v>
      </c>
      <c r="N339" s="2"/>
      <c r="O339" s="1" t="b">
        <v>0</v>
      </c>
      <c r="P339" s="1">
        <v>0</v>
      </c>
      <c r="Q339" s="1">
        <v>0</v>
      </c>
      <c r="R339" s="1" t="b">
        <f t="shared" si="12"/>
        <v>1</v>
      </c>
      <c r="S339" s="2" t="s">
        <v>107</v>
      </c>
      <c r="T339" s="1" t="str">
        <f>IF(S339="","",VLOOKUP(S339,'Ontology and concepts per UC'!$F$2:$J$46,5,FALSE))</f>
        <v>Parcial</v>
      </c>
      <c r="U339" s="1" t="b">
        <f t="array" ref="U339">(INDEX('Ontology and concepts per UC'!$G$2:$I$46,MATCH($S339,'Ontology and concepts per UC'!$F$2:$F$46,0),MATCH(LEFT($A339,3),'Ontology and concepts per UC'!$G$1:$I$1,0))=0)</f>
        <v>0</v>
      </c>
      <c r="V339" s="1" t="b">
        <f t="shared" si="13"/>
        <v>0</v>
      </c>
      <c r="W339" s="1" t="b">
        <v>0</v>
      </c>
      <c r="X339" s="1" t="b">
        <v>0</v>
      </c>
      <c r="Y339" s="1" t="b">
        <v>0</v>
      </c>
      <c r="Z339" s="1" t="b">
        <v>0</v>
      </c>
      <c r="AA339" s="1"/>
    </row>
    <row r="340" spans="1:27" x14ac:dyDescent="0.25">
      <c r="A340" s="1" t="s">
        <v>883</v>
      </c>
      <c r="B340" s="2" t="s">
        <v>969</v>
      </c>
      <c r="C340" s="2" t="s">
        <v>942</v>
      </c>
      <c r="D340" s="6">
        <f t="shared" si="7"/>
        <v>2</v>
      </c>
      <c r="E340" s="7" t="str">
        <f t="shared" si="8"/>
        <v>DeterministicParameter</v>
      </c>
      <c r="F340" s="8" t="b">
        <f>IF(D340&lt;1,FALSE,ISERROR(MATCH(E340,'Ontology and concepts per UC'!$A$2:$A$62,0)))</f>
        <v>0</v>
      </c>
      <c r="G340" s="9" t="str">
        <f t="shared" si="9"/>
        <v>Parameter</v>
      </c>
      <c r="H340" s="9" t="str">
        <f t="shared" si="10"/>
        <v>Parameter</v>
      </c>
      <c r="I340" s="8" t="b">
        <f>IF(D340&lt;2,FALSE,ISERROR(MATCH(H340,'Ontology and concepts per UC'!$A$2:$A$62,0)))</f>
        <v>0</v>
      </c>
      <c r="J340" s="9" t="str">
        <f t="shared" si="11"/>
        <v/>
      </c>
      <c r="K340" s="8" t="b">
        <f>IF(D340&lt;3,FALSE,ISERROR(MATCH(J340,'Ontology and concepts per UC'!$A$2:$A$62,0)))</f>
        <v>0</v>
      </c>
      <c r="L340" s="2" t="s">
        <v>970</v>
      </c>
      <c r="M340" s="2" t="s">
        <v>971</v>
      </c>
      <c r="N340" s="2"/>
      <c r="O340" s="1" t="b">
        <v>0</v>
      </c>
      <c r="P340" s="1">
        <v>0</v>
      </c>
      <c r="Q340" s="1">
        <v>0</v>
      </c>
      <c r="R340" s="1" t="b">
        <f t="shared" si="12"/>
        <v>1</v>
      </c>
      <c r="S340" s="2" t="s">
        <v>107</v>
      </c>
      <c r="T340" s="1" t="str">
        <f>IF(S340="","",VLOOKUP(S340,'Ontology and concepts per UC'!$F$2:$J$46,5,FALSE))</f>
        <v>Parcial</v>
      </c>
      <c r="U340" s="1" t="b">
        <f t="array" ref="U340">(INDEX('Ontology and concepts per UC'!$G$2:$I$46,MATCH($S340,'Ontology and concepts per UC'!$F$2:$F$46,0),MATCH(LEFT($A340,3),'Ontology and concepts per UC'!$G$1:$I$1,0))=0)</f>
        <v>0</v>
      </c>
      <c r="V340" s="1" t="b">
        <f t="shared" si="13"/>
        <v>0</v>
      </c>
      <c r="W340" s="1" t="b">
        <v>0</v>
      </c>
      <c r="X340" s="1" t="b">
        <v>0</v>
      </c>
      <c r="Y340" s="1" t="b">
        <v>0</v>
      </c>
      <c r="Z340" s="1" t="b">
        <v>0</v>
      </c>
      <c r="AA340" s="1"/>
    </row>
    <row r="341" spans="1:27" x14ac:dyDescent="0.25">
      <c r="A341" s="1" t="s">
        <v>883</v>
      </c>
      <c r="B341" s="2" t="s">
        <v>972</v>
      </c>
      <c r="C341" s="2" t="s">
        <v>942</v>
      </c>
      <c r="D341" s="6">
        <f t="shared" si="7"/>
        <v>2</v>
      </c>
      <c r="E341" s="7" t="str">
        <f t="shared" si="8"/>
        <v>DeterministicParameter</v>
      </c>
      <c r="F341" s="8" t="b">
        <f>IF(D341&lt;1,FALSE,ISERROR(MATCH(E341,'Ontology and concepts per UC'!$A$2:$A$62,0)))</f>
        <v>0</v>
      </c>
      <c r="G341" s="9" t="str">
        <f t="shared" si="9"/>
        <v>Parameter</v>
      </c>
      <c r="H341" s="9" t="str">
        <f t="shared" si="10"/>
        <v>Parameter</v>
      </c>
      <c r="I341" s="8" t="b">
        <f>IF(D341&lt;2,FALSE,ISERROR(MATCH(H341,'Ontology and concepts per UC'!$A$2:$A$62,0)))</f>
        <v>0</v>
      </c>
      <c r="J341" s="9" t="str">
        <f t="shared" si="11"/>
        <v/>
      </c>
      <c r="K341" s="8" t="b">
        <f>IF(D341&lt;3,FALSE,ISERROR(MATCH(J341,'Ontology and concepts per UC'!$A$2:$A$62,0)))</f>
        <v>0</v>
      </c>
      <c r="L341" s="2" t="s">
        <v>973</v>
      </c>
      <c r="M341" s="2" t="s">
        <v>974</v>
      </c>
      <c r="N341" s="2"/>
      <c r="O341" s="1" t="b">
        <v>0</v>
      </c>
      <c r="P341" s="1">
        <v>0</v>
      </c>
      <c r="Q341" s="1">
        <v>0</v>
      </c>
      <c r="R341" s="1" t="b">
        <f t="shared" si="12"/>
        <v>1</v>
      </c>
      <c r="S341" s="2" t="s">
        <v>107</v>
      </c>
      <c r="T341" s="1" t="str">
        <f>IF(S341="","",VLOOKUP(S341,'Ontology and concepts per UC'!$F$2:$J$46,5,FALSE))</f>
        <v>Parcial</v>
      </c>
      <c r="U341" s="1" t="b">
        <f t="array" ref="U341">(INDEX('Ontology and concepts per UC'!$G$2:$I$46,MATCH($S341,'Ontology and concepts per UC'!$F$2:$F$46,0),MATCH(LEFT($A341,3),'Ontology and concepts per UC'!$G$1:$I$1,0))=0)</f>
        <v>0</v>
      </c>
      <c r="V341" s="1" t="b">
        <f t="shared" si="13"/>
        <v>0</v>
      </c>
      <c r="W341" s="1" t="b">
        <v>0</v>
      </c>
      <c r="X341" s="1" t="b">
        <v>0</v>
      </c>
      <c r="Y341" s="1" t="b">
        <v>0</v>
      </c>
      <c r="Z341" s="1" t="b">
        <v>0</v>
      </c>
      <c r="AA341" s="1"/>
    </row>
    <row r="342" spans="1:27" x14ac:dyDescent="0.25">
      <c r="A342" s="1" t="s">
        <v>883</v>
      </c>
      <c r="B342" s="2" t="s">
        <v>975</v>
      </c>
      <c r="C342" s="2" t="s">
        <v>942</v>
      </c>
      <c r="D342" s="6">
        <f t="shared" si="7"/>
        <v>2</v>
      </c>
      <c r="E342" s="7" t="str">
        <f t="shared" si="8"/>
        <v>DeterministicParameter</v>
      </c>
      <c r="F342" s="8" t="b">
        <f>IF(D342&lt;1,FALSE,ISERROR(MATCH(E342,'Ontology and concepts per UC'!$A$2:$A$62,0)))</f>
        <v>0</v>
      </c>
      <c r="G342" s="9" t="str">
        <f t="shared" si="9"/>
        <v>Parameter</v>
      </c>
      <c r="H342" s="9" t="str">
        <f t="shared" si="10"/>
        <v>Parameter</v>
      </c>
      <c r="I342" s="8" t="b">
        <f>IF(D342&lt;2,FALSE,ISERROR(MATCH(H342,'Ontology and concepts per UC'!$A$2:$A$62,0)))</f>
        <v>0</v>
      </c>
      <c r="J342" s="9" t="str">
        <f t="shared" si="11"/>
        <v/>
      </c>
      <c r="K342" s="8" t="b">
        <f>IF(D342&lt;3,FALSE,ISERROR(MATCH(J342,'Ontology and concepts per UC'!$A$2:$A$62,0)))</f>
        <v>0</v>
      </c>
      <c r="L342" s="2" t="s">
        <v>976</v>
      </c>
      <c r="M342" s="2" t="s">
        <v>977</v>
      </c>
      <c r="N342" s="2"/>
      <c r="O342" s="1" t="b">
        <v>0</v>
      </c>
      <c r="P342" s="1">
        <v>0</v>
      </c>
      <c r="Q342" s="1">
        <v>0</v>
      </c>
      <c r="R342" s="1" t="b">
        <f t="shared" si="12"/>
        <v>1</v>
      </c>
      <c r="S342" s="2" t="s">
        <v>107</v>
      </c>
      <c r="T342" s="1" t="str">
        <f>IF(S342="","",VLOOKUP(S342,'Ontology and concepts per UC'!$F$2:$J$46,5,FALSE))</f>
        <v>Parcial</v>
      </c>
      <c r="U342" s="1" t="b">
        <f t="array" ref="U342">(INDEX('Ontology and concepts per UC'!$G$2:$I$46,MATCH($S342,'Ontology and concepts per UC'!$F$2:$F$46,0),MATCH(LEFT($A342,3),'Ontology and concepts per UC'!$G$1:$I$1,0))=0)</f>
        <v>0</v>
      </c>
      <c r="V342" s="1" t="b">
        <f t="shared" si="13"/>
        <v>0</v>
      </c>
      <c r="W342" s="1" t="b">
        <v>0</v>
      </c>
      <c r="X342" s="1" t="b">
        <v>0</v>
      </c>
      <c r="Y342" s="1" t="b">
        <v>0</v>
      </c>
      <c r="Z342" s="1" t="b">
        <v>0</v>
      </c>
      <c r="AA342" s="1"/>
    </row>
    <row r="343" spans="1:27" x14ac:dyDescent="0.25">
      <c r="A343" s="1" t="s">
        <v>883</v>
      </c>
      <c r="B343" s="2" t="s">
        <v>978</v>
      </c>
      <c r="C343" s="2" t="s">
        <v>979</v>
      </c>
      <c r="D343" s="6">
        <f t="shared" si="7"/>
        <v>2</v>
      </c>
      <c r="E343" s="7" t="str">
        <f t="shared" si="8"/>
        <v>IRIDeterministicParameter</v>
      </c>
      <c r="F343" s="8" t="b">
        <f>IF(D343&lt;1,FALSE,ISERROR(MATCH(E343,'Ontology and concepts per UC'!$A$2:$A$62,0)))</f>
        <v>1</v>
      </c>
      <c r="G343" s="9" t="str">
        <f t="shared" si="9"/>
        <v>IRIUtility</v>
      </c>
      <c r="H343" s="9" t="str">
        <f t="shared" si="10"/>
        <v>IRIUtility</v>
      </c>
      <c r="I343" s="8" t="b">
        <f>IF(D343&lt;2,FALSE,ISERROR(MATCH(H343,'Ontology and concepts per UC'!$A$2:$A$62,0)))</f>
        <v>1</v>
      </c>
      <c r="J343" s="9" t="str">
        <f t="shared" si="11"/>
        <v/>
      </c>
      <c r="K343" s="8" t="b">
        <f>IF(D343&lt;3,FALSE,ISERROR(MATCH(J343,'Ontology and concepts per UC'!$A$2:$A$62,0)))</f>
        <v>0</v>
      </c>
      <c r="L343" s="2" t="s">
        <v>980</v>
      </c>
      <c r="M343" s="2" t="s">
        <v>981</v>
      </c>
      <c r="N343" s="2"/>
      <c r="O343" s="1" t="b">
        <v>0</v>
      </c>
      <c r="P343" s="1">
        <v>2</v>
      </c>
      <c r="Q343" s="1">
        <v>0</v>
      </c>
      <c r="R343" s="1" t="b">
        <f t="shared" si="12"/>
        <v>1</v>
      </c>
      <c r="S343" s="2" t="s">
        <v>174</v>
      </c>
      <c r="T343" s="1" t="str">
        <f>IF(S343="","",VLOOKUP(S343,'Ontology and concepts per UC'!$F$2:$J$46,5,FALSE))</f>
        <v>Utilidad</v>
      </c>
      <c r="U343" s="1" t="b">
        <f t="array" ref="U343">(INDEX('Ontology and concepts per UC'!$G$2:$I$46,MATCH($S343,'Ontology and concepts per UC'!$F$2:$F$46,0),MATCH(LEFT($A343,3),'Ontology and concepts per UC'!$G$1:$I$1,0))=0)</f>
        <v>0</v>
      </c>
      <c r="V343" s="1" t="b">
        <f t="shared" si="13"/>
        <v>1</v>
      </c>
      <c r="W343" s="1" t="b">
        <v>1</v>
      </c>
      <c r="X343" s="1" t="b">
        <v>0</v>
      </c>
      <c r="Y343" s="1" t="b">
        <v>0</v>
      </c>
      <c r="Z343" s="1" t="b">
        <v>0</v>
      </c>
      <c r="AA343" s="1" t="s">
        <v>982</v>
      </c>
    </row>
    <row r="344" spans="1:27" x14ac:dyDescent="0.25">
      <c r="A344" s="1" t="s">
        <v>883</v>
      </c>
      <c r="B344" s="2" t="s">
        <v>983</v>
      </c>
      <c r="C344" s="2" t="s">
        <v>979</v>
      </c>
      <c r="D344" s="6">
        <f t="shared" si="7"/>
        <v>2</v>
      </c>
      <c r="E344" s="7" t="str">
        <f t="shared" si="8"/>
        <v>IRIDeterministicParameter</v>
      </c>
      <c r="F344" s="8" t="b">
        <f>IF(D344&lt;1,FALSE,ISERROR(MATCH(E344,'Ontology and concepts per UC'!$A$2:$A$62,0)))</f>
        <v>1</v>
      </c>
      <c r="G344" s="9" t="str">
        <f t="shared" si="9"/>
        <v>IRIUtility</v>
      </c>
      <c r="H344" s="9" t="str">
        <f t="shared" si="10"/>
        <v>IRIUtility</v>
      </c>
      <c r="I344" s="8" t="b">
        <f>IF(D344&lt;2,FALSE,ISERROR(MATCH(H344,'Ontology and concepts per UC'!$A$2:$A$62,0)))</f>
        <v>1</v>
      </c>
      <c r="J344" s="9" t="str">
        <f t="shared" si="11"/>
        <v/>
      </c>
      <c r="K344" s="8" t="b">
        <f>IF(D344&lt;3,FALSE,ISERROR(MATCH(J344,'Ontology and concepts per UC'!$A$2:$A$62,0)))</f>
        <v>0</v>
      </c>
      <c r="L344" s="2" t="s">
        <v>984</v>
      </c>
      <c r="M344" s="2" t="s">
        <v>985</v>
      </c>
      <c r="N344" s="2"/>
      <c r="O344" s="1" t="b">
        <v>0</v>
      </c>
      <c r="P344" s="1">
        <v>2</v>
      </c>
      <c r="Q344" s="1">
        <v>0</v>
      </c>
      <c r="R344" s="1" t="b">
        <f t="shared" si="12"/>
        <v>1</v>
      </c>
      <c r="S344" s="2" t="s">
        <v>68</v>
      </c>
      <c r="T344" s="1" t="str">
        <f>IF(S344="","",VLOOKUP(S344,'Ontology and concepts per UC'!$F$2:$J$46,5,FALSE))</f>
        <v>Utilidad</v>
      </c>
      <c r="U344" s="1" t="b">
        <f t="array" ref="U344">(INDEX('Ontology and concepts per UC'!$G$2:$I$46,MATCH($S344,'Ontology and concepts per UC'!$F$2:$F$46,0),MATCH(LEFT($A344,3),'Ontology and concepts per UC'!$G$1:$I$1,0))=0)</f>
        <v>0</v>
      </c>
      <c r="V344" s="1" t="b">
        <f t="shared" si="13"/>
        <v>1</v>
      </c>
      <c r="W344" s="1" t="b">
        <v>1</v>
      </c>
      <c r="X344" s="1" t="b">
        <v>0</v>
      </c>
      <c r="Y344" s="1" t="b">
        <v>0</v>
      </c>
      <c r="Z344" s="1" t="b">
        <v>1</v>
      </c>
      <c r="AA344" s="1" t="s">
        <v>986</v>
      </c>
    </row>
    <row r="345" spans="1:27" x14ac:dyDescent="0.25">
      <c r="A345" s="1" t="s">
        <v>883</v>
      </c>
      <c r="B345" s="2" t="s">
        <v>987</v>
      </c>
      <c r="C345" s="2" t="s">
        <v>979</v>
      </c>
      <c r="D345" s="6">
        <f t="shared" si="7"/>
        <v>2</v>
      </c>
      <c r="E345" s="7" t="str">
        <f t="shared" si="8"/>
        <v>IRIDeterministicParameter</v>
      </c>
      <c r="F345" s="8" t="b">
        <f>IF(D345&lt;1,FALSE,ISERROR(MATCH(E345,'Ontology and concepts per UC'!$A$2:$A$62,0)))</f>
        <v>1</v>
      </c>
      <c r="G345" s="9" t="str">
        <f t="shared" si="9"/>
        <v>IRIUtility</v>
      </c>
      <c r="H345" s="9" t="str">
        <f t="shared" si="10"/>
        <v>IRIUtility</v>
      </c>
      <c r="I345" s="8" t="b">
        <f>IF(D345&lt;2,FALSE,ISERROR(MATCH(H345,'Ontology and concepts per UC'!$A$2:$A$62,0)))</f>
        <v>1</v>
      </c>
      <c r="J345" s="9" t="str">
        <f t="shared" si="11"/>
        <v/>
      </c>
      <c r="K345" s="8" t="b">
        <f>IF(D345&lt;3,FALSE,ISERROR(MATCH(J345,'Ontology and concepts per UC'!$A$2:$A$62,0)))</f>
        <v>0</v>
      </c>
      <c r="L345" s="2" t="s">
        <v>988</v>
      </c>
      <c r="M345" s="2" t="s">
        <v>989</v>
      </c>
      <c r="N345" s="2"/>
      <c r="O345" s="1" t="b">
        <v>0</v>
      </c>
      <c r="P345" s="1">
        <v>2</v>
      </c>
      <c r="Q345" s="1">
        <v>0</v>
      </c>
      <c r="R345" s="1" t="b">
        <f t="shared" si="12"/>
        <v>1</v>
      </c>
      <c r="S345" s="2" t="s">
        <v>69</v>
      </c>
      <c r="T345" s="1" t="str">
        <f>IF(S345="","",VLOOKUP(S345,'Ontology and concepts per UC'!$F$2:$J$46,5,FALSE))</f>
        <v>Utilidad</v>
      </c>
      <c r="U345" s="1" t="b">
        <f t="array" ref="U345">(INDEX('Ontology and concepts per UC'!$G$2:$I$46,MATCH($S345,'Ontology and concepts per UC'!$F$2:$F$46,0),MATCH(LEFT($A345,3),'Ontology and concepts per UC'!$G$1:$I$1,0))=0)</f>
        <v>0</v>
      </c>
      <c r="V345" s="1" t="b">
        <f t="shared" si="13"/>
        <v>1</v>
      </c>
      <c r="W345" s="1" t="b">
        <v>1</v>
      </c>
      <c r="X345" s="1" t="b">
        <v>0</v>
      </c>
      <c r="Y345" s="1" t="b">
        <v>0</v>
      </c>
      <c r="Z345" s="1" t="b">
        <v>1</v>
      </c>
      <c r="AA345" s="1" t="s">
        <v>990</v>
      </c>
    </row>
    <row r="346" spans="1:27" x14ac:dyDescent="0.25">
      <c r="A346" s="1" t="s">
        <v>883</v>
      </c>
      <c r="B346" s="2" t="s">
        <v>991</v>
      </c>
      <c r="C346" s="2" t="s">
        <v>979</v>
      </c>
      <c r="D346" s="6">
        <f t="shared" si="7"/>
        <v>2</v>
      </c>
      <c r="E346" s="7" t="str">
        <f t="shared" si="8"/>
        <v>IRIDeterministicParameter</v>
      </c>
      <c r="F346" s="8" t="b">
        <f>IF(D346&lt;1,FALSE,ISERROR(MATCH(E346,'Ontology and concepts per UC'!$A$2:$A$62,0)))</f>
        <v>1</v>
      </c>
      <c r="G346" s="9" t="str">
        <f t="shared" si="9"/>
        <v>IRIUtility</v>
      </c>
      <c r="H346" s="9" t="str">
        <f t="shared" si="10"/>
        <v>IRIUtility</v>
      </c>
      <c r="I346" s="8" t="b">
        <f>IF(D346&lt;2,FALSE,ISERROR(MATCH(H346,'Ontology and concepts per UC'!$A$2:$A$62,0)))</f>
        <v>1</v>
      </c>
      <c r="J346" s="9" t="str">
        <f t="shared" si="11"/>
        <v/>
      </c>
      <c r="K346" s="8" t="b">
        <f>IF(D346&lt;3,FALSE,ISERROR(MATCH(J346,'Ontology and concepts per UC'!$A$2:$A$62,0)))</f>
        <v>0</v>
      </c>
      <c r="L346" s="2" t="s">
        <v>992</v>
      </c>
      <c r="M346" s="2" t="s">
        <v>993</v>
      </c>
      <c r="N346" s="2"/>
      <c r="O346" s="1" t="b">
        <v>0</v>
      </c>
      <c r="P346" s="1">
        <v>2</v>
      </c>
      <c r="Q346" s="1">
        <v>0</v>
      </c>
      <c r="R346" s="1" t="b">
        <f t="shared" si="12"/>
        <v>1</v>
      </c>
      <c r="S346" s="2" t="s">
        <v>174</v>
      </c>
      <c r="T346" s="1" t="str">
        <f>IF(S346="","",VLOOKUP(S346,'Ontology and concepts per UC'!$F$2:$J$46,5,FALSE))</f>
        <v>Utilidad</v>
      </c>
      <c r="U346" s="1" t="b">
        <f t="array" ref="U346">(INDEX('Ontology and concepts per UC'!$G$2:$I$46,MATCH($S346,'Ontology and concepts per UC'!$F$2:$F$46,0),MATCH(LEFT($A346,3),'Ontology and concepts per UC'!$G$1:$I$1,0))=0)</f>
        <v>0</v>
      </c>
      <c r="V346" s="1" t="b">
        <f t="shared" si="13"/>
        <v>1</v>
      </c>
      <c r="W346" s="1" t="b">
        <v>1</v>
      </c>
      <c r="X346" s="1" t="b">
        <v>0</v>
      </c>
      <c r="Y346" s="1" t="b">
        <v>0</v>
      </c>
      <c r="Z346" s="1" t="b">
        <v>0</v>
      </c>
      <c r="AA346" s="1" t="s">
        <v>994</v>
      </c>
    </row>
    <row r="347" spans="1:27" x14ac:dyDescent="0.25">
      <c r="A347" s="1" t="s">
        <v>883</v>
      </c>
      <c r="B347" s="2" t="s">
        <v>995</v>
      </c>
      <c r="C347" s="2" t="s">
        <v>979</v>
      </c>
      <c r="D347" s="6">
        <f t="shared" si="7"/>
        <v>2</v>
      </c>
      <c r="E347" s="7" t="str">
        <f t="shared" si="8"/>
        <v>IRIDeterministicParameter</v>
      </c>
      <c r="F347" s="8" t="b">
        <f>IF(D347&lt;1,FALSE,ISERROR(MATCH(E347,'Ontology and concepts per UC'!$A$2:$A$62,0)))</f>
        <v>1</v>
      </c>
      <c r="G347" s="9" t="str">
        <f t="shared" si="9"/>
        <v>IRIUtility</v>
      </c>
      <c r="H347" s="9" t="str">
        <f t="shared" si="10"/>
        <v>IRIUtility</v>
      </c>
      <c r="I347" s="8" t="b">
        <f>IF(D347&lt;2,FALSE,ISERROR(MATCH(H347,'Ontology and concepts per UC'!$A$2:$A$62,0)))</f>
        <v>1</v>
      </c>
      <c r="J347" s="9" t="str">
        <f t="shared" si="11"/>
        <v/>
      </c>
      <c r="K347" s="8" t="b">
        <f>IF(D347&lt;3,FALSE,ISERROR(MATCH(J347,'Ontology and concepts per UC'!$A$2:$A$62,0)))</f>
        <v>0</v>
      </c>
      <c r="L347" s="2" t="s">
        <v>996</v>
      </c>
      <c r="M347" s="2" t="s">
        <v>997</v>
      </c>
      <c r="N347" s="2"/>
      <c r="O347" s="1" t="b">
        <v>0</v>
      </c>
      <c r="P347" s="1">
        <v>2</v>
      </c>
      <c r="Q347" s="1">
        <v>0</v>
      </c>
      <c r="R347" s="1" t="b">
        <f t="shared" si="12"/>
        <v>1</v>
      </c>
      <c r="S347" s="2" t="s">
        <v>65</v>
      </c>
      <c r="T347" s="1" t="str">
        <f>IF(S347="","",VLOOKUP(S347,'Ontology and concepts per UC'!$F$2:$J$46,5,FALSE))</f>
        <v>Utilidad</v>
      </c>
      <c r="U347" s="1" t="b">
        <f t="array" ref="U347">(INDEX('Ontology and concepts per UC'!$G$2:$I$46,MATCH($S347,'Ontology and concepts per UC'!$F$2:$F$46,0),MATCH(LEFT($A347,3),'Ontology and concepts per UC'!$G$1:$I$1,0))=0)</f>
        <v>0</v>
      </c>
      <c r="V347" s="1" t="b">
        <f t="shared" si="13"/>
        <v>1</v>
      </c>
      <c r="W347" s="1" t="b">
        <v>1</v>
      </c>
      <c r="X347" s="1" t="b">
        <v>0</v>
      </c>
      <c r="Y347" s="1" t="b">
        <v>0</v>
      </c>
      <c r="Z347" s="1" t="b">
        <v>1</v>
      </c>
      <c r="AA347" s="1" t="s">
        <v>986</v>
      </c>
    </row>
    <row r="348" spans="1:27" x14ac:dyDescent="0.25">
      <c r="A348" s="1" t="s">
        <v>883</v>
      </c>
      <c r="B348" s="2" t="s">
        <v>998</v>
      </c>
      <c r="C348" s="2" t="s">
        <v>979</v>
      </c>
      <c r="D348" s="6">
        <f t="shared" si="7"/>
        <v>2</v>
      </c>
      <c r="E348" s="7" t="str">
        <f t="shared" si="8"/>
        <v>IRIDeterministicParameter</v>
      </c>
      <c r="F348" s="8" t="b">
        <f>IF(D348&lt;1,FALSE,ISERROR(MATCH(E348,'Ontology and concepts per UC'!$A$2:$A$62,0)))</f>
        <v>1</v>
      </c>
      <c r="G348" s="9" t="str">
        <f t="shared" si="9"/>
        <v>IRIUtility</v>
      </c>
      <c r="H348" s="9" t="str">
        <f t="shared" si="10"/>
        <v>IRIUtility</v>
      </c>
      <c r="I348" s="8" t="b">
        <f>IF(D348&lt;2,FALSE,ISERROR(MATCH(H348,'Ontology and concepts per UC'!$A$2:$A$62,0)))</f>
        <v>1</v>
      </c>
      <c r="J348" s="9" t="str">
        <f t="shared" si="11"/>
        <v/>
      </c>
      <c r="K348" s="8" t="b">
        <f>IF(D348&lt;3,FALSE,ISERROR(MATCH(J348,'Ontology and concepts per UC'!$A$2:$A$62,0)))</f>
        <v>0</v>
      </c>
      <c r="L348" s="2" t="s">
        <v>999</v>
      </c>
      <c r="M348" s="2" t="s">
        <v>1000</v>
      </c>
      <c r="N348" s="2"/>
      <c r="O348" s="1" t="b">
        <v>0</v>
      </c>
      <c r="P348" s="1">
        <v>2</v>
      </c>
      <c r="Q348" s="1">
        <v>0</v>
      </c>
      <c r="R348" s="1" t="b">
        <f t="shared" si="12"/>
        <v>1</v>
      </c>
      <c r="S348" s="2" t="s">
        <v>66</v>
      </c>
      <c r="T348" s="1" t="str">
        <f>IF(S348="","",VLOOKUP(S348,'Ontology and concepts per UC'!$F$2:$J$46,5,FALSE))</f>
        <v>Utilidad</v>
      </c>
      <c r="U348" s="1" t="b">
        <f t="array" ref="U348">(INDEX('Ontology and concepts per UC'!$G$2:$I$46,MATCH($S348,'Ontology and concepts per UC'!$F$2:$F$46,0),MATCH(LEFT($A348,3),'Ontology and concepts per UC'!$G$1:$I$1,0))=0)</f>
        <v>0</v>
      </c>
      <c r="V348" s="1" t="b">
        <f t="shared" si="13"/>
        <v>1</v>
      </c>
      <c r="W348" s="1" t="b">
        <v>1</v>
      </c>
      <c r="X348" s="1" t="b">
        <v>0</v>
      </c>
      <c r="Y348" s="1" t="b">
        <v>0</v>
      </c>
      <c r="Z348" s="1" t="b">
        <v>1</v>
      </c>
      <c r="AA348" s="1" t="s">
        <v>986</v>
      </c>
    </row>
    <row r="349" spans="1:27" x14ac:dyDescent="0.25">
      <c r="A349" s="1" t="s">
        <v>883</v>
      </c>
      <c r="B349" s="2" t="s">
        <v>1001</v>
      </c>
      <c r="C349" s="2" t="s">
        <v>979</v>
      </c>
      <c r="D349" s="6">
        <f t="shared" si="7"/>
        <v>2</v>
      </c>
      <c r="E349" s="7" t="str">
        <f t="shared" si="8"/>
        <v>IRIDeterministicParameter</v>
      </c>
      <c r="F349" s="8" t="b">
        <f>IF(D349&lt;1,FALSE,ISERROR(MATCH(E349,'Ontology and concepts per UC'!$A$2:$A$62,0)))</f>
        <v>1</v>
      </c>
      <c r="G349" s="9" t="str">
        <f t="shared" si="9"/>
        <v>IRIUtility</v>
      </c>
      <c r="H349" s="9" t="str">
        <f t="shared" si="10"/>
        <v>IRIUtility</v>
      </c>
      <c r="I349" s="8" t="b">
        <f>IF(D349&lt;2,FALSE,ISERROR(MATCH(H349,'Ontology and concepts per UC'!$A$2:$A$62,0)))</f>
        <v>1</v>
      </c>
      <c r="J349" s="9" t="str">
        <f t="shared" si="11"/>
        <v/>
      </c>
      <c r="K349" s="8" t="b">
        <f>IF(D349&lt;3,FALSE,ISERROR(MATCH(J349,'Ontology and concepts per UC'!$A$2:$A$62,0)))</f>
        <v>0</v>
      </c>
      <c r="L349" s="2" t="s">
        <v>1002</v>
      </c>
      <c r="M349" s="2" t="s">
        <v>1003</v>
      </c>
      <c r="N349" s="2"/>
      <c r="O349" s="1" t="b">
        <v>0</v>
      </c>
      <c r="P349" s="1">
        <v>2</v>
      </c>
      <c r="Q349" s="1">
        <v>0</v>
      </c>
      <c r="R349" s="1" t="b">
        <f t="shared" si="12"/>
        <v>1</v>
      </c>
      <c r="S349" s="2" t="s">
        <v>68</v>
      </c>
      <c r="T349" s="1" t="str">
        <f>IF(S349="","",VLOOKUP(S349,'Ontology and concepts per UC'!$F$2:$J$46,5,FALSE))</f>
        <v>Utilidad</v>
      </c>
      <c r="U349" s="1" t="b">
        <f t="array" ref="U349">(INDEX('Ontology and concepts per UC'!$G$2:$I$46,MATCH($S349,'Ontology and concepts per UC'!$F$2:$F$46,0),MATCH(LEFT($A349,3),'Ontology and concepts per UC'!$G$1:$I$1,0))=0)</f>
        <v>0</v>
      </c>
      <c r="V349" s="1" t="b">
        <f t="shared" si="13"/>
        <v>1</v>
      </c>
      <c r="W349" s="1" t="b">
        <v>1</v>
      </c>
      <c r="X349" s="1" t="b">
        <v>0</v>
      </c>
      <c r="Y349" s="1" t="b">
        <v>0</v>
      </c>
      <c r="Z349" s="1" t="b">
        <v>1</v>
      </c>
      <c r="AA349" s="1" t="s">
        <v>986</v>
      </c>
    </row>
    <row r="350" spans="1:27" x14ac:dyDescent="0.25">
      <c r="A350" s="1" t="s">
        <v>883</v>
      </c>
      <c r="B350" s="2" t="s">
        <v>1004</v>
      </c>
      <c r="C350" s="2" t="s">
        <v>1005</v>
      </c>
      <c r="D350" s="6">
        <f t="shared" si="7"/>
        <v>1</v>
      </c>
      <c r="E350" s="7" t="str">
        <f t="shared" si="8"/>
        <v>IRIDiagnosisIntervention</v>
      </c>
      <c r="F350" s="8" t="b">
        <f>IF(D350&lt;1,FALSE,ISERROR(MATCH(E350,'Ontology and concepts per UC'!$A$2:$A$62,0)))</f>
        <v>1</v>
      </c>
      <c r="G350" s="9" t="str">
        <f t="shared" si="9"/>
        <v/>
      </c>
      <c r="H350" s="9" t="str">
        <f t="shared" si="10"/>
        <v/>
      </c>
      <c r="I350" s="8" t="b">
        <f>IF(D350&lt;2,FALSE,ISERROR(MATCH(H350,'Ontology and concepts per UC'!$A$2:$A$62,0)))</f>
        <v>0</v>
      </c>
      <c r="J350" s="9" t="str">
        <f t="shared" si="11"/>
        <v/>
      </c>
      <c r="K350" s="8" t="b">
        <f>IF(D350&lt;3,FALSE,ISERROR(MATCH(J350,'Ontology and concepts per UC'!$A$2:$A$62,0)))</f>
        <v>0</v>
      </c>
      <c r="L350" s="2"/>
      <c r="M350" s="2" t="s">
        <v>1006</v>
      </c>
      <c r="N350" s="2"/>
      <c r="O350" s="1" t="b">
        <v>0</v>
      </c>
      <c r="P350" s="1">
        <v>1</v>
      </c>
      <c r="Q350" s="1">
        <v>0</v>
      </c>
      <c r="R350" s="1" t="b">
        <f t="shared" si="12"/>
        <v>1</v>
      </c>
      <c r="S350" s="2" t="s">
        <v>22</v>
      </c>
      <c r="T350" s="1" t="str">
        <f>IF(S350="","",VLOOKUP(S350,'Ontology and concepts per UC'!$F$2:$J$46,5,FALSE))</f>
        <v>Modelo Conceptual</v>
      </c>
      <c r="U350" s="1" t="b">
        <f t="array" ref="U350">(INDEX('Ontology and concepts per UC'!$G$2:$I$46,MATCH($S350,'Ontology and concepts per UC'!$F$2:$F$46,0),MATCH(LEFT($A350,3),'Ontology and concepts per UC'!$G$1:$I$1,0))=0)</f>
        <v>0</v>
      </c>
      <c r="V350" s="1" t="b">
        <f t="shared" si="13"/>
        <v>1</v>
      </c>
      <c r="W350" s="1" t="b">
        <v>1</v>
      </c>
      <c r="X350" s="1" t="b">
        <v>0</v>
      </c>
      <c r="Y350" s="1" t="b">
        <v>0</v>
      </c>
      <c r="Z350" s="1" t="b">
        <v>0</v>
      </c>
      <c r="AA350" s="1" t="s">
        <v>1007</v>
      </c>
    </row>
    <row r="351" spans="1:27" x14ac:dyDescent="0.25">
      <c r="A351" s="1" t="s">
        <v>883</v>
      </c>
      <c r="B351" s="2" t="s">
        <v>1008</v>
      </c>
      <c r="C351" s="2" t="s">
        <v>1009</v>
      </c>
      <c r="D351" s="6">
        <f t="shared" si="7"/>
        <v>1</v>
      </c>
      <c r="E351" s="7" t="str">
        <f t="shared" si="8"/>
        <v>IRIDrug</v>
      </c>
      <c r="F351" s="8" t="b">
        <f>IF(D351&lt;1,FALSE,ISERROR(MATCH(E351,'Ontology and concepts per UC'!$A$2:$A$62,0)))</f>
        <v>1</v>
      </c>
      <c r="G351" s="9" t="str">
        <f t="shared" si="9"/>
        <v/>
      </c>
      <c r="H351" s="9" t="str">
        <f t="shared" si="10"/>
        <v/>
      </c>
      <c r="I351" s="8" t="b">
        <f>IF(D351&lt;2,FALSE,ISERROR(MATCH(H351,'Ontology and concepts per UC'!$A$2:$A$62,0)))</f>
        <v>0</v>
      </c>
      <c r="J351" s="9" t="str">
        <f t="shared" si="11"/>
        <v/>
      </c>
      <c r="K351" s="8" t="b">
        <f>IF(D351&lt;3,FALSE,ISERROR(MATCH(J351,'Ontology and concepts per UC'!$A$2:$A$62,0)))</f>
        <v>0</v>
      </c>
      <c r="L351" s="2"/>
      <c r="M351" s="2" t="s">
        <v>1010</v>
      </c>
      <c r="N351" s="2"/>
      <c r="O351" s="1" t="b">
        <v>0</v>
      </c>
      <c r="P351" s="1">
        <v>1</v>
      </c>
      <c r="Q351" s="1">
        <v>0</v>
      </c>
      <c r="R351" s="1" t="b">
        <f t="shared" si="12"/>
        <v>1</v>
      </c>
      <c r="S351" s="2" t="s">
        <v>62</v>
      </c>
      <c r="T351" s="1" t="str">
        <f>IF(S351="","",VLOOKUP(S351,'Ontology and concepts per UC'!$F$2:$J$46,5,FALSE))</f>
        <v>Tratamiento/seguimiento</v>
      </c>
      <c r="U351" s="1" t="b">
        <f t="array" ref="U351">(INDEX('Ontology and concepts per UC'!$G$2:$I$46,MATCH($S351,'Ontology and concepts per UC'!$F$2:$F$46,0),MATCH(LEFT($A351,3),'Ontology and concepts per UC'!$G$1:$I$1,0))=0)</f>
        <v>0</v>
      </c>
      <c r="V351" s="1" t="b">
        <f t="shared" si="13"/>
        <v>1</v>
      </c>
      <c r="W351" s="1" t="b">
        <v>1</v>
      </c>
      <c r="X351" s="1" t="b">
        <v>0</v>
      </c>
      <c r="Y351" s="1" t="b">
        <v>0</v>
      </c>
      <c r="Z351" s="1" t="b">
        <v>0</v>
      </c>
      <c r="AA351" s="1" t="s">
        <v>1011</v>
      </c>
    </row>
    <row r="352" spans="1:27" x14ac:dyDescent="0.25">
      <c r="A352" s="1" t="s">
        <v>883</v>
      </c>
      <c r="B352" s="2" t="s">
        <v>1012</v>
      </c>
      <c r="C352" s="2" t="s">
        <v>1013</v>
      </c>
      <c r="D352" s="6">
        <f t="shared" si="7"/>
        <v>1</v>
      </c>
      <c r="E352" s="7" t="str">
        <f t="shared" si="8"/>
        <v>IRIFollowUpStrategy</v>
      </c>
      <c r="F352" s="8" t="b">
        <f>IF(D352&lt;1,FALSE,ISERROR(MATCH(E352,'Ontology and concepts per UC'!$A$2:$A$62,0)))</f>
        <v>1</v>
      </c>
      <c r="G352" s="9" t="str">
        <f t="shared" si="9"/>
        <v/>
      </c>
      <c r="H352" s="9" t="str">
        <f t="shared" si="10"/>
        <v/>
      </c>
      <c r="I352" s="8" t="b">
        <f>IF(D352&lt;2,FALSE,ISERROR(MATCH(H352,'Ontology and concepts per UC'!$A$2:$A$62,0)))</f>
        <v>0</v>
      </c>
      <c r="J352" s="9" t="str">
        <f t="shared" si="11"/>
        <v/>
      </c>
      <c r="K352" s="8" t="b">
        <f>IF(D352&lt;3,FALSE,ISERROR(MATCH(J352,'Ontology and concepts per UC'!$A$2:$A$62,0)))</f>
        <v>0</v>
      </c>
      <c r="L352" s="2"/>
      <c r="M352" s="2" t="s">
        <v>1014</v>
      </c>
      <c r="N352" s="2"/>
      <c r="O352" s="1" t="b">
        <v>0</v>
      </c>
      <c r="P352" s="1">
        <v>1</v>
      </c>
      <c r="Q352" s="1">
        <v>1</v>
      </c>
      <c r="R352" s="1" t="b">
        <f t="shared" si="12"/>
        <v>1</v>
      </c>
      <c r="S352" s="2" t="s">
        <v>107</v>
      </c>
      <c r="T352" s="1" t="str">
        <f>IF(S352="","",VLOOKUP(S352,'Ontology and concepts per UC'!$F$2:$J$46,5,FALSE))</f>
        <v>Parcial</v>
      </c>
      <c r="U352" s="1" t="b">
        <f t="array" ref="U352">(INDEX('Ontology and concepts per UC'!$G$2:$I$46,MATCH($S352,'Ontology and concepts per UC'!$F$2:$F$46,0),MATCH(LEFT($A352,3),'Ontology and concepts per UC'!$G$1:$I$1,0))=0)</f>
        <v>0</v>
      </c>
      <c r="V352" s="1" t="b">
        <f t="shared" si="13"/>
        <v>1</v>
      </c>
      <c r="W352" s="1" t="b">
        <v>1</v>
      </c>
      <c r="X352" s="1" t="b">
        <v>1</v>
      </c>
      <c r="Y352" s="1" t="b">
        <v>0</v>
      </c>
      <c r="Z352" s="1" t="b">
        <v>1</v>
      </c>
      <c r="AA352" s="1" t="s">
        <v>1015</v>
      </c>
    </row>
    <row r="353" spans="1:27" x14ac:dyDescent="0.25">
      <c r="A353" s="1" t="s">
        <v>883</v>
      </c>
      <c r="B353" s="2" t="s">
        <v>1016</v>
      </c>
      <c r="C353" s="2" t="s">
        <v>1013</v>
      </c>
      <c r="D353" s="6">
        <f t="shared" si="7"/>
        <v>1</v>
      </c>
      <c r="E353" s="7" t="str">
        <f t="shared" si="8"/>
        <v>IRIFollowUpStrategy</v>
      </c>
      <c r="F353" s="8" t="b">
        <f>IF(D353&lt;1,FALSE,ISERROR(MATCH(E353,'Ontology and concepts per UC'!$A$2:$A$62,0)))</f>
        <v>1</v>
      </c>
      <c r="G353" s="9" t="str">
        <f t="shared" si="9"/>
        <v/>
      </c>
      <c r="H353" s="9" t="str">
        <f t="shared" si="10"/>
        <v/>
      </c>
      <c r="I353" s="8" t="b">
        <f>IF(D353&lt;2,FALSE,ISERROR(MATCH(H353,'Ontology and concepts per UC'!$A$2:$A$62,0)))</f>
        <v>0</v>
      </c>
      <c r="J353" s="9" t="str">
        <f t="shared" si="11"/>
        <v/>
      </c>
      <c r="K353" s="8" t="b">
        <f>IF(D353&lt;3,FALSE,ISERROR(MATCH(J353,'Ontology and concepts per UC'!$A$2:$A$62,0)))</f>
        <v>0</v>
      </c>
      <c r="L353" s="2"/>
      <c r="M353" s="2" t="s">
        <v>1017</v>
      </c>
      <c r="N353" s="2"/>
      <c r="O353" s="1" t="b">
        <v>0</v>
      </c>
      <c r="P353" s="1">
        <v>1</v>
      </c>
      <c r="Q353" s="1">
        <v>1</v>
      </c>
      <c r="R353" s="1" t="b">
        <f t="shared" si="12"/>
        <v>1</v>
      </c>
      <c r="S353" s="2" t="s">
        <v>60</v>
      </c>
      <c r="T353" s="1" t="str">
        <f>IF(S353="","",VLOOKUP(S353,'Ontology and concepts per UC'!$F$2:$J$46,5,FALSE))</f>
        <v>Tratamiento/seguimiento</v>
      </c>
      <c r="U353" s="1" t="b">
        <f t="array" ref="U353">(INDEX('Ontology and concepts per UC'!$G$2:$I$46,MATCH($S353,'Ontology and concepts per UC'!$F$2:$F$46,0),MATCH(LEFT($A353,3),'Ontology and concepts per UC'!$G$1:$I$1,0))=0)</f>
        <v>0</v>
      </c>
      <c r="V353" s="1" t="b">
        <f t="shared" si="13"/>
        <v>1</v>
      </c>
      <c r="W353" s="1" t="b">
        <v>1</v>
      </c>
      <c r="X353" s="1" t="b">
        <v>1</v>
      </c>
      <c r="Y353" s="1" t="b">
        <v>0</v>
      </c>
      <c r="Z353" s="1" t="b">
        <v>1</v>
      </c>
      <c r="AA353" s="1" t="s">
        <v>1015</v>
      </c>
    </row>
    <row r="354" spans="1:27" x14ac:dyDescent="0.25">
      <c r="A354" s="1" t="s">
        <v>883</v>
      </c>
      <c r="B354" s="2" t="s">
        <v>1018</v>
      </c>
      <c r="C354" s="2" t="s">
        <v>1019</v>
      </c>
      <c r="D354" s="6">
        <f t="shared" si="7"/>
        <v>1</v>
      </c>
      <c r="E354" s="7" t="str">
        <f t="shared" si="8"/>
        <v>IRIScreeningIntervention</v>
      </c>
      <c r="F354" s="8" t="b">
        <f>IF(D354&lt;1,FALSE,ISERROR(MATCH(E354,'Ontology and concepts per UC'!$A$2:$A$62,0)))</f>
        <v>1</v>
      </c>
      <c r="G354" s="9" t="str">
        <f t="shared" si="9"/>
        <v/>
      </c>
      <c r="H354" s="9" t="str">
        <f t="shared" si="10"/>
        <v/>
      </c>
      <c r="I354" s="8" t="b">
        <f>IF(D354&lt;2,FALSE,ISERROR(MATCH(H354,'Ontology and concepts per UC'!$A$2:$A$62,0)))</f>
        <v>0</v>
      </c>
      <c r="J354" s="9" t="str">
        <f t="shared" si="11"/>
        <v/>
      </c>
      <c r="K354" s="8" t="b">
        <f>IF(D354&lt;3,FALSE,ISERROR(MATCH(J354,'Ontology and concepts per UC'!$A$2:$A$62,0)))</f>
        <v>0</v>
      </c>
      <c r="L354" s="2"/>
      <c r="M354" s="2" t="s">
        <v>1020</v>
      </c>
      <c r="N354" s="2"/>
      <c r="O354" s="1" t="b">
        <v>0</v>
      </c>
      <c r="P354" s="1">
        <v>1</v>
      </c>
      <c r="Q354" s="1">
        <v>0</v>
      </c>
      <c r="R354" s="1" t="b">
        <f t="shared" si="12"/>
        <v>1</v>
      </c>
      <c r="S354" s="2" t="s">
        <v>24</v>
      </c>
      <c r="T354" s="1" t="str">
        <f>IF(S354="","",VLOOKUP(S354,'Ontology and concepts per UC'!$F$2:$J$46,5,FALSE))</f>
        <v>Modelo Conceptual</v>
      </c>
      <c r="U354" s="1" t="b">
        <f t="array" ref="U354">(INDEX('Ontology and concepts per UC'!$G$2:$I$46,MATCH($S354,'Ontology and concepts per UC'!$F$2:$F$46,0),MATCH(LEFT($A354,3),'Ontology and concepts per UC'!$G$1:$I$1,0))=0)</f>
        <v>0</v>
      </c>
      <c r="V354" s="1" t="b">
        <f t="shared" si="13"/>
        <v>1</v>
      </c>
      <c r="W354" s="1" t="b">
        <v>1</v>
      </c>
      <c r="X354" s="1" t="b">
        <v>0</v>
      </c>
      <c r="Y354" s="1" t="b">
        <v>0</v>
      </c>
      <c r="Z354" s="1" t="b">
        <v>0</v>
      </c>
      <c r="AA354" s="1" t="s">
        <v>1021</v>
      </c>
    </row>
    <row r="355" spans="1:27" x14ac:dyDescent="0.25">
      <c r="A355" s="1" t="s">
        <v>883</v>
      </c>
      <c r="B355" s="2" t="s">
        <v>1022</v>
      </c>
      <c r="C355" s="2" t="s">
        <v>1023</v>
      </c>
      <c r="D355" s="6">
        <f t="shared" si="7"/>
        <v>1</v>
      </c>
      <c r="E355" s="7" t="str">
        <f t="shared" si="8"/>
        <v>IRITherapeuticIntervention</v>
      </c>
      <c r="F355" s="8" t="b">
        <f>IF(D355&lt;1,FALSE,ISERROR(MATCH(E355,'Ontology and concepts per UC'!$A$2:$A$62,0)))</f>
        <v>1</v>
      </c>
      <c r="G355" s="9" t="str">
        <f t="shared" si="9"/>
        <v/>
      </c>
      <c r="H355" s="9" t="str">
        <f t="shared" si="10"/>
        <v/>
      </c>
      <c r="I355" s="8" t="b">
        <f>IF(D355&lt;2,FALSE,ISERROR(MATCH(H355,'Ontology and concepts per UC'!$A$2:$A$62,0)))</f>
        <v>0</v>
      </c>
      <c r="J355" s="9" t="str">
        <f t="shared" si="11"/>
        <v/>
      </c>
      <c r="K355" s="8" t="b">
        <f>IF(D355&lt;3,FALSE,ISERROR(MATCH(J355,'Ontology and concepts per UC'!$A$2:$A$62,0)))</f>
        <v>0</v>
      </c>
      <c r="L355" s="2" t="s">
        <v>1024</v>
      </c>
      <c r="M355" s="2" t="s">
        <v>1025</v>
      </c>
      <c r="N355" s="2"/>
      <c r="O355" s="1" t="b">
        <v>0</v>
      </c>
      <c r="P355" s="1">
        <v>1</v>
      </c>
      <c r="Q355" s="1">
        <v>0</v>
      </c>
      <c r="R355" s="1" t="b">
        <f t="shared" si="12"/>
        <v>1</v>
      </c>
      <c r="S355" s="2" t="s">
        <v>62</v>
      </c>
      <c r="T355" s="1" t="str">
        <f>IF(S355="","",VLOOKUP(S355,'Ontology and concepts per UC'!$F$2:$J$46,5,FALSE))</f>
        <v>Tratamiento/seguimiento</v>
      </c>
      <c r="U355" s="1" t="b">
        <f t="array" ref="U355">(INDEX('Ontology and concepts per UC'!$G$2:$I$46,MATCH($S355,'Ontology and concepts per UC'!$F$2:$F$46,0),MATCH(LEFT($A355,3),'Ontology and concepts per UC'!$G$1:$I$1,0))=0)</f>
        <v>0</v>
      </c>
      <c r="V355" s="1" t="b">
        <f t="shared" si="13"/>
        <v>1</v>
      </c>
      <c r="W355" s="1" t="b">
        <v>1</v>
      </c>
      <c r="X355" s="1" t="b">
        <v>0</v>
      </c>
      <c r="Y355" s="1" t="b">
        <v>0</v>
      </c>
      <c r="Z355" s="1" t="b">
        <v>1</v>
      </c>
      <c r="AA355" s="1" t="s">
        <v>1026</v>
      </c>
    </row>
    <row r="356" spans="1:27" x14ac:dyDescent="0.25">
      <c r="A356" s="1" t="s">
        <v>883</v>
      </c>
      <c r="B356" s="2" t="s">
        <v>1027</v>
      </c>
      <c r="C356" s="2" t="s">
        <v>1028</v>
      </c>
      <c r="D356" s="6">
        <f t="shared" si="7"/>
        <v>1</v>
      </c>
      <c r="E356" s="7" t="str">
        <f t="shared" si="8"/>
        <v>IRITreatment</v>
      </c>
      <c r="F356" s="8" t="b">
        <f>IF(D356&lt;1,FALSE,ISERROR(MATCH(E356,'Ontology and concepts per UC'!$A$2:$A$62,0)))</f>
        <v>1</v>
      </c>
      <c r="G356" s="9" t="str">
        <f t="shared" si="9"/>
        <v/>
      </c>
      <c r="H356" s="9" t="str">
        <f t="shared" si="10"/>
        <v/>
      </c>
      <c r="I356" s="8" t="b">
        <f>IF(D356&lt;2,FALSE,ISERROR(MATCH(H356,'Ontology and concepts per UC'!$A$2:$A$62,0)))</f>
        <v>0</v>
      </c>
      <c r="J356" s="9" t="str">
        <f t="shared" si="11"/>
        <v/>
      </c>
      <c r="K356" s="8" t="b">
        <f>IF(D356&lt;3,FALSE,ISERROR(MATCH(J356,'Ontology and concepts per UC'!$A$2:$A$62,0)))</f>
        <v>0</v>
      </c>
      <c r="L356" s="2" t="s">
        <v>1024</v>
      </c>
      <c r="M356" s="2" t="s">
        <v>1029</v>
      </c>
      <c r="N356" s="2"/>
      <c r="O356" s="1" t="b">
        <v>0</v>
      </c>
      <c r="P356" s="1">
        <v>1</v>
      </c>
      <c r="Q356" s="1">
        <v>0</v>
      </c>
      <c r="R356" s="1" t="b">
        <f t="shared" si="12"/>
        <v>1</v>
      </c>
      <c r="S356" s="2" t="s">
        <v>107</v>
      </c>
      <c r="T356" s="1" t="str">
        <f>IF(S356="","",VLOOKUP(S356,'Ontology and concepts per UC'!$F$2:$J$46,5,FALSE))</f>
        <v>Parcial</v>
      </c>
      <c r="U356" s="1" t="b">
        <f t="array" ref="U356">(INDEX('Ontology and concepts per UC'!$G$2:$I$46,MATCH($S356,'Ontology and concepts per UC'!$F$2:$F$46,0),MATCH(LEFT($A356,3),'Ontology and concepts per UC'!$G$1:$I$1,0))=0)</f>
        <v>0</v>
      </c>
      <c r="V356" s="1" t="b">
        <f t="shared" si="13"/>
        <v>1</v>
      </c>
      <c r="W356" s="1" t="b">
        <v>1</v>
      </c>
      <c r="X356" s="1" t="b">
        <v>0</v>
      </c>
      <c r="Y356" s="1" t="b">
        <v>0</v>
      </c>
      <c r="Z356" s="1" t="b">
        <v>0</v>
      </c>
      <c r="AA356" s="1" t="s">
        <v>1030</v>
      </c>
    </row>
    <row r="357" spans="1:27" x14ac:dyDescent="0.25">
      <c r="A357" s="1" t="s">
        <v>883</v>
      </c>
      <c r="B357" s="2" t="s">
        <v>1031</v>
      </c>
      <c r="C357" s="2" t="s">
        <v>1028</v>
      </c>
      <c r="D357" s="6">
        <f t="shared" si="7"/>
        <v>1</v>
      </c>
      <c r="E357" s="7" t="str">
        <f t="shared" si="8"/>
        <v>IRITreatment</v>
      </c>
      <c r="F357" s="8" t="b">
        <f>IF(D357&lt;1,FALSE,ISERROR(MATCH(E357,'Ontology and concepts per UC'!$A$2:$A$62,0)))</f>
        <v>1</v>
      </c>
      <c r="G357" s="9" t="str">
        <f t="shared" si="9"/>
        <v/>
      </c>
      <c r="H357" s="9" t="str">
        <f t="shared" si="10"/>
        <v/>
      </c>
      <c r="I357" s="8" t="b">
        <f>IF(D357&lt;2,FALSE,ISERROR(MATCH(H357,'Ontology and concepts per UC'!$A$2:$A$62,0)))</f>
        <v>0</v>
      </c>
      <c r="J357" s="9" t="str">
        <f t="shared" si="11"/>
        <v/>
      </c>
      <c r="K357" s="8" t="b">
        <f>IF(D357&lt;3,FALSE,ISERROR(MATCH(J357,'Ontology and concepts per UC'!$A$2:$A$62,0)))</f>
        <v>0</v>
      </c>
      <c r="L357" s="2" t="s">
        <v>1024</v>
      </c>
      <c r="M357" s="2" t="s">
        <v>1032</v>
      </c>
      <c r="N357" s="2"/>
      <c r="O357" s="1" t="b">
        <v>0</v>
      </c>
      <c r="P357" s="1">
        <v>1</v>
      </c>
      <c r="Q357" s="1">
        <v>0</v>
      </c>
      <c r="R357" s="1" t="b">
        <f t="shared" si="12"/>
        <v>1</v>
      </c>
      <c r="S357" s="2" t="s">
        <v>62</v>
      </c>
      <c r="T357" s="1" t="str">
        <f>IF(S357="","",VLOOKUP(S357,'Ontology and concepts per UC'!$F$2:$J$46,5,FALSE))</f>
        <v>Tratamiento/seguimiento</v>
      </c>
      <c r="U357" s="1" t="b">
        <f t="array" ref="U357">(INDEX('Ontology and concepts per UC'!$G$2:$I$46,MATCH($S357,'Ontology and concepts per UC'!$F$2:$F$46,0),MATCH(LEFT($A357,3),'Ontology and concepts per UC'!$G$1:$I$1,0))=0)</f>
        <v>0</v>
      </c>
      <c r="V357" s="1" t="b">
        <f t="shared" si="13"/>
        <v>1</v>
      </c>
      <c r="W357" s="1" t="b">
        <v>1</v>
      </c>
      <c r="X357" s="1" t="b">
        <v>0</v>
      </c>
      <c r="Y357" s="1" t="b">
        <v>0</v>
      </c>
      <c r="Z357" s="1" t="b">
        <v>0</v>
      </c>
      <c r="AA357" s="1" t="s">
        <v>1030</v>
      </c>
    </row>
    <row r="358" spans="1:27" x14ac:dyDescent="0.25">
      <c r="A358" s="1" t="s">
        <v>883</v>
      </c>
      <c r="B358" s="2" t="s">
        <v>1033</v>
      </c>
      <c r="C358" s="2" t="s">
        <v>1034</v>
      </c>
      <c r="D358" s="6">
        <f t="shared" si="7"/>
        <v>2</v>
      </c>
      <c r="E358" s="7" t="str">
        <f t="shared" si="8"/>
        <v>IRIUtility</v>
      </c>
      <c r="F358" s="8" t="b">
        <f>IF(D358&lt;1,FALSE,ISERROR(MATCH(E358,'Ontology and concepts per UC'!$A$2:$A$62,0)))</f>
        <v>1</v>
      </c>
      <c r="G358" s="9" t="str">
        <f t="shared" si="9"/>
        <v>IRIDeterministicParameter</v>
      </c>
      <c r="H358" s="9" t="str">
        <f t="shared" si="10"/>
        <v>IRIDeterministicParameter</v>
      </c>
      <c r="I358" s="8" t="b">
        <f>IF(D358&lt;2,FALSE,ISERROR(MATCH(H358,'Ontology and concepts per UC'!$A$2:$A$62,0)))</f>
        <v>1</v>
      </c>
      <c r="J358" s="9" t="str">
        <f t="shared" si="11"/>
        <v/>
      </c>
      <c r="K358" s="8" t="b">
        <f>IF(D358&lt;3,FALSE,ISERROR(MATCH(J358,'Ontology and concepts per UC'!$A$2:$A$62,0)))</f>
        <v>0</v>
      </c>
      <c r="L358" s="2" t="s">
        <v>1035</v>
      </c>
      <c r="M358" s="2" t="s">
        <v>1036</v>
      </c>
      <c r="N358" s="2"/>
      <c r="O358" s="1" t="b">
        <v>0</v>
      </c>
      <c r="P358" s="1">
        <v>2</v>
      </c>
      <c r="Q358" s="1">
        <v>0</v>
      </c>
      <c r="R358" s="1" t="b">
        <f t="shared" si="12"/>
        <v>1</v>
      </c>
      <c r="S358" s="2" t="s">
        <v>174</v>
      </c>
      <c r="T358" s="1" t="str">
        <f>IF(S358="","",VLOOKUP(S358,'Ontology and concepts per UC'!$F$2:$J$46,5,FALSE))</f>
        <v>Utilidad</v>
      </c>
      <c r="U358" s="1" t="b">
        <f t="array" ref="U358">(INDEX('Ontology and concepts per UC'!$G$2:$I$46,MATCH($S358,'Ontology and concepts per UC'!$F$2:$F$46,0),MATCH(LEFT($A358,3),'Ontology and concepts per UC'!$G$1:$I$1,0))=0)</f>
        <v>0</v>
      </c>
      <c r="V358" s="1" t="b">
        <f t="shared" si="13"/>
        <v>1</v>
      </c>
      <c r="W358" s="1" t="b">
        <v>1</v>
      </c>
      <c r="X358" s="1" t="b">
        <v>0</v>
      </c>
      <c r="Y358" s="1" t="b">
        <v>0</v>
      </c>
      <c r="Z358" s="1" t="b">
        <v>0</v>
      </c>
      <c r="AA358" s="1" t="s">
        <v>1037</v>
      </c>
    </row>
    <row r="359" spans="1:27" x14ac:dyDescent="0.25">
      <c r="A359" s="1" t="s">
        <v>883</v>
      </c>
      <c r="B359" s="2" t="s">
        <v>1038</v>
      </c>
      <c r="C359" s="2" t="s">
        <v>1034</v>
      </c>
      <c r="D359" s="6">
        <f t="shared" si="7"/>
        <v>2</v>
      </c>
      <c r="E359" s="7" t="str">
        <f t="shared" si="8"/>
        <v>IRIUtility</v>
      </c>
      <c r="F359" s="8" t="b">
        <f>IF(D359&lt;1,FALSE,ISERROR(MATCH(E359,'Ontology and concepts per UC'!$A$2:$A$62,0)))</f>
        <v>1</v>
      </c>
      <c r="G359" s="9" t="str">
        <f t="shared" si="9"/>
        <v>IRIDeterministicParameter</v>
      </c>
      <c r="H359" s="9" t="str">
        <f t="shared" si="10"/>
        <v>IRIDeterministicParameter</v>
      </c>
      <c r="I359" s="8" t="b">
        <f>IF(D359&lt;2,FALSE,ISERROR(MATCH(H359,'Ontology and concepts per UC'!$A$2:$A$62,0)))</f>
        <v>1</v>
      </c>
      <c r="J359" s="9" t="str">
        <f t="shared" si="11"/>
        <v/>
      </c>
      <c r="K359" s="8" t="b">
        <f>IF(D359&lt;3,FALSE,ISERROR(MATCH(J359,'Ontology and concepts per UC'!$A$2:$A$62,0)))</f>
        <v>0</v>
      </c>
      <c r="L359" s="2" t="s">
        <v>1039</v>
      </c>
      <c r="M359" s="2" t="s">
        <v>1040</v>
      </c>
      <c r="N359" s="2"/>
      <c r="O359" s="1" t="b">
        <v>0</v>
      </c>
      <c r="P359" s="1">
        <v>2</v>
      </c>
      <c r="Q359" s="1">
        <v>0</v>
      </c>
      <c r="R359" s="1" t="b">
        <f t="shared" si="12"/>
        <v>1</v>
      </c>
      <c r="S359" s="2" t="s">
        <v>174</v>
      </c>
      <c r="T359" s="1" t="str">
        <f>IF(S359="","",VLOOKUP(S359,'Ontology and concepts per UC'!$F$2:$J$46,5,FALSE))</f>
        <v>Utilidad</v>
      </c>
      <c r="U359" s="1" t="b">
        <f t="array" ref="U359">(INDEX('Ontology and concepts per UC'!$G$2:$I$46,MATCH($S359,'Ontology and concepts per UC'!$F$2:$F$46,0),MATCH(LEFT($A359,3),'Ontology and concepts per UC'!$G$1:$I$1,0))=0)</f>
        <v>0</v>
      </c>
      <c r="V359" s="1" t="b">
        <f t="shared" si="13"/>
        <v>1</v>
      </c>
      <c r="W359" s="1" t="b">
        <v>1</v>
      </c>
      <c r="X359" s="1" t="b">
        <v>0</v>
      </c>
      <c r="Y359" s="1" t="b">
        <v>0</v>
      </c>
      <c r="Z359" s="1" t="b">
        <v>0</v>
      </c>
      <c r="AA359" s="1" t="s">
        <v>1037</v>
      </c>
    </row>
    <row r="360" spans="1:27" x14ac:dyDescent="0.25">
      <c r="A360" s="1" t="s">
        <v>883</v>
      </c>
      <c r="B360" s="2" t="s">
        <v>1041</v>
      </c>
      <c r="C360" s="2" t="s">
        <v>1034</v>
      </c>
      <c r="D360" s="6">
        <f t="shared" si="7"/>
        <v>2</v>
      </c>
      <c r="E360" s="7" t="str">
        <f t="shared" si="8"/>
        <v>IRIUtility</v>
      </c>
      <c r="F360" s="8" t="b">
        <f>IF(D360&lt;1,FALSE,ISERROR(MATCH(E360,'Ontology and concepts per UC'!$A$2:$A$62,0)))</f>
        <v>1</v>
      </c>
      <c r="G360" s="9" t="str">
        <f t="shared" si="9"/>
        <v>IRIDeterministicParameter</v>
      </c>
      <c r="H360" s="9" t="str">
        <f t="shared" si="10"/>
        <v>IRIDeterministicParameter</v>
      </c>
      <c r="I360" s="8" t="b">
        <f>IF(D360&lt;2,FALSE,ISERROR(MATCH(H360,'Ontology and concepts per UC'!$A$2:$A$62,0)))</f>
        <v>1</v>
      </c>
      <c r="J360" s="9" t="str">
        <f t="shared" si="11"/>
        <v/>
      </c>
      <c r="K360" s="8" t="b">
        <f>IF(D360&lt;3,FALSE,ISERROR(MATCH(J360,'Ontology and concepts per UC'!$A$2:$A$62,0)))</f>
        <v>0</v>
      </c>
      <c r="L360" s="2" t="s">
        <v>1042</v>
      </c>
      <c r="M360" s="2" t="s">
        <v>1043</v>
      </c>
      <c r="N360" s="2"/>
      <c r="O360" s="1" t="b">
        <v>0</v>
      </c>
      <c r="P360" s="1">
        <v>2</v>
      </c>
      <c r="Q360" s="1">
        <v>0</v>
      </c>
      <c r="R360" s="1" t="b">
        <f t="shared" si="12"/>
        <v>1</v>
      </c>
      <c r="S360" s="2" t="s">
        <v>174</v>
      </c>
      <c r="T360" s="1" t="str">
        <f>IF(S360="","",VLOOKUP(S360,'Ontology and concepts per UC'!$F$2:$J$46,5,FALSE))</f>
        <v>Utilidad</v>
      </c>
      <c r="U360" s="1" t="b">
        <f t="array" ref="U360">(INDEX('Ontology and concepts per UC'!$G$2:$I$46,MATCH($S360,'Ontology and concepts per UC'!$F$2:$F$46,0),MATCH(LEFT($A360,3),'Ontology and concepts per UC'!$G$1:$I$1,0))=0)</f>
        <v>0</v>
      </c>
      <c r="V360" s="1" t="b">
        <f t="shared" si="13"/>
        <v>1</v>
      </c>
      <c r="W360" s="1" t="b">
        <v>1</v>
      </c>
      <c r="X360" s="1" t="b">
        <v>0</v>
      </c>
      <c r="Y360" s="1" t="b">
        <v>0</v>
      </c>
      <c r="Z360" s="1" t="b">
        <v>0</v>
      </c>
      <c r="AA360" s="1" t="s">
        <v>1037</v>
      </c>
    </row>
    <row r="361" spans="1:27" x14ac:dyDescent="0.25">
      <c r="A361" s="1" t="s">
        <v>883</v>
      </c>
      <c r="B361" s="2" t="s">
        <v>1044</v>
      </c>
      <c r="C361" s="2" t="s">
        <v>1034</v>
      </c>
      <c r="D361" s="6">
        <f t="shared" si="7"/>
        <v>2</v>
      </c>
      <c r="E361" s="7" t="str">
        <f t="shared" si="8"/>
        <v>IRIUtility</v>
      </c>
      <c r="F361" s="8" t="b">
        <f>IF(D361&lt;1,FALSE,ISERROR(MATCH(E361,'Ontology and concepts per UC'!$A$2:$A$62,0)))</f>
        <v>1</v>
      </c>
      <c r="G361" s="9" t="str">
        <f t="shared" si="9"/>
        <v>IRIDeterministicParameter</v>
      </c>
      <c r="H361" s="9" t="str">
        <f t="shared" si="10"/>
        <v>IRIDeterministicParameter</v>
      </c>
      <c r="I361" s="8" t="b">
        <f>IF(D361&lt;2,FALSE,ISERROR(MATCH(H361,'Ontology and concepts per UC'!$A$2:$A$62,0)))</f>
        <v>1</v>
      </c>
      <c r="J361" s="9" t="str">
        <f t="shared" si="11"/>
        <v/>
      </c>
      <c r="K361" s="8" t="b">
        <f>IF(D361&lt;3,FALSE,ISERROR(MATCH(J361,'Ontology and concepts per UC'!$A$2:$A$62,0)))</f>
        <v>0</v>
      </c>
      <c r="L361" s="2" t="s">
        <v>1045</v>
      </c>
      <c r="M361" s="2" t="s">
        <v>1046</v>
      </c>
      <c r="N361" s="2"/>
      <c r="O361" s="1" t="b">
        <v>0</v>
      </c>
      <c r="P361" s="1">
        <v>2</v>
      </c>
      <c r="Q361" s="1">
        <v>0</v>
      </c>
      <c r="R361" s="1" t="b">
        <f t="shared" si="12"/>
        <v>1</v>
      </c>
      <c r="S361" s="2" t="s">
        <v>70</v>
      </c>
      <c r="T361" s="1" t="str">
        <f>IF(S361="","",VLOOKUP(S361,'Ontology and concepts per UC'!$F$2:$J$46,5,FALSE))</f>
        <v>Utilidad</v>
      </c>
      <c r="U361" s="1" t="b">
        <f t="array" ref="U361">(INDEX('Ontology and concepts per UC'!$G$2:$I$46,MATCH($S361,'Ontology and concepts per UC'!$F$2:$F$46,0),MATCH(LEFT($A361,3),'Ontology and concepts per UC'!$G$1:$I$1,0))=0)</f>
        <v>0</v>
      </c>
      <c r="V361" s="1" t="b">
        <f t="shared" si="13"/>
        <v>1</v>
      </c>
      <c r="W361" s="1" t="b">
        <v>1</v>
      </c>
      <c r="X361" s="1" t="b">
        <v>0</v>
      </c>
      <c r="Y361" s="1" t="b">
        <v>0</v>
      </c>
      <c r="Z361" s="1" t="b">
        <v>1</v>
      </c>
      <c r="AA361" s="1" t="s">
        <v>1047</v>
      </c>
    </row>
    <row r="362" spans="1:27" x14ac:dyDescent="0.25">
      <c r="A362" s="1" t="s">
        <v>883</v>
      </c>
      <c r="B362" s="2" t="s">
        <v>1048</v>
      </c>
      <c r="C362" s="2" t="s">
        <v>1034</v>
      </c>
      <c r="D362" s="6">
        <f t="shared" si="7"/>
        <v>2</v>
      </c>
      <c r="E362" s="7" t="str">
        <f t="shared" si="8"/>
        <v>IRIUtility</v>
      </c>
      <c r="F362" s="8" t="b">
        <f>IF(D362&lt;1,FALSE,ISERROR(MATCH(E362,'Ontology and concepts per UC'!$A$2:$A$62,0)))</f>
        <v>1</v>
      </c>
      <c r="G362" s="9" t="str">
        <f t="shared" si="9"/>
        <v>IRIDeterministicParameter</v>
      </c>
      <c r="H362" s="9" t="str">
        <f t="shared" si="10"/>
        <v>IRIDeterministicParameter</v>
      </c>
      <c r="I362" s="8" t="b">
        <f>IF(D362&lt;2,FALSE,ISERROR(MATCH(H362,'Ontology and concepts per UC'!$A$2:$A$62,0)))</f>
        <v>1</v>
      </c>
      <c r="J362" s="9" t="str">
        <f t="shared" si="11"/>
        <v/>
      </c>
      <c r="K362" s="8" t="b">
        <f>IF(D362&lt;3,FALSE,ISERROR(MATCH(J362,'Ontology and concepts per UC'!$A$2:$A$62,0)))</f>
        <v>0</v>
      </c>
      <c r="L362" s="2" t="s">
        <v>1049</v>
      </c>
      <c r="M362" s="2" t="s">
        <v>1050</v>
      </c>
      <c r="N362" s="2"/>
      <c r="O362" s="1" t="b">
        <v>0</v>
      </c>
      <c r="P362" s="1">
        <v>2</v>
      </c>
      <c r="Q362" s="1">
        <v>0</v>
      </c>
      <c r="R362" s="1" t="b">
        <f t="shared" si="12"/>
        <v>1</v>
      </c>
      <c r="S362" s="2" t="s">
        <v>174</v>
      </c>
      <c r="T362" s="1" t="str">
        <f>IF(S362="","",VLOOKUP(S362,'Ontology and concepts per UC'!$F$2:$J$46,5,FALSE))</f>
        <v>Utilidad</v>
      </c>
      <c r="U362" s="1" t="b">
        <f t="array" ref="U362">(INDEX('Ontology and concepts per UC'!$G$2:$I$46,MATCH($S362,'Ontology and concepts per UC'!$F$2:$F$46,0),MATCH(LEFT($A362,3),'Ontology and concepts per UC'!$G$1:$I$1,0))=0)</f>
        <v>0</v>
      </c>
      <c r="V362" s="1" t="b">
        <f t="shared" si="13"/>
        <v>1</v>
      </c>
      <c r="W362" s="1" t="b">
        <v>1</v>
      </c>
      <c r="X362" s="1" t="b">
        <v>0</v>
      </c>
      <c r="Y362" s="1" t="b">
        <v>0</v>
      </c>
      <c r="Z362" s="1" t="b">
        <v>0</v>
      </c>
      <c r="AA362" s="1" t="s">
        <v>1037</v>
      </c>
    </row>
    <row r="363" spans="1:27" x14ac:dyDescent="0.25">
      <c r="A363" s="1" t="s">
        <v>883</v>
      </c>
      <c r="B363" s="2" t="s">
        <v>1051</v>
      </c>
      <c r="C363" s="2" t="s">
        <v>157</v>
      </c>
      <c r="D363" s="6">
        <f t="shared" si="7"/>
        <v>2</v>
      </c>
      <c r="E363" s="7" t="str">
        <f t="shared" si="8"/>
        <v>Parameter</v>
      </c>
      <c r="F363" s="8" t="b">
        <f>IF(D363&lt;1,FALSE,ISERROR(MATCH(E363,'Ontology and concepts per UC'!$A$2:$A$62,0)))</f>
        <v>0</v>
      </c>
      <c r="G363" s="9" t="str">
        <f t="shared" si="9"/>
        <v>DeterministicParameter</v>
      </c>
      <c r="H363" s="9" t="str">
        <f t="shared" si="10"/>
        <v>DeterministicParameter</v>
      </c>
      <c r="I363" s="8" t="b">
        <f>IF(D363&lt;2,FALSE,ISERROR(MATCH(H363,'Ontology and concepts per UC'!$A$2:$A$62,0)))</f>
        <v>0</v>
      </c>
      <c r="J363" s="9" t="str">
        <f t="shared" si="11"/>
        <v/>
      </c>
      <c r="K363" s="8" t="b">
        <f>IF(D363&lt;3,FALSE,ISERROR(MATCH(J363,'Ontology and concepts per UC'!$A$2:$A$62,0)))</f>
        <v>0</v>
      </c>
      <c r="L363" s="2" t="s">
        <v>1052</v>
      </c>
      <c r="M363" s="2" t="s">
        <v>1053</v>
      </c>
      <c r="N363" s="2"/>
      <c r="O363" s="1" t="b">
        <v>0</v>
      </c>
      <c r="P363" s="1">
        <v>0</v>
      </c>
      <c r="Q363" s="1">
        <v>0</v>
      </c>
      <c r="R363" s="1" t="b">
        <f t="shared" si="12"/>
        <v>1</v>
      </c>
      <c r="S363" s="2" t="s">
        <v>367</v>
      </c>
      <c r="T363" s="1" t="str">
        <f>IF(S363="","",VLOOKUP(S363,'Ontology and concepts per UC'!$F$2:$J$46,5,FALSE))</f>
        <v>Parámetros de progresión</v>
      </c>
      <c r="U363" s="1" t="b">
        <f t="array" ref="U363">(INDEX('Ontology and concepts per UC'!$G$2:$I$46,MATCH($S363,'Ontology and concepts per UC'!$F$2:$F$46,0),MATCH(LEFT($A363,3),'Ontology and concepts per UC'!$G$1:$I$1,0))=0)</f>
        <v>0</v>
      </c>
      <c r="V363" s="1" t="b">
        <f t="shared" si="13"/>
        <v>0</v>
      </c>
      <c r="W363" s="1" t="b">
        <v>0</v>
      </c>
      <c r="X363" s="1" t="b">
        <v>0</v>
      </c>
      <c r="Y363" s="1" t="b">
        <v>0</v>
      </c>
      <c r="Z363" s="1" t="b">
        <v>0</v>
      </c>
      <c r="AA363" s="1"/>
    </row>
    <row r="364" spans="1:27" x14ac:dyDescent="0.25">
      <c r="A364" s="1" t="s">
        <v>883</v>
      </c>
      <c r="B364" s="2" t="s">
        <v>1054</v>
      </c>
      <c r="C364" s="2" t="s">
        <v>157</v>
      </c>
      <c r="D364" s="6">
        <f t="shared" si="7"/>
        <v>2</v>
      </c>
      <c r="E364" s="7" t="str">
        <f t="shared" si="8"/>
        <v>Parameter</v>
      </c>
      <c r="F364" s="8" t="b">
        <f>IF(D364&lt;1,FALSE,ISERROR(MATCH(E364,'Ontology and concepts per UC'!$A$2:$A$62,0)))</f>
        <v>0</v>
      </c>
      <c r="G364" s="9" t="str">
        <f t="shared" si="9"/>
        <v>DeterministicParameter</v>
      </c>
      <c r="H364" s="9" t="str">
        <f t="shared" si="10"/>
        <v>DeterministicParameter</v>
      </c>
      <c r="I364" s="8" t="b">
        <f>IF(D364&lt;2,FALSE,ISERROR(MATCH(H364,'Ontology and concepts per UC'!$A$2:$A$62,0)))</f>
        <v>0</v>
      </c>
      <c r="J364" s="9" t="str">
        <f t="shared" si="11"/>
        <v/>
      </c>
      <c r="K364" s="8" t="b">
        <f>IF(D364&lt;3,FALSE,ISERROR(MATCH(J364,'Ontology and concepts per UC'!$A$2:$A$62,0)))</f>
        <v>0</v>
      </c>
      <c r="L364" s="2" t="s">
        <v>1055</v>
      </c>
      <c r="M364" s="2" t="s">
        <v>1056</v>
      </c>
      <c r="N364" s="2"/>
      <c r="O364" s="1" t="b">
        <v>0</v>
      </c>
      <c r="P364" s="1">
        <v>0</v>
      </c>
      <c r="Q364" s="1">
        <v>0</v>
      </c>
      <c r="R364" s="1" t="b">
        <f t="shared" si="12"/>
        <v>1</v>
      </c>
      <c r="S364" s="2" t="s">
        <v>55</v>
      </c>
      <c r="T364" s="1" t="str">
        <f>IF(S364="","",VLOOKUP(S364,'Ontology and concepts per UC'!$F$2:$J$46,5,FALSE))</f>
        <v>Parámetros de progresión</v>
      </c>
      <c r="U364" s="1" t="b">
        <f t="array" ref="U364">(INDEX('Ontology and concepts per UC'!$G$2:$I$46,MATCH($S364,'Ontology and concepts per UC'!$F$2:$F$46,0),MATCH(LEFT($A364,3),'Ontology and concepts per UC'!$G$1:$I$1,0))=0)</f>
        <v>0</v>
      </c>
      <c r="V364" s="1" t="b">
        <f t="shared" si="13"/>
        <v>1</v>
      </c>
      <c r="W364" s="1" t="b">
        <v>0</v>
      </c>
      <c r="X364" s="1" t="b">
        <v>0</v>
      </c>
      <c r="Y364" s="1" t="b">
        <v>0</v>
      </c>
      <c r="Z364" s="1" t="b">
        <v>1</v>
      </c>
      <c r="AA364" s="1" t="s">
        <v>675</v>
      </c>
    </row>
    <row r="365" spans="1:27" x14ac:dyDescent="0.25">
      <c r="A365" s="1" t="s">
        <v>883</v>
      </c>
      <c r="B365" s="2" t="s">
        <v>1057</v>
      </c>
      <c r="C365" s="2" t="s">
        <v>157</v>
      </c>
      <c r="D365" s="6">
        <f t="shared" si="7"/>
        <v>2</v>
      </c>
      <c r="E365" s="7" t="str">
        <f t="shared" si="8"/>
        <v>Parameter</v>
      </c>
      <c r="F365" s="8" t="b">
        <f>IF(D365&lt;1,FALSE,ISERROR(MATCH(E365,'Ontology and concepts per UC'!$A$2:$A$62,0)))</f>
        <v>0</v>
      </c>
      <c r="G365" s="9" t="str">
        <f t="shared" si="9"/>
        <v>DeterministicParameter</v>
      </c>
      <c r="H365" s="9" t="str">
        <f t="shared" si="10"/>
        <v>DeterministicParameter</v>
      </c>
      <c r="I365" s="8" t="b">
        <f>IF(D365&lt;2,FALSE,ISERROR(MATCH(H365,'Ontology and concepts per UC'!$A$2:$A$62,0)))</f>
        <v>0</v>
      </c>
      <c r="J365" s="9" t="str">
        <f t="shared" si="11"/>
        <v/>
      </c>
      <c r="K365" s="8" t="b">
        <f>IF(D365&lt;3,FALSE,ISERROR(MATCH(J365,'Ontology and concepts per UC'!$A$2:$A$62,0)))</f>
        <v>0</v>
      </c>
      <c r="L365" s="2" t="s">
        <v>1058</v>
      </c>
      <c r="M365" s="2" t="s">
        <v>1059</v>
      </c>
      <c r="N365" s="2"/>
      <c r="O365" s="1" t="b">
        <v>0</v>
      </c>
      <c r="P365" s="1">
        <v>0</v>
      </c>
      <c r="Q365" s="1">
        <v>0</v>
      </c>
      <c r="R365" s="1" t="b">
        <f t="shared" si="12"/>
        <v>1</v>
      </c>
      <c r="S365" s="2" t="s">
        <v>58</v>
      </c>
      <c r="T365" s="1" t="str">
        <f>IF(S365="","",VLOOKUP(S365,'Ontology and concepts per UC'!$F$2:$J$46,5,FALSE))</f>
        <v>Parámetros de progresión</v>
      </c>
      <c r="U365" s="1" t="b">
        <f t="array" ref="U365">(INDEX('Ontology and concepts per UC'!$G$2:$I$46,MATCH($S365,'Ontology and concepts per UC'!$F$2:$F$46,0),MATCH(LEFT($A365,3),'Ontology and concepts per UC'!$G$1:$I$1,0))=0)</f>
        <v>0</v>
      </c>
      <c r="V365" s="1" t="b">
        <f t="shared" si="13"/>
        <v>0</v>
      </c>
      <c r="W365" s="1" t="b">
        <v>0</v>
      </c>
      <c r="X365" s="1" t="b">
        <v>0</v>
      </c>
      <c r="Y365" s="1" t="b">
        <v>0</v>
      </c>
      <c r="Z365" s="1" t="b">
        <v>0</v>
      </c>
      <c r="AA365" s="1"/>
    </row>
    <row r="366" spans="1:27" x14ac:dyDescent="0.25">
      <c r="A366" s="1" t="s">
        <v>883</v>
      </c>
      <c r="B366" s="2" t="s">
        <v>1060</v>
      </c>
      <c r="C366" s="2" t="s">
        <v>157</v>
      </c>
      <c r="D366" s="6">
        <f t="shared" si="7"/>
        <v>2</v>
      </c>
      <c r="E366" s="7" t="str">
        <f t="shared" si="8"/>
        <v>Parameter</v>
      </c>
      <c r="F366" s="8" t="b">
        <f>IF(D366&lt;1,FALSE,ISERROR(MATCH(E366,'Ontology and concepts per UC'!$A$2:$A$62,0)))</f>
        <v>0</v>
      </c>
      <c r="G366" s="9" t="str">
        <f t="shared" si="9"/>
        <v>DeterministicParameter</v>
      </c>
      <c r="H366" s="9" t="str">
        <f t="shared" si="10"/>
        <v>DeterministicParameter</v>
      </c>
      <c r="I366" s="8" t="b">
        <f>IF(D366&lt;2,FALSE,ISERROR(MATCH(H366,'Ontology and concepts per UC'!$A$2:$A$62,0)))</f>
        <v>0</v>
      </c>
      <c r="J366" s="9" t="str">
        <f t="shared" si="11"/>
        <v/>
      </c>
      <c r="K366" s="8" t="b">
        <f>IF(D366&lt;3,FALSE,ISERROR(MATCH(J366,'Ontology and concepts per UC'!$A$2:$A$62,0)))</f>
        <v>0</v>
      </c>
      <c r="L366" s="2" t="s">
        <v>1061</v>
      </c>
      <c r="M366" s="2" t="s">
        <v>1062</v>
      </c>
      <c r="N366" s="2"/>
      <c r="O366" s="1" t="b">
        <v>0</v>
      </c>
      <c r="P366" s="1">
        <v>0</v>
      </c>
      <c r="Q366" s="1">
        <v>0</v>
      </c>
      <c r="R366" s="1" t="b">
        <f t="shared" si="12"/>
        <v>1</v>
      </c>
      <c r="S366" s="2" t="s">
        <v>367</v>
      </c>
      <c r="T366" s="1" t="str">
        <f>IF(S366="","",VLOOKUP(S366,'Ontology and concepts per UC'!$F$2:$J$46,5,FALSE))</f>
        <v>Parámetros de progresión</v>
      </c>
      <c r="U366" s="1" t="b">
        <f t="array" ref="U366">(INDEX('Ontology and concepts per UC'!$G$2:$I$46,MATCH($S366,'Ontology and concepts per UC'!$F$2:$F$46,0),MATCH(LEFT($A366,3),'Ontology and concepts per UC'!$G$1:$I$1,0))=0)</f>
        <v>0</v>
      </c>
      <c r="V366" s="1" t="b">
        <f t="shared" si="13"/>
        <v>0</v>
      </c>
      <c r="W366" s="1" t="b">
        <v>0</v>
      </c>
      <c r="X366" s="1" t="b">
        <v>0</v>
      </c>
      <c r="Y366" s="1" t="b">
        <v>0</v>
      </c>
      <c r="Z366" s="1" t="b">
        <v>0</v>
      </c>
      <c r="AA366" s="1"/>
    </row>
    <row r="367" spans="1:27" x14ac:dyDescent="0.25">
      <c r="A367" s="1" t="s">
        <v>883</v>
      </c>
      <c r="B367" s="2" t="s">
        <v>1063</v>
      </c>
      <c r="C367" s="2" t="s">
        <v>157</v>
      </c>
      <c r="D367" s="6">
        <f t="shared" si="7"/>
        <v>2</v>
      </c>
      <c r="E367" s="7" t="str">
        <f t="shared" si="8"/>
        <v>Parameter</v>
      </c>
      <c r="F367" s="8" t="b">
        <f>IF(D367&lt;1,FALSE,ISERROR(MATCH(E367,'Ontology and concepts per UC'!$A$2:$A$62,0)))</f>
        <v>0</v>
      </c>
      <c r="G367" s="9" t="str">
        <f t="shared" si="9"/>
        <v>DeterministicParameter</v>
      </c>
      <c r="H367" s="9" t="str">
        <f t="shared" si="10"/>
        <v>DeterministicParameter</v>
      </c>
      <c r="I367" s="8" t="b">
        <f>IF(D367&lt;2,FALSE,ISERROR(MATCH(H367,'Ontology and concepts per UC'!$A$2:$A$62,0)))</f>
        <v>0</v>
      </c>
      <c r="J367" s="9" t="str">
        <f t="shared" si="11"/>
        <v/>
      </c>
      <c r="K367" s="8" t="b">
        <f>IF(D367&lt;3,FALSE,ISERROR(MATCH(J367,'Ontology and concepts per UC'!$A$2:$A$62,0)))</f>
        <v>0</v>
      </c>
      <c r="L367" s="2" t="s">
        <v>1064</v>
      </c>
      <c r="M367" s="2" t="s">
        <v>1065</v>
      </c>
      <c r="N367" s="2"/>
      <c r="O367" s="1" t="b">
        <v>0</v>
      </c>
      <c r="P367" s="1">
        <v>0</v>
      </c>
      <c r="Q367" s="1">
        <v>0</v>
      </c>
      <c r="R367" s="1" t="b">
        <f t="shared" si="12"/>
        <v>1</v>
      </c>
      <c r="S367" s="2" t="s">
        <v>56</v>
      </c>
      <c r="T367" s="1" t="str">
        <f>IF(S367="","",VLOOKUP(S367,'Ontology and concepts per UC'!$F$2:$J$46,5,FALSE))</f>
        <v>Parámetros de progresión</v>
      </c>
      <c r="U367" s="1" t="b">
        <f t="array" ref="U367">(INDEX('Ontology and concepts per UC'!$G$2:$I$46,MATCH($S367,'Ontology and concepts per UC'!$F$2:$F$46,0),MATCH(LEFT($A367,3),'Ontology and concepts per UC'!$G$1:$I$1,0))=0)</f>
        <v>0</v>
      </c>
      <c r="V367" s="1" t="b">
        <f t="shared" si="13"/>
        <v>1</v>
      </c>
      <c r="W367" s="1" t="b">
        <v>0</v>
      </c>
      <c r="X367" s="1" t="b">
        <v>0</v>
      </c>
      <c r="Y367" s="1" t="b">
        <v>0</v>
      </c>
      <c r="Z367" s="1" t="b">
        <v>1</v>
      </c>
      <c r="AA367" s="1" t="s">
        <v>675</v>
      </c>
    </row>
    <row r="368" spans="1:27" x14ac:dyDescent="0.25">
      <c r="A368" s="1" t="s">
        <v>883</v>
      </c>
      <c r="B368" s="2" t="s">
        <v>1066</v>
      </c>
      <c r="C368" s="2" t="s">
        <v>157</v>
      </c>
      <c r="D368" s="6">
        <f t="shared" si="7"/>
        <v>2</v>
      </c>
      <c r="E368" s="7" t="str">
        <f t="shared" si="8"/>
        <v>Parameter</v>
      </c>
      <c r="F368" s="8" t="b">
        <f>IF(D368&lt;1,FALSE,ISERROR(MATCH(E368,'Ontology and concepts per UC'!$A$2:$A$62,0)))</f>
        <v>0</v>
      </c>
      <c r="G368" s="9" t="str">
        <f t="shared" si="9"/>
        <v>DeterministicParameter</v>
      </c>
      <c r="H368" s="9" t="str">
        <f t="shared" si="10"/>
        <v>DeterministicParameter</v>
      </c>
      <c r="I368" s="8" t="b">
        <f>IF(D368&lt;2,FALSE,ISERROR(MATCH(H368,'Ontology and concepts per UC'!$A$2:$A$62,0)))</f>
        <v>0</v>
      </c>
      <c r="J368" s="9" t="str">
        <f t="shared" si="11"/>
        <v/>
      </c>
      <c r="K368" s="8" t="b">
        <f>IF(D368&lt;3,FALSE,ISERROR(MATCH(J368,'Ontology and concepts per UC'!$A$2:$A$62,0)))</f>
        <v>0</v>
      </c>
      <c r="L368" s="2" t="s">
        <v>1067</v>
      </c>
      <c r="M368" s="2" t="s">
        <v>1068</v>
      </c>
      <c r="N368" s="2"/>
      <c r="O368" s="1" t="b">
        <v>0</v>
      </c>
      <c r="P368" s="1">
        <v>0</v>
      </c>
      <c r="Q368" s="1">
        <v>0</v>
      </c>
      <c r="R368" s="1" t="b">
        <f t="shared" si="12"/>
        <v>1</v>
      </c>
      <c r="S368" s="2" t="s">
        <v>54</v>
      </c>
      <c r="T368" s="1" t="str">
        <f>IF(S368="","",VLOOKUP(S368,'Ontology and concepts per UC'!$F$2:$J$46,5,FALSE))</f>
        <v>Parámetros de progresión</v>
      </c>
      <c r="U368" s="1" t="b">
        <f t="array" ref="U368">(INDEX('Ontology and concepts per UC'!$G$2:$I$46,MATCH($S368,'Ontology and concepts per UC'!$F$2:$F$46,0),MATCH(LEFT($A368,3),'Ontology and concepts per UC'!$G$1:$I$1,0))=0)</f>
        <v>0</v>
      </c>
      <c r="V368" s="1" t="b">
        <f t="shared" si="13"/>
        <v>1</v>
      </c>
      <c r="W368" s="1" t="b">
        <v>0</v>
      </c>
      <c r="X368" s="1" t="b">
        <v>0</v>
      </c>
      <c r="Y368" s="1" t="b">
        <v>0</v>
      </c>
      <c r="Z368" s="1" t="b">
        <v>1</v>
      </c>
      <c r="AA368" s="1" t="s">
        <v>675</v>
      </c>
    </row>
    <row r="369" spans="1:27" x14ac:dyDescent="0.25">
      <c r="A369" s="1" t="s">
        <v>883</v>
      </c>
      <c r="B369" s="2" t="s">
        <v>1069</v>
      </c>
      <c r="C369" s="2" t="s">
        <v>157</v>
      </c>
      <c r="D369" s="6">
        <f t="shared" si="7"/>
        <v>2</v>
      </c>
      <c r="E369" s="7" t="str">
        <f t="shared" si="8"/>
        <v>Parameter</v>
      </c>
      <c r="F369" s="8" t="b">
        <f>IF(D369&lt;1,FALSE,ISERROR(MATCH(E369,'Ontology and concepts per UC'!$A$2:$A$62,0)))</f>
        <v>0</v>
      </c>
      <c r="G369" s="9" t="str">
        <f t="shared" si="9"/>
        <v>DeterministicParameter</v>
      </c>
      <c r="H369" s="9" t="str">
        <f t="shared" si="10"/>
        <v>DeterministicParameter</v>
      </c>
      <c r="I369" s="8" t="b">
        <f>IF(D369&lt;2,FALSE,ISERROR(MATCH(H369,'Ontology and concepts per UC'!$A$2:$A$62,0)))</f>
        <v>0</v>
      </c>
      <c r="J369" s="9" t="str">
        <f t="shared" si="11"/>
        <v/>
      </c>
      <c r="K369" s="8" t="b">
        <f>IF(D369&lt;3,FALSE,ISERROR(MATCH(J369,'Ontology and concepts per UC'!$A$2:$A$62,0)))</f>
        <v>0</v>
      </c>
      <c r="L369" s="2" t="s">
        <v>1070</v>
      </c>
      <c r="M369" s="2" t="s">
        <v>1071</v>
      </c>
      <c r="N369" s="2"/>
      <c r="O369" s="1" t="b">
        <v>0</v>
      </c>
      <c r="P369" s="1">
        <v>0</v>
      </c>
      <c r="Q369" s="1">
        <v>0</v>
      </c>
      <c r="R369" s="1" t="b">
        <f t="shared" si="12"/>
        <v>1</v>
      </c>
      <c r="S369" s="2" t="s">
        <v>50</v>
      </c>
      <c r="T369" s="1" t="str">
        <f>IF(S369="","",VLOOKUP(S369,'Ontology and concepts per UC'!$F$2:$J$46,5,FALSE))</f>
        <v>Parámetros de progresión</v>
      </c>
      <c r="U369" s="1" t="b">
        <f t="array" ref="U369">(INDEX('Ontology and concepts per UC'!$G$2:$I$46,MATCH($S369,'Ontology and concepts per UC'!$F$2:$F$46,0),MATCH(LEFT($A369,3),'Ontology and concepts per UC'!$G$1:$I$1,0))=0)</f>
        <v>0</v>
      </c>
      <c r="V369" s="1" t="b">
        <f t="shared" si="13"/>
        <v>1</v>
      </c>
      <c r="W369" s="1" t="b">
        <v>0</v>
      </c>
      <c r="X369" s="1" t="b">
        <v>0</v>
      </c>
      <c r="Y369" s="1" t="b">
        <v>0</v>
      </c>
      <c r="Z369" s="1" t="b">
        <v>1</v>
      </c>
      <c r="AA369" s="1" t="s">
        <v>675</v>
      </c>
    </row>
    <row r="370" spans="1:27" x14ac:dyDescent="0.25">
      <c r="A370" s="1" t="s">
        <v>883</v>
      </c>
      <c r="B370" s="2" t="s">
        <v>1072</v>
      </c>
      <c r="C370" s="2" t="s">
        <v>157</v>
      </c>
      <c r="D370" s="6">
        <f t="shared" si="7"/>
        <v>2</v>
      </c>
      <c r="E370" s="7" t="str">
        <f t="shared" si="8"/>
        <v>Parameter</v>
      </c>
      <c r="F370" s="8" t="b">
        <f>IF(D370&lt;1,FALSE,ISERROR(MATCH(E370,'Ontology and concepts per UC'!$A$2:$A$62,0)))</f>
        <v>0</v>
      </c>
      <c r="G370" s="9" t="str">
        <f t="shared" si="9"/>
        <v>DeterministicParameter</v>
      </c>
      <c r="H370" s="9" t="str">
        <f t="shared" si="10"/>
        <v>DeterministicParameter</v>
      </c>
      <c r="I370" s="8" t="b">
        <f>IF(D370&lt;2,FALSE,ISERROR(MATCH(H370,'Ontology and concepts per UC'!$A$2:$A$62,0)))</f>
        <v>0</v>
      </c>
      <c r="J370" s="9" t="str">
        <f t="shared" si="11"/>
        <v/>
      </c>
      <c r="K370" s="8" t="b">
        <f>IF(D370&lt;3,FALSE,ISERROR(MATCH(J370,'Ontology and concepts per UC'!$A$2:$A$62,0)))</f>
        <v>0</v>
      </c>
      <c r="L370" s="2" t="s">
        <v>1073</v>
      </c>
      <c r="M370" s="2" t="s">
        <v>1074</v>
      </c>
      <c r="N370" s="2"/>
      <c r="O370" s="1" t="b">
        <v>0</v>
      </c>
      <c r="P370" s="1">
        <v>0</v>
      </c>
      <c r="Q370" s="1">
        <v>0</v>
      </c>
      <c r="R370" s="1" t="b">
        <f t="shared" si="12"/>
        <v>1</v>
      </c>
      <c r="S370" s="2" t="s">
        <v>51</v>
      </c>
      <c r="T370" s="1" t="str">
        <f>IF(S370="","",VLOOKUP(S370,'Ontology and concepts per UC'!$F$2:$J$46,5,FALSE))</f>
        <v>Parámetros de progresión</v>
      </c>
      <c r="U370" s="1" t="b">
        <f t="array" ref="U370">(INDEX('Ontology and concepts per UC'!$G$2:$I$46,MATCH($S370,'Ontology and concepts per UC'!$F$2:$F$46,0),MATCH(LEFT($A370,3),'Ontology and concepts per UC'!$G$1:$I$1,0))=0)</f>
        <v>0</v>
      </c>
      <c r="V370" s="1" t="b">
        <f t="shared" si="13"/>
        <v>1</v>
      </c>
      <c r="W370" s="1" t="b">
        <v>0</v>
      </c>
      <c r="X370" s="1" t="b">
        <v>0</v>
      </c>
      <c r="Y370" s="1" t="b">
        <v>0</v>
      </c>
      <c r="Z370" s="1" t="b">
        <v>1</v>
      </c>
      <c r="AA370" s="1" t="s">
        <v>675</v>
      </c>
    </row>
    <row r="371" spans="1:27" x14ac:dyDescent="0.25">
      <c r="A371" s="1" t="s">
        <v>883</v>
      </c>
      <c r="B371" s="2" t="s">
        <v>1075</v>
      </c>
      <c r="C371" s="2" t="s">
        <v>157</v>
      </c>
      <c r="D371" s="6">
        <f t="shared" si="7"/>
        <v>2</v>
      </c>
      <c r="E371" s="7" t="str">
        <f t="shared" si="8"/>
        <v>Parameter</v>
      </c>
      <c r="F371" s="8" t="b">
        <f>IF(D371&lt;1,FALSE,ISERROR(MATCH(E371,'Ontology and concepts per UC'!$A$2:$A$62,0)))</f>
        <v>0</v>
      </c>
      <c r="G371" s="9" t="str">
        <f t="shared" si="9"/>
        <v>DeterministicParameter</v>
      </c>
      <c r="H371" s="9" t="str">
        <f t="shared" si="10"/>
        <v>DeterministicParameter</v>
      </c>
      <c r="I371" s="8" t="b">
        <f>IF(D371&lt;2,FALSE,ISERROR(MATCH(H371,'Ontology and concepts per UC'!$A$2:$A$62,0)))</f>
        <v>0</v>
      </c>
      <c r="J371" s="9" t="str">
        <f t="shared" si="11"/>
        <v/>
      </c>
      <c r="K371" s="8" t="b">
        <f>IF(D371&lt;3,FALSE,ISERROR(MATCH(J371,'Ontology and concepts per UC'!$A$2:$A$62,0)))</f>
        <v>0</v>
      </c>
      <c r="L371" s="2" t="s">
        <v>973</v>
      </c>
      <c r="M371" s="2" t="s">
        <v>1076</v>
      </c>
      <c r="N371" s="2"/>
      <c r="O371" s="1" t="b">
        <v>0</v>
      </c>
      <c r="P371" s="1">
        <v>0</v>
      </c>
      <c r="Q371" s="1">
        <v>0</v>
      </c>
      <c r="R371" s="1" t="b">
        <f t="shared" si="12"/>
        <v>1</v>
      </c>
      <c r="S371" s="2" t="s">
        <v>367</v>
      </c>
      <c r="T371" s="1" t="str">
        <f>IF(S371="","",VLOOKUP(S371,'Ontology and concepts per UC'!$F$2:$J$46,5,FALSE))</f>
        <v>Parámetros de progresión</v>
      </c>
      <c r="U371" s="1" t="b">
        <f t="array" ref="U371">(INDEX('Ontology and concepts per UC'!$G$2:$I$46,MATCH($S371,'Ontology and concepts per UC'!$F$2:$F$46,0),MATCH(LEFT($A371,3),'Ontology and concepts per UC'!$G$1:$I$1,0))=0)</f>
        <v>0</v>
      </c>
      <c r="V371" s="1" t="b">
        <f t="shared" si="13"/>
        <v>0</v>
      </c>
      <c r="W371" s="1" t="b">
        <v>0</v>
      </c>
      <c r="X371" s="1" t="b">
        <v>0</v>
      </c>
      <c r="Y371" s="1" t="b">
        <v>0</v>
      </c>
      <c r="Z371" s="1" t="b">
        <v>0</v>
      </c>
      <c r="AA371" s="1"/>
    </row>
    <row r="372" spans="1:27" x14ac:dyDescent="0.25">
      <c r="A372" s="1" t="s">
        <v>883</v>
      </c>
      <c r="B372" s="2" t="s">
        <v>1077</v>
      </c>
      <c r="C372" s="2" t="s">
        <v>157</v>
      </c>
      <c r="D372" s="6">
        <f t="shared" si="7"/>
        <v>2</v>
      </c>
      <c r="E372" s="7" t="str">
        <f t="shared" si="8"/>
        <v>Parameter</v>
      </c>
      <c r="F372" s="8" t="b">
        <f>IF(D372&lt;1,FALSE,ISERROR(MATCH(E372,'Ontology and concepts per UC'!$A$2:$A$62,0)))</f>
        <v>0</v>
      </c>
      <c r="G372" s="9" t="str">
        <f t="shared" si="9"/>
        <v>DeterministicParameter</v>
      </c>
      <c r="H372" s="9" t="str">
        <f t="shared" si="10"/>
        <v>DeterministicParameter</v>
      </c>
      <c r="I372" s="8" t="b">
        <f>IF(D372&lt;2,FALSE,ISERROR(MATCH(H372,'Ontology and concepts per UC'!$A$2:$A$62,0)))</f>
        <v>0</v>
      </c>
      <c r="J372" s="9" t="str">
        <f t="shared" si="11"/>
        <v/>
      </c>
      <c r="K372" s="8" t="b">
        <f>IF(D372&lt;3,FALSE,ISERROR(MATCH(J372,'Ontology and concepts per UC'!$A$2:$A$62,0)))</f>
        <v>0</v>
      </c>
      <c r="L372" s="2" t="s">
        <v>976</v>
      </c>
      <c r="M372" s="2" t="s">
        <v>1078</v>
      </c>
      <c r="N372" s="2"/>
      <c r="O372" s="1" t="b">
        <v>0</v>
      </c>
      <c r="P372" s="1">
        <v>0</v>
      </c>
      <c r="Q372" s="1">
        <v>0</v>
      </c>
      <c r="R372" s="1" t="b">
        <f t="shared" si="12"/>
        <v>1</v>
      </c>
      <c r="S372" s="2" t="s">
        <v>55</v>
      </c>
      <c r="T372" s="1" t="str">
        <f>IF(S372="","",VLOOKUP(S372,'Ontology and concepts per UC'!$F$2:$J$46,5,FALSE))</f>
        <v>Parámetros de progresión</v>
      </c>
      <c r="U372" s="1" t="b">
        <f t="array" ref="U372">(INDEX('Ontology and concepts per UC'!$G$2:$I$46,MATCH($S372,'Ontology and concepts per UC'!$F$2:$F$46,0),MATCH(LEFT($A372,3),'Ontology and concepts per UC'!$G$1:$I$1,0))=0)</f>
        <v>0</v>
      </c>
      <c r="V372" s="1" t="b">
        <f t="shared" si="13"/>
        <v>1</v>
      </c>
      <c r="W372" s="1" t="b">
        <v>0</v>
      </c>
      <c r="X372" s="1" t="b">
        <v>0</v>
      </c>
      <c r="Y372" s="1" t="b">
        <v>0</v>
      </c>
      <c r="Z372" s="1" t="b">
        <v>1</v>
      </c>
      <c r="AA372" s="1" t="s">
        <v>675</v>
      </c>
    </row>
    <row r="373" spans="1:27" x14ac:dyDescent="0.25">
      <c r="A373" s="1" t="s">
        <v>883</v>
      </c>
      <c r="B373" s="2" t="s">
        <v>1079</v>
      </c>
      <c r="C373" s="2" t="s">
        <v>157</v>
      </c>
      <c r="D373" s="6">
        <f t="shared" si="7"/>
        <v>2</v>
      </c>
      <c r="E373" s="7" t="str">
        <f t="shared" si="8"/>
        <v>Parameter</v>
      </c>
      <c r="F373" s="8" t="b">
        <f>IF(D373&lt;1,FALSE,ISERROR(MATCH(E373,'Ontology and concepts per UC'!$A$2:$A$62,0)))</f>
        <v>0</v>
      </c>
      <c r="G373" s="9" t="str">
        <f t="shared" si="9"/>
        <v>DeterministicParameter</v>
      </c>
      <c r="H373" s="9" t="str">
        <f t="shared" si="10"/>
        <v>DeterministicParameter</v>
      </c>
      <c r="I373" s="8" t="b">
        <f>IF(D373&lt;2,FALSE,ISERROR(MATCH(H373,'Ontology and concepts per UC'!$A$2:$A$62,0)))</f>
        <v>0</v>
      </c>
      <c r="J373" s="9" t="str">
        <f t="shared" si="11"/>
        <v/>
      </c>
      <c r="K373" s="8" t="b">
        <f>IF(D373&lt;3,FALSE,ISERROR(MATCH(J373,'Ontology and concepts per UC'!$A$2:$A$62,0)))</f>
        <v>0</v>
      </c>
      <c r="L373" s="2" t="s">
        <v>1061</v>
      </c>
      <c r="M373" s="2" t="s">
        <v>1080</v>
      </c>
      <c r="N373" s="2"/>
      <c r="O373" s="1" t="b">
        <v>0</v>
      </c>
      <c r="P373" s="1">
        <v>0</v>
      </c>
      <c r="Q373" s="1">
        <v>0</v>
      </c>
      <c r="R373" s="1" t="b">
        <f t="shared" si="12"/>
        <v>1</v>
      </c>
      <c r="S373" s="2" t="s">
        <v>107</v>
      </c>
      <c r="T373" s="1" t="str">
        <f>IF(S373="","",VLOOKUP(S373,'Ontology and concepts per UC'!$F$2:$J$46,5,FALSE))</f>
        <v>Parcial</v>
      </c>
      <c r="U373" s="1" t="b">
        <f t="array" ref="U373">(INDEX('Ontology and concepts per UC'!$G$2:$I$46,MATCH($S373,'Ontology and concepts per UC'!$F$2:$F$46,0),MATCH(LEFT($A373,3),'Ontology and concepts per UC'!$G$1:$I$1,0))=0)</f>
        <v>0</v>
      </c>
      <c r="V373" s="1" t="b">
        <f t="shared" si="13"/>
        <v>0</v>
      </c>
      <c r="W373" s="1" t="b">
        <v>0</v>
      </c>
      <c r="X373" s="1" t="b">
        <v>0</v>
      </c>
      <c r="Y373" s="1" t="b">
        <v>0</v>
      </c>
      <c r="Z373" s="1" t="b">
        <v>0</v>
      </c>
      <c r="AA373" s="1"/>
    </row>
    <row r="374" spans="1:27" x14ac:dyDescent="0.25">
      <c r="A374" s="1" t="s">
        <v>883</v>
      </c>
      <c r="B374" s="2" t="s">
        <v>1081</v>
      </c>
      <c r="C374" s="2" t="s">
        <v>157</v>
      </c>
      <c r="D374" s="6">
        <f t="shared" si="7"/>
        <v>2</v>
      </c>
      <c r="E374" s="7" t="str">
        <f t="shared" si="8"/>
        <v>Parameter</v>
      </c>
      <c r="F374" s="8" t="b">
        <f>IF(D374&lt;1,FALSE,ISERROR(MATCH(E374,'Ontology and concepts per UC'!$A$2:$A$62,0)))</f>
        <v>0</v>
      </c>
      <c r="G374" s="9" t="str">
        <f t="shared" si="9"/>
        <v>DeterministicParameter</v>
      </c>
      <c r="H374" s="9" t="str">
        <f t="shared" si="10"/>
        <v>DeterministicParameter</v>
      </c>
      <c r="I374" s="8" t="b">
        <f>IF(D374&lt;2,FALSE,ISERROR(MATCH(H374,'Ontology and concepts per UC'!$A$2:$A$62,0)))</f>
        <v>0</v>
      </c>
      <c r="J374" s="9" t="str">
        <f t="shared" si="11"/>
        <v/>
      </c>
      <c r="K374" s="8" t="b">
        <f>IF(D374&lt;3,FALSE,ISERROR(MATCH(J374,'Ontology and concepts per UC'!$A$2:$A$62,0)))</f>
        <v>0</v>
      </c>
      <c r="L374" s="2" t="s">
        <v>964</v>
      </c>
      <c r="M374" s="2" t="s">
        <v>1082</v>
      </c>
      <c r="N374" s="2"/>
      <c r="O374" s="1" t="b">
        <v>0</v>
      </c>
      <c r="P374" s="1">
        <v>0</v>
      </c>
      <c r="Q374" s="1">
        <v>0</v>
      </c>
      <c r="R374" s="1" t="b">
        <f t="shared" si="12"/>
        <v>1</v>
      </c>
      <c r="S374" s="2" t="s">
        <v>107</v>
      </c>
      <c r="T374" s="1" t="str">
        <f>IF(S374="","",VLOOKUP(S374,'Ontology and concepts per UC'!$F$2:$J$46,5,FALSE))</f>
        <v>Parcial</v>
      </c>
      <c r="U374" s="1" t="b">
        <f t="array" ref="U374">(INDEX('Ontology and concepts per UC'!$G$2:$I$46,MATCH($S374,'Ontology and concepts per UC'!$F$2:$F$46,0),MATCH(LEFT($A374,3),'Ontology and concepts per UC'!$G$1:$I$1,0))=0)</f>
        <v>0</v>
      </c>
      <c r="V374" s="1" t="b">
        <f t="shared" si="13"/>
        <v>0</v>
      </c>
      <c r="W374" s="1" t="b">
        <v>0</v>
      </c>
      <c r="X374" s="1" t="b">
        <v>0</v>
      </c>
      <c r="Y374" s="1" t="b">
        <v>0</v>
      </c>
      <c r="Z374" s="1" t="b">
        <v>0</v>
      </c>
      <c r="AA374" s="1"/>
    </row>
    <row r="375" spans="1:27" x14ac:dyDescent="0.25">
      <c r="A375" s="1" t="s">
        <v>883</v>
      </c>
      <c r="B375" s="2" t="s">
        <v>1083</v>
      </c>
      <c r="C375" s="2" t="s">
        <v>157</v>
      </c>
      <c r="D375" s="6">
        <f t="shared" si="7"/>
        <v>2</v>
      </c>
      <c r="E375" s="7" t="str">
        <f t="shared" si="8"/>
        <v>Parameter</v>
      </c>
      <c r="F375" s="8" t="b">
        <f>IF(D375&lt;1,FALSE,ISERROR(MATCH(E375,'Ontology and concepts per UC'!$A$2:$A$62,0)))</f>
        <v>0</v>
      </c>
      <c r="G375" s="9" t="str">
        <f t="shared" si="9"/>
        <v>DeterministicParameter</v>
      </c>
      <c r="H375" s="9" t="str">
        <f t="shared" si="10"/>
        <v>DeterministicParameter</v>
      </c>
      <c r="I375" s="8" t="b">
        <f>IF(D375&lt;2,FALSE,ISERROR(MATCH(H375,'Ontology and concepts per UC'!$A$2:$A$62,0)))</f>
        <v>0</v>
      </c>
      <c r="J375" s="9" t="str">
        <f t="shared" si="11"/>
        <v/>
      </c>
      <c r="K375" s="8" t="b">
        <f>IF(D375&lt;3,FALSE,ISERROR(MATCH(J375,'Ontology and concepts per UC'!$A$2:$A$62,0)))</f>
        <v>0</v>
      </c>
      <c r="L375" s="2" t="s">
        <v>1084</v>
      </c>
      <c r="M375" s="2" t="s">
        <v>1085</v>
      </c>
      <c r="N375" s="2"/>
      <c r="O375" s="1" t="b">
        <v>0</v>
      </c>
      <c r="P375" s="1">
        <v>0</v>
      </c>
      <c r="Q375" s="1">
        <v>0</v>
      </c>
      <c r="R375" s="1" t="b">
        <f t="shared" si="12"/>
        <v>1</v>
      </c>
      <c r="S375" s="2" t="s">
        <v>107</v>
      </c>
      <c r="T375" s="1" t="str">
        <f>IF(S375="","",VLOOKUP(S375,'Ontology and concepts per UC'!$F$2:$J$46,5,FALSE))</f>
        <v>Parcial</v>
      </c>
      <c r="U375" s="1" t="b">
        <f t="array" ref="U375">(INDEX('Ontology and concepts per UC'!$G$2:$I$46,MATCH($S375,'Ontology and concepts per UC'!$F$2:$F$46,0),MATCH(LEFT($A375,3),'Ontology and concepts per UC'!$G$1:$I$1,0))=0)</f>
        <v>0</v>
      </c>
      <c r="V375" s="1" t="b">
        <f t="shared" si="13"/>
        <v>0</v>
      </c>
      <c r="W375" s="1" t="b">
        <v>0</v>
      </c>
      <c r="X375" s="1" t="b">
        <v>0</v>
      </c>
      <c r="Y375" s="1" t="b">
        <v>0</v>
      </c>
      <c r="Z375" s="1" t="b">
        <v>0</v>
      </c>
      <c r="AA375" s="1"/>
    </row>
    <row r="376" spans="1:27" x14ac:dyDescent="0.25">
      <c r="A376" s="1" t="s">
        <v>883</v>
      </c>
      <c r="B376" s="2" t="s">
        <v>1086</v>
      </c>
      <c r="C376" s="2" t="s">
        <v>157</v>
      </c>
      <c r="D376" s="6">
        <f t="shared" si="7"/>
        <v>2</v>
      </c>
      <c r="E376" s="7" t="str">
        <f t="shared" si="8"/>
        <v>Parameter</v>
      </c>
      <c r="F376" s="8" t="b">
        <f>IF(D376&lt;1,FALSE,ISERROR(MATCH(E376,'Ontology and concepts per UC'!$A$2:$A$62,0)))</f>
        <v>0</v>
      </c>
      <c r="G376" s="9" t="str">
        <f t="shared" si="9"/>
        <v>DeterministicParameter</v>
      </c>
      <c r="H376" s="9" t="str">
        <f t="shared" si="10"/>
        <v>DeterministicParameter</v>
      </c>
      <c r="I376" s="8" t="b">
        <f>IF(D376&lt;2,FALSE,ISERROR(MATCH(H376,'Ontology and concepts per UC'!$A$2:$A$62,0)))</f>
        <v>0</v>
      </c>
      <c r="J376" s="9" t="str">
        <f t="shared" si="11"/>
        <v/>
      </c>
      <c r="K376" s="8" t="b">
        <f>IF(D376&lt;3,FALSE,ISERROR(MATCH(J376,'Ontology and concepts per UC'!$A$2:$A$62,0)))</f>
        <v>0</v>
      </c>
      <c r="L376" s="2" t="s">
        <v>1087</v>
      </c>
      <c r="M376" s="2" t="s">
        <v>1088</v>
      </c>
      <c r="N376" s="2"/>
      <c r="O376" s="1" t="b">
        <v>0</v>
      </c>
      <c r="P376" s="1">
        <v>0</v>
      </c>
      <c r="Q376" s="1">
        <v>0</v>
      </c>
      <c r="R376" s="1" t="b">
        <f t="shared" si="12"/>
        <v>1</v>
      </c>
      <c r="S376" s="2" t="s">
        <v>107</v>
      </c>
      <c r="T376" s="1" t="str">
        <f>IF(S376="","",VLOOKUP(S376,'Ontology and concepts per UC'!$F$2:$J$46,5,FALSE))</f>
        <v>Parcial</v>
      </c>
      <c r="U376" s="1" t="b">
        <f t="array" ref="U376">(INDEX('Ontology and concepts per UC'!$G$2:$I$46,MATCH($S376,'Ontology and concepts per UC'!$F$2:$F$46,0),MATCH(LEFT($A376,3),'Ontology and concepts per UC'!$G$1:$I$1,0))=0)</f>
        <v>0</v>
      </c>
      <c r="V376" s="1" t="b">
        <f t="shared" si="13"/>
        <v>0</v>
      </c>
      <c r="W376" s="1" t="b">
        <v>0</v>
      </c>
      <c r="X376" s="1" t="b">
        <v>0</v>
      </c>
      <c r="Y376" s="1" t="b">
        <v>0</v>
      </c>
      <c r="Z376" s="1" t="b">
        <v>0</v>
      </c>
      <c r="AA376" s="1"/>
    </row>
    <row r="377" spans="1:27" x14ac:dyDescent="0.25">
      <c r="A377" s="1" t="s">
        <v>883</v>
      </c>
      <c r="B377" s="2" t="s">
        <v>1089</v>
      </c>
      <c r="C377" s="2" t="s">
        <v>36</v>
      </c>
      <c r="D377" s="6">
        <f t="shared" si="7"/>
        <v>1</v>
      </c>
      <c r="E377" s="7" t="str">
        <f t="shared" si="8"/>
        <v>RareDisease</v>
      </c>
      <c r="F377" s="8" t="b">
        <f>IF(D377&lt;1,FALSE,ISERROR(MATCH(E377,'Ontology and concepts per UC'!$A$2:$A$62,0)))</f>
        <v>0</v>
      </c>
      <c r="G377" s="9" t="str">
        <f t="shared" si="9"/>
        <v/>
      </c>
      <c r="H377" s="9" t="str">
        <f t="shared" si="10"/>
        <v/>
      </c>
      <c r="I377" s="8" t="b">
        <f>IF(D377&lt;2,FALSE,ISERROR(MATCH(H377,'Ontology and concepts per UC'!$A$2:$A$62,0)))</f>
        <v>0</v>
      </c>
      <c r="J377" s="9" t="str">
        <f t="shared" si="11"/>
        <v/>
      </c>
      <c r="K377" s="8" t="b">
        <f>IF(D377&lt;3,FALSE,ISERROR(MATCH(J377,'Ontology and concepts per UC'!$A$2:$A$62,0)))</f>
        <v>0</v>
      </c>
      <c r="L377" s="2" t="s">
        <v>1090</v>
      </c>
      <c r="M377" s="2" t="s">
        <v>1091</v>
      </c>
      <c r="N377" s="2"/>
      <c r="O377" s="1" t="b">
        <v>0</v>
      </c>
      <c r="P377" s="1">
        <v>0</v>
      </c>
      <c r="Q377" s="1">
        <v>0</v>
      </c>
      <c r="R377" s="1" t="b">
        <f t="shared" si="12"/>
        <v>0</v>
      </c>
      <c r="S377" s="2" t="s">
        <v>35</v>
      </c>
      <c r="T377" s="1" t="str">
        <f>IF(S377="","",VLOOKUP(S377,'Ontology and concepts per UC'!$F$2:$J$46,5,FALSE))</f>
        <v>Modelo Conceptual</v>
      </c>
      <c r="U377" s="1" t="b">
        <f t="array" ref="U377">(INDEX('Ontology and concepts per UC'!$G$2:$I$46,MATCH($S377,'Ontology and concepts per UC'!$F$2:$F$46,0),MATCH(LEFT($A377,3),'Ontology and concepts per UC'!$G$1:$I$1,0))=0)</f>
        <v>0</v>
      </c>
      <c r="V377" s="1" t="b">
        <f t="shared" si="13"/>
        <v>1</v>
      </c>
      <c r="W377" s="1" t="b">
        <v>0</v>
      </c>
      <c r="X377" s="1" t="b">
        <v>0</v>
      </c>
      <c r="Y377" s="1" t="b">
        <v>0</v>
      </c>
      <c r="Z377" s="1" t="b">
        <v>1</v>
      </c>
      <c r="AA377" s="1" t="s">
        <v>197</v>
      </c>
    </row>
    <row r="378" spans="1:27" x14ac:dyDescent="0.25">
      <c r="A378" s="1" t="s">
        <v>883</v>
      </c>
      <c r="B378" s="2" t="s">
        <v>1092</v>
      </c>
      <c r="C378" s="2" t="s">
        <v>581</v>
      </c>
      <c r="D378" s="6">
        <f t="shared" si="7"/>
        <v>1</v>
      </c>
      <c r="E378" s="7" t="str">
        <f t="shared" si="8"/>
        <v>Stage</v>
      </c>
      <c r="F378" s="8" t="b">
        <f>IF(D378&lt;1,FALSE,ISERROR(MATCH(E378,'Ontology and concepts per UC'!$A$2:$A$62,0)))</f>
        <v>0</v>
      </c>
      <c r="G378" s="9" t="str">
        <f t="shared" si="9"/>
        <v/>
      </c>
      <c r="H378" s="9" t="str">
        <f t="shared" si="10"/>
        <v/>
      </c>
      <c r="I378" s="8" t="b">
        <f>IF(D378&lt;2,FALSE,ISERROR(MATCH(H378,'Ontology and concepts per UC'!$A$2:$A$62,0)))</f>
        <v>0</v>
      </c>
      <c r="J378" s="9" t="str">
        <f t="shared" si="11"/>
        <v/>
      </c>
      <c r="K378" s="8" t="b">
        <f>IF(D378&lt;3,FALSE,ISERROR(MATCH(J378,'Ontology and concepts per UC'!$A$2:$A$62,0)))</f>
        <v>0</v>
      </c>
      <c r="L378" s="2"/>
      <c r="M378" s="2" t="s">
        <v>1093</v>
      </c>
      <c r="N378" s="2"/>
      <c r="O378" s="1" t="b">
        <v>0</v>
      </c>
      <c r="P378" s="1">
        <v>0</v>
      </c>
      <c r="Q378" s="1">
        <v>0</v>
      </c>
      <c r="R378" s="1" t="b">
        <f t="shared" si="12"/>
        <v>0</v>
      </c>
      <c r="S378" s="2" t="s">
        <v>187</v>
      </c>
      <c r="T378" s="1" t="str">
        <f>IF(S378="","",VLOOKUP(S378,'Ontology and concepts per UC'!$F$2:$J$46,5,FALSE))</f>
        <v>Otros</v>
      </c>
      <c r="U378" s="1" t="b">
        <f t="array" ref="U378">(INDEX('Ontology and concepts per UC'!$G$2:$I$46,MATCH($S378,'Ontology and concepts per UC'!$F$2:$F$46,0),MATCH(LEFT($A378,3),'Ontology and concepts per UC'!$G$1:$I$1,0))=0)</f>
        <v>1</v>
      </c>
      <c r="V378" s="1" t="b">
        <f t="shared" si="13"/>
        <v>0</v>
      </c>
      <c r="W378" s="1" t="b">
        <v>0</v>
      </c>
      <c r="X378" s="1" t="b">
        <v>0</v>
      </c>
      <c r="Y378" s="1" t="b">
        <v>0</v>
      </c>
      <c r="Z378" s="1" t="b">
        <v>0</v>
      </c>
      <c r="AA378" s="1"/>
    </row>
    <row r="379" spans="1:27" x14ac:dyDescent="0.25">
      <c r="A379" s="1" t="s">
        <v>883</v>
      </c>
      <c r="B379" s="2" t="s">
        <v>1094</v>
      </c>
      <c r="C379" s="2" t="s">
        <v>581</v>
      </c>
      <c r="D379" s="6">
        <f t="shared" si="7"/>
        <v>1</v>
      </c>
      <c r="E379" s="7" t="str">
        <f t="shared" si="8"/>
        <v>Stage</v>
      </c>
      <c r="F379" s="8" t="b">
        <f>IF(D379&lt;1,FALSE,ISERROR(MATCH(E379,'Ontology and concepts per UC'!$A$2:$A$62,0)))</f>
        <v>0</v>
      </c>
      <c r="G379" s="9" t="str">
        <f t="shared" si="9"/>
        <v/>
      </c>
      <c r="H379" s="9" t="str">
        <f t="shared" si="10"/>
        <v/>
      </c>
      <c r="I379" s="8" t="b">
        <f>IF(D379&lt;2,FALSE,ISERROR(MATCH(H379,'Ontology and concepts per UC'!$A$2:$A$62,0)))</f>
        <v>0</v>
      </c>
      <c r="J379" s="9" t="str">
        <f t="shared" si="11"/>
        <v/>
      </c>
      <c r="K379" s="8" t="b">
        <f>IF(D379&lt;3,FALSE,ISERROR(MATCH(J379,'Ontology and concepts per UC'!$A$2:$A$62,0)))</f>
        <v>0</v>
      </c>
      <c r="L379" s="2" t="s">
        <v>1095</v>
      </c>
      <c r="M379" s="2" t="s">
        <v>1096</v>
      </c>
      <c r="N379" s="2"/>
      <c r="O379" s="1" t="b">
        <v>0</v>
      </c>
      <c r="P379" s="1">
        <v>0</v>
      </c>
      <c r="Q379" s="1">
        <v>0</v>
      </c>
      <c r="R379" s="1" t="b">
        <f t="shared" si="12"/>
        <v>0</v>
      </c>
      <c r="S379" s="2" t="s">
        <v>187</v>
      </c>
      <c r="T379" s="1" t="str">
        <f>IF(S379="","",VLOOKUP(S379,'Ontology and concepts per UC'!$F$2:$J$46,5,FALSE))</f>
        <v>Otros</v>
      </c>
      <c r="U379" s="1" t="b">
        <f t="array" ref="U379">(INDEX('Ontology and concepts per UC'!$G$2:$I$46,MATCH($S379,'Ontology and concepts per UC'!$F$2:$F$46,0),MATCH(LEFT($A379,3),'Ontology and concepts per UC'!$G$1:$I$1,0))=0)</f>
        <v>1</v>
      </c>
      <c r="V379" s="1" t="b">
        <f t="shared" si="13"/>
        <v>0</v>
      </c>
      <c r="W379" s="1" t="b">
        <v>0</v>
      </c>
      <c r="X379" s="1" t="b">
        <v>0</v>
      </c>
      <c r="Y379" s="1" t="b">
        <v>0</v>
      </c>
      <c r="Z379" s="1" t="b">
        <v>0</v>
      </c>
      <c r="AA379" s="1"/>
    </row>
    <row r="380" spans="1:27" x14ac:dyDescent="0.25">
      <c r="A380" s="1" t="s">
        <v>883</v>
      </c>
      <c r="B380" s="2" t="s">
        <v>1097</v>
      </c>
      <c r="C380" s="2" t="s">
        <v>581</v>
      </c>
      <c r="D380" s="6">
        <f t="shared" si="7"/>
        <v>1</v>
      </c>
      <c r="E380" s="7" t="str">
        <f t="shared" si="8"/>
        <v>Stage</v>
      </c>
      <c r="F380" s="8" t="b">
        <f>IF(D380&lt;1,FALSE,ISERROR(MATCH(E380,'Ontology and concepts per UC'!$A$2:$A$62,0)))</f>
        <v>0</v>
      </c>
      <c r="G380" s="9" t="str">
        <f t="shared" si="9"/>
        <v/>
      </c>
      <c r="H380" s="9" t="str">
        <f t="shared" si="10"/>
        <v/>
      </c>
      <c r="I380" s="8" t="b">
        <f>IF(D380&lt;2,FALSE,ISERROR(MATCH(H380,'Ontology and concepts per UC'!$A$2:$A$62,0)))</f>
        <v>0</v>
      </c>
      <c r="J380" s="9" t="str">
        <f t="shared" si="11"/>
        <v/>
      </c>
      <c r="K380" s="8" t="b">
        <f>IF(D380&lt;3,FALSE,ISERROR(MATCH(J380,'Ontology and concepts per UC'!$A$2:$A$62,0)))</f>
        <v>0</v>
      </c>
      <c r="L380" s="2" t="s">
        <v>1098</v>
      </c>
      <c r="M380" s="2" t="s">
        <v>1099</v>
      </c>
      <c r="N380" s="2"/>
      <c r="O380" s="1" t="b">
        <v>0</v>
      </c>
      <c r="P380" s="1">
        <v>0</v>
      </c>
      <c r="Q380" s="1">
        <v>0</v>
      </c>
      <c r="R380" s="1" t="b">
        <f t="shared" si="12"/>
        <v>0</v>
      </c>
      <c r="S380" s="2" t="s">
        <v>187</v>
      </c>
      <c r="T380" s="1" t="str">
        <f>IF(S380="","",VLOOKUP(S380,'Ontology and concepts per UC'!$F$2:$J$46,5,FALSE))</f>
        <v>Otros</v>
      </c>
      <c r="U380" s="1" t="b">
        <f t="array" ref="U380">(INDEX('Ontology and concepts per UC'!$G$2:$I$46,MATCH($S380,'Ontology and concepts per UC'!$F$2:$F$46,0),MATCH(LEFT($A380,3),'Ontology and concepts per UC'!$G$1:$I$1,0))=0)</f>
        <v>1</v>
      </c>
      <c r="V380" s="1" t="b">
        <f t="shared" si="13"/>
        <v>0</v>
      </c>
      <c r="W380" s="1" t="b">
        <v>0</v>
      </c>
      <c r="X380" s="1" t="b">
        <v>0</v>
      </c>
      <c r="Y380" s="1" t="b">
        <v>0</v>
      </c>
      <c r="Z380" s="1" t="b">
        <v>0</v>
      </c>
      <c r="AA380" s="1"/>
    </row>
    <row r="381" spans="1:27" x14ac:dyDescent="0.25">
      <c r="A381" s="1" t="s">
        <v>883</v>
      </c>
      <c r="B381" s="2" t="s">
        <v>1100</v>
      </c>
      <c r="C381" s="2"/>
      <c r="D381" s="6">
        <f t="shared" si="7"/>
        <v>0</v>
      </c>
      <c r="E381" s="7">
        <f t="shared" si="8"/>
        <v>0</v>
      </c>
      <c r="F381" s="8" t="b">
        <f>IF(D381&lt;1,FALSE,ISERROR(MATCH(E381,'Ontology and concepts per UC'!$A$2:$A$62,0)))</f>
        <v>0</v>
      </c>
      <c r="G381" s="9" t="str">
        <f t="shared" si="9"/>
        <v/>
      </c>
      <c r="H381" s="9" t="str">
        <f t="shared" si="10"/>
        <v/>
      </c>
      <c r="I381" s="8" t="b">
        <f>IF(D381&lt;2,FALSE,ISERROR(MATCH(H381,'Ontology and concepts per UC'!$A$2:$A$62,0)))</f>
        <v>0</v>
      </c>
      <c r="J381" s="9" t="str">
        <f t="shared" si="11"/>
        <v/>
      </c>
      <c r="K381" s="8" t="b">
        <f>IF(D381&lt;3,FALSE,ISERROR(MATCH(J381,'Ontology and concepts per UC'!$A$2:$A$62,0)))</f>
        <v>0</v>
      </c>
      <c r="L381" s="2"/>
      <c r="M381" s="2"/>
      <c r="N381" s="2"/>
      <c r="O381" s="1" t="b">
        <v>1</v>
      </c>
      <c r="P381" s="1">
        <v>0</v>
      </c>
      <c r="Q381" s="1">
        <v>0</v>
      </c>
      <c r="R381" s="1" t="b">
        <f t="shared" si="12"/>
        <v>0</v>
      </c>
      <c r="S381" s="2" t="s">
        <v>187</v>
      </c>
      <c r="T381" s="1" t="str">
        <f>IF(S381="","",VLOOKUP(S381,'Ontology and concepts per UC'!$F$2:$J$46,5,FALSE))</f>
        <v>Otros</v>
      </c>
      <c r="U381" s="1" t="b">
        <f t="array" ref="U381">(INDEX('Ontology and concepts per UC'!$G$2:$I$46,MATCH($S381,'Ontology and concepts per UC'!$F$2:$F$46,0),MATCH(LEFT($A381,3),'Ontology and concepts per UC'!$G$1:$I$1,0))=0)</f>
        <v>1</v>
      </c>
      <c r="V381" s="1" t="b">
        <f t="shared" si="13"/>
        <v>1</v>
      </c>
      <c r="W381" s="1" t="b">
        <v>1</v>
      </c>
      <c r="X381" s="1" t="b">
        <v>0</v>
      </c>
      <c r="Y381" s="1" t="b">
        <v>1</v>
      </c>
      <c r="Z381" s="1" t="b">
        <v>0</v>
      </c>
      <c r="AA381" s="1" t="s">
        <v>1101</v>
      </c>
    </row>
    <row r="382" spans="1:27" x14ac:dyDescent="0.25">
      <c r="A382" s="1" t="s">
        <v>883</v>
      </c>
      <c r="B382" s="2" t="s">
        <v>1102</v>
      </c>
      <c r="C382" s="2"/>
      <c r="D382" s="6">
        <f t="shared" si="7"/>
        <v>0</v>
      </c>
      <c r="E382" s="7">
        <f t="shared" si="8"/>
        <v>0</v>
      </c>
      <c r="F382" s="8" t="b">
        <f>IF(D382&lt;1,FALSE,ISERROR(MATCH(E382,'Ontology and concepts per UC'!$A$2:$A$62,0)))</f>
        <v>0</v>
      </c>
      <c r="G382" s="9" t="str">
        <f t="shared" si="9"/>
        <v/>
      </c>
      <c r="H382" s="9" t="str">
        <f t="shared" si="10"/>
        <v/>
      </c>
      <c r="I382" s="8" t="b">
        <f>IF(D382&lt;2,FALSE,ISERROR(MATCH(H382,'Ontology and concepts per UC'!$A$2:$A$62,0)))</f>
        <v>0</v>
      </c>
      <c r="J382" s="9" t="str">
        <f t="shared" si="11"/>
        <v/>
      </c>
      <c r="K382" s="8" t="b">
        <f>IF(D382&lt;3,FALSE,ISERROR(MATCH(J382,'Ontology and concepts per UC'!$A$2:$A$62,0)))</f>
        <v>0</v>
      </c>
      <c r="L382" s="2"/>
      <c r="M382" s="2"/>
      <c r="N382" s="2"/>
      <c r="O382" s="1" t="b">
        <v>1</v>
      </c>
      <c r="P382" s="1">
        <v>0</v>
      </c>
      <c r="Q382" s="1">
        <v>0</v>
      </c>
      <c r="R382" s="1" t="b">
        <f t="shared" si="12"/>
        <v>0</v>
      </c>
      <c r="S382" s="2" t="s">
        <v>187</v>
      </c>
      <c r="T382" s="1" t="str">
        <f>IF(S382="","",VLOOKUP(S382,'Ontology and concepts per UC'!$F$2:$J$46,5,FALSE))</f>
        <v>Otros</v>
      </c>
      <c r="U382" s="1" t="b">
        <f t="array" ref="U382">(INDEX('Ontology and concepts per UC'!$G$2:$I$46,MATCH($S382,'Ontology and concepts per UC'!$F$2:$F$46,0),MATCH(LEFT($A382,3),'Ontology and concepts per UC'!$G$1:$I$1,0))=0)</f>
        <v>1</v>
      </c>
      <c r="V382" s="1" t="b">
        <f t="shared" si="13"/>
        <v>1</v>
      </c>
      <c r="W382" s="1" t="b">
        <v>1</v>
      </c>
      <c r="X382" s="1" t="b">
        <v>0</v>
      </c>
      <c r="Y382" s="1" t="b">
        <v>1</v>
      </c>
      <c r="Z382" s="1" t="b">
        <v>0</v>
      </c>
      <c r="AA382" s="1" t="s">
        <v>1101</v>
      </c>
    </row>
    <row r="383" spans="1:27" x14ac:dyDescent="0.25">
      <c r="A383" s="1" t="s">
        <v>883</v>
      </c>
      <c r="B383" s="2" t="s">
        <v>1103</v>
      </c>
      <c r="C383" s="2"/>
      <c r="D383" s="6">
        <f t="shared" si="7"/>
        <v>0</v>
      </c>
      <c r="E383" s="7">
        <f t="shared" si="8"/>
        <v>0</v>
      </c>
      <c r="F383" s="8" t="b">
        <f>IF(D383&lt;1,FALSE,ISERROR(MATCH(E383,'Ontology and concepts per UC'!$A$2:$A$62,0)))</f>
        <v>0</v>
      </c>
      <c r="G383" s="9" t="str">
        <f t="shared" si="9"/>
        <v/>
      </c>
      <c r="H383" s="9" t="str">
        <f t="shared" si="10"/>
        <v/>
      </c>
      <c r="I383" s="8" t="b">
        <f>IF(D383&lt;2,FALSE,ISERROR(MATCH(H383,'Ontology and concepts per UC'!$A$2:$A$62,0)))</f>
        <v>0</v>
      </c>
      <c r="J383" s="9" t="str">
        <f t="shared" si="11"/>
        <v/>
      </c>
      <c r="K383" s="8" t="b">
        <f>IF(D383&lt;3,FALSE,ISERROR(MATCH(J383,'Ontology and concepts per UC'!$A$2:$A$62,0)))</f>
        <v>0</v>
      </c>
      <c r="L383" s="2"/>
      <c r="M383" s="2"/>
      <c r="N383" s="2"/>
      <c r="O383" s="1" t="b">
        <v>1</v>
      </c>
      <c r="P383" s="1">
        <v>0</v>
      </c>
      <c r="Q383" s="1">
        <v>0</v>
      </c>
      <c r="R383" s="1" t="b">
        <f t="shared" si="12"/>
        <v>0</v>
      </c>
      <c r="S383" s="2" t="s">
        <v>187</v>
      </c>
      <c r="T383" s="1" t="str">
        <f>IF(S383="","",VLOOKUP(S383,'Ontology and concepts per UC'!$F$2:$J$46,5,FALSE))</f>
        <v>Otros</v>
      </c>
      <c r="U383" s="1" t="b">
        <f t="array" ref="U383">(INDEX('Ontology and concepts per UC'!$G$2:$I$46,MATCH($S383,'Ontology and concepts per UC'!$F$2:$F$46,0),MATCH(LEFT($A383,3),'Ontology and concepts per UC'!$G$1:$I$1,0))=0)</f>
        <v>1</v>
      </c>
      <c r="V383" s="1" t="b">
        <f t="shared" si="13"/>
        <v>1</v>
      </c>
      <c r="W383" s="1" t="b">
        <v>1</v>
      </c>
      <c r="X383" s="1" t="b">
        <v>0</v>
      </c>
      <c r="Y383" s="1" t="b">
        <v>1</v>
      </c>
      <c r="Z383" s="1" t="b">
        <v>0</v>
      </c>
      <c r="AA383" s="1" t="s">
        <v>1101</v>
      </c>
    </row>
    <row r="384" spans="1:27" x14ac:dyDescent="0.25">
      <c r="A384" s="1" t="s">
        <v>1104</v>
      </c>
      <c r="B384" s="2" t="s">
        <v>1105</v>
      </c>
      <c r="C384" s="2" t="s">
        <v>1106</v>
      </c>
      <c r="D384" s="6">
        <f t="shared" si="7"/>
        <v>2</v>
      </c>
      <c r="E384" s="7" t="str">
        <f t="shared" si="8"/>
        <v>DeterministicParameter</v>
      </c>
      <c r="F384" s="8" t="b">
        <f>IF(D384&lt;1,FALSE,ISERROR(MATCH(E384,'Ontology and concepts per UC'!$A$2:$A$62,0)))</f>
        <v>0</v>
      </c>
      <c r="G384" s="9" t="str">
        <f t="shared" si="9"/>
        <v>Utility</v>
      </c>
      <c r="H384" s="9" t="str">
        <f t="shared" si="10"/>
        <v>Utility</v>
      </c>
      <c r="I384" s="8" t="b">
        <f>IF(D384&lt;2,FALSE,ISERROR(MATCH(H384,'Ontology and concepts per UC'!$A$2:$A$62,0)))</f>
        <v>0</v>
      </c>
      <c r="J384" s="9" t="str">
        <f t="shared" si="11"/>
        <v/>
      </c>
      <c r="K384" s="8" t="b">
        <f>IF(D384&lt;3,FALSE,ISERROR(MATCH(J384,'Ontology and concepts per UC'!$A$2:$A$62,0)))</f>
        <v>0</v>
      </c>
      <c r="L384" s="2"/>
      <c r="M384" s="2" t="s">
        <v>1107</v>
      </c>
      <c r="N384" s="2"/>
      <c r="O384" s="1" t="b">
        <v>0</v>
      </c>
      <c r="P384" s="1">
        <v>0</v>
      </c>
      <c r="Q384" s="1">
        <v>0</v>
      </c>
      <c r="R384" s="1" t="b">
        <f t="shared" si="12"/>
        <v>1</v>
      </c>
      <c r="S384" s="2" t="s">
        <v>20</v>
      </c>
      <c r="T384" s="1" t="str">
        <f>IF(S384="","",VLOOKUP(S384,'Ontology and concepts per UC'!$F$2:$J$46,5,FALSE))</f>
        <v>Modelo Conceptual</v>
      </c>
      <c r="U384" s="1" t="b">
        <f t="array" ref="U384">(INDEX('Ontology and concepts per UC'!$G$2:$I$46,MATCH($S384,'Ontology and concepts per UC'!$F$2:$F$46,0),MATCH(LEFT($A384,3),'Ontology and concepts per UC'!$G$1:$I$1,0))=0)</f>
        <v>0</v>
      </c>
      <c r="V384" s="1" t="b">
        <f t="shared" si="13"/>
        <v>1</v>
      </c>
      <c r="W384" s="1" t="b">
        <v>0</v>
      </c>
      <c r="X384" s="1" t="b">
        <v>0</v>
      </c>
      <c r="Y384" s="1" t="b">
        <v>0</v>
      </c>
      <c r="Z384" s="1" t="b">
        <v>1</v>
      </c>
      <c r="AA384" s="1" t="s">
        <v>197</v>
      </c>
    </row>
    <row r="385" spans="1:27" x14ac:dyDescent="0.25">
      <c r="A385" s="1" t="s">
        <v>1104</v>
      </c>
      <c r="B385" s="2" t="s">
        <v>1108</v>
      </c>
      <c r="C385" s="2" t="s">
        <v>1109</v>
      </c>
      <c r="D385" s="6">
        <f t="shared" si="7"/>
        <v>1</v>
      </c>
      <c r="E385" s="7" t="str">
        <f t="shared" si="8"/>
        <v>DiseaseProgression</v>
      </c>
      <c r="F385" s="8" t="b">
        <f>IF(D385&lt;1,FALSE,ISERROR(MATCH(E385,'Ontology and concepts per UC'!$A$2:$A$62,0)))</f>
        <v>0</v>
      </c>
      <c r="G385" s="9" t="str">
        <f t="shared" si="9"/>
        <v/>
      </c>
      <c r="H385" s="9" t="str">
        <f t="shared" si="10"/>
        <v/>
      </c>
      <c r="I385" s="8" t="b">
        <f>IF(D385&lt;2,FALSE,ISERROR(MATCH(H385,'Ontology and concepts per UC'!$A$2:$A$62,0)))</f>
        <v>0</v>
      </c>
      <c r="J385" s="9" t="str">
        <f t="shared" si="11"/>
        <v/>
      </c>
      <c r="K385" s="8" t="b">
        <f>IF(D385&lt;3,FALSE,ISERROR(MATCH(J385,'Ontology and concepts per UC'!$A$2:$A$62,0)))</f>
        <v>0</v>
      </c>
      <c r="L385" s="2"/>
      <c r="M385" s="2" t="s">
        <v>1110</v>
      </c>
      <c r="N385" s="2"/>
      <c r="O385" s="1" t="b">
        <v>0</v>
      </c>
      <c r="P385" s="1">
        <v>0</v>
      </c>
      <c r="Q385" s="1">
        <v>0</v>
      </c>
      <c r="R385" s="1" t="b">
        <f t="shared" si="12"/>
        <v>1</v>
      </c>
      <c r="S385" s="2" t="s">
        <v>187</v>
      </c>
      <c r="T385" s="1" t="str">
        <f>IF(S385="","",VLOOKUP(S385,'Ontology and concepts per UC'!$F$2:$J$46,5,FALSE))</f>
        <v>Otros</v>
      </c>
      <c r="U385" s="1" t="b">
        <f t="array" ref="U385">(INDEX('Ontology and concepts per UC'!$G$2:$I$46,MATCH($S385,'Ontology and concepts per UC'!$F$2:$F$46,0),MATCH(LEFT($A385,3),'Ontology and concepts per UC'!$G$1:$I$1,0))=0)</f>
        <v>1</v>
      </c>
      <c r="V385" s="1" t="b">
        <f t="shared" si="13"/>
        <v>1</v>
      </c>
      <c r="W385" s="1" t="b">
        <v>0</v>
      </c>
      <c r="X385" s="1" t="b">
        <v>0</v>
      </c>
      <c r="Y385" s="1" t="b">
        <v>0</v>
      </c>
      <c r="Z385" s="1" t="b">
        <v>1</v>
      </c>
      <c r="AA385" s="1" t="s">
        <v>1111</v>
      </c>
    </row>
    <row r="386" spans="1:27" x14ac:dyDescent="0.25">
      <c r="A386" s="1" t="s">
        <v>1104</v>
      </c>
      <c r="B386" s="2" t="s">
        <v>1112</v>
      </c>
      <c r="C386" s="2" t="s">
        <v>1109</v>
      </c>
      <c r="D386" s="6">
        <f t="shared" si="7"/>
        <v>1</v>
      </c>
      <c r="E386" s="7" t="str">
        <f t="shared" si="8"/>
        <v>DiseaseProgression</v>
      </c>
      <c r="F386" s="8" t="b">
        <f>IF(D386&lt;1,FALSE,ISERROR(MATCH(E386,'Ontology and concepts per UC'!$A$2:$A$62,0)))</f>
        <v>0</v>
      </c>
      <c r="G386" s="9" t="str">
        <f t="shared" si="9"/>
        <v/>
      </c>
      <c r="H386" s="9" t="str">
        <f t="shared" si="10"/>
        <v/>
      </c>
      <c r="I386" s="8" t="b">
        <f>IF(D386&lt;2,FALSE,ISERROR(MATCH(H386,'Ontology and concepts per UC'!$A$2:$A$62,0)))</f>
        <v>0</v>
      </c>
      <c r="J386" s="9" t="str">
        <f t="shared" si="11"/>
        <v/>
      </c>
      <c r="K386" s="8" t="b">
        <f>IF(D386&lt;3,FALSE,ISERROR(MATCH(J386,'Ontology and concepts per UC'!$A$2:$A$62,0)))</f>
        <v>0</v>
      </c>
      <c r="L386" s="2"/>
      <c r="M386" s="2" t="s">
        <v>1113</v>
      </c>
      <c r="N386" s="2"/>
      <c r="O386" s="1" t="b">
        <v>0</v>
      </c>
      <c r="P386" s="1">
        <v>0</v>
      </c>
      <c r="Q386" s="1">
        <v>0</v>
      </c>
      <c r="R386" s="1" t="b">
        <f t="shared" si="12"/>
        <v>1</v>
      </c>
      <c r="S386" s="2" t="s">
        <v>187</v>
      </c>
      <c r="T386" s="1" t="str">
        <f>IF(S386="","",VLOOKUP(S386,'Ontology and concepts per UC'!$F$2:$J$46,5,FALSE))</f>
        <v>Otros</v>
      </c>
      <c r="U386" s="1" t="b">
        <f t="array" ref="U386">(INDEX('Ontology and concepts per UC'!$G$2:$I$46,MATCH($S386,'Ontology and concepts per UC'!$F$2:$F$46,0),MATCH(LEFT($A386,3),'Ontology and concepts per UC'!$G$1:$I$1,0))=0)</f>
        <v>1</v>
      </c>
      <c r="V386" s="1" t="b">
        <f t="shared" si="13"/>
        <v>1</v>
      </c>
      <c r="W386" s="1" t="b">
        <v>0</v>
      </c>
      <c r="X386" s="1" t="b">
        <v>0</v>
      </c>
      <c r="Y386" s="1" t="b">
        <v>0</v>
      </c>
      <c r="Z386" s="1" t="b">
        <v>1</v>
      </c>
      <c r="AA386" s="1" t="s">
        <v>1111</v>
      </c>
    </row>
    <row r="387" spans="1:27" x14ac:dyDescent="0.25">
      <c r="A387" s="1" t="s">
        <v>1104</v>
      </c>
      <c r="B387" s="2" t="s">
        <v>1114</v>
      </c>
      <c r="C387" s="2" t="s">
        <v>1115</v>
      </c>
      <c r="D387" s="6">
        <f t="shared" si="7"/>
        <v>2</v>
      </c>
      <c r="E387" s="7" t="str">
        <f t="shared" si="8"/>
        <v>Utility</v>
      </c>
      <c r="F387" s="8" t="b">
        <f>IF(D387&lt;1,FALSE,ISERROR(MATCH(E387,'Ontology and concepts per UC'!$A$2:$A$62,0)))</f>
        <v>0</v>
      </c>
      <c r="G387" s="9" t="str">
        <f t="shared" si="9"/>
        <v>DeterministicParameter</v>
      </c>
      <c r="H387" s="9" t="str">
        <f t="shared" si="10"/>
        <v>DeterministicParameter</v>
      </c>
      <c r="I387" s="8" t="b">
        <f>IF(D387&lt;2,FALSE,ISERROR(MATCH(H387,'Ontology and concepts per UC'!$A$2:$A$62,0)))</f>
        <v>0</v>
      </c>
      <c r="J387" s="9" t="str">
        <f t="shared" si="11"/>
        <v/>
      </c>
      <c r="K387" s="8" t="b">
        <f>IF(D387&lt;3,FALSE,ISERROR(MATCH(J387,'Ontology and concepts per UC'!$A$2:$A$62,0)))</f>
        <v>0</v>
      </c>
      <c r="L387" s="2"/>
      <c r="M387" s="2" t="s">
        <v>1116</v>
      </c>
      <c r="N387" s="2"/>
      <c r="O387" s="1" t="b">
        <v>0</v>
      </c>
      <c r="P387" s="1">
        <v>0</v>
      </c>
      <c r="Q387" s="1">
        <v>0</v>
      </c>
      <c r="R387" s="1" t="b">
        <f t="shared" si="12"/>
        <v>1</v>
      </c>
      <c r="S387" s="2" t="s">
        <v>67</v>
      </c>
      <c r="T387" s="1" t="str">
        <f>IF(S387="","",VLOOKUP(S387,'Ontology and concepts per UC'!$F$2:$J$46,5,FALSE))</f>
        <v>Utilidad</v>
      </c>
      <c r="U387" s="1" t="b">
        <f t="array" ref="U387">(INDEX('Ontology and concepts per UC'!$G$2:$I$46,MATCH($S387,'Ontology and concepts per UC'!$F$2:$F$46,0),MATCH(LEFT($A387,3),'Ontology and concepts per UC'!$G$1:$I$1,0))=0)</f>
        <v>0</v>
      </c>
      <c r="V387" s="1" t="b">
        <f t="shared" si="13"/>
        <v>1</v>
      </c>
      <c r="W387" s="1" t="b">
        <v>0</v>
      </c>
      <c r="X387" s="1" t="b">
        <v>0</v>
      </c>
      <c r="Y387" s="1" t="b">
        <v>0</v>
      </c>
      <c r="Z387" s="1" t="b">
        <v>1</v>
      </c>
      <c r="AA387" s="1" t="s">
        <v>197</v>
      </c>
    </row>
    <row r="388" spans="1:27" x14ac:dyDescent="0.25">
      <c r="A388" s="1" t="s">
        <v>1104</v>
      </c>
      <c r="B388" s="2" t="s">
        <v>1117</v>
      </c>
      <c r="C388" s="2" t="s">
        <v>1115</v>
      </c>
      <c r="D388" s="6">
        <f t="shared" si="7"/>
        <v>2</v>
      </c>
      <c r="E388" s="7" t="str">
        <f t="shared" si="8"/>
        <v>Utility</v>
      </c>
      <c r="F388" s="8" t="b">
        <f>IF(D388&lt;1,FALSE,ISERROR(MATCH(E388,'Ontology and concepts per UC'!$A$2:$A$62,0)))</f>
        <v>0</v>
      </c>
      <c r="G388" s="9" t="str">
        <f t="shared" si="9"/>
        <v>DeterministicParameter</v>
      </c>
      <c r="H388" s="9" t="str">
        <f t="shared" si="10"/>
        <v>DeterministicParameter</v>
      </c>
      <c r="I388" s="8" t="b">
        <f>IF(D388&lt;2,FALSE,ISERROR(MATCH(H388,'Ontology and concepts per UC'!$A$2:$A$62,0)))</f>
        <v>0</v>
      </c>
      <c r="J388" s="9" t="str">
        <f t="shared" si="11"/>
        <v/>
      </c>
      <c r="K388" s="8" t="b">
        <f>IF(D388&lt;3,FALSE,ISERROR(MATCH(J388,'Ontology and concepts per UC'!$A$2:$A$62,0)))</f>
        <v>0</v>
      </c>
      <c r="L388" s="2"/>
      <c r="M388" s="2" t="s">
        <v>1118</v>
      </c>
      <c r="N388" s="2"/>
      <c r="O388" s="1" t="b">
        <v>0</v>
      </c>
      <c r="P388" s="1">
        <v>0</v>
      </c>
      <c r="Q388" s="1">
        <v>0</v>
      </c>
      <c r="R388" s="1" t="b">
        <f t="shared" si="12"/>
        <v>1</v>
      </c>
      <c r="S388" s="2" t="s">
        <v>65</v>
      </c>
      <c r="T388" s="1" t="str">
        <f>IF(S388="","",VLOOKUP(S388,'Ontology and concepts per UC'!$F$2:$J$46,5,FALSE))</f>
        <v>Utilidad</v>
      </c>
      <c r="U388" s="1" t="b">
        <f t="array" ref="U388">(INDEX('Ontology and concepts per UC'!$G$2:$I$46,MATCH($S388,'Ontology and concepts per UC'!$F$2:$F$46,0),MATCH(LEFT($A388,3),'Ontology and concepts per UC'!$G$1:$I$1,0))=0)</f>
        <v>0</v>
      </c>
      <c r="V388" s="1" t="b">
        <f t="shared" si="13"/>
        <v>1</v>
      </c>
      <c r="W388" s="1" t="b">
        <v>0</v>
      </c>
      <c r="X388" s="1" t="b">
        <v>0</v>
      </c>
      <c r="Y388" s="1" t="b">
        <v>0</v>
      </c>
      <c r="Z388" s="1" t="b">
        <v>1</v>
      </c>
      <c r="AA388" s="1" t="s">
        <v>197</v>
      </c>
    </row>
    <row r="389" spans="1:27" x14ac:dyDescent="0.25">
      <c r="A389" s="1" t="s">
        <v>1104</v>
      </c>
      <c r="B389" s="2" t="s">
        <v>1119</v>
      </c>
      <c r="C389" s="2" t="s">
        <v>1115</v>
      </c>
      <c r="D389" s="6">
        <f t="shared" si="7"/>
        <v>2</v>
      </c>
      <c r="E389" s="7" t="str">
        <f t="shared" si="8"/>
        <v>Utility</v>
      </c>
      <c r="F389" s="8" t="b">
        <f>IF(D389&lt;1,FALSE,ISERROR(MATCH(E389,'Ontology and concepts per UC'!$A$2:$A$62,0)))</f>
        <v>0</v>
      </c>
      <c r="G389" s="9" t="str">
        <f t="shared" si="9"/>
        <v>DeterministicParameter</v>
      </c>
      <c r="H389" s="9" t="str">
        <f t="shared" si="10"/>
        <v>DeterministicParameter</v>
      </c>
      <c r="I389" s="8" t="b">
        <f>IF(D389&lt;2,FALSE,ISERROR(MATCH(H389,'Ontology and concepts per UC'!$A$2:$A$62,0)))</f>
        <v>0</v>
      </c>
      <c r="J389" s="9" t="str">
        <f t="shared" si="11"/>
        <v/>
      </c>
      <c r="K389" s="8" t="b">
        <f>IF(D389&lt;3,FALSE,ISERROR(MATCH(J389,'Ontology and concepts per UC'!$A$2:$A$62,0)))</f>
        <v>0</v>
      </c>
      <c r="L389" s="2"/>
      <c r="M389" s="2" t="s">
        <v>1120</v>
      </c>
      <c r="N389" s="2"/>
      <c r="O389" s="1" t="b">
        <v>0</v>
      </c>
      <c r="P389" s="1">
        <v>0</v>
      </c>
      <c r="Q389" s="1">
        <v>0</v>
      </c>
      <c r="R389" s="1" t="b">
        <f t="shared" si="12"/>
        <v>1</v>
      </c>
      <c r="S389" s="2" t="s">
        <v>69</v>
      </c>
      <c r="T389" s="1" t="str">
        <f>IF(S389="","",VLOOKUP(S389,'Ontology and concepts per UC'!$F$2:$J$46,5,FALSE))</f>
        <v>Utilidad</v>
      </c>
      <c r="U389" s="1" t="b">
        <f t="array" ref="U389">(INDEX('Ontology and concepts per UC'!$G$2:$I$46,MATCH($S389,'Ontology and concepts per UC'!$F$2:$F$46,0),MATCH(LEFT($A389,3),'Ontology and concepts per UC'!$G$1:$I$1,0))=0)</f>
        <v>0</v>
      </c>
      <c r="V389" s="1" t="b">
        <f t="shared" si="13"/>
        <v>0</v>
      </c>
      <c r="W389" s="1" t="b">
        <v>0</v>
      </c>
      <c r="X389" s="1" t="b">
        <v>0</v>
      </c>
      <c r="Y389" s="1" t="b">
        <v>0</v>
      </c>
      <c r="Z389" s="1" t="b">
        <v>0</v>
      </c>
      <c r="AA389" s="1"/>
    </row>
    <row r="390" spans="1:27" x14ac:dyDescent="0.25">
      <c r="A390" s="1" t="s">
        <v>1104</v>
      </c>
      <c r="B390" s="2" t="s">
        <v>1121</v>
      </c>
      <c r="C390" s="2"/>
      <c r="D390" s="6">
        <f t="shared" si="7"/>
        <v>0</v>
      </c>
      <c r="E390" s="7">
        <f t="shared" si="8"/>
        <v>0</v>
      </c>
      <c r="F390" s="8" t="b">
        <f>IF(D390&lt;1,FALSE,ISERROR(MATCH(E390,'Ontology and concepts per UC'!$A$2:$A$62,0)))</f>
        <v>0</v>
      </c>
      <c r="G390" s="9" t="str">
        <f t="shared" si="9"/>
        <v/>
      </c>
      <c r="H390" s="9" t="str">
        <f t="shared" si="10"/>
        <v/>
      </c>
      <c r="I390" s="8" t="b">
        <f>IF(D390&lt;2,FALSE,ISERROR(MATCH(H390,'Ontology and concepts per UC'!$A$2:$A$62,0)))</f>
        <v>0</v>
      </c>
      <c r="J390" s="9" t="str">
        <f t="shared" si="11"/>
        <v/>
      </c>
      <c r="K390" s="8" t="b">
        <f>IF(D390&lt;3,FALSE,ISERROR(MATCH(J390,'Ontology and concepts per UC'!$A$2:$A$62,0)))</f>
        <v>0</v>
      </c>
      <c r="L390" s="2" t="s">
        <v>1122</v>
      </c>
      <c r="M390" s="2" t="s">
        <v>1123</v>
      </c>
      <c r="N390" s="2" t="s">
        <v>1124</v>
      </c>
      <c r="O390" s="1" t="b">
        <v>1</v>
      </c>
      <c r="P390" s="1">
        <v>0</v>
      </c>
      <c r="Q390" s="1">
        <v>1</v>
      </c>
      <c r="R390" s="1" t="b">
        <f t="shared" si="12"/>
        <v>0</v>
      </c>
      <c r="S390" s="2" t="s">
        <v>35</v>
      </c>
      <c r="T390" s="1" t="str">
        <f>IF(S390="","",VLOOKUP(S390,'Ontology and concepts per UC'!$F$2:$J$46,5,FALSE))</f>
        <v>Modelo Conceptual</v>
      </c>
      <c r="U390" s="1" t="b">
        <f t="array" ref="U390">(INDEX('Ontology and concepts per UC'!$G$2:$I$46,MATCH($S390,'Ontology and concepts per UC'!$F$2:$F$46,0),MATCH(LEFT($A390,3),'Ontology and concepts per UC'!$G$1:$I$1,0))=0)</f>
        <v>0</v>
      </c>
      <c r="V390" s="1" t="b">
        <f t="shared" si="13"/>
        <v>1</v>
      </c>
      <c r="W390" s="1" t="b">
        <v>1</v>
      </c>
      <c r="X390" s="1" t="b">
        <v>0</v>
      </c>
      <c r="Y390" s="1" t="b">
        <v>0</v>
      </c>
      <c r="Z390" s="1" t="b">
        <v>0</v>
      </c>
      <c r="AA390" s="1" t="s">
        <v>188</v>
      </c>
    </row>
    <row r="391" spans="1:27" x14ac:dyDescent="0.25">
      <c r="A391" s="1" t="s">
        <v>1104</v>
      </c>
      <c r="B391" s="2" t="s">
        <v>1125</v>
      </c>
      <c r="C391" s="2"/>
      <c r="D391" s="6">
        <f t="shared" si="7"/>
        <v>0</v>
      </c>
      <c r="E391" s="7">
        <f t="shared" si="8"/>
        <v>0</v>
      </c>
      <c r="F391" s="8" t="b">
        <f>IF(D391&lt;1,FALSE,ISERROR(MATCH(E391,'Ontology and concepts per UC'!$A$2:$A$62,0)))</f>
        <v>0</v>
      </c>
      <c r="G391" s="9" t="str">
        <f t="shared" si="9"/>
        <v/>
      </c>
      <c r="H391" s="9" t="str">
        <f t="shared" si="10"/>
        <v/>
      </c>
      <c r="I391" s="8" t="b">
        <f>IF(D391&lt;2,FALSE,ISERROR(MATCH(H391,'Ontology and concepts per UC'!$A$2:$A$62,0)))</f>
        <v>0</v>
      </c>
      <c r="J391" s="9" t="str">
        <f t="shared" si="11"/>
        <v/>
      </c>
      <c r="K391" s="8" t="b">
        <f>IF(D391&lt;3,FALSE,ISERROR(MATCH(J391,'Ontology and concepts per UC'!$A$2:$A$62,0)))</f>
        <v>0</v>
      </c>
      <c r="L391" s="2"/>
      <c r="M391" s="2" t="s">
        <v>1126</v>
      </c>
      <c r="N391" s="2"/>
      <c r="O391" s="1" t="b">
        <v>1</v>
      </c>
      <c r="P391" s="1">
        <v>0</v>
      </c>
      <c r="Q391" s="1">
        <v>0</v>
      </c>
      <c r="R391" s="1" t="b">
        <f t="shared" si="12"/>
        <v>0</v>
      </c>
      <c r="S391" s="2" t="s">
        <v>325</v>
      </c>
      <c r="T391" s="1" t="str">
        <f>IF(S391="","",VLOOKUP(S391,'Ontology and concepts per UC'!$F$2:$J$46,5,FALSE))</f>
        <v>Modelo Conceptual</v>
      </c>
      <c r="U391" s="1" t="b">
        <f t="array" ref="U391">(INDEX('Ontology and concepts per UC'!$G$2:$I$46,MATCH($S391,'Ontology and concepts per UC'!$F$2:$F$46,0),MATCH(LEFT($A391,3),'Ontology and concepts per UC'!$G$1:$I$1,0))=0)</f>
        <v>0</v>
      </c>
      <c r="V391" s="1" t="b">
        <f t="shared" si="13"/>
        <v>1</v>
      </c>
      <c r="W391" s="1" t="b">
        <v>1</v>
      </c>
      <c r="X391" s="1" t="b">
        <v>0</v>
      </c>
      <c r="Y391" s="1" t="b">
        <v>0</v>
      </c>
      <c r="Z391" s="1" t="b">
        <v>0</v>
      </c>
      <c r="AA391" s="1" t="s">
        <v>188</v>
      </c>
    </row>
    <row r="392" spans="1:27" x14ac:dyDescent="0.25">
      <c r="A392" s="1" t="s">
        <v>1104</v>
      </c>
      <c r="B392" s="2" t="s">
        <v>1127</v>
      </c>
      <c r="C392" s="2"/>
      <c r="D392" s="6">
        <f t="shared" si="7"/>
        <v>0</v>
      </c>
      <c r="E392" s="7">
        <f t="shared" si="8"/>
        <v>0</v>
      </c>
      <c r="F392" s="8" t="b">
        <f>IF(D392&lt;1,FALSE,ISERROR(MATCH(E392,'Ontology and concepts per UC'!$A$2:$A$62,0)))</f>
        <v>0</v>
      </c>
      <c r="G392" s="9" t="str">
        <f t="shared" si="9"/>
        <v/>
      </c>
      <c r="H392" s="9" t="str">
        <f t="shared" si="10"/>
        <v/>
      </c>
      <c r="I392" s="8" t="b">
        <f>IF(D392&lt;2,FALSE,ISERROR(MATCH(H392,'Ontology and concepts per UC'!$A$2:$A$62,0)))</f>
        <v>0</v>
      </c>
      <c r="J392" s="9" t="str">
        <f t="shared" si="11"/>
        <v/>
      </c>
      <c r="K392" s="8" t="b">
        <f>IF(D392&lt;3,FALSE,ISERROR(MATCH(J392,'Ontology and concepts per UC'!$A$2:$A$62,0)))</f>
        <v>0</v>
      </c>
      <c r="L392" s="2"/>
      <c r="M392" s="2" t="s">
        <v>1128</v>
      </c>
      <c r="N392" s="2"/>
      <c r="O392" s="1" t="b">
        <v>1</v>
      </c>
      <c r="P392" s="1">
        <v>0</v>
      </c>
      <c r="Q392" s="1">
        <v>0</v>
      </c>
      <c r="R392" s="1" t="b">
        <f t="shared" si="12"/>
        <v>0</v>
      </c>
      <c r="S392" s="2" t="s">
        <v>325</v>
      </c>
      <c r="T392" s="1" t="str">
        <f>IF(S392="","",VLOOKUP(S392,'Ontology and concepts per UC'!$F$2:$J$46,5,FALSE))</f>
        <v>Modelo Conceptual</v>
      </c>
      <c r="U392" s="1" t="b">
        <f t="array" ref="U392">(INDEX('Ontology and concepts per UC'!$G$2:$I$46,MATCH($S392,'Ontology and concepts per UC'!$F$2:$F$46,0),MATCH(LEFT($A392,3),'Ontology and concepts per UC'!$G$1:$I$1,0))=0)</f>
        <v>0</v>
      </c>
      <c r="V392" s="1" t="b">
        <f t="shared" si="13"/>
        <v>1</v>
      </c>
      <c r="W392" s="1" t="b">
        <v>1</v>
      </c>
      <c r="X392" s="1" t="b">
        <v>0</v>
      </c>
      <c r="Y392" s="1" t="b">
        <v>0</v>
      </c>
      <c r="Z392" s="1" t="b">
        <v>0</v>
      </c>
      <c r="AA392" s="1" t="s">
        <v>188</v>
      </c>
    </row>
    <row r="393" spans="1:27" x14ac:dyDescent="0.25">
      <c r="A393" s="1" t="s">
        <v>1104</v>
      </c>
      <c r="B393" s="2" t="s">
        <v>1129</v>
      </c>
      <c r="C393" s="2"/>
      <c r="D393" s="6">
        <f t="shared" si="7"/>
        <v>0</v>
      </c>
      <c r="E393" s="7">
        <f t="shared" si="8"/>
        <v>0</v>
      </c>
      <c r="F393" s="8" t="b">
        <f>IF(D393&lt;1,FALSE,ISERROR(MATCH(E393,'Ontology and concepts per UC'!$A$2:$A$62,0)))</f>
        <v>0</v>
      </c>
      <c r="G393" s="9" t="str">
        <f t="shared" si="9"/>
        <v/>
      </c>
      <c r="H393" s="9" t="str">
        <f t="shared" si="10"/>
        <v/>
      </c>
      <c r="I393" s="8" t="b">
        <f>IF(D393&lt;2,FALSE,ISERROR(MATCH(H393,'Ontology and concepts per UC'!$A$2:$A$62,0)))</f>
        <v>0</v>
      </c>
      <c r="J393" s="9" t="str">
        <f t="shared" si="11"/>
        <v/>
      </c>
      <c r="K393" s="8" t="b">
        <f>IF(D393&lt;3,FALSE,ISERROR(MATCH(J393,'Ontology and concepts per UC'!$A$2:$A$62,0)))</f>
        <v>0</v>
      </c>
      <c r="L393" s="2"/>
      <c r="M393" s="2" t="s">
        <v>1130</v>
      </c>
      <c r="N393" s="2"/>
      <c r="O393" s="1" t="b">
        <v>1</v>
      </c>
      <c r="P393" s="1">
        <v>0</v>
      </c>
      <c r="Q393" s="1">
        <v>0</v>
      </c>
      <c r="R393" s="1" t="b">
        <f t="shared" si="12"/>
        <v>0</v>
      </c>
      <c r="S393" s="2" t="s">
        <v>325</v>
      </c>
      <c r="T393" s="1" t="str">
        <f>IF(S393="","",VLOOKUP(S393,'Ontology and concepts per UC'!$F$2:$J$46,5,FALSE))</f>
        <v>Modelo Conceptual</v>
      </c>
      <c r="U393" s="1" t="b">
        <f t="array" ref="U393">(INDEX('Ontology and concepts per UC'!$G$2:$I$46,MATCH($S393,'Ontology and concepts per UC'!$F$2:$F$46,0),MATCH(LEFT($A393,3),'Ontology and concepts per UC'!$G$1:$I$1,0))=0)</f>
        <v>0</v>
      </c>
      <c r="V393" s="1" t="b">
        <f t="shared" si="13"/>
        <v>1</v>
      </c>
      <c r="W393" s="1" t="b">
        <v>1</v>
      </c>
      <c r="X393" s="1" t="b">
        <v>0</v>
      </c>
      <c r="Y393" s="1" t="b">
        <v>0</v>
      </c>
      <c r="Z393" s="1" t="b">
        <v>0</v>
      </c>
      <c r="AA393" s="1" t="s">
        <v>188</v>
      </c>
    </row>
    <row r="394" spans="1:27" x14ac:dyDescent="0.25">
      <c r="A394" s="1" t="s">
        <v>1104</v>
      </c>
      <c r="B394" s="2" t="s">
        <v>1131</v>
      </c>
      <c r="C394" s="2"/>
      <c r="D394" s="6">
        <f t="shared" si="7"/>
        <v>0</v>
      </c>
      <c r="E394" s="7">
        <f t="shared" si="8"/>
        <v>0</v>
      </c>
      <c r="F394" s="8" t="b">
        <f>IF(D394&lt;1,FALSE,ISERROR(MATCH(E394,'Ontology and concepts per UC'!$A$2:$A$62,0)))</f>
        <v>0</v>
      </c>
      <c r="G394" s="9" t="str">
        <f t="shared" si="9"/>
        <v/>
      </c>
      <c r="H394" s="9" t="str">
        <f t="shared" si="10"/>
        <v/>
      </c>
      <c r="I394" s="8" t="b">
        <f>IF(D394&lt;2,FALSE,ISERROR(MATCH(H394,'Ontology and concepts per UC'!$A$2:$A$62,0)))</f>
        <v>0</v>
      </c>
      <c r="J394" s="9" t="str">
        <f t="shared" si="11"/>
        <v/>
      </c>
      <c r="K394" s="8" t="b">
        <f>IF(D394&lt;3,FALSE,ISERROR(MATCH(J394,'Ontology and concepts per UC'!$A$2:$A$62,0)))</f>
        <v>0</v>
      </c>
      <c r="L394" s="2"/>
      <c r="M394" s="2" t="s">
        <v>132</v>
      </c>
      <c r="N394" s="2"/>
      <c r="O394" s="1" t="b">
        <v>1</v>
      </c>
      <c r="P394" s="1">
        <v>0</v>
      </c>
      <c r="Q394" s="1">
        <v>0</v>
      </c>
      <c r="R394" s="1" t="b">
        <f t="shared" si="12"/>
        <v>0</v>
      </c>
      <c r="S394" s="2" t="s">
        <v>32</v>
      </c>
      <c r="T394" s="1" t="str">
        <f>IF(S394="","",VLOOKUP(S394,'Ontology and concepts per UC'!$F$2:$J$46,5,FALSE))</f>
        <v>Modelo Conceptual</v>
      </c>
      <c r="U394" s="1" t="b">
        <f t="array" ref="U394">(INDEX('Ontology and concepts per UC'!$G$2:$I$46,MATCH($S394,'Ontology and concepts per UC'!$F$2:$F$46,0),MATCH(LEFT($A394,3),'Ontology and concepts per UC'!$G$1:$I$1,0))=0)</f>
        <v>0</v>
      </c>
      <c r="V394" s="1" t="b">
        <f t="shared" si="13"/>
        <v>1</v>
      </c>
      <c r="W394" s="1" t="b">
        <v>1</v>
      </c>
      <c r="X394" s="1" t="b">
        <v>0</v>
      </c>
      <c r="Y394" s="1" t="b">
        <v>0</v>
      </c>
      <c r="Z394" s="1" t="b">
        <v>0</v>
      </c>
      <c r="AA394" s="1" t="s">
        <v>188</v>
      </c>
    </row>
    <row r="395" spans="1:27" x14ac:dyDescent="0.25">
      <c r="A395" s="1" t="s">
        <v>1104</v>
      </c>
      <c r="B395" s="2" t="s">
        <v>1132</v>
      </c>
      <c r="C395" s="2"/>
      <c r="D395" s="6">
        <f t="shared" si="7"/>
        <v>0</v>
      </c>
      <c r="E395" s="7">
        <f t="shared" si="8"/>
        <v>0</v>
      </c>
      <c r="F395" s="8" t="b">
        <f>IF(D395&lt;1,FALSE,ISERROR(MATCH(E395,'Ontology and concepts per UC'!$A$2:$A$62,0)))</f>
        <v>0</v>
      </c>
      <c r="G395" s="9" t="str">
        <f t="shared" si="9"/>
        <v/>
      </c>
      <c r="H395" s="9" t="str">
        <f t="shared" si="10"/>
        <v/>
      </c>
      <c r="I395" s="8" t="b">
        <f>IF(D395&lt;2,FALSE,ISERROR(MATCH(H395,'Ontology and concepts per UC'!$A$2:$A$62,0)))</f>
        <v>0</v>
      </c>
      <c r="J395" s="9" t="str">
        <f t="shared" si="11"/>
        <v/>
      </c>
      <c r="K395" s="8" t="b">
        <f>IF(D395&lt;3,FALSE,ISERROR(MATCH(J395,'Ontology and concepts per UC'!$A$2:$A$62,0)))</f>
        <v>0</v>
      </c>
      <c r="L395" s="2"/>
      <c r="M395" s="2" t="s">
        <v>1133</v>
      </c>
      <c r="N395" s="2"/>
      <c r="O395" s="1" t="b">
        <v>1</v>
      </c>
      <c r="P395" s="1">
        <v>0</v>
      </c>
      <c r="Q395" s="1">
        <v>0</v>
      </c>
      <c r="R395" s="1" t="b">
        <f t="shared" si="12"/>
        <v>0</v>
      </c>
      <c r="S395" s="2" t="s">
        <v>30</v>
      </c>
      <c r="T395" s="1" t="str">
        <f>IF(S395="","",VLOOKUP(S395,'Ontology and concepts per UC'!$F$2:$J$46,5,FALSE))</f>
        <v>Modelo Conceptual</v>
      </c>
      <c r="U395" s="1" t="b">
        <f t="array" ref="U395">(INDEX('Ontology and concepts per UC'!$G$2:$I$46,MATCH($S395,'Ontology and concepts per UC'!$F$2:$F$46,0),MATCH(LEFT($A395,3),'Ontology and concepts per UC'!$G$1:$I$1,0))=0)</f>
        <v>0</v>
      </c>
      <c r="V395" s="1" t="b">
        <f t="shared" si="13"/>
        <v>1</v>
      </c>
      <c r="W395" s="1" t="b">
        <v>1</v>
      </c>
      <c r="X395" s="1" t="b">
        <v>0</v>
      </c>
      <c r="Y395" s="1" t="b">
        <v>0</v>
      </c>
      <c r="Z395" s="1" t="b">
        <v>0</v>
      </c>
      <c r="AA395" s="1" t="s">
        <v>188</v>
      </c>
    </row>
    <row r="396" spans="1:27" x14ac:dyDescent="0.25">
      <c r="A396" s="1" t="s">
        <v>1104</v>
      </c>
      <c r="B396" s="2" t="s">
        <v>1134</v>
      </c>
      <c r="C396" s="2"/>
      <c r="D396" s="6">
        <f t="shared" si="7"/>
        <v>0</v>
      </c>
      <c r="E396" s="7">
        <f t="shared" si="8"/>
        <v>0</v>
      </c>
      <c r="F396" s="8" t="b">
        <f>IF(D396&lt;1,FALSE,ISERROR(MATCH(E396,'Ontology and concepts per UC'!$A$2:$A$62,0)))</f>
        <v>0</v>
      </c>
      <c r="G396" s="9" t="str">
        <f t="shared" si="9"/>
        <v/>
      </c>
      <c r="H396" s="9" t="str">
        <f t="shared" si="10"/>
        <v/>
      </c>
      <c r="I396" s="8" t="b">
        <f>IF(D396&lt;2,FALSE,ISERROR(MATCH(H396,'Ontology and concepts per UC'!$A$2:$A$62,0)))</f>
        <v>0</v>
      </c>
      <c r="J396" s="9" t="str">
        <f t="shared" si="11"/>
        <v/>
      </c>
      <c r="K396" s="8" t="b">
        <f>IF(D396&lt;3,FALSE,ISERROR(MATCH(J396,'Ontology and concepts per UC'!$A$2:$A$62,0)))</f>
        <v>0</v>
      </c>
      <c r="L396" s="2"/>
      <c r="M396" s="2" t="s">
        <v>1135</v>
      </c>
      <c r="N396" s="2"/>
      <c r="O396" s="1" t="b">
        <v>1</v>
      </c>
      <c r="P396" s="1">
        <v>0</v>
      </c>
      <c r="Q396" s="1">
        <v>0</v>
      </c>
      <c r="R396" s="1" t="b">
        <f t="shared" si="12"/>
        <v>0</v>
      </c>
      <c r="S396" s="2" t="s">
        <v>31</v>
      </c>
      <c r="T396" s="1" t="str">
        <f>IF(S396="","",VLOOKUP(S396,'Ontology and concepts per UC'!$F$2:$J$46,5,FALSE))</f>
        <v>Modelo Conceptual</v>
      </c>
      <c r="U396" s="1" t="b">
        <f t="array" ref="U396">(INDEX('Ontology and concepts per UC'!$G$2:$I$46,MATCH($S396,'Ontology and concepts per UC'!$F$2:$F$46,0),MATCH(LEFT($A396,3),'Ontology and concepts per UC'!$G$1:$I$1,0))=0)</f>
        <v>0</v>
      </c>
      <c r="V396" s="1" t="b">
        <f t="shared" si="13"/>
        <v>1</v>
      </c>
      <c r="W396" s="1" t="b">
        <v>1</v>
      </c>
      <c r="X396" s="1" t="b">
        <v>0</v>
      </c>
      <c r="Y396" s="1" t="b">
        <v>0</v>
      </c>
      <c r="Z396" s="1" t="b">
        <v>0</v>
      </c>
      <c r="AA396" s="1" t="s">
        <v>188</v>
      </c>
    </row>
    <row r="397" spans="1:27" x14ac:dyDescent="0.25">
      <c r="A397" s="1" t="s">
        <v>1104</v>
      </c>
      <c r="B397" s="2" t="s">
        <v>1136</v>
      </c>
      <c r="C397" s="2"/>
      <c r="D397" s="6">
        <f t="shared" si="7"/>
        <v>0</v>
      </c>
      <c r="E397" s="7">
        <f t="shared" si="8"/>
        <v>0</v>
      </c>
      <c r="F397" s="8" t="b">
        <f>IF(D397&lt;1,FALSE,ISERROR(MATCH(E397,'Ontology and concepts per UC'!$A$2:$A$62,0)))</f>
        <v>0</v>
      </c>
      <c r="G397" s="9" t="str">
        <f t="shared" si="9"/>
        <v/>
      </c>
      <c r="H397" s="9" t="str">
        <f t="shared" si="10"/>
        <v/>
      </c>
      <c r="I397" s="8" t="b">
        <f>IF(D397&lt;2,FALSE,ISERROR(MATCH(H397,'Ontology and concepts per UC'!$A$2:$A$62,0)))</f>
        <v>0</v>
      </c>
      <c r="J397" s="9" t="str">
        <f t="shared" si="11"/>
        <v/>
      </c>
      <c r="K397" s="8" t="b">
        <f>IF(D397&lt;3,FALSE,ISERROR(MATCH(J397,'Ontology and concepts per UC'!$A$2:$A$62,0)))</f>
        <v>0</v>
      </c>
      <c r="L397" s="2"/>
      <c r="M397" s="2" t="s">
        <v>1137</v>
      </c>
      <c r="N397" s="2"/>
      <c r="O397" s="1" t="b">
        <v>1</v>
      </c>
      <c r="P397" s="1">
        <v>0</v>
      </c>
      <c r="Q397" s="1">
        <v>0</v>
      </c>
      <c r="R397" s="1" t="b">
        <f t="shared" si="12"/>
        <v>0</v>
      </c>
      <c r="S397" s="2" t="s">
        <v>28</v>
      </c>
      <c r="T397" s="1" t="str">
        <f>IF(S397="","",VLOOKUP(S397,'Ontology and concepts per UC'!$F$2:$J$46,5,FALSE))</f>
        <v>Modelo Conceptual</v>
      </c>
      <c r="U397" s="1" t="b">
        <f t="array" ref="U397">(INDEX('Ontology and concepts per UC'!$G$2:$I$46,MATCH($S397,'Ontology and concepts per UC'!$F$2:$F$46,0),MATCH(LEFT($A397,3),'Ontology and concepts per UC'!$G$1:$I$1,0))=0)</f>
        <v>0</v>
      </c>
      <c r="V397" s="1" t="b">
        <f t="shared" si="13"/>
        <v>1</v>
      </c>
      <c r="W397" s="1" t="b">
        <v>1</v>
      </c>
      <c r="X397" s="1" t="b">
        <v>0</v>
      </c>
      <c r="Y397" s="1" t="b">
        <v>0</v>
      </c>
      <c r="Z397" s="1" t="b">
        <v>0</v>
      </c>
      <c r="AA397" s="1" t="s">
        <v>188</v>
      </c>
    </row>
    <row r="398" spans="1:27" x14ac:dyDescent="0.25">
      <c r="A398" s="1" t="s">
        <v>1104</v>
      </c>
      <c r="B398" s="2" t="s">
        <v>1138</v>
      </c>
      <c r="C398" s="2"/>
      <c r="D398" s="6">
        <f t="shared" si="7"/>
        <v>0</v>
      </c>
      <c r="E398" s="7">
        <f t="shared" si="8"/>
        <v>0</v>
      </c>
      <c r="F398" s="8" t="b">
        <f>IF(D398&lt;1,FALSE,ISERROR(MATCH(E398,'Ontology and concepts per UC'!$A$2:$A$62,0)))</f>
        <v>0</v>
      </c>
      <c r="G398" s="9" t="str">
        <f t="shared" si="9"/>
        <v/>
      </c>
      <c r="H398" s="9" t="str">
        <f t="shared" si="10"/>
        <v/>
      </c>
      <c r="I398" s="8" t="b">
        <f>IF(D398&lt;2,FALSE,ISERROR(MATCH(H398,'Ontology and concepts per UC'!$A$2:$A$62,0)))</f>
        <v>0</v>
      </c>
      <c r="J398" s="9" t="str">
        <f t="shared" si="11"/>
        <v/>
      </c>
      <c r="K398" s="8" t="b">
        <f>IF(D398&lt;3,FALSE,ISERROR(MATCH(J398,'Ontology and concepts per UC'!$A$2:$A$62,0)))</f>
        <v>0</v>
      </c>
      <c r="L398" s="2"/>
      <c r="M398" s="2" t="s">
        <v>128</v>
      </c>
      <c r="N398" s="2"/>
      <c r="O398" s="1" t="b">
        <v>1</v>
      </c>
      <c r="P398" s="1">
        <v>0</v>
      </c>
      <c r="Q398" s="1">
        <v>0</v>
      </c>
      <c r="R398" s="1" t="b">
        <f t="shared" si="12"/>
        <v>0</v>
      </c>
      <c r="S398" s="2" t="s">
        <v>26</v>
      </c>
      <c r="T398" s="1" t="str">
        <f>IF(S398="","",VLOOKUP(S398,'Ontology and concepts per UC'!$F$2:$J$46,5,FALSE))</f>
        <v>Modelo Conceptual</v>
      </c>
      <c r="U398" s="1" t="b">
        <f t="array" ref="U398">(INDEX('Ontology and concepts per UC'!$G$2:$I$46,MATCH($S398,'Ontology and concepts per UC'!$F$2:$F$46,0),MATCH(LEFT($A398,3),'Ontology and concepts per UC'!$G$1:$I$1,0))=0)</f>
        <v>0</v>
      </c>
      <c r="V398" s="1" t="b">
        <f t="shared" si="13"/>
        <v>1</v>
      </c>
      <c r="W398" s="1" t="b">
        <v>1</v>
      </c>
      <c r="X398" s="1" t="b">
        <v>0</v>
      </c>
      <c r="Y398" s="1" t="b">
        <v>0</v>
      </c>
      <c r="Z398" s="1" t="b">
        <v>0</v>
      </c>
      <c r="AA398" s="1" t="s">
        <v>188</v>
      </c>
    </row>
    <row r="399" spans="1:27" x14ac:dyDescent="0.25">
      <c r="A399" s="1" t="s">
        <v>1104</v>
      </c>
      <c r="B399" s="2" t="s">
        <v>1139</v>
      </c>
      <c r="C399" s="2"/>
      <c r="D399" s="6">
        <f t="shared" si="7"/>
        <v>0</v>
      </c>
      <c r="E399" s="7">
        <f t="shared" si="8"/>
        <v>0</v>
      </c>
      <c r="F399" s="8" t="b">
        <f>IF(D399&lt;1,FALSE,ISERROR(MATCH(E399,'Ontology and concepts per UC'!$A$2:$A$62,0)))</f>
        <v>0</v>
      </c>
      <c r="G399" s="9" t="str">
        <f t="shared" si="9"/>
        <v/>
      </c>
      <c r="H399" s="9" t="str">
        <f t="shared" si="10"/>
        <v/>
      </c>
      <c r="I399" s="8" t="b">
        <f>IF(D399&lt;2,FALSE,ISERROR(MATCH(H399,'Ontology and concepts per UC'!$A$2:$A$62,0)))</f>
        <v>0</v>
      </c>
      <c r="J399" s="9" t="str">
        <f t="shared" si="11"/>
        <v/>
      </c>
      <c r="K399" s="8" t="b">
        <f>IF(D399&lt;3,FALSE,ISERROR(MATCH(J399,'Ontology and concepts per UC'!$A$2:$A$62,0)))</f>
        <v>0</v>
      </c>
      <c r="L399" s="2"/>
      <c r="M399" s="2" t="s">
        <v>1140</v>
      </c>
      <c r="N399" s="2"/>
      <c r="O399" s="1" t="b">
        <v>1</v>
      </c>
      <c r="P399" s="1">
        <v>0</v>
      </c>
      <c r="Q399" s="1">
        <v>0</v>
      </c>
      <c r="R399" s="1" t="b">
        <f t="shared" si="12"/>
        <v>0</v>
      </c>
      <c r="S399" s="2" t="s">
        <v>325</v>
      </c>
      <c r="T399" s="1" t="str">
        <f>IF(S399="","",VLOOKUP(S399,'Ontology and concepts per UC'!$F$2:$J$46,5,FALSE))</f>
        <v>Modelo Conceptual</v>
      </c>
      <c r="U399" s="1" t="b">
        <f t="array" ref="U399">(INDEX('Ontology and concepts per UC'!$G$2:$I$46,MATCH($S399,'Ontology and concepts per UC'!$F$2:$F$46,0),MATCH(LEFT($A399,3),'Ontology and concepts per UC'!$G$1:$I$1,0))=0)</f>
        <v>0</v>
      </c>
      <c r="V399" s="1" t="b">
        <f t="shared" si="13"/>
        <v>1</v>
      </c>
      <c r="W399" s="1" t="b">
        <v>1</v>
      </c>
      <c r="X399" s="1" t="b">
        <v>0</v>
      </c>
      <c r="Y399" s="1" t="b">
        <v>0</v>
      </c>
      <c r="Z399" s="1" t="b">
        <v>0</v>
      </c>
      <c r="AA399" s="1" t="s">
        <v>188</v>
      </c>
    </row>
    <row r="400" spans="1:27" x14ac:dyDescent="0.25">
      <c r="A400" s="1" t="s">
        <v>1104</v>
      </c>
      <c r="B400" s="2" t="s">
        <v>1141</v>
      </c>
      <c r="C400" s="2"/>
      <c r="D400" s="6">
        <f t="shared" si="7"/>
        <v>0</v>
      </c>
      <c r="E400" s="7">
        <f t="shared" si="8"/>
        <v>0</v>
      </c>
      <c r="F400" s="8" t="b">
        <f>IF(D400&lt;1,FALSE,ISERROR(MATCH(E400,'Ontology and concepts per UC'!$A$2:$A$62,0)))</f>
        <v>0</v>
      </c>
      <c r="G400" s="9" t="str">
        <f t="shared" si="9"/>
        <v/>
      </c>
      <c r="H400" s="9" t="str">
        <f t="shared" si="10"/>
        <v/>
      </c>
      <c r="I400" s="8" t="b">
        <f>IF(D400&lt;2,FALSE,ISERROR(MATCH(H400,'Ontology and concepts per UC'!$A$2:$A$62,0)))</f>
        <v>0</v>
      </c>
      <c r="J400" s="9" t="str">
        <f t="shared" si="11"/>
        <v/>
      </c>
      <c r="K400" s="8" t="b">
        <f>IF(D400&lt;3,FALSE,ISERROR(MATCH(J400,'Ontology and concepts per UC'!$A$2:$A$62,0)))</f>
        <v>0</v>
      </c>
      <c r="L400" s="2"/>
      <c r="M400" s="2" t="s">
        <v>1142</v>
      </c>
      <c r="N400" s="2"/>
      <c r="O400" s="1" t="b">
        <v>1</v>
      </c>
      <c r="P400" s="1">
        <v>0</v>
      </c>
      <c r="Q400" s="1">
        <v>0</v>
      </c>
      <c r="R400" s="1" t="b">
        <f t="shared" si="12"/>
        <v>0</v>
      </c>
      <c r="S400" s="2" t="s">
        <v>29</v>
      </c>
      <c r="T400" s="1" t="str">
        <f>IF(S400="","",VLOOKUP(S400,'Ontology and concepts per UC'!$F$2:$J$46,5,FALSE))</f>
        <v>Modelo Conceptual</v>
      </c>
      <c r="U400" s="1" t="b">
        <f t="array" ref="U400">(INDEX('Ontology and concepts per UC'!$G$2:$I$46,MATCH($S400,'Ontology and concepts per UC'!$F$2:$F$46,0),MATCH(LEFT($A400,3),'Ontology and concepts per UC'!$G$1:$I$1,0))=0)</f>
        <v>0</v>
      </c>
      <c r="V400" s="1" t="b">
        <f t="shared" si="13"/>
        <v>1</v>
      </c>
      <c r="W400" s="1" t="b">
        <v>1</v>
      </c>
      <c r="X400" s="1" t="b">
        <v>0</v>
      </c>
      <c r="Y400" s="1" t="b">
        <v>0</v>
      </c>
      <c r="Z400" s="1" t="b">
        <v>0</v>
      </c>
      <c r="AA400" s="1" t="s">
        <v>188</v>
      </c>
    </row>
    <row r="401" spans="1:27" x14ac:dyDescent="0.25">
      <c r="A401" s="1" t="s">
        <v>1104</v>
      </c>
      <c r="B401" s="2" t="s">
        <v>1143</v>
      </c>
      <c r="C401" s="2"/>
      <c r="D401" s="6">
        <f t="shared" si="7"/>
        <v>0</v>
      </c>
      <c r="E401" s="7">
        <f t="shared" si="8"/>
        <v>0</v>
      </c>
      <c r="F401" s="8" t="b">
        <f>IF(D401&lt;1,FALSE,ISERROR(MATCH(E401,'Ontology and concepts per UC'!$A$2:$A$62,0)))</f>
        <v>0</v>
      </c>
      <c r="G401" s="9" t="str">
        <f t="shared" si="9"/>
        <v/>
      </c>
      <c r="H401" s="9" t="str">
        <f t="shared" si="10"/>
        <v/>
      </c>
      <c r="I401" s="8" t="b">
        <f>IF(D401&lt;2,FALSE,ISERROR(MATCH(H401,'Ontology and concepts per UC'!$A$2:$A$62,0)))</f>
        <v>0</v>
      </c>
      <c r="J401" s="9" t="str">
        <f t="shared" si="11"/>
        <v/>
      </c>
      <c r="K401" s="8" t="b">
        <f>IF(D401&lt;3,FALSE,ISERROR(MATCH(J401,'Ontology and concepts per UC'!$A$2:$A$62,0)))</f>
        <v>0</v>
      </c>
      <c r="L401" s="2"/>
      <c r="M401" s="2"/>
      <c r="N401" s="2"/>
      <c r="O401" s="1" t="b">
        <v>1</v>
      </c>
      <c r="P401" s="1">
        <v>0</v>
      </c>
      <c r="Q401" s="1">
        <v>0</v>
      </c>
      <c r="R401" s="1" t="b">
        <f t="shared" si="12"/>
        <v>0</v>
      </c>
      <c r="S401" s="2" t="s">
        <v>33</v>
      </c>
      <c r="T401" s="1" t="str">
        <f>IF(S401="","",VLOOKUP(S401,'Ontology and concepts per UC'!$F$2:$J$46,5,FALSE))</f>
        <v>Modelo Conceptual</v>
      </c>
      <c r="U401" s="1" t="b">
        <f t="array" ref="U401">(INDEX('Ontology and concepts per UC'!$G$2:$I$46,MATCH($S401,'Ontology and concepts per UC'!$F$2:$F$46,0),MATCH(LEFT($A401,3),'Ontology and concepts per UC'!$G$1:$I$1,0))=0)</f>
        <v>0</v>
      </c>
      <c r="V401" s="1" t="b">
        <f t="shared" si="13"/>
        <v>1</v>
      </c>
      <c r="W401" s="1" t="b">
        <v>1</v>
      </c>
      <c r="X401" s="1" t="b">
        <v>0</v>
      </c>
      <c r="Y401" s="1" t="b">
        <v>0</v>
      </c>
      <c r="Z401" s="1" t="b">
        <v>0</v>
      </c>
      <c r="AA401" s="1" t="s">
        <v>188</v>
      </c>
    </row>
    <row r="402" spans="1:27" x14ac:dyDescent="0.25">
      <c r="A402" s="1" t="s">
        <v>1144</v>
      </c>
      <c r="B402" s="2" t="s">
        <v>1145</v>
      </c>
      <c r="C402" s="2"/>
      <c r="D402" s="6">
        <f t="shared" si="7"/>
        <v>0</v>
      </c>
      <c r="E402" s="7">
        <f t="shared" si="8"/>
        <v>0</v>
      </c>
      <c r="F402" s="8" t="b">
        <f>IF(D402&lt;1,FALSE,ISERROR(MATCH(E402,'Ontology and concepts per UC'!$A$2:$A$62,0)))</f>
        <v>0</v>
      </c>
      <c r="G402" s="9" t="str">
        <f t="shared" si="9"/>
        <v/>
      </c>
      <c r="H402" s="9" t="str">
        <f t="shared" si="10"/>
        <v/>
      </c>
      <c r="I402" s="8" t="b">
        <f>IF(D402&lt;2,FALSE,ISERROR(MATCH(H402,'Ontology and concepts per UC'!$A$2:$A$62,0)))</f>
        <v>0</v>
      </c>
      <c r="J402" s="9" t="str">
        <f t="shared" si="11"/>
        <v/>
      </c>
      <c r="K402" s="8" t="b">
        <f>IF(D402&lt;3,FALSE,ISERROR(MATCH(J402,'Ontology and concepts per UC'!$A$2:$A$62,0)))</f>
        <v>0</v>
      </c>
      <c r="L402" s="2"/>
      <c r="M402" s="2" t="s">
        <v>1146</v>
      </c>
      <c r="N402" s="2" t="s">
        <v>1147</v>
      </c>
      <c r="O402" s="1" t="b">
        <v>1</v>
      </c>
      <c r="P402" s="1">
        <v>0</v>
      </c>
      <c r="Q402" s="1">
        <v>1</v>
      </c>
      <c r="R402" s="1" t="b">
        <f t="shared" si="12"/>
        <v>0</v>
      </c>
      <c r="S402" s="2" t="s">
        <v>35</v>
      </c>
      <c r="T402" s="1" t="str">
        <f>IF(S402="","",VLOOKUP(S402,'Ontology and concepts per UC'!$F$2:$J$46,5,FALSE))</f>
        <v>Modelo Conceptual</v>
      </c>
      <c r="U402" s="1" t="b">
        <f t="array" ref="U402">(INDEX('Ontology and concepts per UC'!$G$2:$I$46,MATCH($S402,'Ontology and concepts per UC'!$F$2:$F$46,0),MATCH(LEFT($A402,3),'Ontology and concepts per UC'!$G$1:$I$1,0))=0)</f>
        <v>0</v>
      </c>
      <c r="V402" s="1" t="b">
        <f t="shared" si="13"/>
        <v>1</v>
      </c>
      <c r="W402" s="1" t="b">
        <v>1</v>
      </c>
      <c r="X402" s="1" t="b">
        <v>0</v>
      </c>
      <c r="Y402" s="1" t="b">
        <v>0</v>
      </c>
      <c r="Z402" s="1" t="b">
        <v>0</v>
      </c>
      <c r="AA402" s="1" t="s">
        <v>188</v>
      </c>
    </row>
    <row r="403" spans="1:27" x14ac:dyDescent="0.25">
      <c r="A403" s="1" t="s">
        <v>1144</v>
      </c>
      <c r="B403" s="2" t="s">
        <v>1148</v>
      </c>
      <c r="C403" s="2"/>
      <c r="D403" s="6">
        <f t="shared" si="7"/>
        <v>0</v>
      </c>
      <c r="E403" s="7">
        <f t="shared" si="8"/>
        <v>0</v>
      </c>
      <c r="F403" s="8" t="b">
        <f>IF(D403&lt;1,FALSE,ISERROR(MATCH(E403,'Ontology and concepts per UC'!$A$2:$A$62,0)))</f>
        <v>0</v>
      </c>
      <c r="G403" s="9" t="str">
        <f t="shared" si="9"/>
        <v/>
      </c>
      <c r="H403" s="9" t="str">
        <f t="shared" si="10"/>
        <v/>
      </c>
      <c r="I403" s="8" t="b">
        <f>IF(D403&lt;2,FALSE,ISERROR(MATCH(H403,'Ontology and concepts per UC'!$A$2:$A$62,0)))</f>
        <v>0</v>
      </c>
      <c r="J403" s="9" t="str">
        <f t="shared" si="11"/>
        <v/>
      </c>
      <c r="K403" s="8" t="b">
        <f>IF(D403&lt;3,FALSE,ISERROR(MATCH(J403,'Ontology and concepts per UC'!$A$2:$A$62,0)))</f>
        <v>0</v>
      </c>
      <c r="L403" s="2"/>
      <c r="M403" s="2" t="s">
        <v>1149</v>
      </c>
      <c r="N403" s="2" t="s">
        <v>1150</v>
      </c>
      <c r="O403" s="1" t="b">
        <v>1</v>
      </c>
      <c r="P403" s="1">
        <v>0</v>
      </c>
      <c r="Q403" s="1">
        <v>1</v>
      </c>
      <c r="R403" s="1" t="b">
        <f t="shared" si="12"/>
        <v>0</v>
      </c>
      <c r="S403" s="2" t="s">
        <v>29</v>
      </c>
      <c r="T403" s="1" t="str">
        <f>IF(S403="","",VLOOKUP(S403,'Ontology and concepts per UC'!$F$2:$J$46,5,FALSE))</f>
        <v>Modelo Conceptual</v>
      </c>
      <c r="U403" s="1" t="b">
        <f t="array" ref="U403">(INDEX('Ontology and concepts per UC'!$G$2:$I$46,MATCH($S403,'Ontology and concepts per UC'!$F$2:$F$46,0),MATCH(LEFT($A403,3),'Ontology and concepts per UC'!$G$1:$I$1,0))=0)</f>
        <v>0</v>
      </c>
      <c r="V403" s="1" t="b">
        <f t="shared" si="13"/>
        <v>1</v>
      </c>
      <c r="W403" s="1" t="b">
        <v>1</v>
      </c>
      <c r="X403" s="1" t="b">
        <v>0</v>
      </c>
      <c r="Y403" s="1" t="b">
        <v>0</v>
      </c>
      <c r="Z403" s="1" t="b">
        <v>0</v>
      </c>
      <c r="AA403" s="1" t="s">
        <v>188</v>
      </c>
    </row>
    <row r="404" spans="1:27" x14ac:dyDescent="0.25">
      <c r="A404" s="1" t="s">
        <v>1144</v>
      </c>
      <c r="B404" s="2" t="s">
        <v>1151</v>
      </c>
      <c r="C404" s="2"/>
      <c r="D404" s="6">
        <f t="shared" si="7"/>
        <v>0</v>
      </c>
      <c r="E404" s="7">
        <f t="shared" si="8"/>
        <v>0</v>
      </c>
      <c r="F404" s="8" t="b">
        <f>IF(D404&lt;1,FALSE,ISERROR(MATCH(E404,'Ontology and concepts per UC'!$A$2:$A$62,0)))</f>
        <v>0</v>
      </c>
      <c r="G404" s="9" t="str">
        <f t="shared" si="9"/>
        <v/>
      </c>
      <c r="H404" s="9" t="str">
        <f t="shared" si="10"/>
        <v/>
      </c>
      <c r="I404" s="8" t="b">
        <f>IF(D404&lt;2,FALSE,ISERROR(MATCH(H404,'Ontology and concepts per UC'!$A$2:$A$62,0)))</f>
        <v>0</v>
      </c>
      <c r="J404" s="9" t="str">
        <f t="shared" si="11"/>
        <v/>
      </c>
      <c r="K404" s="8" t="b">
        <f>IF(D404&lt;3,FALSE,ISERROR(MATCH(J404,'Ontology and concepts per UC'!$A$2:$A$62,0)))</f>
        <v>0</v>
      </c>
      <c r="L404" s="2"/>
      <c r="M404" s="2" t="s">
        <v>1152</v>
      </c>
      <c r="N404" s="2" t="s">
        <v>1150</v>
      </c>
      <c r="O404" s="1" t="b">
        <v>1</v>
      </c>
      <c r="P404" s="1">
        <v>0</v>
      </c>
      <c r="Q404" s="1">
        <v>1</v>
      </c>
      <c r="R404" s="1" t="b">
        <f t="shared" si="12"/>
        <v>0</v>
      </c>
      <c r="S404" s="2" t="s">
        <v>26</v>
      </c>
      <c r="T404" s="1" t="str">
        <f>IF(S404="","",VLOOKUP(S404,'Ontology and concepts per UC'!$F$2:$J$46,5,FALSE))</f>
        <v>Modelo Conceptual</v>
      </c>
      <c r="U404" s="1" t="b">
        <f t="array" ref="U404">(INDEX('Ontology and concepts per UC'!$G$2:$I$46,MATCH($S404,'Ontology and concepts per UC'!$F$2:$F$46,0),MATCH(LEFT($A404,3),'Ontology and concepts per UC'!$G$1:$I$1,0))=0)</f>
        <v>0</v>
      </c>
      <c r="V404" s="1" t="b">
        <f t="shared" si="13"/>
        <v>1</v>
      </c>
      <c r="W404" s="1" t="b">
        <v>1</v>
      </c>
      <c r="X404" s="1" t="b">
        <v>0</v>
      </c>
      <c r="Y404" s="1" t="b">
        <v>0</v>
      </c>
      <c r="Z404" s="1" t="b">
        <v>0</v>
      </c>
      <c r="AA404" s="1" t="s">
        <v>188</v>
      </c>
    </row>
    <row r="405" spans="1:27" x14ac:dyDescent="0.25">
      <c r="A405" s="1" t="s">
        <v>1144</v>
      </c>
      <c r="B405" s="2" t="s">
        <v>1153</v>
      </c>
      <c r="C405" s="2"/>
      <c r="D405" s="6">
        <f t="shared" si="7"/>
        <v>0</v>
      </c>
      <c r="E405" s="7">
        <f t="shared" si="8"/>
        <v>0</v>
      </c>
      <c r="F405" s="8" t="b">
        <f>IF(D405&lt;1,FALSE,ISERROR(MATCH(E405,'Ontology and concepts per UC'!$A$2:$A$62,0)))</f>
        <v>0</v>
      </c>
      <c r="G405" s="9" t="str">
        <f t="shared" si="9"/>
        <v/>
      </c>
      <c r="H405" s="9" t="str">
        <f t="shared" si="10"/>
        <v/>
      </c>
      <c r="I405" s="8" t="b">
        <f>IF(D405&lt;2,FALSE,ISERROR(MATCH(H405,'Ontology and concepts per UC'!$A$2:$A$62,0)))</f>
        <v>0</v>
      </c>
      <c r="J405" s="9" t="str">
        <f t="shared" si="11"/>
        <v/>
      </c>
      <c r="K405" s="8" t="b">
        <f>IF(D405&lt;3,FALSE,ISERROR(MATCH(J405,'Ontology and concepts per UC'!$A$2:$A$62,0)))</f>
        <v>0</v>
      </c>
      <c r="L405" s="2" t="s">
        <v>1154</v>
      </c>
      <c r="M405" s="2" t="s">
        <v>1155</v>
      </c>
      <c r="N405" s="2"/>
      <c r="O405" s="1" t="b">
        <v>1</v>
      </c>
      <c r="P405" s="1">
        <v>0</v>
      </c>
      <c r="Q405" s="1">
        <v>0</v>
      </c>
      <c r="R405" s="1" t="b">
        <f t="shared" si="12"/>
        <v>1</v>
      </c>
      <c r="S405" s="2" t="s">
        <v>69</v>
      </c>
      <c r="T405" s="1" t="str">
        <f>IF(S405="","",VLOOKUP(S405,'Ontology and concepts per UC'!$F$2:$J$46,5,FALSE))</f>
        <v>Utilidad</v>
      </c>
      <c r="U405" s="1" t="b">
        <f t="array" ref="U405">(INDEX('Ontology and concepts per UC'!$G$2:$I$46,MATCH($S405,'Ontology and concepts per UC'!$F$2:$F$46,0),MATCH(LEFT($A405,3),'Ontology and concepts per UC'!$G$1:$I$1,0))=0)</f>
        <v>0</v>
      </c>
      <c r="V405" s="1" t="b">
        <f t="shared" si="13"/>
        <v>1</v>
      </c>
      <c r="W405" s="1" t="b">
        <v>1</v>
      </c>
      <c r="X405" s="1" t="b">
        <v>0</v>
      </c>
      <c r="Y405" s="1" t="b">
        <v>0</v>
      </c>
      <c r="Z405" s="1" t="b">
        <v>0</v>
      </c>
      <c r="AA405" s="1" t="s">
        <v>188</v>
      </c>
    </row>
    <row r="406" spans="1:27" x14ac:dyDescent="0.25">
      <c r="A406" s="1" t="s">
        <v>1144</v>
      </c>
      <c r="B406" s="2" t="s">
        <v>1156</v>
      </c>
      <c r="C406" s="2"/>
      <c r="D406" s="6">
        <f t="shared" si="7"/>
        <v>0</v>
      </c>
      <c r="E406" s="7">
        <f t="shared" si="8"/>
        <v>0</v>
      </c>
      <c r="F406" s="8" t="b">
        <f>IF(D406&lt;1,FALSE,ISERROR(MATCH(E406,'Ontology and concepts per UC'!$A$2:$A$62,0)))</f>
        <v>0</v>
      </c>
      <c r="G406" s="9" t="str">
        <f t="shared" si="9"/>
        <v/>
      </c>
      <c r="H406" s="9" t="str">
        <f t="shared" si="10"/>
        <v/>
      </c>
      <c r="I406" s="8" t="b">
        <f>IF(D406&lt;2,FALSE,ISERROR(MATCH(H406,'Ontology and concepts per UC'!$A$2:$A$62,0)))</f>
        <v>0</v>
      </c>
      <c r="J406" s="9" t="str">
        <f t="shared" si="11"/>
        <v/>
      </c>
      <c r="K406" s="8" t="b">
        <f>IF(D406&lt;3,FALSE,ISERROR(MATCH(J406,'Ontology and concepts per UC'!$A$2:$A$62,0)))</f>
        <v>0</v>
      </c>
      <c r="L406" s="2" t="s">
        <v>1154</v>
      </c>
      <c r="M406" s="2" t="s">
        <v>1157</v>
      </c>
      <c r="N406" s="2"/>
      <c r="O406" s="1" t="b">
        <v>1</v>
      </c>
      <c r="P406" s="1">
        <v>0</v>
      </c>
      <c r="Q406" s="1">
        <v>0</v>
      </c>
      <c r="R406" s="1" t="b">
        <f t="shared" si="12"/>
        <v>1</v>
      </c>
      <c r="S406" s="2" t="s">
        <v>65</v>
      </c>
      <c r="T406" s="1" t="str">
        <f>IF(S406="","",VLOOKUP(S406,'Ontology and concepts per UC'!$F$2:$J$46,5,FALSE))</f>
        <v>Utilidad</v>
      </c>
      <c r="U406" s="1" t="b">
        <f t="array" ref="U406">(INDEX('Ontology and concepts per UC'!$G$2:$I$46,MATCH($S406,'Ontology and concepts per UC'!$F$2:$F$46,0),MATCH(LEFT($A406,3),'Ontology and concepts per UC'!$G$1:$I$1,0))=0)</f>
        <v>0</v>
      </c>
      <c r="V406" s="1" t="b">
        <f t="shared" si="13"/>
        <v>1</v>
      </c>
      <c r="W406" s="1" t="b">
        <v>1</v>
      </c>
      <c r="X406" s="1" t="b">
        <v>0</v>
      </c>
      <c r="Y406" s="1" t="b">
        <v>0</v>
      </c>
      <c r="Z406" s="1" t="b">
        <v>0</v>
      </c>
      <c r="AA406" s="1" t="s">
        <v>188</v>
      </c>
    </row>
    <row r="407" spans="1:27" x14ac:dyDescent="0.25">
      <c r="A407" s="1" t="s">
        <v>1144</v>
      </c>
      <c r="B407" s="2" t="s">
        <v>1158</v>
      </c>
      <c r="C407" s="2"/>
      <c r="D407" s="6">
        <f t="shared" si="7"/>
        <v>0</v>
      </c>
      <c r="E407" s="7">
        <f t="shared" si="8"/>
        <v>0</v>
      </c>
      <c r="F407" s="8" t="b">
        <f>IF(D407&lt;1,FALSE,ISERROR(MATCH(E407,'Ontology and concepts per UC'!$A$2:$A$62,0)))</f>
        <v>0</v>
      </c>
      <c r="G407" s="9" t="str">
        <f t="shared" si="9"/>
        <v/>
      </c>
      <c r="H407" s="9" t="str">
        <f t="shared" si="10"/>
        <v/>
      </c>
      <c r="I407" s="8" t="b">
        <f>IF(D407&lt;2,FALSE,ISERROR(MATCH(H407,'Ontology and concepts per UC'!$A$2:$A$62,0)))</f>
        <v>0</v>
      </c>
      <c r="J407" s="9" t="str">
        <f t="shared" si="11"/>
        <v/>
      </c>
      <c r="K407" s="8" t="b">
        <f>IF(D407&lt;3,FALSE,ISERROR(MATCH(J407,'Ontology and concepts per UC'!$A$2:$A$62,0)))</f>
        <v>0</v>
      </c>
      <c r="L407" s="2" t="s">
        <v>1154</v>
      </c>
      <c r="M407" s="2" t="s">
        <v>1159</v>
      </c>
      <c r="N407" s="2"/>
      <c r="O407" s="1" t="b">
        <v>1</v>
      </c>
      <c r="P407" s="1">
        <v>0</v>
      </c>
      <c r="Q407" s="1">
        <v>0</v>
      </c>
      <c r="R407" s="1" t="b">
        <f t="shared" si="12"/>
        <v>1</v>
      </c>
      <c r="S407" s="2" t="s">
        <v>70</v>
      </c>
      <c r="T407" s="1" t="str">
        <f>IF(S407="","",VLOOKUP(S407,'Ontology and concepts per UC'!$F$2:$J$46,5,FALSE))</f>
        <v>Utilidad</v>
      </c>
      <c r="U407" s="1" t="b">
        <f t="array" ref="U407">(INDEX('Ontology and concepts per UC'!$G$2:$I$46,MATCH($S407,'Ontology and concepts per UC'!$F$2:$F$46,0),MATCH(LEFT($A407,3),'Ontology and concepts per UC'!$G$1:$I$1,0))=0)</f>
        <v>0</v>
      </c>
      <c r="V407" s="1" t="b">
        <f t="shared" si="13"/>
        <v>1</v>
      </c>
      <c r="W407" s="1" t="b">
        <v>1</v>
      </c>
      <c r="X407" s="1" t="b">
        <v>0</v>
      </c>
      <c r="Y407" s="1" t="b">
        <v>0</v>
      </c>
      <c r="Z407" s="1" t="b">
        <v>0</v>
      </c>
      <c r="AA407" s="1" t="s">
        <v>188</v>
      </c>
    </row>
    <row r="408" spans="1:27" x14ac:dyDescent="0.25">
      <c r="A408" s="1" t="s">
        <v>1144</v>
      </c>
      <c r="B408" s="2" t="s">
        <v>1160</v>
      </c>
      <c r="C408" s="2"/>
      <c r="D408" s="6">
        <f t="shared" si="7"/>
        <v>0</v>
      </c>
      <c r="E408" s="7">
        <f t="shared" si="8"/>
        <v>0</v>
      </c>
      <c r="F408" s="8" t="b">
        <f>IF(D408&lt;1,FALSE,ISERROR(MATCH(E408,'Ontology and concepts per UC'!$A$2:$A$62,0)))</f>
        <v>0</v>
      </c>
      <c r="G408" s="9" t="str">
        <f t="shared" si="9"/>
        <v/>
      </c>
      <c r="H408" s="9" t="str">
        <f t="shared" si="10"/>
        <v/>
      </c>
      <c r="I408" s="8" t="b">
        <f>IF(D408&lt;2,FALSE,ISERROR(MATCH(H408,'Ontology and concepts per UC'!$A$2:$A$62,0)))</f>
        <v>0</v>
      </c>
      <c r="J408" s="9" t="str">
        <f t="shared" si="11"/>
        <v/>
      </c>
      <c r="K408" s="8" t="b">
        <f>IF(D408&lt;3,FALSE,ISERROR(MATCH(J408,'Ontology and concepts per UC'!$A$2:$A$62,0)))</f>
        <v>0</v>
      </c>
      <c r="L408" s="2"/>
      <c r="M408" s="2" t="s">
        <v>1161</v>
      </c>
      <c r="N408" s="2" t="s">
        <v>1150</v>
      </c>
      <c r="O408" s="1" t="b">
        <v>1</v>
      </c>
      <c r="P408" s="1">
        <v>0</v>
      </c>
      <c r="Q408" s="1">
        <v>1</v>
      </c>
      <c r="R408" s="1" t="b">
        <f t="shared" si="12"/>
        <v>0</v>
      </c>
      <c r="S408" s="2" t="s">
        <v>30</v>
      </c>
      <c r="T408" s="1" t="str">
        <f>IF(S408="","",VLOOKUP(S408,'Ontology and concepts per UC'!$F$2:$J$46,5,FALSE))</f>
        <v>Modelo Conceptual</v>
      </c>
      <c r="U408" s="1" t="b">
        <f t="array" ref="U408">(INDEX('Ontology and concepts per UC'!$G$2:$I$46,MATCH($S408,'Ontology and concepts per UC'!$F$2:$F$46,0),MATCH(LEFT($A408,3),'Ontology and concepts per UC'!$G$1:$I$1,0))=0)</f>
        <v>0</v>
      </c>
      <c r="V408" s="1" t="b">
        <f t="shared" si="13"/>
        <v>1</v>
      </c>
      <c r="W408" s="1" t="b">
        <v>1</v>
      </c>
      <c r="X408" s="1" t="b">
        <v>0</v>
      </c>
      <c r="Y408" s="1" t="b">
        <v>0</v>
      </c>
      <c r="Z408" s="1" t="b">
        <v>0</v>
      </c>
      <c r="AA408" s="1" t="s">
        <v>188</v>
      </c>
    </row>
    <row r="409" spans="1:27" x14ac:dyDescent="0.25">
      <c r="A409" s="1" t="s">
        <v>1144</v>
      </c>
      <c r="B409" s="2" t="s">
        <v>1162</v>
      </c>
      <c r="C409" s="2"/>
      <c r="D409" s="6">
        <f t="shared" si="7"/>
        <v>0</v>
      </c>
      <c r="E409" s="7">
        <f t="shared" si="8"/>
        <v>0</v>
      </c>
      <c r="F409" s="8" t="b">
        <f>IF(D409&lt;1,FALSE,ISERROR(MATCH(E409,'Ontology and concepts per UC'!$A$2:$A$62,0)))</f>
        <v>0</v>
      </c>
      <c r="G409" s="9" t="str">
        <f t="shared" si="9"/>
        <v/>
      </c>
      <c r="H409" s="9" t="str">
        <f t="shared" si="10"/>
        <v/>
      </c>
      <c r="I409" s="8" t="b">
        <f>IF(D409&lt;2,FALSE,ISERROR(MATCH(H409,'Ontology and concepts per UC'!$A$2:$A$62,0)))</f>
        <v>0</v>
      </c>
      <c r="J409" s="9" t="str">
        <f t="shared" si="11"/>
        <v/>
      </c>
      <c r="K409" s="8" t="b">
        <f>IF(D409&lt;3,FALSE,ISERROR(MATCH(J409,'Ontology and concepts per UC'!$A$2:$A$62,0)))</f>
        <v>0</v>
      </c>
      <c r="L409" s="2"/>
      <c r="M409" s="2" t="s">
        <v>1163</v>
      </c>
      <c r="N409" s="2" t="s">
        <v>1150</v>
      </c>
      <c r="O409" s="1" t="b">
        <v>1</v>
      </c>
      <c r="P409" s="1">
        <v>0</v>
      </c>
      <c r="Q409" s="1">
        <v>1</v>
      </c>
      <c r="R409" s="1" t="b">
        <f t="shared" si="12"/>
        <v>0</v>
      </c>
      <c r="S409" s="2" t="s">
        <v>31</v>
      </c>
      <c r="T409" s="1" t="str">
        <f>IF(S409="","",VLOOKUP(S409,'Ontology and concepts per UC'!$F$2:$J$46,5,FALSE))</f>
        <v>Modelo Conceptual</v>
      </c>
      <c r="U409" s="1" t="b">
        <f t="array" ref="U409">(INDEX('Ontology and concepts per UC'!$G$2:$I$46,MATCH($S409,'Ontology and concepts per UC'!$F$2:$F$46,0),MATCH(LEFT($A409,3),'Ontology and concepts per UC'!$G$1:$I$1,0))=0)</f>
        <v>0</v>
      </c>
      <c r="V409" s="1" t="b">
        <f t="shared" si="13"/>
        <v>1</v>
      </c>
      <c r="W409" s="1" t="b">
        <v>1</v>
      </c>
      <c r="X409" s="1" t="b">
        <v>0</v>
      </c>
      <c r="Y409" s="1" t="b">
        <v>0</v>
      </c>
      <c r="Z409" s="1" t="b">
        <v>0</v>
      </c>
      <c r="AA409" s="1" t="s">
        <v>188</v>
      </c>
    </row>
    <row r="410" spans="1:27" x14ac:dyDescent="0.25">
      <c r="A410" s="1" t="s">
        <v>1144</v>
      </c>
      <c r="B410" s="2" t="s">
        <v>1164</v>
      </c>
      <c r="C410" s="2"/>
      <c r="D410" s="6">
        <f t="shared" si="7"/>
        <v>0</v>
      </c>
      <c r="E410" s="7">
        <f t="shared" si="8"/>
        <v>0</v>
      </c>
      <c r="F410" s="8" t="b">
        <f>IF(D410&lt;1,FALSE,ISERROR(MATCH(E410,'Ontology and concepts per UC'!$A$2:$A$62,0)))</f>
        <v>0</v>
      </c>
      <c r="G410" s="9" t="str">
        <f t="shared" si="9"/>
        <v/>
      </c>
      <c r="H410" s="9" t="str">
        <f t="shared" si="10"/>
        <v/>
      </c>
      <c r="I410" s="8" t="b">
        <f>IF(D410&lt;2,FALSE,ISERROR(MATCH(H410,'Ontology and concepts per UC'!$A$2:$A$62,0)))</f>
        <v>0</v>
      </c>
      <c r="J410" s="9" t="str">
        <f t="shared" si="11"/>
        <v/>
      </c>
      <c r="K410" s="8" t="b">
        <f>IF(D410&lt;3,FALSE,ISERROR(MATCH(J410,'Ontology and concepts per UC'!$A$2:$A$62,0)))</f>
        <v>0</v>
      </c>
      <c r="L410" s="2"/>
      <c r="M410" s="2" t="s">
        <v>1165</v>
      </c>
      <c r="N410" s="2"/>
      <c r="O410" s="1" t="b">
        <v>1</v>
      </c>
      <c r="P410" s="1">
        <v>0</v>
      </c>
      <c r="Q410" s="1">
        <v>0</v>
      </c>
      <c r="R410" s="1" t="b">
        <f t="shared" si="12"/>
        <v>0</v>
      </c>
      <c r="S410" s="2" t="s">
        <v>22</v>
      </c>
      <c r="T410" s="1" t="str">
        <f>IF(S410="","",VLOOKUP(S410,'Ontology and concepts per UC'!$F$2:$J$46,5,FALSE))</f>
        <v>Modelo Conceptual</v>
      </c>
      <c r="U410" s="1" t="b">
        <f t="array" ref="U410">(INDEX('Ontology and concepts per UC'!$G$2:$I$46,MATCH($S410,'Ontology and concepts per UC'!$F$2:$F$46,0),MATCH(LEFT($A410,3),'Ontology and concepts per UC'!$G$1:$I$1,0))=0)</f>
        <v>0</v>
      </c>
      <c r="V410" s="1" t="b">
        <f t="shared" si="13"/>
        <v>1</v>
      </c>
      <c r="W410" s="1" t="b">
        <v>1</v>
      </c>
      <c r="X410" s="1" t="b">
        <v>0</v>
      </c>
      <c r="Y410" s="1" t="b">
        <v>0</v>
      </c>
      <c r="Z410" s="1" t="b">
        <v>0</v>
      </c>
      <c r="AA410" s="1" t="s">
        <v>188</v>
      </c>
    </row>
    <row r="411" spans="1:27" x14ac:dyDescent="0.25">
      <c r="A411" s="1" t="s">
        <v>1144</v>
      </c>
      <c r="B411" s="2" t="s">
        <v>1166</v>
      </c>
      <c r="C411" s="2"/>
      <c r="D411" s="6">
        <f t="shared" si="7"/>
        <v>0</v>
      </c>
      <c r="E411" s="7">
        <f t="shared" si="8"/>
        <v>0</v>
      </c>
      <c r="F411" s="8" t="b">
        <f>IF(D411&lt;1,FALSE,ISERROR(MATCH(E411,'Ontology and concepts per UC'!$A$2:$A$62,0)))</f>
        <v>0</v>
      </c>
      <c r="G411" s="9" t="str">
        <f t="shared" si="9"/>
        <v/>
      </c>
      <c r="H411" s="9" t="str">
        <f t="shared" si="10"/>
        <v/>
      </c>
      <c r="I411" s="8" t="b">
        <f>IF(D411&lt;2,FALSE,ISERROR(MATCH(H411,'Ontology and concepts per UC'!$A$2:$A$62,0)))</f>
        <v>0</v>
      </c>
      <c r="J411" s="9" t="str">
        <f t="shared" si="11"/>
        <v/>
      </c>
      <c r="K411" s="8" t="b">
        <f>IF(D411&lt;3,FALSE,ISERROR(MATCH(J411,'Ontology and concepts per UC'!$A$2:$A$62,0)))</f>
        <v>0</v>
      </c>
      <c r="L411" s="2"/>
      <c r="M411" s="2" t="s">
        <v>1167</v>
      </c>
      <c r="N411" s="2"/>
      <c r="O411" s="1" t="b">
        <v>1</v>
      </c>
      <c r="P411" s="1">
        <v>0</v>
      </c>
      <c r="Q411" s="1">
        <v>0</v>
      </c>
      <c r="R411" s="1" t="b">
        <f t="shared" si="12"/>
        <v>0</v>
      </c>
      <c r="S411" s="2" t="s">
        <v>24</v>
      </c>
      <c r="T411" s="1" t="str">
        <f>IF(S411="","",VLOOKUP(S411,'Ontology and concepts per UC'!$F$2:$J$46,5,FALSE))</f>
        <v>Modelo Conceptual</v>
      </c>
      <c r="U411" s="1" t="b">
        <f t="array" ref="U411">(INDEX('Ontology and concepts per UC'!$G$2:$I$46,MATCH($S411,'Ontology and concepts per UC'!$F$2:$F$46,0),MATCH(LEFT($A411,3),'Ontology and concepts per UC'!$G$1:$I$1,0))=0)</f>
        <v>0</v>
      </c>
      <c r="V411" s="1" t="b">
        <f t="shared" si="13"/>
        <v>1</v>
      </c>
      <c r="W411" s="1" t="b">
        <v>1</v>
      </c>
      <c r="X411" s="1" t="b">
        <v>0</v>
      </c>
      <c r="Y411" s="1" t="b">
        <v>0</v>
      </c>
      <c r="Z411" s="1" t="b">
        <v>0</v>
      </c>
      <c r="AA411" s="1" t="s">
        <v>188</v>
      </c>
    </row>
    <row r="412" spans="1:27" x14ac:dyDescent="0.25">
      <c r="A412" s="1" t="s">
        <v>1168</v>
      </c>
      <c r="B412" s="2" t="s">
        <v>1169</v>
      </c>
      <c r="C412" s="2" t="s">
        <v>942</v>
      </c>
      <c r="D412" s="6">
        <f t="shared" si="7"/>
        <v>2</v>
      </c>
      <c r="E412" s="7" t="str">
        <f t="shared" si="8"/>
        <v>DeterministicParameter</v>
      </c>
      <c r="F412" s="8" t="b">
        <f>IF(D412&lt;1,FALSE,ISERROR(MATCH(E412,'Ontology and concepts per UC'!$A$2:$A$62,0)))</f>
        <v>0</v>
      </c>
      <c r="G412" s="9" t="str">
        <f t="shared" si="9"/>
        <v>Parameter</v>
      </c>
      <c r="H412" s="9" t="str">
        <f t="shared" si="10"/>
        <v>Parameter</v>
      </c>
      <c r="I412" s="8" t="b">
        <f>IF(D412&lt;2,FALSE,ISERROR(MATCH(H412,'Ontology and concepts per UC'!$A$2:$A$62,0)))</f>
        <v>0</v>
      </c>
      <c r="J412" s="9" t="str">
        <f t="shared" si="11"/>
        <v/>
      </c>
      <c r="K412" s="8" t="b">
        <f>IF(D412&lt;3,FALSE,ISERROR(MATCH(J412,'Ontology and concepts per UC'!$A$2:$A$62,0)))</f>
        <v>0</v>
      </c>
      <c r="L412" s="2" t="s">
        <v>1170</v>
      </c>
      <c r="M412" s="2" t="s">
        <v>1171</v>
      </c>
      <c r="N412" s="2"/>
      <c r="O412" s="1" t="b">
        <v>0</v>
      </c>
      <c r="P412" s="1">
        <v>0</v>
      </c>
      <c r="Q412" s="1">
        <v>0</v>
      </c>
      <c r="R412" s="1" t="b">
        <f t="shared" si="12"/>
        <v>1</v>
      </c>
      <c r="S412" s="2" t="s">
        <v>107</v>
      </c>
      <c r="T412" s="1" t="str">
        <f>IF(S412="","",VLOOKUP(S412,'Ontology and concepts per UC'!$F$2:$J$46,5,FALSE))</f>
        <v>Parcial</v>
      </c>
      <c r="U412" s="1" t="b">
        <f t="array" ref="U412">(INDEX('Ontology and concepts per UC'!$G$2:$I$46,MATCH($S412,'Ontology and concepts per UC'!$F$2:$F$46,0),MATCH(LEFT($A412,3),'Ontology and concepts per UC'!$G$1:$I$1,0))=0)</f>
        <v>0</v>
      </c>
      <c r="V412" s="1" t="b">
        <f t="shared" si="13"/>
        <v>0</v>
      </c>
      <c r="W412" s="1" t="b">
        <v>0</v>
      </c>
      <c r="X412" s="1" t="b">
        <v>0</v>
      </c>
      <c r="Y412" s="1" t="b">
        <v>0</v>
      </c>
      <c r="Z412" s="1" t="b">
        <v>0</v>
      </c>
      <c r="AA412" s="1"/>
    </row>
    <row r="413" spans="1:27" x14ac:dyDescent="0.25">
      <c r="A413" s="1" t="s">
        <v>1168</v>
      </c>
      <c r="B413" s="2" t="s">
        <v>1172</v>
      </c>
      <c r="C413" s="2" t="s">
        <v>942</v>
      </c>
      <c r="D413" s="6">
        <f t="shared" si="7"/>
        <v>2</v>
      </c>
      <c r="E413" s="7" t="str">
        <f t="shared" si="8"/>
        <v>DeterministicParameter</v>
      </c>
      <c r="F413" s="8" t="b">
        <f>IF(D413&lt;1,FALSE,ISERROR(MATCH(E413,'Ontology and concepts per UC'!$A$2:$A$62,0)))</f>
        <v>0</v>
      </c>
      <c r="G413" s="9" t="str">
        <f t="shared" si="9"/>
        <v>Parameter</v>
      </c>
      <c r="H413" s="9" t="str">
        <f t="shared" si="10"/>
        <v>Parameter</v>
      </c>
      <c r="I413" s="8" t="b">
        <f>IF(D413&lt;2,FALSE,ISERROR(MATCH(H413,'Ontology and concepts per UC'!$A$2:$A$62,0)))</f>
        <v>0</v>
      </c>
      <c r="J413" s="9" t="str">
        <f t="shared" si="11"/>
        <v/>
      </c>
      <c r="K413" s="8" t="b">
        <f>IF(D413&lt;3,FALSE,ISERROR(MATCH(J413,'Ontology and concepts per UC'!$A$2:$A$62,0)))</f>
        <v>0</v>
      </c>
      <c r="L413" s="2" t="s">
        <v>1173</v>
      </c>
      <c r="M413" s="2" t="s">
        <v>1174</v>
      </c>
      <c r="N413" s="2"/>
      <c r="O413" s="1" t="b">
        <v>0</v>
      </c>
      <c r="P413" s="1">
        <v>0</v>
      </c>
      <c r="Q413" s="1">
        <v>0</v>
      </c>
      <c r="R413" s="1" t="b">
        <f t="shared" si="12"/>
        <v>1</v>
      </c>
      <c r="S413" s="2" t="s">
        <v>107</v>
      </c>
      <c r="T413" s="1" t="str">
        <f>IF(S413="","",VLOOKUP(S413,'Ontology and concepts per UC'!$F$2:$J$46,5,FALSE))</f>
        <v>Parcial</v>
      </c>
      <c r="U413" s="1" t="b">
        <f t="array" ref="U413">(INDEX('Ontology and concepts per UC'!$G$2:$I$46,MATCH($S413,'Ontology and concepts per UC'!$F$2:$F$46,0),MATCH(LEFT($A413,3),'Ontology and concepts per UC'!$G$1:$I$1,0))=0)</f>
        <v>0</v>
      </c>
      <c r="V413" s="1" t="b">
        <f t="shared" si="13"/>
        <v>1</v>
      </c>
      <c r="W413" s="1" t="b">
        <v>0</v>
      </c>
      <c r="X413" s="1" t="b">
        <v>0</v>
      </c>
      <c r="Y413" s="1" t="b">
        <v>0</v>
      </c>
      <c r="Z413" s="1" t="b">
        <v>1</v>
      </c>
      <c r="AA413" s="1" t="s">
        <v>197</v>
      </c>
    </row>
    <row r="414" spans="1:27" x14ac:dyDescent="0.25">
      <c r="A414" s="1" t="s">
        <v>1168</v>
      </c>
      <c r="B414" s="2" t="s">
        <v>1175</v>
      </c>
      <c r="C414" s="2" t="s">
        <v>942</v>
      </c>
      <c r="D414" s="6">
        <f t="shared" si="7"/>
        <v>2</v>
      </c>
      <c r="E414" s="7" t="str">
        <f t="shared" si="8"/>
        <v>DeterministicParameter</v>
      </c>
      <c r="F414" s="8" t="b">
        <f>IF(D414&lt;1,FALSE,ISERROR(MATCH(E414,'Ontology and concepts per UC'!$A$2:$A$62,0)))</f>
        <v>0</v>
      </c>
      <c r="G414" s="9" t="str">
        <f t="shared" si="9"/>
        <v>Parameter</v>
      </c>
      <c r="H414" s="9" t="str">
        <f t="shared" si="10"/>
        <v>Parameter</v>
      </c>
      <c r="I414" s="8" t="b">
        <f>IF(D414&lt;2,FALSE,ISERROR(MATCH(H414,'Ontology and concepts per UC'!$A$2:$A$62,0)))</f>
        <v>0</v>
      </c>
      <c r="J414" s="9" t="str">
        <f t="shared" si="11"/>
        <v/>
      </c>
      <c r="K414" s="8" t="b">
        <f>IF(D414&lt;3,FALSE,ISERROR(MATCH(J414,'Ontology and concepts per UC'!$A$2:$A$62,0)))</f>
        <v>0</v>
      </c>
      <c r="L414" s="2" t="s">
        <v>1176</v>
      </c>
      <c r="M414" s="2" t="s">
        <v>1177</v>
      </c>
      <c r="N414" s="2"/>
      <c r="O414" s="1" t="b">
        <v>0</v>
      </c>
      <c r="P414" s="1">
        <v>0</v>
      </c>
      <c r="Q414" s="1">
        <v>0</v>
      </c>
      <c r="R414" s="1" t="b">
        <f t="shared" si="12"/>
        <v>1</v>
      </c>
      <c r="S414" s="2" t="s">
        <v>55</v>
      </c>
      <c r="T414" s="1" t="str">
        <f>IF(S414="","",VLOOKUP(S414,'Ontology and concepts per UC'!$F$2:$J$46,5,FALSE))</f>
        <v>Parámetros de progresión</v>
      </c>
      <c r="U414" s="1" t="b">
        <f t="array" ref="U414">(INDEX('Ontology and concepts per UC'!$G$2:$I$46,MATCH($S414,'Ontology and concepts per UC'!$F$2:$F$46,0),MATCH(LEFT($A414,3),'Ontology and concepts per UC'!$G$1:$I$1,0))=0)</f>
        <v>0</v>
      </c>
      <c r="V414" s="1" t="b">
        <f t="shared" si="13"/>
        <v>0</v>
      </c>
      <c r="W414" s="1" t="b">
        <v>0</v>
      </c>
      <c r="X414" s="1" t="b">
        <v>0</v>
      </c>
      <c r="Y414" s="1" t="b">
        <v>0</v>
      </c>
      <c r="Z414" s="1" t="b">
        <v>0</v>
      </c>
      <c r="AA414" s="1"/>
    </row>
    <row r="415" spans="1:27" x14ac:dyDescent="0.25">
      <c r="A415" s="1" t="s">
        <v>1168</v>
      </c>
      <c r="B415" s="2" t="s">
        <v>1178</v>
      </c>
      <c r="C415" s="2" t="s">
        <v>942</v>
      </c>
      <c r="D415" s="6">
        <f t="shared" si="7"/>
        <v>2</v>
      </c>
      <c r="E415" s="7" t="str">
        <f t="shared" si="8"/>
        <v>DeterministicParameter</v>
      </c>
      <c r="F415" s="8" t="b">
        <f>IF(D415&lt;1,FALSE,ISERROR(MATCH(E415,'Ontology and concepts per UC'!$A$2:$A$62,0)))</f>
        <v>0</v>
      </c>
      <c r="G415" s="9" t="str">
        <f t="shared" si="9"/>
        <v>Parameter</v>
      </c>
      <c r="H415" s="9" t="str">
        <f t="shared" si="10"/>
        <v>Parameter</v>
      </c>
      <c r="I415" s="8" t="b">
        <f>IF(D415&lt;2,FALSE,ISERROR(MATCH(H415,'Ontology and concepts per UC'!$A$2:$A$62,0)))</f>
        <v>0</v>
      </c>
      <c r="J415" s="9" t="str">
        <f t="shared" si="11"/>
        <v/>
      </c>
      <c r="K415" s="8" t="b">
        <f>IF(D415&lt;3,FALSE,ISERROR(MATCH(J415,'Ontology and concepts per UC'!$A$2:$A$62,0)))</f>
        <v>0</v>
      </c>
      <c r="L415" s="2" t="s">
        <v>1179</v>
      </c>
      <c r="M415" s="2" t="s">
        <v>1180</v>
      </c>
      <c r="N415" s="2"/>
      <c r="O415" s="1" t="b">
        <v>0</v>
      </c>
      <c r="P415" s="1">
        <v>0</v>
      </c>
      <c r="Q415" s="1">
        <v>0</v>
      </c>
      <c r="R415" s="1" t="b">
        <f t="shared" si="12"/>
        <v>1</v>
      </c>
      <c r="S415" s="2" t="s">
        <v>58</v>
      </c>
      <c r="T415" s="1" t="str">
        <f>IF(S415="","",VLOOKUP(S415,'Ontology and concepts per UC'!$F$2:$J$46,5,FALSE))</f>
        <v>Parámetros de progresión</v>
      </c>
      <c r="U415" s="1" t="b">
        <f t="array" ref="U415">(INDEX('Ontology and concepts per UC'!$G$2:$I$46,MATCH($S415,'Ontology and concepts per UC'!$F$2:$F$46,0),MATCH(LEFT($A415,3),'Ontology and concepts per UC'!$G$1:$I$1,0))=0)</f>
        <v>0</v>
      </c>
      <c r="V415" s="1" t="b">
        <f t="shared" si="13"/>
        <v>0</v>
      </c>
      <c r="W415" s="1" t="b">
        <v>0</v>
      </c>
      <c r="X415" s="1" t="b">
        <v>0</v>
      </c>
      <c r="Y415" s="1" t="b">
        <v>0</v>
      </c>
      <c r="Z415" s="1" t="b">
        <v>0</v>
      </c>
      <c r="AA415" s="1"/>
    </row>
    <row r="416" spans="1:27" x14ac:dyDescent="0.25">
      <c r="A416" s="1" t="s">
        <v>1168</v>
      </c>
      <c r="B416" s="2" t="s">
        <v>1181</v>
      </c>
      <c r="C416" s="2" t="s">
        <v>942</v>
      </c>
      <c r="D416" s="6">
        <f t="shared" si="7"/>
        <v>2</v>
      </c>
      <c r="E416" s="7" t="str">
        <f t="shared" si="8"/>
        <v>DeterministicParameter</v>
      </c>
      <c r="F416" s="8" t="b">
        <f>IF(D416&lt;1,FALSE,ISERROR(MATCH(E416,'Ontology and concepts per UC'!$A$2:$A$62,0)))</f>
        <v>0</v>
      </c>
      <c r="G416" s="9" t="str">
        <f t="shared" si="9"/>
        <v>Parameter</v>
      </c>
      <c r="H416" s="9" t="str">
        <f t="shared" si="10"/>
        <v>Parameter</v>
      </c>
      <c r="I416" s="8" t="b">
        <f>IF(D416&lt;2,FALSE,ISERROR(MATCH(H416,'Ontology and concepts per UC'!$A$2:$A$62,0)))</f>
        <v>0</v>
      </c>
      <c r="J416" s="9" t="str">
        <f t="shared" si="11"/>
        <v/>
      </c>
      <c r="K416" s="8" t="b">
        <f>IF(D416&lt;3,FALSE,ISERROR(MATCH(J416,'Ontology and concepts per UC'!$A$2:$A$62,0)))</f>
        <v>0</v>
      </c>
      <c r="L416" s="2" t="s">
        <v>1182</v>
      </c>
      <c r="M416" s="2" t="s">
        <v>1183</v>
      </c>
      <c r="N416" s="2"/>
      <c r="O416" s="1" t="b">
        <v>0</v>
      </c>
      <c r="P416" s="1">
        <v>0</v>
      </c>
      <c r="Q416" s="1">
        <v>0</v>
      </c>
      <c r="R416" s="1" t="b">
        <f t="shared" si="12"/>
        <v>1</v>
      </c>
      <c r="S416" s="2" t="s">
        <v>55</v>
      </c>
      <c r="T416" s="1" t="str">
        <f>IF(S416="","",VLOOKUP(S416,'Ontology and concepts per UC'!$F$2:$J$46,5,FALSE))</f>
        <v>Parámetros de progresión</v>
      </c>
      <c r="U416" s="1" t="b">
        <f t="array" ref="U416">(INDEX('Ontology and concepts per UC'!$G$2:$I$46,MATCH($S416,'Ontology and concepts per UC'!$F$2:$F$46,0),MATCH(LEFT($A416,3),'Ontology and concepts per UC'!$G$1:$I$1,0))=0)</f>
        <v>0</v>
      </c>
      <c r="V416" s="1" t="b">
        <f t="shared" si="13"/>
        <v>1</v>
      </c>
      <c r="W416" s="1" t="b">
        <v>0</v>
      </c>
      <c r="X416" s="1" t="b">
        <v>0</v>
      </c>
      <c r="Y416" s="1" t="b">
        <v>0</v>
      </c>
      <c r="Z416" s="1" t="b">
        <v>1</v>
      </c>
      <c r="AA416" s="1" t="s">
        <v>197</v>
      </c>
    </row>
    <row r="417" spans="1:27" x14ac:dyDescent="0.25">
      <c r="A417" s="1" t="s">
        <v>1168</v>
      </c>
      <c r="B417" s="2" t="s">
        <v>1184</v>
      </c>
      <c r="C417" s="2" t="s">
        <v>1106</v>
      </c>
      <c r="D417" s="6">
        <f t="shared" si="7"/>
        <v>2</v>
      </c>
      <c r="E417" s="7" t="str">
        <f t="shared" si="8"/>
        <v>DeterministicParameter</v>
      </c>
      <c r="F417" s="8" t="b">
        <f>IF(D417&lt;1,FALSE,ISERROR(MATCH(E417,'Ontology and concepts per UC'!$A$2:$A$62,0)))</f>
        <v>0</v>
      </c>
      <c r="G417" s="9" t="str">
        <f t="shared" si="9"/>
        <v>Utility</v>
      </c>
      <c r="H417" s="9" t="str">
        <f t="shared" si="10"/>
        <v>Utility</v>
      </c>
      <c r="I417" s="8" t="b">
        <f>IF(D417&lt;2,FALSE,ISERROR(MATCH(H417,'Ontology and concepts per UC'!$A$2:$A$62,0)))</f>
        <v>0</v>
      </c>
      <c r="J417" s="9" t="str">
        <f t="shared" si="11"/>
        <v/>
      </c>
      <c r="K417" s="8" t="b">
        <f>IF(D417&lt;3,FALSE,ISERROR(MATCH(J417,'Ontology and concepts per UC'!$A$2:$A$62,0)))</f>
        <v>0</v>
      </c>
      <c r="L417" s="2"/>
      <c r="M417" s="2" t="s">
        <v>1185</v>
      </c>
      <c r="N417" s="2"/>
      <c r="O417" s="1" t="b">
        <v>0</v>
      </c>
      <c r="P417" s="1">
        <v>0</v>
      </c>
      <c r="Q417" s="1">
        <v>0</v>
      </c>
      <c r="R417" s="1" t="b">
        <f t="shared" si="12"/>
        <v>1</v>
      </c>
      <c r="S417" s="2" t="s">
        <v>174</v>
      </c>
      <c r="T417" s="1" t="str">
        <f>IF(S417="","",VLOOKUP(S417,'Ontology and concepts per UC'!$F$2:$J$46,5,FALSE))</f>
        <v>Utilidad</v>
      </c>
      <c r="U417" s="1" t="b">
        <f t="array" ref="U417">(INDEX('Ontology and concepts per UC'!$G$2:$I$46,MATCH($S417,'Ontology and concepts per UC'!$F$2:$F$46,0),MATCH(LEFT($A417,3),'Ontology and concepts per UC'!$G$1:$I$1,0))=0)</f>
        <v>0</v>
      </c>
      <c r="V417" s="1" t="b">
        <f t="shared" si="13"/>
        <v>0</v>
      </c>
      <c r="W417" s="1" t="b">
        <v>0</v>
      </c>
      <c r="X417" s="1" t="b">
        <v>0</v>
      </c>
      <c r="Y417" s="1" t="b">
        <v>0</v>
      </c>
      <c r="Z417" s="1" t="b">
        <v>0</v>
      </c>
      <c r="AA417" s="1"/>
    </row>
    <row r="418" spans="1:27" x14ac:dyDescent="0.25">
      <c r="A418" s="1" t="s">
        <v>1168</v>
      </c>
      <c r="B418" s="2" t="s">
        <v>1186</v>
      </c>
      <c r="C418" s="2" t="s">
        <v>1106</v>
      </c>
      <c r="D418" s="6">
        <f t="shared" si="7"/>
        <v>2</v>
      </c>
      <c r="E418" s="7" t="str">
        <f t="shared" si="8"/>
        <v>DeterministicParameter</v>
      </c>
      <c r="F418" s="8" t="b">
        <f>IF(D418&lt;1,FALSE,ISERROR(MATCH(E418,'Ontology and concepts per UC'!$A$2:$A$62,0)))</f>
        <v>0</v>
      </c>
      <c r="G418" s="9" t="str">
        <f t="shared" si="9"/>
        <v>Utility</v>
      </c>
      <c r="H418" s="9" t="str">
        <f t="shared" si="10"/>
        <v>Utility</v>
      </c>
      <c r="I418" s="8" t="b">
        <f>IF(D418&lt;2,FALSE,ISERROR(MATCH(H418,'Ontology and concepts per UC'!$A$2:$A$62,0)))</f>
        <v>0</v>
      </c>
      <c r="J418" s="9" t="str">
        <f t="shared" si="11"/>
        <v/>
      </c>
      <c r="K418" s="8" t="b">
        <f>IF(D418&lt;3,FALSE,ISERROR(MATCH(J418,'Ontology and concepts per UC'!$A$2:$A$62,0)))</f>
        <v>0</v>
      </c>
      <c r="L418" s="2"/>
      <c r="M418" s="2" t="s">
        <v>1187</v>
      </c>
      <c r="N418" s="2"/>
      <c r="O418" s="1" t="b">
        <v>0</v>
      </c>
      <c r="P418" s="1">
        <v>0</v>
      </c>
      <c r="Q418" s="1">
        <v>0</v>
      </c>
      <c r="R418" s="1" t="b">
        <f t="shared" si="12"/>
        <v>1</v>
      </c>
      <c r="S418" s="2" t="s">
        <v>68</v>
      </c>
      <c r="T418" s="1" t="str">
        <f>IF(S418="","",VLOOKUP(S418,'Ontology and concepts per UC'!$F$2:$J$46,5,FALSE))</f>
        <v>Utilidad</v>
      </c>
      <c r="U418" s="1" t="b">
        <f t="array" ref="U418">(INDEX('Ontology and concepts per UC'!$G$2:$I$46,MATCH($S418,'Ontology and concepts per UC'!$F$2:$F$46,0),MATCH(LEFT($A418,3),'Ontology and concepts per UC'!$G$1:$I$1,0))=0)</f>
        <v>0</v>
      </c>
      <c r="V418" s="1" t="b">
        <f t="shared" si="13"/>
        <v>0</v>
      </c>
      <c r="W418" s="1" t="b">
        <v>0</v>
      </c>
      <c r="X418" s="1" t="b">
        <v>0</v>
      </c>
      <c r="Y418" s="1" t="b">
        <v>0</v>
      </c>
      <c r="Z418" s="1" t="b">
        <v>0</v>
      </c>
      <c r="AA418" s="1"/>
    </row>
    <row r="419" spans="1:27" x14ac:dyDescent="0.25">
      <c r="A419" s="1" t="s">
        <v>1168</v>
      </c>
      <c r="B419" s="2" t="s">
        <v>1188</v>
      </c>
      <c r="C419" s="2" t="s">
        <v>1106</v>
      </c>
      <c r="D419" s="6">
        <f t="shared" si="7"/>
        <v>2</v>
      </c>
      <c r="E419" s="7" t="str">
        <f t="shared" si="8"/>
        <v>DeterministicParameter</v>
      </c>
      <c r="F419" s="8" t="b">
        <f>IF(D419&lt;1,FALSE,ISERROR(MATCH(E419,'Ontology and concepts per UC'!$A$2:$A$62,0)))</f>
        <v>0</v>
      </c>
      <c r="G419" s="9" t="str">
        <f t="shared" si="9"/>
        <v>Utility</v>
      </c>
      <c r="H419" s="9" t="str">
        <f t="shared" si="10"/>
        <v>Utility</v>
      </c>
      <c r="I419" s="8" t="b">
        <f>IF(D419&lt;2,FALSE,ISERROR(MATCH(H419,'Ontology and concepts per UC'!$A$2:$A$62,0)))</f>
        <v>0</v>
      </c>
      <c r="J419" s="9" t="str">
        <f t="shared" si="11"/>
        <v/>
      </c>
      <c r="K419" s="8" t="b">
        <f>IF(D419&lt;3,FALSE,ISERROR(MATCH(J419,'Ontology and concepts per UC'!$A$2:$A$62,0)))</f>
        <v>0</v>
      </c>
      <c r="L419" s="2"/>
      <c r="M419" s="2" t="s">
        <v>1189</v>
      </c>
      <c r="N419" s="2"/>
      <c r="O419" s="1" t="b">
        <v>0</v>
      </c>
      <c r="P419" s="1">
        <v>0</v>
      </c>
      <c r="Q419" s="1">
        <v>0</v>
      </c>
      <c r="R419" s="1" t="b">
        <f t="shared" si="12"/>
        <v>1</v>
      </c>
      <c r="S419" s="2" t="s">
        <v>65</v>
      </c>
      <c r="T419" s="1" t="str">
        <f>IF(S419="","",VLOOKUP(S419,'Ontology and concepts per UC'!$F$2:$J$46,5,FALSE))</f>
        <v>Utilidad</v>
      </c>
      <c r="U419" s="1" t="b">
        <f t="array" ref="U419">(INDEX('Ontology and concepts per UC'!$G$2:$I$46,MATCH($S419,'Ontology and concepts per UC'!$F$2:$F$46,0),MATCH(LEFT($A419,3),'Ontology and concepts per UC'!$G$1:$I$1,0))=0)</f>
        <v>0</v>
      </c>
      <c r="V419" s="1" t="b">
        <f t="shared" si="13"/>
        <v>1</v>
      </c>
      <c r="W419" s="1" t="b">
        <v>0</v>
      </c>
      <c r="X419" s="1" t="b">
        <v>0</v>
      </c>
      <c r="Y419" s="1" t="b">
        <v>0</v>
      </c>
      <c r="Z419" s="1" t="b">
        <v>1</v>
      </c>
      <c r="AA419" s="1" t="s">
        <v>197</v>
      </c>
    </row>
    <row r="420" spans="1:27" x14ac:dyDescent="0.25">
      <c r="A420" s="1" t="s">
        <v>1168</v>
      </c>
      <c r="B420" s="2" t="s">
        <v>1190</v>
      </c>
      <c r="C420" s="2" t="s">
        <v>1106</v>
      </c>
      <c r="D420" s="6">
        <f t="shared" si="7"/>
        <v>2</v>
      </c>
      <c r="E420" s="7" t="str">
        <f t="shared" si="8"/>
        <v>DeterministicParameter</v>
      </c>
      <c r="F420" s="8" t="b">
        <f>IF(D420&lt;1,FALSE,ISERROR(MATCH(E420,'Ontology and concepts per UC'!$A$2:$A$62,0)))</f>
        <v>0</v>
      </c>
      <c r="G420" s="9" t="str">
        <f t="shared" si="9"/>
        <v>Utility</v>
      </c>
      <c r="H420" s="9" t="str">
        <f t="shared" si="10"/>
        <v>Utility</v>
      </c>
      <c r="I420" s="8" t="b">
        <f>IF(D420&lt;2,FALSE,ISERROR(MATCH(H420,'Ontology and concepts per UC'!$A$2:$A$62,0)))</f>
        <v>0</v>
      </c>
      <c r="J420" s="9" t="str">
        <f t="shared" si="11"/>
        <v/>
      </c>
      <c r="K420" s="8" t="b">
        <f>IF(D420&lt;3,FALSE,ISERROR(MATCH(J420,'Ontology and concepts per UC'!$A$2:$A$62,0)))</f>
        <v>0</v>
      </c>
      <c r="L420" s="2"/>
      <c r="M420" s="2" t="s">
        <v>1191</v>
      </c>
      <c r="N420" s="2"/>
      <c r="O420" s="1" t="b">
        <v>0</v>
      </c>
      <c r="P420" s="1">
        <v>0</v>
      </c>
      <c r="Q420" s="1">
        <v>0</v>
      </c>
      <c r="R420" s="1" t="b">
        <f t="shared" si="12"/>
        <v>1</v>
      </c>
      <c r="S420" s="2" t="s">
        <v>69</v>
      </c>
      <c r="T420" s="1" t="str">
        <f>IF(S420="","",VLOOKUP(S420,'Ontology and concepts per UC'!$F$2:$J$46,5,FALSE))</f>
        <v>Utilidad</v>
      </c>
      <c r="U420" s="1" t="b">
        <f t="array" ref="U420">(INDEX('Ontology and concepts per UC'!$G$2:$I$46,MATCH($S420,'Ontology and concepts per UC'!$F$2:$F$46,0),MATCH(LEFT($A420,3),'Ontology and concepts per UC'!$G$1:$I$1,0))=0)</f>
        <v>0</v>
      </c>
      <c r="V420" s="1" t="b">
        <f t="shared" si="13"/>
        <v>0</v>
      </c>
      <c r="W420" s="1" t="b">
        <v>0</v>
      </c>
      <c r="X420" s="1" t="b">
        <v>0</v>
      </c>
      <c r="Y420" s="1" t="b">
        <v>0</v>
      </c>
      <c r="Z420" s="1" t="b">
        <v>0</v>
      </c>
      <c r="AA420" s="1"/>
    </row>
    <row r="421" spans="1:27" x14ac:dyDescent="0.25">
      <c r="A421" s="1" t="s">
        <v>1168</v>
      </c>
      <c r="B421" s="2" t="s">
        <v>1192</v>
      </c>
      <c r="C421" s="2" t="s">
        <v>1106</v>
      </c>
      <c r="D421" s="6">
        <f t="shared" si="7"/>
        <v>2</v>
      </c>
      <c r="E421" s="7" t="str">
        <f t="shared" si="8"/>
        <v>DeterministicParameter</v>
      </c>
      <c r="F421" s="8" t="b">
        <f>IF(D421&lt;1,FALSE,ISERROR(MATCH(E421,'Ontology and concepts per UC'!$A$2:$A$62,0)))</f>
        <v>0</v>
      </c>
      <c r="G421" s="9" t="str">
        <f t="shared" si="9"/>
        <v>Utility</v>
      </c>
      <c r="H421" s="9" t="str">
        <f t="shared" si="10"/>
        <v>Utility</v>
      </c>
      <c r="I421" s="8" t="b">
        <f>IF(D421&lt;2,FALSE,ISERROR(MATCH(H421,'Ontology and concepts per UC'!$A$2:$A$62,0)))</f>
        <v>0</v>
      </c>
      <c r="J421" s="9" t="str">
        <f t="shared" si="11"/>
        <v/>
      </c>
      <c r="K421" s="8" t="b">
        <f>IF(D421&lt;3,FALSE,ISERROR(MATCH(J421,'Ontology and concepts per UC'!$A$2:$A$62,0)))</f>
        <v>0</v>
      </c>
      <c r="L421" s="2"/>
      <c r="M421" s="2" t="s">
        <v>1193</v>
      </c>
      <c r="N421" s="2"/>
      <c r="O421" s="1" t="b">
        <v>0</v>
      </c>
      <c r="P421" s="1">
        <v>0</v>
      </c>
      <c r="Q421" s="1">
        <v>0</v>
      </c>
      <c r="R421" s="1" t="b">
        <f t="shared" si="12"/>
        <v>1</v>
      </c>
      <c r="S421" s="2" t="s">
        <v>174</v>
      </c>
      <c r="T421" s="1" t="str">
        <f>IF(S421="","",VLOOKUP(S421,'Ontology and concepts per UC'!$F$2:$J$46,5,FALSE))</f>
        <v>Utilidad</v>
      </c>
      <c r="U421" s="1" t="b">
        <f t="array" ref="U421">(INDEX('Ontology and concepts per UC'!$G$2:$I$46,MATCH($S421,'Ontology and concepts per UC'!$F$2:$F$46,0),MATCH(LEFT($A421,3),'Ontology and concepts per UC'!$G$1:$I$1,0))=0)</f>
        <v>0</v>
      </c>
      <c r="V421" s="1" t="b">
        <f t="shared" si="13"/>
        <v>0</v>
      </c>
      <c r="W421" s="1" t="b">
        <v>0</v>
      </c>
      <c r="X421" s="1" t="b">
        <v>0</v>
      </c>
      <c r="Y421" s="1" t="b">
        <v>0</v>
      </c>
      <c r="Z421" s="1" t="b">
        <v>0</v>
      </c>
      <c r="AA421" s="1"/>
    </row>
    <row r="422" spans="1:27" x14ac:dyDescent="0.25">
      <c r="A422" s="1" t="s">
        <v>1168</v>
      </c>
      <c r="B422" s="2" t="s">
        <v>1194</v>
      </c>
      <c r="C422" s="2" t="s">
        <v>1106</v>
      </c>
      <c r="D422" s="6">
        <f t="shared" si="7"/>
        <v>2</v>
      </c>
      <c r="E422" s="7" t="str">
        <f t="shared" si="8"/>
        <v>DeterministicParameter</v>
      </c>
      <c r="F422" s="8" t="b">
        <f>IF(D422&lt;1,FALSE,ISERROR(MATCH(E422,'Ontology and concepts per UC'!$A$2:$A$62,0)))</f>
        <v>0</v>
      </c>
      <c r="G422" s="9" t="str">
        <f t="shared" si="9"/>
        <v>Utility</v>
      </c>
      <c r="H422" s="9" t="str">
        <f t="shared" si="10"/>
        <v>Utility</v>
      </c>
      <c r="I422" s="8" t="b">
        <f>IF(D422&lt;2,FALSE,ISERROR(MATCH(H422,'Ontology and concepts per UC'!$A$2:$A$62,0)))</f>
        <v>0</v>
      </c>
      <c r="J422" s="9" t="str">
        <f t="shared" si="11"/>
        <v/>
      </c>
      <c r="K422" s="8" t="b">
        <f>IF(D422&lt;3,FALSE,ISERROR(MATCH(J422,'Ontology and concepts per UC'!$A$2:$A$62,0)))</f>
        <v>0</v>
      </c>
      <c r="L422" s="2"/>
      <c r="M422" s="2" t="s">
        <v>1195</v>
      </c>
      <c r="N422" s="2"/>
      <c r="O422" s="1" t="b">
        <v>0</v>
      </c>
      <c r="P422" s="1">
        <v>0</v>
      </c>
      <c r="Q422" s="1">
        <v>0</v>
      </c>
      <c r="R422" s="1" t="b">
        <f t="shared" si="12"/>
        <v>1</v>
      </c>
      <c r="S422" s="2" t="s">
        <v>70</v>
      </c>
      <c r="T422" s="1" t="str">
        <f>IF(S422="","",VLOOKUP(S422,'Ontology and concepts per UC'!$F$2:$J$46,5,FALSE))</f>
        <v>Utilidad</v>
      </c>
      <c r="U422" s="1" t="b">
        <f t="array" ref="U422">(INDEX('Ontology and concepts per UC'!$G$2:$I$46,MATCH($S422,'Ontology and concepts per UC'!$F$2:$F$46,0),MATCH(LEFT($A422,3),'Ontology and concepts per UC'!$G$1:$I$1,0))=0)</f>
        <v>0</v>
      </c>
      <c r="V422" s="1" t="b">
        <f t="shared" si="13"/>
        <v>0</v>
      </c>
      <c r="W422" s="1" t="b">
        <v>0</v>
      </c>
      <c r="X422" s="1" t="b">
        <v>0</v>
      </c>
      <c r="Y422" s="1" t="b">
        <v>0</v>
      </c>
      <c r="Z422" s="1" t="b">
        <v>0</v>
      </c>
      <c r="AA422" s="1"/>
    </row>
    <row r="423" spans="1:27" x14ac:dyDescent="0.25">
      <c r="A423" s="1" t="s">
        <v>1168</v>
      </c>
      <c r="B423" s="2" t="s">
        <v>1196</v>
      </c>
      <c r="C423" s="2" t="s">
        <v>23</v>
      </c>
      <c r="D423" s="6">
        <f t="shared" si="7"/>
        <v>1</v>
      </c>
      <c r="E423" s="7" t="str">
        <f t="shared" si="8"/>
        <v>DiagnosisIntervention</v>
      </c>
      <c r="F423" s="8" t="b">
        <f>IF(D423&lt;1,FALSE,ISERROR(MATCH(E423,'Ontology and concepts per UC'!$A$2:$A$62,0)))</f>
        <v>0</v>
      </c>
      <c r="G423" s="9" t="str">
        <f t="shared" si="9"/>
        <v/>
      </c>
      <c r="H423" s="9" t="str">
        <f t="shared" si="10"/>
        <v/>
      </c>
      <c r="I423" s="8" t="b">
        <f>IF(D423&lt;2,FALSE,ISERROR(MATCH(H423,'Ontology and concepts per UC'!$A$2:$A$62,0)))</f>
        <v>0</v>
      </c>
      <c r="J423" s="9" t="str">
        <f t="shared" si="11"/>
        <v/>
      </c>
      <c r="K423" s="8" t="b">
        <f>IF(D423&lt;3,FALSE,ISERROR(MATCH(J423,'Ontology and concepts per UC'!$A$2:$A$62,0)))</f>
        <v>0</v>
      </c>
      <c r="L423" s="2"/>
      <c r="M423" s="2" t="s">
        <v>1197</v>
      </c>
      <c r="N423" s="2"/>
      <c r="O423" s="1" t="b">
        <v>0</v>
      </c>
      <c r="P423" s="1">
        <v>0</v>
      </c>
      <c r="Q423" s="1">
        <v>0</v>
      </c>
      <c r="R423" s="1" t="b">
        <f t="shared" si="12"/>
        <v>0</v>
      </c>
      <c r="S423" s="2" t="s">
        <v>42</v>
      </c>
      <c r="T423" s="1" t="str">
        <f>IF(S423="","",VLOOKUP(S423,'Ontology and concepts per UC'!$F$2:$J$46,5,FALSE))</f>
        <v>Parámetros de intervención</v>
      </c>
      <c r="U423" s="1" t="b">
        <f t="array" ref="U423">(INDEX('Ontology and concepts per UC'!$G$2:$I$46,MATCH($S423,'Ontology and concepts per UC'!$F$2:$F$46,0),MATCH(LEFT($A423,3),'Ontology and concepts per UC'!$G$1:$I$1,0))=0)</f>
        <v>0</v>
      </c>
      <c r="V423" s="1" t="b">
        <f t="shared" si="13"/>
        <v>0</v>
      </c>
      <c r="W423" s="1" t="b">
        <v>0</v>
      </c>
      <c r="X423" s="1" t="b">
        <v>0</v>
      </c>
      <c r="Y423" s="1" t="b">
        <v>0</v>
      </c>
      <c r="Z423" s="1" t="b">
        <v>0</v>
      </c>
      <c r="AA423" s="1"/>
    </row>
    <row r="424" spans="1:27" x14ac:dyDescent="0.25">
      <c r="A424" s="1" t="s">
        <v>1168</v>
      </c>
      <c r="B424" s="2" t="s">
        <v>1198</v>
      </c>
      <c r="C424" s="2" t="s">
        <v>44</v>
      </c>
      <c r="D424" s="6">
        <f t="shared" si="7"/>
        <v>1</v>
      </c>
      <c r="E424" s="7" t="str">
        <f t="shared" si="8"/>
        <v>DiagnosisStrategy</v>
      </c>
      <c r="F424" s="8" t="b">
        <f>IF(D424&lt;1,FALSE,ISERROR(MATCH(E424,'Ontology and concepts per UC'!$A$2:$A$62,0)))</f>
        <v>0</v>
      </c>
      <c r="G424" s="9" t="str">
        <f t="shared" si="9"/>
        <v/>
      </c>
      <c r="H424" s="9" t="str">
        <f t="shared" si="10"/>
        <v/>
      </c>
      <c r="I424" s="8" t="b">
        <f>IF(D424&lt;2,FALSE,ISERROR(MATCH(H424,'Ontology and concepts per UC'!$A$2:$A$62,0)))</f>
        <v>0</v>
      </c>
      <c r="J424" s="9" t="str">
        <f t="shared" si="11"/>
        <v/>
      </c>
      <c r="K424" s="8" t="b">
        <f>IF(D424&lt;3,FALSE,ISERROR(MATCH(J424,'Ontology and concepts per UC'!$A$2:$A$62,0)))</f>
        <v>0</v>
      </c>
      <c r="L424" s="2" t="s">
        <v>1199</v>
      </c>
      <c r="M424" s="2" t="s">
        <v>1200</v>
      </c>
      <c r="N424" s="2"/>
      <c r="O424" s="1" t="b">
        <v>0</v>
      </c>
      <c r="P424" s="1">
        <v>0</v>
      </c>
      <c r="Q424" s="1">
        <v>0</v>
      </c>
      <c r="R424" s="1" t="b">
        <f t="shared" si="12"/>
        <v>0</v>
      </c>
      <c r="S424" s="2" t="s">
        <v>42</v>
      </c>
      <c r="T424" s="1" t="str">
        <f>IF(S424="","",VLOOKUP(S424,'Ontology and concepts per UC'!$F$2:$J$46,5,FALSE))</f>
        <v>Parámetros de intervención</v>
      </c>
      <c r="U424" s="1" t="b">
        <f t="array" ref="U424">(INDEX('Ontology and concepts per UC'!$G$2:$I$46,MATCH($S424,'Ontology and concepts per UC'!$F$2:$F$46,0),MATCH(LEFT($A424,3),'Ontology and concepts per UC'!$G$1:$I$1,0))=0)</f>
        <v>0</v>
      </c>
      <c r="V424" s="1" t="b">
        <f t="shared" si="13"/>
        <v>0</v>
      </c>
      <c r="W424" s="1" t="b">
        <v>0</v>
      </c>
      <c r="X424" s="1" t="b">
        <v>0</v>
      </c>
      <c r="Y424" s="1" t="b">
        <v>0</v>
      </c>
      <c r="Z424" s="1" t="b">
        <v>0</v>
      </c>
      <c r="AA424" s="1" t="s">
        <v>205</v>
      </c>
    </row>
    <row r="425" spans="1:27" x14ac:dyDescent="0.25">
      <c r="A425" s="1" t="s">
        <v>1168</v>
      </c>
      <c r="B425" s="2" t="s">
        <v>1201</v>
      </c>
      <c r="C425" s="2" t="s">
        <v>104</v>
      </c>
      <c r="D425" s="6">
        <f t="shared" si="7"/>
        <v>1</v>
      </c>
      <c r="E425" s="7" t="str">
        <f t="shared" si="8"/>
        <v>Disease</v>
      </c>
      <c r="F425" s="8" t="b">
        <f>IF(D425&lt;1,FALSE,ISERROR(MATCH(E425,'Ontology and concepts per UC'!$A$2:$A$62,0)))</f>
        <v>0</v>
      </c>
      <c r="G425" s="9" t="str">
        <f t="shared" si="9"/>
        <v/>
      </c>
      <c r="H425" s="9" t="str">
        <f t="shared" si="10"/>
        <v/>
      </c>
      <c r="I425" s="8" t="b">
        <f>IF(D425&lt;2,FALSE,ISERROR(MATCH(H425,'Ontology and concepts per UC'!$A$2:$A$62,0)))</f>
        <v>0</v>
      </c>
      <c r="J425" s="9" t="str">
        <f t="shared" si="11"/>
        <v/>
      </c>
      <c r="K425" s="8" t="b">
        <f>IF(D425&lt;3,FALSE,ISERROR(MATCH(J425,'Ontology and concepts per UC'!$A$2:$A$62,0)))</f>
        <v>0</v>
      </c>
      <c r="L425" s="2" t="s">
        <v>1202</v>
      </c>
      <c r="M425" s="2" t="s">
        <v>1203</v>
      </c>
      <c r="N425" s="2"/>
      <c r="O425" s="1" t="b">
        <v>0</v>
      </c>
      <c r="P425" s="1">
        <v>0</v>
      </c>
      <c r="Q425" s="1">
        <v>0</v>
      </c>
      <c r="R425" s="1" t="b">
        <f t="shared" si="12"/>
        <v>0</v>
      </c>
      <c r="S425" s="2" t="s">
        <v>35</v>
      </c>
      <c r="T425" s="1" t="str">
        <f>IF(S425="","",VLOOKUP(S425,'Ontology and concepts per UC'!$F$2:$J$46,5,FALSE))</f>
        <v>Modelo Conceptual</v>
      </c>
      <c r="U425" s="1" t="b">
        <f t="array" ref="U425">(INDEX('Ontology and concepts per UC'!$G$2:$I$46,MATCH($S425,'Ontology and concepts per UC'!$F$2:$F$46,0),MATCH(LEFT($A425,3),'Ontology and concepts per UC'!$G$1:$I$1,0))=0)</f>
        <v>0</v>
      </c>
      <c r="V425" s="1" t="b">
        <f t="shared" si="13"/>
        <v>0</v>
      </c>
      <c r="W425" s="1" t="b">
        <v>0</v>
      </c>
      <c r="X425" s="1" t="b">
        <v>0</v>
      </c>
      <c r="Y425" s="1" t="b">
        <v>0</v>
      </c>
      <c r="Z425" s="1" t="b">
        <v>0</v>
      </c>
      <c r="AA425" s="1"/>
    </row>
    <row r="426" spans="1:27" x14ac:dyDescent="0.25">
      <c r="A426" s="1" t="s">
        <v>1168</v>
      </c>
      <c r="B426" s="2" t="s">
        <v>1204</v>
      </c>
      <c r="C426" s="2" t="s">
        <v>208</v>
      </c>
      <c r="D426" s="6">
        <f t="shared" si="7"/>
        <v>1</v>
      </c>
      <c r="E426" s="7" t="str">
        <f t="shared" si="8"/>
        <v>EpidemiologicalParameter</v>
      </c>
      <c r="F426" s="8" t="b">
        <f>IF(D426&lt;1,FALSE,ISERROR(MATCH(E426,'Ontology and concepts per UC'!$A$2:$A$62,0)))</f>
        <v>0</v>
      </c>
      <c r="G426" s="9" t="str">
        <f t="shared" si="9"/>
        <v/>
      </c>
      <c r="H426" s="9" t="str">
        <f t="shared" si="10"/>
        <v/>
      </c>
      <c r="I426" s="8" t="b">
        <f>IF(D426&lt;2,FALSE,ISERROR(MATCH(H426,'Ontology and concepts per UC'!$A$2:$A$62,0)))</f>
        <v>0</v>
      </c>
      <c r="J426" s="9" t="str">
        <f t="shared" si="11"/>
        <v/>
      </c>
      <c r="K426" s="8" t="b">
        <f>IF(D426&lt;3,FALSE,ISERROR(MATCH(J426,'Ontology and concepts per UC'!$A$2:$A$62,0)))</f>
        <v>0</v>
      </c>
      <c r="L426" s="2" t="s">
        <v>1205</v>
      </c>
      <c r="M426" s="2" t="s">
        <v>1206</v>
      </c>
      <c r="N426" s="2"/>
      <c r="O426" s="1" t="b">
        <v>0</v>
      </c>
      <c r="P426" s="1">
        <v>0</v>
      </c>
      <c r="Q426" s="1">
        <v>0</v>
      </c>
      <c r="R426" s="1" t="b">
        <f t="shared" si="12"/>
        <v>1</v>
      </c>
      <c r="S426" s="2" t="s">
        <v>107</v>
      </c>
      <c r="T426" s="1" t="str">
        <f>IF(S426="","",VLOOKUP(S426,'Ontology and concepts per UC'!$F$2:$J$46,5,FALSE))</f>
        <v>Parcial</v>
      </c>
      <c r="U426" s="1" t="b">
        <f t="array" ref="U426">(INDEX('Ontology and concepts per UC'!$G$2:$I$46,MATCH($S426,'Ontology and concepts per UC'!$F$2:$F$46,0),MATCH(LEFT($A426,3),'Ontology and concepts per UC'!$G$1:$I$1,0))=0)</f>
        <v>0</v>
      </c>
      <c r="V426" s="1" t="b">
        <f t="shared" si="13"/>
        <v>0</v>
      </c>
      <c r="W426" s="1" t="b">
        <v>0</v>
      </c>
      <c r="X426" s="1" t="b">
        <v>0</v>
      </c>
      <c r="Y426" s="1" t="b">
        <v>0</v>
      </c>
      <c r="Z426" s="1" t="b">
        <v>0</v>
      </c>
      <c r="AA426" s="1" t="s">
        <v>205</v>
      </c>
    </row>
    <row r="427" spans="1:27" x14ac:dyDescent="0.25">
      <c r="A427" s="1" t="s">
        <v>1168</v>
      </c>
      <c r="B427" s="2" t="s">
        <v>1207</v>
      </c>
      <c r="C427" s="2" t="s">
        <v>208</v>
      </c>
      <c r="D427" s="6">
        <f t="shared" si="7"/>
        <v>1</v>
      </c>
      <c r="E427" s="7" t="str">
        <f t="shared" si="8"/>
        <v>EpidemiologicalParameter</v>
      </c>
      <c r="F427" s="8" t="b">
        <f>IF(D427&lt;1,FALSE,ISERROR(MATCH(E427,'Ontology and concepts per UC'!$A$2:$A$62,0)))</f>
        <v>0</v>
      </c>
      <c r="G427" s="9" t="str">
        <f t="shared" si="9"/>
        <v/>
      </c>
      <c r="H427" s="9" t="str">
        <f t="shared" si="10"/>
        <v/>
      </c>
      <c r="I427" s="8" t="b">
        <f>IF(D427&lt;2,FALSE,ISERROR(MATCH(H427,'Ontology and concepts per UC'!$A$2:$A$62,0)))</f>
        <v>0</v>
      </c>
      <c r="J427" s="9" t="str">
        <f t="shared" si="11"/>
        <v/>
      </c>
      <c r="K427" s="8" t="b">
        <f>IF(D427&lt;3,FALSE,ISERROR(MATCH(J427,'Ontology and concepts per UC'!$A$2:$A$62,0)))</f>
        <v>0</v>
      </c>
      <c r="L427" s="2" t="s">
        <v>1208</v>
      </c>
      <c r="M427" s="2" t="s">
        <v>1209</v>
      </c>
      <c r="N427" s="2"/>
      <c r="O427" s="1" t="b">
        <v>0</v>
      </c>
      <c r="P427" s="1">
        <v>0</v>
      </c>
      <c r="Q427" s="1">
        <v>0</v>
      </c>
      <c r="R427" s="1" t="b">
        <f t="shared" si="12"/>
        <v>1</v>
      </c>
      <c r="S427" s="2" t="s">
        <v>38</v>
      </c>
      <c r="T427" s="1" t="str">
        <f>IF(S427="","",VLOOKUP(S427,'Ontology and concepts per UC'!$F$2:$J$46,5,FALSE))</f>
        <v>Parámetro epidemiológico</v>
      </c>
      <c r="U427" s="1" t="b">
        <f t="array" ref="U427">(INDEX('Ontology and concepts per UC'!$G$2:$I$46,MATCH($S427,'Ontology and concepts per UC'!$F$2:$F$46,0),MATCH(LEFT($A427,3),'Ontology and concepts per UC'!$G$1:$I$1,0))=0)</f>
        <v>0</v>
      </c>
      <c r="V427" s="1" t="b">
        <f t="shared" si="13"/>
        <v>0</v>
      </c>
      <c r="W427" s="1" t="b">
        <v>0</v>
      </c>
      <c r="X427" s="1" t="b">
        <v>0</v>
      </c>
      <c r="Y427" s="1" t="b">
        <v>0</v>
      </c>
      <c r="Z427" s="1" t="b">
        <v>0</v>
      </c>
      <c r="AA427" s="1"/>
    </row>
    <row r="428" spans="1:27" x14ac:dyDescent="0.25">
      <c r="A428" s="1" t="s">
        <v>1168</v>
      </c>
      <c r="B428" s="2" t="s">
        <v>1210</v>
      </c>
      <c r="C428" s="2" t="s">
        <v>61</v>
      </c>
      <c r="D428" s="6">
        <f t="shared" si="7"/>
        <v>1</v>
      </c>
      <c r="E428" s="7" t="str">
        <f t="shared" si="8"/>
        <v>FollowUpStrategy</v>
      </c>
      <c r="F428" s="8" t="b">
        <f>IF(D428&lt;1,FALSE,ISERROR(MATCH(E428,'Ontology and concepts per UC'!$A$2:$A$62,0)))</f>
        <v>0</v>
      </c>
      <c r="G428" s="9" t="str">
        <f t="shared" si="9"/>
        <v/>
      </c>
      <c r="H428" s="9" t="str">
        <f t="shared" si="10"/>
        <v/>
      </c>
      <c r="I428" s="8" t="b">
        <f>IF(D428&lt;2,FALSE,ISERROR(MATCH(H428,'Ontology and concepts per UC'!$A$2:$A$62,0)))</f>
        <v>0</v>
      </c>
      <c r="J428" s="9" t="str">
        <f t="shared" si="11"/>
        <v/>
      </c>
      <c r="K428" s="8" t="b">
        <f>IF(D428&lt;3,FALSE,ISERROR(MATCH(J428,'Ontology and concepts per UC'!$A$2:$A$62,0)))</f>
        <v>0</v>
      </c>
      <c r="L428" s="2" t="s">
        <v>1211</v>
      </c>
      <c r="M428" s="2" t="s">
        <v>1212</v>
      </c>
      <c r="N428" s="2"/>
      <c r="O428" s="1" t="b">
        <v>0</v>
      </c>
      <c r="P428" s="1">
        <v>0</v>
      </c>
      <c r="Q428" s="1">
        <v>0</v>
      </c>
      <c r="R428" s="1" t="b">
        <f t="shared" si="12"/>
        <v>0</v>
      </c>
      <c r="S428" s="2" t="s">
        <v>107</v>
      </c>
      <c r="T428" s="1" t="str">
        <f>IF(S428="","",VLOOKUP(S428,'Ontology and concepts per UC'!$F$2:$J$46,5,FALSE))</f>
        <v>Parcial</v>
      </c>
      <c r="U428" s="1" t="b">
        <f t="array" ref="U428">(INDEX('Ontology and concepts per UC'!$G$2:$I$46,MATCH($S428,'Ontology and concepts per UC'!$F$2:$F$46,0),MATCH(LEFT($A428,3),'Ontology and concepts per UC'!$G$1:$I$1,0))=0)</f>
        <v>0</v>
      </c>
      <c r="V428" s="1" t="b">
        <f t="shared" si="13"/>
        <v>0</v>
      </c>
      <c r="W428" s="1" t="b">
        <v>0</v>
      </c>
      <c r="X428" s="1" t="b">
        <v>0</v>
      </c>
      <c r="Y428" s="1" t="b">
        <v>0</v>
      </c>
      <c r="Z428" s="1" t="b">
        <v>0</v>
      </c>
      <c r="AA428" s="1" t="s">
        <v>205</v>
      </c>
    </row>
    <row r="429" spans="1:27" x14ac:dyDescent="0.25">
      <c r="A429" s="1" t="s">
        <v>1168</v>
      </c>
      <c r="B429" s="2" t="s">
        <v>1213</v>
      </c>
      <c r="C429" s="2" t="s">
        <v>61</v>
      </c>
      <c r="D429" s="6">
        <f t="shared" si="7"/>
        <v>1</v>
      </c>
      <c r="E429" s="7" t="str">
        <f t="shared" si="8"/>
        <v>FollowUpStrategy</v>
      </c>
      <c r="F429" s="8" t="b">
        <f>IF(D429&lt;1,FALSE,ISERROR(MATCH(E429,'Ontology and concepts per UC'!$A$2:$A$62,0)))</f>
        <v>0</v>
      </c>
      <c r="G429" s="9" t="str">
        <f t="shared" si="9"/>
        <v/>
      </c>
      <c r="H429" s="9" t="str">
        <f t="shared" si="10"/>
        <v/>
      </c>
      <c r="I429" s="8" t="b">
        <f>IF(D429&lt;2,FALSE,ISERROR(MATCH(H429,'Ontology and concepts per UC'!$A$2:$A$62,0)))</f>
        <v>0</v>
      </c>
      <c r="J429" s="9" t="str">
        <f t="shared" si="11"/>
        <v/>
      </c>
      <c r="K429" s="8" t="b">
        <f>IF(D429&lt;3,FALSE,ISERROR(MATCH(J429,'Ontology and concepts per UC'!$A$2:$A$62,0)))</f>
        <v>0</v>
      </c>
      <c r="L429" s="2" t="s">
        <v>1214</v>
      </c>
      <c r="M429" s="2" t="s">
        <v>1215</v>
      </c>
      <c r="N429" s="2"/>
      <c r="O429" s="1" t="b">
        <v>0</v>
      </c>
      <c r="P429" s="1">
        <v>0</v>
      </c>
      <c r="Q429" s="1">
        <v>0</v>
      </c>
      <c r="R429" s="1" t="b">
        <f t="shared" si="12"/>
        <v>0</v>
      </c>
      <c r="S429" s="2" t="s">
        <v>60</v>
      </c>
      <c r="T429" s="1" t="str">
        <f>IF(S429="","",VLOOKUP(S429,'Ontology and concepts per UC'!$F$2:$J$46,5,FALSE))</f>
        <v>Tratamiento/seguimiento</v>
      </c>
      <c r="U429" s="1" t="b">
        <f t="array" ref="U429">(INDEX('Ontology and concepts per UC'!$G$2:$I$46,MATCH($S429,'Ontology and concepts per UC'!$F$2:$F$46,0),MATCH(LEFT($A429,3),'Ontology and concepts per UC'!$G$1:$I$1,0))=0)</f>
        <v>0</v>
      </c>
      <c r="V429" s="1" t="b">
        <f t="shared" si="13"/>
        <v>1</v>
      </c>
      <c r="W429" s="1" t="b">
        <v>0</v>
      </c>
      <c r="X429" s="1" t="b">
        <v>1</v>
      </c>
      <c r="Y429" s="1" t="b">
        <v>0</v>
      </c>
      <c r="Z429" s="1" t="b">
        <v>0</v>
      </c>
      <c r="AA429" s="1" t="s">
        <v>1216</v>
      </c>
    </row>
    <row r="430" spans="1:27" x14ac:dyDescent="0.25">
      <c r="A430" s="1" t="s">
        <v>1168</v>
      </c>
      <c r="B430" s="2" t="s">
        <v>1217</v>
      </c>
      <c r="C430" s="2" t="s">
        <v>1218</v>
      </c>
      <c r="D430" s="6">
        <f t="shared" si="7"/>
        <v>1</v>
      </c>
      <c r="E430" s="7" t="str">
        <f t="shared" si="8"/>
        <v>FollowUpTest</v>
      </c>
      <c r="F430" s="8" t="b">
        <f>IF(D430&lt;1,FALSE,ISERROR(MATCH(E430,'Ontology and concepts per UC'!$A$2:$A$62,0)))</f>
        <v>0</v>
      </c>
      <c r="G430" s="9" t="str">
        <f t="shared" si="9"/>
        <v/>
      </c>
      <c r="H430" s="9" t="str">
        <f t="shared" si="10"/>
        <v/>
      </c>
      <c r="I430" s="8" t="b">
        <f>IF(D430&lt;2,FALSE,ISERROR(MATCH(H430,'Ontology and concepts per UC'!$A$2:$A$62,0)))</f>
        <v>0</v>
      </c>
      <c r="J430" s="9" t="str">
        <f t="shared" si="11"/>
        <v/>
      </c>
      <c r="K430" s="8" t="b">
        <f>IF(D430&lt;3,FALSE,ISERROR(MATCH(J430,'Ontology and concepts per UC'!$A$2:$A$62,0)))</f>
        <v>0</v>
      </c>
      <c r="L430" s="2"/>
      <c r="M430" s="2" t="s">
        <v>1219</v>
      </c>
      <c r="N430" s="2" t="s">
        <v>1220</v>
      </c>
      <c r="O430" s="1" t="b">
        <v>0</v>
      </c>
      <c r="P430" s="1">
        <v>0</v>
      </c>
      <c r="Q430" s="1">
        <v>1</v>
      </c>
      <c r="R430" s="1" t="b">
        <f t="shared" si="12"/>
        <v>0</v>
      </c>
      <c r="S430" s="2" t="s">
        <v>107</v>
      </c>
      <c r="T430" s="1" t="str">
        <f>IF(S430="","",VLOOKUP(S430,'Ontology and concepts per UC'!$F$2:$J$46,5,FALSE))</f>
        <v>Parcial</v>
      </c>
      <c r="U430" s="1" t="b">
        <f t="array" ref="U430">(INDEX('Ontology and concepts per UC'!$G$2:$I$46,MATCH($S430,'Ontology and concepts per UC'!$F$2:$F$46,0),MATCH(LEFT($A430,3),'Ontology and concepts per UC'!$G$1:$I$1,0))=0)</f>
        <v>0</v>
      </c>
      <c r="V430" s="1" t="b">
        <f t="shared" si="13"/>
        <v>1</v>
      </c>
      <c r="W430" s="1" t="b">
        <v>0</v>
      </c>
      <c r="X430" s="1" t="b">
        <v>1</v>
      </c>
      <c r="Y430" s="1" t="b">
        <v>0</v>
      </c>
      <c r="Z430" s="1" t="b">
        <v>0</v>
      </c>
      <c r="AA430" s="1" t="s">
        <v>1221</v>
      </c>
    </row>
    <row r="431" spans="1:27" x14ac:dyDescent="0.25">
      <c r="A431" s="1" t="s">
        <v>1168</v>
      </c>
      <c r="B431" s="2" t="s">
        <v>1222</v>
      </c>
      <c r="C431" s="2" t="s">
        <v>1218</v>
      </c>
      <c r="D431" s="6">
        <f t="shared" si="7"/>
        <v>1</v>
      </c>
      <c r="E431" s="7" t="str">
        <f t="shared" si="8"/>
        <v>FollowUpTest</v>
      </c>
      <c r="F431" s="8" t="b">
        <f>IF(D431&lt;1,FALSE,ISERROR(MATCH(E431,'Ontology and concepts per UC'!$A$2:$A$62,0)))</f>
        <v>0</v>
      </c>
      <c r="G431" s="9" t="str">
        <f t="shared" si="9"/>
        <v/>
      </c>
      <c r="H431" s="9" t="str">
        <f t="shared" si="10"/>
        <v/>
      </c>
      <c r="I431" s="8" t="b">
        <f>IF(D431&lt;2,FALSE,ISERROR(MATCH(H431,'Ontology and concepts per UC'!$A$2:$A$62,0)))</f>
        <v>0</v>
      </c>
      <c r="J431" s="9" t="str">
        <f t="shared" si="11"/>
        <v/>
      </c>
      <c r="K431" s="8" t="b">
        <f>IF(D431&lt;3,FALSE,ISERROR(MATCH(J431,'Ontology and concepts per UC'!$A$2:$A$62,0)))</f>
        <v>0</v>
      </c>
      <c r="L431" s="2"/>
      <c r="M431" s="2" t="s">
        <v>1223</v>
      </c>
      <c r="N431" s="2" t="s">
        <v>1224</v>
      </c>
      <c r="O431" s="1" t="b">
        <v>0</v>
      </c>
      <c r="P431" s="1">
        <v>0</v>
      </c>
      <c r="Q431" s="1">
        <v>1</v>
      </c>
      <c r="R431" s="1" t="b">
        <f t="shared" si="12"/>
        <v>0</v>
      </c>
      <c r="S431" s="2" t="s">
        <v>60</v>
      </c>
      <c r="T431" s="1" t="str">
        <f>IF(S431="","",VLOOKUP(S431,'Ontology and concepts per UC'!$F$2:$J$46,5,FALSE))</f>
        <v>Tratamiento/seguimiento</v>
      </c>
      <c r="U431" s="1" t="b">
        <f t="array" ref="U431">(INDEX('Ontology and concepts per UC'!$G$2:$I$46,MATCH($S431,'Ontology and concepts per UC'!$F$2:$F$46,0),MATCH(LEFT($A431,3),'Ontology and concepts per UC'!$G$1:$I$1,0))=0)</f>
        <v>0</v>
      </c>
      <c r="V431" s="1" t="b">
        <f t="shared" si="13"/>
        <v>1</v>
      </c>
      <c r="W431" s="1" t="b">
        <v>1</v>
      </c>
      <c r="X431" s="1" t="b">
        <v>0</v>
      </c>
      <c r="Y431" s="1" t="b">
        <v>0</v>
      </c>
      <c r="Z431" s="1" t="b">
        <v>0</v>
      </c>
      <c r="AA431" s="1"/>
    </row>
    <row r="432" spans="1:27" x14ac:dyDescent="0.25">
      <c r="A432" s="1" t="s">
        <v>1168</v>
      </c>
      <c r="B432" s="2" t="s">
        <v>1225</v>
      </c>
      <c r="C432" s="2" t="s">
        <v>1218</v>
      </c>
      <c r="D432" s="6">
        <f t="shared" si="7"/>
        <v>1</v>
      </c>
      <c r="E432" s="7" t="str">
        <f t="shared" si="8"/>
        <v>FollowUpTest</v>
      </c>
      <c r="F432" s="8" t="b">
        <f>IF(D432&lt;1,FALSE,ISERROR(MATCH(E432,'Ontology and concepts per UC'!$A$2:$A$62,0)))</f>
        <v>0</v>
      </c>
      <c r="G432" s="9" t="str">
        <f t="shared" si="9"/>
        <v/>
      </c>
      <c r="H432" s="9" t="str">
        <f t="shared" si="10"/>
        <v/>
      </c>
      <c r="I432" s="8" t="b">
        <f>IF(D432&lt;2,FALSE,ISERROR(MATCH(H432,'Ontology and concepts per UC'!$A$2:$A$62,0)))</f>
        <v>0</v>
      </c>
      <c r="J432" s="9" t="str">
        <f t="shared" si="11"/>
        <v/>
      </c>
      <c r="K432" s="8" t="b">
        <f>IF(D432&lt;3,FALSE,ISERROR(MATCH(J432,'Ontology and concepts per UC'!$A$2:$A$62,0)))</f>
        <v>0</v>
      </c>
      <c r="L432" s="2"/>
      <c r="M432" s="2" t="s">
        <v>1226</v>
      </c>
      <c r="N432" s="2" t="s">
        <v>1220</v>
      </c>
      <c r="O432" s="1" t="b">
        <v>0</v>
      </c>
      <c r="P432" s="1">
        <v>0</v>
      </c>
      <c r="Q432" s="1">
        <v>1</v>
      </c>
      <c r="R432" s="1" t="b">
        <f t="shared" si="12"/>
        <v>0</v>
      </c>
      <c r="S432" s="2" t="s">
        <v>60</v>
      </c>
      <c r="T432" s="1" t="str">
        <f>IF(S432="","",VLOOKUP(S432,'Ontology and concepts per UC'!$F$2:$J$46,5,FALSE))</f>
        <v>Tratamiento/seguimiento</v>
      </c>
      <c r="U432" s="1" t="b">
        <f t="array" ref="U432">(INDEX('Ontology and concepts per UC'!$G$2:$I$46,MATCH($S432,'Ontology and concepts per UC'!$F$2:$F$46,0),MATCH(LEFT($A432,3),'Ontology and concepts per UC'!$G$1:$I$1,0))=0)</f>
        <v>0</v>
      </c>
      <c r="V432" s="1" t="b">
        <f t="shared" si="13"/>
        <v>1</v>
      </c>
      <c r="W432" s="1" t="b">
        <v>1</v>
      </c>
      <c r="X432" s="1" t="b">
        <v>0</v>
      </c>
      <c r="Y432" s="1" t="b">
        <v>0</v>
      </c>
      <c r="Z432" s="1" t="b">
        <v>0</v>
      </c>
      <c r="AA432" s="1" t="s">
        <v>1227</v>
      </c>
    </row>
    <row r="433" spans="1:27" x14ac:dyDescent="0.25">
      <c r="A433" s="1" t="s">
        <v>1168</v>
      </c>
      <c r="B433" s="2" t="s">
        <v>1228</v>
      </c>
      <c r="C433" s="2" t="s">
        <v>1218</v>
      </c>
      <c r="D433" s="6">
        <f t="shared" si="7"/>
        <v>1</v>
      </c>
      <c r="E433" s="7" t="str">
        <f t="shared" si="8"/>
        <v>FollowUpTest</v>
      </c>
      <c r="F433" s="8" t="b">
        <f>IF(D433&lt;1,FALSE,ISERROR(MATCH(E433,'Ontology and concepts per UC'!$A$2:$A$62,0)))</f>
        <v>0</v>
      </c>
      <c r="G433" s="9" t="str">
        <f t="shared" si="9"/>
        <v/>
      </c>
      <c r="H433" s="9" t="str">
        <f t="shared" si="10"/>
        <v/>
      </c>
      <c r="I433" s="8" t="b">
        <f>IF(D433&lt;2,FALSE,ISERROR(MATCH(H433,'Ontology and concepts per UC'!$A$2:$A$62,0)))</f>
        <v>0</v>
      </c>
      <c r="J433" s="9" t="str">
        <f t="shared" si="11"/>
        <v/>
      </c>
      <c r="K433" s="8" t="b">
        <f>IF(D433&lt;3,FALSE,ISERROR(MATCH(J433,'Ontology and concepts per UC'!$A$2:$A$62,0)))</f>
        <v>0</v>
      </c>
      <c r="L433" s="2"/>
      <c r="M433" s="2" t="s">
        <v>1229</v>
      </c>
      <c r="N433" s="2" t="s">
        <v>1230</v>
      </c>
      <c r="O433" s="1" t="b">
        <v>0</v>
      </c>
      <c r="P433" s="1">
        <v>0</v>
      </c>
      <c r="Q433" s="1">
        <v>1</v>
      </c>
      <c r="R433" s="1" t="b">
        <f t="shared" si="12"/>
        <v>0</v>
      </c>
      <c r="S433" s="2" t="s">
        <v>60</v>
      </c>
      <c r="T433" s="1" t="str">
        <f>IF(S433="","",VLOOKUP(S433,'Ontology and concepts per UC'!$F$2:$J$46,5,FALSE))</f>
        <v>Tratamiento/seguimiento</v>
      </c>
      <c r="U433" s="1" t="b">
        <f t="array" ref="U433">(INDEX('Ontology and concepts per UC'!$G$2:$I$46,MATCH($S433,'Ontology and concepts per UC'!$F$2:$F$46,0),MATCH(LEFT($A433,3),'Ontology and concepts per UC'!$G$1:$I$1,0))=0)</f>
        <v>0</v>
      </c>
      <c r="V433" s="1" t="b">
        <f t="shared" si="13"/>
        <v>1</v>
      </c>
      <c r="W433" s="1" t="b">
        <v>1</v>
      </c>
      <c r="X433" s="1" t="b">
        <v>0</v>
      </c>
      <c r="Y433" s="1" t="b">
        <v>0</v>
      </c>
      <c r="Z433" s="1" t="b">
        <v>0</v>
      </c>
      <c r="AA433" s="1" t="s">
        <v>1227</v>
      </c>
    </row>
    <row r="434" spans="1:27" x14ac:dyDescent="0.25">
      <c r="A434" s="1" t="s">
        <v>1168</v>
      </c>
      <c r="B434" s="2" t="s">
        <v>1231</v>
      </c>
      <c r="C434" s="2" t="s">
        <v>1218</v>
      </c>
      <c r="D434" s="6">
        <f t="shared" si="7"/>
        <v>1</v>
      </c>
      <c r="E434" s="7" t="str">
        <f t="shared" si="8"/>
        <v>FollowUpTest</v>
      </c>
      <c r="F434" s="8" t="b">
        <f>IF(D434&lt;1,FALSE,ISERROR(MATCH(E434,'Ontology and concepts per UC'!$A$2:$A$62,0)))</f>
        <v>0</v>
      </c>
      <c r="G434" s="9" t="str">
        <f t="shared" si="9"/>
        <v/>
      </c>
      <c r="H434" s="9" t="str">
        <f t="shared" si="10"/>
        <v/>
      </c>
      <c r="I434" s="8" t="b">
        <f>IF(D434&lt;2,FALSE,ISERROR(MATCH(H434,'Ontology and concepts per UC'!$A$2:$A$62,0)))</f>
        <v>0</v>
      </c>
      <c r="J434" s="9" t="str">
        <f t="shared" si="11"/>
        <v/>
      </c>
      <c r="K434" s="8" t="b">
        <f>IF(D434&lt;3,FALSE,ISERROR(MATCH(J434,'Ontology and concepts per UC'!$A$2:$A$62,0)))</f>
        <v>0</v>
      </c>
      <c r="L434" s="2"/>
      <c r="M434" s="2" t="s">
        <v>1232</v>
      </c>
      <c r="N434" s="2" t="s">
        <v>1220</v>
      </c>
      <c r="O434" s="1" t="b">
        <v>0</v>
      </c>
      <c r="P434" s="1">
        <v>0</v>
      </c>
      <c r="Q434" s="1">
        <v>1</v>
      </c>
      <c r="R434" s="1" t="b">
        <f t="shared" si="12"/>
        <v>0</v>
      </c>
      <c r="S434" s="2" t="s">
        <v>60</v>
      </c>
      <c r="T434" s="1" t="str">
        <f>IF(S434="","",VLOOKUP(S434,'Ontology and concepts per UC'!$F$2:$J$46,5,FALSE))</f>
        <v>Tratamiento/seguimiento</v>
      </c>
      <c r="U434" s="1" t="b">
        <f t="array" ref="U434">(INDEX('Ontology and concepts per UC'!$G$2:$I$46,MATCH($S434,'Ontology and concepts per UC'!$F$2:$F$46,0),MATCH(LEFT($A434,3),'Ontology and concepts per UC'!$G$1:$I$1,0))=0)</f>
        <v>0</v>
      </c>
      <c r="V434" s="1" t="b">
        <f t="shared" si="13"/>
        <v>1</v>
      </c>
      <c r="W434" s="1" t="b">
        <v>1</v>
      </c>
      <c r="X434" s="1" t="b">
        <v>0</v>
      </c>
      <c r="Y434" s="1" t="b">
        <v>0</v>
      </c>
      <c r="Z434" s="1" t="b">
        <v>0</v>
      </c>
      <c r="AA434" s="1" t="s">
        <v>1227</v>
      </c>
    </row>
    <row r="435" spans="1:27" x14ac:dyDescent="0.25">
      <c r="A435" s="1" t="s">
        <v>1168</v>
      </c>
      <c r="B435" s="2" t="s">
        <v>1233</v>
      </c>
      <c r="C435" s="2" t="s">
        <v>125</v>
      </c>
      <c r="D435" s="6">
        <f t="shared" si="7"/>
        <v>1</v>
      </c>
      <c r="E435" s="7" t="str">
        <f t="shared" si="8"/>
        <v>Manifestation</v>
      </c>
      <c r="F435" s="8" t="b">
        <f>IF(D435&lt;1,FALSE,ISERROR(MATCH(E435,'Ontology and concepts per UC'!$A$2:$A$62,0)))</f>
        <v>0</v>
      </c>
      <c r="G435" s="9" t="str">
        <f t="shared" si="9"/>
        <v/>
      </c>
      <c r="H435" s="9" t="str">
        <f t="shared" si="10"/>
        <v/>
      </c>
      <c r="I435" s="8" t="b">
        <f>IF(D435&lt;2,FALSE,ISERROR(MATCH(H435,'Ontology and concepts per UC'!$A$2:$A$62,0)))</f>
        <v>0</v>
      </c>
      <c r="J435" s="9" t="str">
        <f t="shared" si="11"/>
        <v/>
      </c>
      <c r="K435" s="8" t="b">
        <f>IF(D435&lt;3,FALSE,ISERROR(MATCH(J435,'Ontology and concepts per UC'!$A$2:$A$62,0)))</f>
        <v>0</v>
      </c>
      <c r="L435" s="2"/>
      <c r="M435" s="2" t="s">
        <v>1234</v>
      </c>
      <c r="N435" s="2"/>
      <c r="O435" s="1" t="b">
        <v>0</v>
      </c>
      <c r="P435" s="1">
        <v>0</v>
      </c>
      <c r="Q435" s="1">
        <v>0</v>
      </c>
      <c r="R435" s="1" t="b">
        <f t="shared" si="12"/>
        <v>0</v>
      </c>
      <c r="S435" s="2" t="s">
        <v>325</v>
      </c>
      <c r="T435" s="1" t="str">
        <f>IF(S435="","",VLOOKUP(S435,'Ontology and concepts per UC'!$F$2:$J$46,5,FALSE))</f>
        <v>Modelo Conceptual</v>
      </c>
      <c r="U435" s="1" t="b">
        <f t="array" ref="U435">(INDEX('Ontology and concepts per UC'!$G$2:$I$46,MATCH($S435,'Ontology and concepts per UC'!$F$2:$F$46,0),MATCH(LEFT($A435,3),'Ontology and concepts per UC'!$G$1:$I$1,0))=0)</f>
        <v>0</v>
      </c>
      <c r="V435" s="1" t="b">
        <f t="shared" si="13"/>
        <v>0</v>
      </c>
      <c r="W435" s="1" t="b">
        <v>0</v>
      </c>
      <c r="X435" s="1" t="b">
        <v>0</v>
      </c>
      <c r="Y435" s="1" t="b">
        <v>0</v>
      </c>
      <c r="Z435" s="1" t="b">
        <v>0</v>
      </c>
      <c r="AA435" s="1"/>
    </row>
    <row r="436" spans="1:27" x14ac:dyDescent="0.25">
      <c r="A436" s="1" t="s">
        <v>1168</v>
      </c>
      <c r="B436" s="2" t="s">
        <v>1235</v>
      </c>
      <c r="C436" s="2" t="s">
        <v>125</v>
      </c>
      <c r="D436" s="6">
        <f t="shared" si="7"/>
        <v>1</v>
      </c>
      <c r="E436" s="7" t="str">
        <f t="shared" si="8"/>
        <v>Manifestation</v>
      </c>
      <c r="F436" s="8" t="b">
        <f>IF(D436&lt;1,FALSE,ISERROR(MATCH(E436,'Ontology and concepts per UC'!$A$2:$A$62,0)))</f>
        <v>0</v>
      </c>
      <c r="G436" s="9" t="str">
        <f t="shared" si="9"/>
        <v/>
      </c>
      <c r="H436" s="9" t="str">
        <f t="shared" si="10"/>
        <v/>
      </c>
      <c r="I436" s="8" t="b">
        <f>IF(D436&lt;2,FALSE,ISERROR(MATCH(H436,'Ontology and concepts per UC'!$A$2:$A$62,0)))</f>
        <v>0</v>
      </c>
      <c r="J436" s="9" t="str">
        <f t="shared" si="11"/>
        <v/>
      </c>
      <c r="K436" s="8" t="b">
        <f>IF(D436&lt;3,FALSE,ISERROR(MATCH(J436,'Ontology and concepts per UC'!$A$2:$A$62,0)))</f>
        <v>0</v>
      </c>
      <c r="L436" s="2"/>
      <c r="M436" s="2" t="s">
        <v>1236</v>
      </c>
      <c r="N436" s="2"/>
      <c r="O436" s="1" t="b">
        <v>0</v>
      </c>
      <c r="P436" s="1">
        <v>0</v>
      </c>
      <c r="Q436" s="1">
        <v>0</v>
      </c>
      <c r="R436" s="1" t="b">
        <f t="shared" si="12"/>
        <v>0</v>
      </c>
      <c r="S436" s="2" t="s">
        <v>325</v>
      </c>
      <c r="T436" s="1" t="str">
        <f>IF(S436="","",VLOOKUP(S436,'Ontology and concepts per UC'!$F$2:$J$46,5,FALSE))</f>
        <v>Modelo Conceptual</v>
      </c>
      <c r="U436" s="1" t="b">
        <f t="array" ref="U436">(INDEX('Ontology and concepts per UC'!$G$2:$I$46,MATCH($S436,'Ontology and concepts per UC'!$F$2:$F$46,0),MATCH(LEFT($A436,3),'Ontology and concepts per UC'!$G$1:$I$1,0))=0)</f>
        <v>0</v>
      </c>
      <c r="V436" s="1" t="b">
        <f t="shared" si="13"/>
        <v>0</v>
      </c>
      <c r="W436" s="1" t="b">
        <v>0</v>
      </c>
      <c r="X436" s="1" t="b">
        <v>0</v>
      </c>
      <c r="Y436" s="1" t="b">
        <v>0</v>
      </c>
      <c r="Z436" s="1" t="b">
        <v>0</v>
      </c>
      <c r="AA436" s="1"/>
    </row>
    <row r="437" spans="1:27" x14ac:dyDescent="0.25">
      <c r="A437" s="1" t="s">
        <v>1168</v>
      </c>
      <c r="B437" s="2" t="s">
        <v>1237</v>
      </c>
      <c r="C437" s="2" t="s">
        <v>125</v>
      </c>
      <c r="D437" s="6">
        <f t="shared" si="7"/>
        <v>1</v>
      </c>
      <c r="E437" s="7" t="str">
        <f t="shared" si="8"/>
        <v>Manifestation</v>
      </c>
      <c r="F437" s="8" t="b">
        <f>IF(D437&lt;1,FALSE,ISERROR(MATCH(E437,'Ontology and concepts per UC'!$A$2:$A$62,0)))</f>
        <v>0</v>
      </c>
      <c r="G437" s="9" t="str">
        <f t="shared" si="9"/>
        <v/>
      </c>
      <c r="H437" s="9" t="str">
        <f t="shared" si="10"/>
        <v/>
      </c>
      <c r="I437" s="8" t="b">
        <f>IF(D437&lt;2,FALSE,ISERROR(MATCH(H437,'Ontology and concepts per UC'!$A$2:$A$62,0)))</f>
        <v>0</v>
      </c>
      <c r="J437" s="9" t="str">
        <f t="shared" si="11"/>
        <v/>
      </c>
      <c r="K437" s="8" t="b">
        <f>IF(D437&lt;3,FALSE,ISERROR(MATCH(J437,'Ontology and concepts per UC'!$A$2:$A$62,0)))</f>
        <v>0</v>
      </c>
      <c r="L437" s="2"/>
      <c r="M437" s="2" t="s">
        <v>1238</v>
      </c>
      <c r="N437" s="2"/>
      <c r="O437" s="1" t="b">
        <v>0</v>
      </c>
      <c r="P437" s="1">
        <v>0</v>
      </c>
      <c r="Q437" s="1">
        <v>0</v>
      </c>
      <c r="R437" s="1" t="b">
        <f t="shared" si="12"/>
        <v>0</v>
      </c>
      <c r="S437" s="2" t="s">
        <v>325</v>
      </c>
      <c r="T437" s="1" t="str">
        <f>IF(S437="","",VLOOKUP(S437,'Ontology and concepts per UC'!$F$2:$J$46,5,FALSE))</f>
        <v>Modelo Conceptual</v>
      </c>
      <c r="U437" s="1" t="b">
        <f t="array" ref="U437">(INDEX('Ontology and concepts per UC'!$G$2:$I$46,MATCH($S437,'Ontology and concepts per UC'!$F$2:$F$46,0),MATCH(LEFT($A437,3),'Ontology and concepts per UC'!$G$1:$I$1,0))=0)</f>
        <v>0</v>
      </c>
      <c r="V437" s="1" t="b">
        <f t="shared" si="13"/>
        <v>0</v>
      </c>
      <c r="W437" s="1" t="b">
        <v>0</v>
      </c>
      <c r="X437" s="1" t="b">
        <v>0</v>
      </c>
      <c r="Y437" s="1" t="b">
        <v>0</v>
      </c>
      <c r="Z437" s="1" t="b">
        <v>0</v>
      </c>
      <c r="AA437" s="1"/>
    </row>
    <row r="438" spans="1:27" x14ac:dyDescent="0.25">
      <c r="A438" s="1" t="s">
        <v>1168</v>
      </c>
      <c r="B438" s="2" t="s">
        <v>1239</v>
      </c>
      <c r="C438" s="2" t="s">
        <v>125</v>
      </c>
      <c r="D438" s="6">
        <f t="shared" si="7"/>
        <v>1</v>
      </c>
      <c r="E438" s="7" t="str">
        <f t="shared" si="8"/>
        <v>Manifestation</v>
      </c>
      <c r="F438" s="8" t="b">
        <f>IF(D438&lt;1,FALSE,ISERROR(MATCH(E438,'Ontology and concepts per UC'!$A$2:$A$62,0)))</f>
        <v>0</v>
      </c>
      <c r="G438" s="9" t="str">
        <f t="shared" si="9"/>
        <v/>
      </c>
      <c r="H438" s="9" t="str">
        <f t="shared" si="10"/>
        <v/>
      </c>
      <c r="I438" s="8" t="b">
        <f>IF(D438&lt;2,FALSE,ISERROR(MATCH(H438,'Ontology and concepts per UC'!$A$2:$A$62,0)))</f>
        <v>0</v>
      </c>
      <c r="J438" s="9" t="str">
        <f t="shared" si="11"/>
        <v/>
      </c>
      <c r="K438" s="8" t="b">
        <f>IF(D438&lt;3,FALSE,ISERROR(MATCH(J438,'Ontology and concepts per UC'!$A$2:$A$62,0)))</f>
        <v>0</v>
      </c>
      <c r="L438" s="2"/>
      <c r="M438" s="2" t="s">
        <v>1240</v>
      </c>
      <c r="N438" s="2"/>
      <c r="O438" s="1" t="b">
        <v>0</v>
      </c>
      <c r="P438" s="1">
        <v>0</v>
      </c>
      <c r="Q438" s="1">
        <v>0</v>
      </c>
      <c r="R438" s="1" t="b">
        <f t="shared" si="12"/>
        <v>0</v>
      </c>
      <c r="S438" s="2" t="s">
        <v>325</v>
      </c>
      <c r="T438" s="1" t="str">
        <f>IF(S438="","",VLOOKUP(S438,'Ontology and concepts per UC'!$F$2:$J$46,5,FALSE))</f>
        <v>Modelo Conceptual</v>
      </c>
      <c r="U438" s="1" t="b">
        <f t="array" ref="U438">(INDEX('Ontology and concepts per UC'!$G$2:$I$46,MATCH($S438,'Ontology and concepts per UC'!$F$2:$F$46,0),MATCH(LEFT($A438,3),'Ontology and concepts per UC'!$G$1:$I$1,0))=0)</f>
        <v>0</v>
      </c>
      <c r="V438" s="1" t="b">
        <f t="shared" si="13"/>
        <v>0</v>
      </c>
      <c r="W438" s="1" t="b">
        <v>0</v>
      </c>
      <c r="X438" s="1" t="b">
        <v>0</v>
      </c>
      <c r="Y438" s="1" t="b">
        <v>0</v>
      </c>
      <c r="Z438" s="1" t="b">
        <v>0</v>
      </c>
      <c r="AA438" s="1"/>
    </row>
    <row r="439" spans="1:27" x14ac:dyDescent="0.25">
      <c r="A439" s="1" t="s">
        <v>1168</v>
      </c>
      <c r="B439" s="2" t="s">
        <v>1241</v>
      </c>
      <c r="C439" s="2" t="s">
        <v>125</v>
      </c>
      <c r="D439" s="6">
        <f t="shared" si="7"/>
        <v>1</v>
      </c>
      <c r="E439" s="7" t="str">
        <f t="shared" si="8"/>
        <v>Manifestation</v>
      </c>
      <c r="F439" s="8" t="b">
        <f>IF(D439&lt;1,FALSE,ISERROR(MATCH(E439,'Ontology and concepts per UC'!$A$2:$A$62,0)))</f>
        <v>0</v>
      </c>
      <c r="G439" s="9" t="str">
        <f t="shared" si="9"/>
        <v/>
      </c>
      <c r="H439" s="9" t="str">
        <f t="shared" si="10"/>
        <v/>
      </c>
      <c r="I439" s="8" t="b">
        <f>IF(D439&lt;2,FALSE,ISERROR(MATCH(H439,'Ontology and concepts per UC'!$A$2:$A$62,0)))</f>
        <v>0</v>
      </c>
      <c r="J439" s="9" t="str">
        <f t="shared" si="11"/>
        <v/>
      </c>
      <c r="K439" s="8" t="b">
        <f>IF(D439&lt;3,FALSE,ISERROR(MATCH(J439,'Ontology and concepts per UC'!$A$2:$A$62,0)))</f>
        <v>0</v>
      </c>
      <c r="L439" s="2"/>
      <c r="M439" s="2" t="s">
        <v>1242</v>
      </c>
      <c r="N439" s="2"/>
      <c r="O439" s="1" t="b">
        <v>0</v>
      </c>
      <c r="P439" s="1">
        <v>0</v>
      </c>
      <c r="Q439" s="1">
        <v>0</v>
      </c>
      <c r="R439" s="1" t="b">
        <f t="shared" si="12"/>
        <v>0</v>
      </c>
      <c r="S439" s="2" t="s">
        <v>325</v>
      </c>
      <c r="T439" s="1" t="str">
        <f>IF(S439="","",VLOOKUP(S439,'Ontology and concepts per UC'!$F$2:$J$46,5,FALSE))</f>
        <v>Modelo Conceptual</v>
      </c>
      <c r="U439" s="1" t="b">
        <f t="array" ref="U439">(INDEX('Ontology and concepts per UC'!$G$2:$I$46,MATCH($S439,'Ontology and concepts per UC'!$F$2:$F$46,0),MATCH(LEFT($A439,3),'Ontology and concepts per UC'!$G$1:$I$1,0))=0)</f>
        <v>0</v>
      </c>
      <c r="V439" s="1" t="b">
        <f t="shared" si="13"/>
        <v>0</v>
      </c>
      <c r="W439" s="1" t="b">
        <v>0</v>
      </c>
      <c r="X439" s="1" t="b">
        <v>0</v>
      </c>
      <c r="Y439" s="1" t="b">
        <v>0</v>
      </c>
      <c r="Z439" s="1" t="b">
        <v>0</v>
      </c>
      <c r="AA439" s="1"/>
    </row>
    <row r="440" spans="1:27" x14ac:dyDescent="0.25">
      <c r="A440" s="1" t="s">
        <v>1168</v>
      </c>
      <c r="B440" s="2" t="s">
        <v>1243</v>
      </c>
      <c r="C440" s="2" t="s">
        <v>125</v>
      </c>
      <c r="D440" s="6">
        <f t="shared" si="7"/>
        <v>1</v>
      </c>
      <c r="E440" s="7" t="str">
        <f t="shared" si="8"/>
        <v>Manifestation</v>
      </c>
      <c r="F440" s="8" t="b">
        <f>IF(D440&lt;1,FALSE,ISERROR(MATCH(E440,'Ontology and concepts per UC'!$A$2:$A$62,0)))</f>
        <v>0</v>
      </c>
      <c r="G440" s="9" t="str">
        <f t="shared" si="9"/>
        <v/>
      </c>
      <c r="H440" s="9" t="str">
        <f t="shared" si="10"/>
        <v/>
      </c>
      <c r="I440" s="8" t="b">
        <f>IF(D440&lt;2,FALSE,ISERROR(MATCH(H440,'Ontology and concepts per UC'!$A$2:$A$62,0)))</f>
        <v>0</v>
      </c>
      <c r="J440" s="9" t="str">
        <f t="shared" si="11"/>
        <v/>
      </c>
      <c r="K440" s="8" t="b">
        <f>IF(D440&lt;3,FALSE,ISERROR(MATCH(J440,'Ontology and concepts per UC'!$A$2:$A$62,0)))</f>
        <v>0</v>
      </c>
      <c r="L440" s="2"/>
      <c r="M440" s="2" t="s">
        <v>1244</v>
      </c>
      <c r="N440" s="2"/>
      <c r="O440" s="1" t="b">
        <v>0</v>
      </c>
      <c r="P440" s="1">
        <v>0</v>
      </c>
      <c r="Q440" s="1">
        <v>0</v>
      </c>
      <c r="R440" s="1" t="b">
        <f t="shared" si="12"/>
        <v>0</v>
      </c>
      <c r="S440" s="2" t="s">
        <v>28</v>
      </c>
      <c r="T440" s="1" t="str">
        <f>IF(S440="","",VLOOKUP(S440,'Ontology and concepts per UC'!$F$2:$J$46,5,FALSE))</f>
        <v>Modelo Conceptual</v>
      </c>
      <c r="U440" s="1" t="b">
        <f t="array" ref="U440">(INDEX('Ontology and concepts per UC'!$G$2:$I$46,MATCH($S440,'Ontology and concepts per UC'!$F$2:$F$46,0),MATCH(LEFT($A440,3),'Ontology and concepts per UC'!$G$1:$I$1,0))=0)</f>
        <v>0</v>
      </c>
      <c r="V440" s="1" t="b">
        <f t="shared" si="13"/>
        <v>0</v>
      </c>
      <c r="W440" s="1" t="b">
        <v>0</v>
      </c>
      <c r="X440" s="1" t="b">
        <v>0</v>
      </c>
      <c r="Y440" s="1" t="b">
        <v>0</v>
      </c>
      <c r="Z440" s="1" t="b">
        <v>0</v>
      </c>
      <c r="AA440" s="1"/>
    </row>
    <row r="441" spans="1:27" x14ac:dyDescent="0.25">
      <c r="A441" s="1" t="s">
        <v>1168</v>
      </c>
      <c r="B441" s="2" t="s">
        <v>1245</v>
      </c>
      <c r="C441" s="2" t="s">
        <v>125</v>
      </c>
      <c r="D441" s="6">
        <f t="shared" si="7"/>
        <v>1</v>
      </c>
      <c r="E441" s="7" t="str">
        <f t="shared" si="8"/>
        <v>Manifestation</v>
      </c>
      <c r="F441" s="8" t="b">
        <f>IF(D441&lt;1,FALSE,ISERROR(MATCH(E441,'Ontology and concepts per UC'!$A$2:$A$62,0)))</f>
        <v>0</v>
      </c>
      <c r="G441" s="9" t="str">
        <f t="shared" si="9"/>
        <v/>
      </c>
      <c r="H441" s="9" t="str">
        <f t="shared" si="10"/>
        <v/>
      </c>
      <c r="I441" s="8" t="b">
        <f>IF(D441&lt;2,FALSE,ISERROR(MATCH(H441,'Ontology and concepts per UC'!$A$2:$A$62,0)))</f>
        <v>0</v>
      </c>
      <c r="J441" s="9" t="str">
        <f t="shared" si="11"/>
        <v/>
      </c>
      <c r="K441" s="8" t="b">
        <f>IF(D441&lt;3,FALSE,ISERROR(MATCH(J441,'Ontology and concepts per UC'!$A$2:$A$62,0)))</f>
        <v>0</v>
      </c>
      <c r="L441" s="2"/>
      <c r="M441" s="2" t="s">
        <v>1246</v>
      </c>
      <c r="N441" s="2"/>
      <c r="O441" s="1" t="b">
        <v>0</v>
      </c>
      <c r="P441" s="1">
        <v>0</v>
      </c>
      <c r="Q441" s="1">
        <v>0</v>
      </c>
      <c r="R441" s="1" t="b">
        <f t="shared" si="12"/>
        <v>0</v>
      </c>
      <c r="S441" s="2" t="s">
        <v>325</v>
      </c>
      <c r="T441" s="1" t="str">
        <f>IF(S441="","",VLOOKUP(S441,'Ontology and concepts per UC'!$F$2:$J$46,5,FALSE))</f>
        <v>Modelo Conceptual</v>
      </c>
      <c r="U441" s="1" t="b">
        <f t="array" ref="U441">(INDEX('Ontology and concepts per UC'!$G$2:$I$46,MATCH($S441,'Ontology and concepts per UC'!$F$2:$F$46,0),MATCH(LEFT($A441,3),'Ontology and concepts per UC'!$G$1:$I$1,0))=0)</f>
        <v>0</v>
      </c>
      <c r="V441" s="1" t="b">
        <f t="shared" si="13"/>
        <v>0</v>
      </c>
      <c r="W441" s="1" t="b">
        <v>0</v>
      </c>
      <c r="X441" s="1" t="b">
        <v>0</v>
      </c>
      <c r="Y441" s="1" t="b">
        <v>0</v>
      </c>
      <c r="Z441" s="1" t="b">
        <v>0</v>
      </c>
      <c r="AA441" s="1"/>
    </row>
    <row r="442" spans="1:27" x14ac:dyDescent="0.25">
      <c r="A442" s="1" t="s">
        <v>1168</v>
      </c>
      <c r="B442" s="2" t="s">
        <v>1247</v>
      </c>
      <c r="C442" s="2" t="s">
        <v>125</v>
      </c>
      <c r="D442" s="6">
        <f t="shared" si="7"/>
        <v>1</v>
      </c>
      <c r="E442" s="7" t="str">
        <f t="shared" si="8"/>
        <v>Manifestation</v>
      </c>
      <c r="F442" s="8" t="b">
        <f>IF(D442&lt;1,FALSE,ISERROR(MATCH(E442,'Ontology and concepts per UC'!$A$2:$A$62,0)))</f>
        <v>0</v>
      </c>
      <c r="G442" s="9" t="str">
        <f t="shared" si="9"/>
        <v/>
      </c>
      <c r="H442" s="9" t="str">
        <f t="shared" si="10"/>
        <v/>
      </c>
      <c r="I442" s="8" t="b">
        <f>IF(D442&lt;2,FALSE,ISERROR(MATCH(H442,'Ontology and concepts per UC'!$A$2:$A$62,0)))</f>
        <v>0</v>
      </c>
      <c r="J442" s="9" t="str">
        <f t="shared" si="11"/>
        <v/>
      </c>
      <c r="K442" s="8" t="b">
        <f>IF(D442&lt;3,FALSE,ISERROR(MATCH(J442,'Ontology and concepts per UC'!$A$2:$A$62,0)))</f>
        <v>0</v>
      </c>
      <c r="L442" s="2"/>
      <c r="M442" s="2" t="s">
        <v>1248</v>
      </c>
      <c r="N442" s="2"/>
      <c r="O442" s="1" t="b">
        <v>0</v>
      </c>
      <c r="P442" s="1">
        <v>0</v>
      </c>
      <c r="Q442" s="1">
        <v>0</v>
      </c>
      <c r="R442" s="1" t="b">
        <f t="shared" si="12"/>
        <v>0</v>
      </c>
      <c r="S442" s="2" t="s">
        <v>325</v>
      </c>
      <c r="T442" s="1" t="str">
        <f>IF(S442="","",VLOOKUP(S442,'Ontology and concepts per UC'!$F$2:$J$46,5,FALSE))</f>
        <v>Modelo Conceptual</v>
      </c>
      <c r="U442" s="1" t="b">
        <f t="array" ref="U442">(INDEX('Ontology and concepts per UC'!$G$2:$I$46,MATCH($S442,'Ontology and concepts per UC'!$F$2:$F$46,0),MATCH(LEFT($A442,3),'Ontology and concepts per UC'!$G$1:$I$1,0))=0)</f>
        <v>0</v>
      </c>
      <c r="V442" s="1" t="b">
        <f t="shared" si="13"/>
        <v>0</v>
      </c>
      <c r="W442" s="1" t="b">
        <v>0</v>
      </c>
      <c r="X442" s="1" t="b">
        <v>0</v>
      </c>
      <c r="Y442" s="1" t="b">
        <v>0</v>
      </c>
      <c r="Z442" s="1" t="b">
        <v>0</v>
      </c>
      <c r="AA442" s="1"/>
    </row>
    <row r="443" spans="1:27" x14ac:dyDescent="0.25">
      <c r="A443" s="1" t="s">
        <v>1168</v>
      </c>
      <c r="B443" s="2" t="s">
        <v>1249</v>
      </c>
      <c r="C443" s="2" t="s">
        <v>125</v>
      </c>
      <c r="D443" s="6">
        <f t="shared" si="7"/>
        <v>1</v>
      </c>
      <c r="E443" s="7" t="str">
        <f t="shared" si="8"/>
        <v>Manifestation</v>
      </c>
      <c r="F443" s="8" t="b">
        <f>IF(D443&lt;1,FALSE,ISERROR(MATCH(E443,'Ontology and concepts per UC'!$A$2:$A$62,0)))</f>
        <v>0</v>
      </c>
      <c r="G443" s="9" t="str">
        <f t="shared" si="9"/>
        <v/>
      </c>
      <c r="H443" s="9" t="str">
        <f t="shared" si="10"/>
        <v/>
      </c>
      <c r="I443" s="8" t="b">
        <f>IF(D443&lt;2,FALSE,ISERROR(MATCH(H443,'Ontology and concepts per UC'!$A$2:$A$62,0)))</f>
        <v>0</v>
      </c>
      <c r="J443" s="9" t="str">
        <f t="shared" si="11"/>
        <v/>
      </c>
      <c r="K443" s="8" t="b">
        <f>IF(D443&lt;3,FALSE,ISERROR(MATCH(J443,'Ontology and concepts per UC'!$A$2:$A$62,0)))</f>
        <v>0</v>
      </c>
      <c r="L443" s="2"/>
      <c r="M443" s="2" t="s">
        <v>1250</v>
      </c>
      <c r="N443" s="2"/>
      <c r="O443" s="1" t="b">
        <v>0</v>
      </c>
      <c r="P443" s="1">
        <v>0</v>
      </c>
      <c r="Q443" s="1">
        <v>0</v>
      </c>
      <c r="R443" s="1" t="b">
        <f t="shared" si="12"/>
        <v>0</v>
      </c>
      <c r="S443" s="2" t="s">
        <v>325</v>
      </c>
      <c r="T443" s="1" t="str">
        <f>IF(S443="","",VLOOKUP(S443,'Ontology and concepts per UC'!$F$2:$J$46,5,FALSE))</f>
        <v>Modelo Conceptual</v>
      </c>
      <c r="U443" s="1" t="b">
        <f t="array" ref="U443">(INDEX('Ontology and concepts per UC'!$G$2:$I$46,MATCH($S443,'Ontology and concepts per UC'!$F$2:$F$46,0),MATCH(LEFT($A443,3),'Ontology and concepts per UC'!$G$1:$I$1,0))=0)</f>
        <v>0</v>
      </c>
      <c r="V443" s="1" t="b">
        <f t="shared" si="13"/>
        <v>0</v>
      </c>
      <c r="W443" s="1" t="b">
        <v>0</v>
      </c>
      <c r="X443" s="1" t="b">
        <v>0</v>
      </c>
      <c r="Y443" s="1" t="b">
        <v>0</v>
      </c>
      <c r="Z443" s="1" t="b">
        <v>0</v>
      </c>
      <c r="AA443" s="1"/>
    </row>
    <row r="444" spans="1:27" x14ac:dyDescent="0.25">
      <c r="A444" s="1" t="s">
        <v>1168</v>
      </c>
      <c r="B444" s="2" t="s">
        <v>1251</v>
      </c>
      <c r="C444" s="2" t="s">
        <v>125</v>
      </c>
      <c r="D444" s="6">
        <f t="shared" si="7"/>
        <v>1</v>
      </c>
      <c r="E444" s="7" t="str">
        <f t="shared" si="8"/>
        <v>Manifestation</v>
      </c>
      <c r="F444" s="8" t="b">
        <f>IF(D444&lt;1,FALSE,ISERROR(MATCH(E444,'Ontology and concepts per UC'!$A$2:$A$62,0)))</f>
        <v>0</v>
      </c>
      <c r="G444" s="9" t="str">
        <f t="shared" si="9"/>
        <v/>
      </c>
      <c r="H444" s="9" t="str">
        <f t="shared" si="10"/>
        <v/>
      </c>
      <c r="I444" s="8" t="b">
        <f>IF(D444&lt;2,FALSE,ISERROR(MATCH(H444,'Ontology and concepts per UC'!$A$2:$A$62,0)))</f>
        <v>0</v>
      </c>
      <c r="J444" s="9" t="str">
        <f t="shared" si="11"/>
        <v/>
      </c>
      <c r="K444" s="8" t="b">
        <f>IF(D444&lt;3,FALSE,ISERROR(MATCH(J444,'Ontology and concepts per UC'!$A$2:$A$62,0)))</f>
        <v>0</v>
      </c>
      <c r="L444" s="2"/>
      <c r="M444" s="2" t="s">
        <v>1252</v>
      </c>
      <c r="N444" s="2"/>
      <c r="O444" s="1" t="b">
        <v>0</v>
      </c>
      <c r="P444" s="1">
        <v>0</v>
      </c>
      <c r="Q444" s="1">
        <v>0</v>
      </c>
      <c r="R444" s="1" t="b">
        <f t="shared" si="12"/>
        <v>0</v>
      </c>
      <c r="S444" s="2" t="s">
        <v>30</v>
      </c>
      <c r="T444" s="1" t="str">
        <f>IF(S444="","",VLOOKUP(S444,'Ontology and concepts per UC'!$F$2:$J$46,5,FALSE))</f>
        <v>Modelo Conceptual</v>
      </c>
      <c r="U444" s="1" t="b">
        <f t="array" ref="U444">(INDEX('Ontology and concepts per UC'!$G$2:$I$46,MATCH($S444,'Ontology and concepts per UC'!$F$2:$F$46,0),MATCH(LEFT($A444,3),'Ontology and concepts per UC'!$G$1:$I$1,0))=0)</f>
        <v>0</v>
      </c>
      <c r="V444" s="1" t="b">
        <f t="shared" si="13"/>
        <v>0</v>
      </c>
      <c r="W444" s="1" t="b">
        <v>0</v>
      </c>
      <c r="X444" s="1" t="b">
        <v>0</v>
      </c>
      <c r="Y444" s="1" t="b">
        <v>0</v>
      </c>
      <c r="Z444" s="1" t="b">
        <v>0</v>
      </c>
      <c r="AA444" s="1"/>
    </row>
    <row r="445" spans="1:27" x14ac:dyDescent="0.25">
      <c r="A445" s="1" t="s">
        <v>1168</v>
      </c>
      <c r="B445" s="2" t="s">
        <v>1253</v>
      </c>
      <c r="C445" s="2" t="s">
        <v>125</v>
      </c>
      <c r="D445" s="6">
        <f t="shared" si="7"/>
        <v>1</v>
      </c>
      <c r="E445" s="7" t="str">
        <f t="shared" si="8"/>
        <v>Manifestation</v>
      </c>
      <c r="F445" s="8" t="b">
        <f>IF(D445&lt;1,FALSE,ISERROR(MATCH(E445,'Ontology and concepts per UC'!$A$2:$A$62,0)))</f>
        <v>0</v>
      </c>
      <c r="G445" s="9" t="str">
        <f t="shared" si="9"/>
        <v/>
      </c>
      <c r="H445" s="9" t="str">
        <f t="shared" si="10"/>
        <v/>
      </c>
      <c r="I445" s="8" t="b">
        <f>IF(D445&lt;2,FALSE,ISERROR(MATCH(H445,'Ontology and concepts per UC'!$A$2:$A$62,0)))</f>
        <v>0</v>
      </c>
      <c r="J445" s="9" t="str">
        <f t="shared" si="11"/>
        <v/>
      </c>
      <c r="K445" s="8" t="b">
        <f>IF(D445&lt;3,FALSE,ISERROR(MATCH(J445,'Ontology and concepts per UC'!$A$2:$A$62,0)))</f>
        <v>0</v>
      </c>
      <c r="L445" s="2"/>
      <c r="M445" s="2" t="s">
        <v>1254</v>
      </c>
      <c r="N445" s="2"/>
      <c r="O445" s="1" t="b">
        <v>0</v>
      </c>
      <c r="P445" s="1">
        <v>0</v>
      </c>
      <c r="Q445" s="1">
        <v>0</v>
      </c>
      <c r="R445" s="1" t="b">
        <f t="shared" si="12"/>
        <v>0</v>
      </c>
      <c r="S445" s="2" t="s">
        <v>325</v>
      </c>
      <c r="T445" s="1" t="str">
        <f>IF(S445="","",VLOOKUP(S445,'Ontology and concepts per UC'!$F$2:$J$46,5,FALSE))</f>
        <v>Modelo Conceptual</v>
      </c>
      <c r="U445" s="1" t="b">
        <f t="array" ref="U445">(INDEX('Ontology and concepts per UC'!$G$2:$I$46,MATCH($S445,'Ontology and concepts per UC'!$F$2:$F$46,0),MATCH(LEFT($A445,3),'Ontology and concepts per UC'!$G$1:$I$1,0))=0)</f>
        <v>0</v>
      </c>
      <c r="V445" s="1" t="b">
        <f t="shared" si="13"/>
        <v>0</v>
      </c>
      <c r="W445" s="1" t="b">
        <v>0</v>
      </c>
      <c r="X445" s="1" t="b">
        <v>0</v>
      </c>
      <c r="Y445" s="1" t="b">
        <v>0</v>
      </c>
      <c r="Z445" s="1" t="b">
        <v>0</v>
      </c>
      <c r="AA445" s="1"/>
    </row>
    <row r="446" spans="1:27" x14ac:dyDescent="0.25">
      <c r="A446" s="1" t="s">
        <v>1168</v>
      </c>
      <c r="B446" s="2" t="s">
        <v>1255</v>
      </c>
      <c r="C446" s="2" t="s">
        <v>125</v>
      </c>
      <c r="D446" s="6">
        <f t="shared" si="7"/>
        <v>1</v>
      </c>
      <c r="E446" s="7" t="str">
        <f t="shared" si="8"/>
        <v>Manifestation</v>
      </c>
      <c r="F446" s="8" t="b">
        <f>IF(D446&lt;1,FALSE,ISERROR(MATCH(E446,'Ontology and concepts per UC'!$A$2:$A$62,0)))</f>
        <v>0</v>
      </c>
      <c r="G446" s="9" t="str">
        <f t="shared" si="9"/>
        <v/>
      </c>
      <c r="H446" s="9" t="str">
        <f t="shared" si="10"/>
        <v/>
      </c>
      <c r="I446" s="8" t="b">
        <f>IF(D446&lt;2,FALSE,ISERROR(MATCH(H446,'Ontology and concepts per UC'!$A$2:$A$62,0)))</f>
        <v>0</v>
      </c>
      <c r="J446" s="9" t="str">
        <f t="shared" si="11"/>
        <v/>
      </c>
      <c r="K446" s="8" t="b">
        <f>IF(D446&lt;3,FALSE,ISERROR(MATCH(J446,'Ontology and concepts per UC'!$A$2:$A$62,0)))</f>
        <v>0</v>
      </c>
      <c r="L446" s="2"/>
      <c r="M446" s="2" t="s">
        <v>1256</v>
      </c>
      <c r="N446" s="2"/>
      <c r="O446" s="1" t="b">
        <v>0</v>
      </c>
      <c r="P446" s="1">
        <v>0</v>
      </c>
      <c r="Q446" s="1">
        <v>0</v>
      </c>
      <c r="R446" s="1" t="b">
        <f t="shared" si="12"/>
        <v>0</v>
      </c>
      <c r="S446" s="2" t="s">
        <v>325</v>
      </c>
      <c r="T446" s="1" t="str">
        <f>IF(S446="","",VLOOKUP(S446,'Ontology and concepts per UC'!$F$2:$J$46,5,FALSE))</f>
        <v>Modelo Conceptual</v>
      </c>
      <c r="U446" s="1" t="b">
        <f t="array" ref="U446">(INDEX('Ontology and concepts per UC'!$G$2:$I$46,MATCH($S446,'Ontology and concepts per UC'!$F$2:$F$46,0),MATCH(LEFT($A446,3),'Ontology and concepts per UC'!$G$1:$I$1,0))=0)</f>
        <v>0</v>
      </c>
      <c r="V446" s="1" t="b">
        <f t="shared" si="13"/>
        <v>0</v>
      </c>
      <c r="W446" s="1" t="b">
        <v>0</v>
      </c>
      <c r="X446" s="1" t="b">
        <v>0</v>
      </c>
      <c r="Y446" s="1" t="b">
        <v>0</v>
      </c>
      <c r="Z446" s="1" t="b">
        <v>0</v>
      </c>
      <c r="AA446" s="1"/>
    </row>
    <row r="447" spans="1:27" x14ac:dyDescent="0.25">
      <c r="A447" s="1" t="s">
        <v>1168</v>
      </c>
      <c r="B447" s="2" t="s">
        <v>1257</v>
      </c>
      <c r="C447" s="2" t="s">
        <v>125</v>
      </c>
      <c r="D447" s="6">
        <f t="shared" si="7"/>
        <v>1</v>
      </c>
      <c r="E447" s="7" t="str">
        <f t="shared" si="8"/>
        <v>Manifestation</v>
      </c>
      <c r="F447" s="8" t="b">
        <f>IF(D447&lt;1,FALSE,ISERROR(MATCH(E447,'Ontology and concepts per UC'!$A$2:$A$62,0)))</f>
        <v>0</v>
      </c>
      <c r="G447" s="9" t="str">
        <f t="shared" si="9"/>
        <v/>
      </c>
      <c r="H447" s="9" t="str">
        <f t="shared" si="10"/>
        <v/>
      </c>
      <c r="I447" s="8" t="b">
        <f>IF(D447&lt;2,FALSE,ISERROR(MATCH(H447,'Ontology and concepts per UC'!$A$2:$A$62,0)))</f>
        <v>0</v>
      </c>
      <c r="J447" s="9" t="str">
        <f t="shared" si="11"/>
        <v/>
      </c>
      <c r="K447" s="8" t="b">
        <f>IF(D447&lt;3,FALSE,ISERROR(MATCH(J447,'Ontology and concepts per UC'!$A$2:$A$62,0)))</f>
        <v>0</v>
      </c>
      <c r="L447" s="2"/>
      <c r="M447" s="2" t="s">
        <v>1258</v>
      </c>
      <c r="N447" s="2"/>
      <c r="O447" s="1" t="b">
        <v>0</v>
      </c>
      <c r="P447" s="1">
        <v>0</v>
      </c>
      <c r="Q447" s="1">
        <v>0</v>
      </c>
      <c r="R447" s="1" t="b">
        <f t="shared" si="12"/>
        <v>0</v>
      </c>
      <c r="S447" s="2" t="s">
        <v>325</v>
      </c>
      <c r="T447" s="1" t="str">
        <f>IF(S447="","",VLOOKUP(S447,'Ontology and concepts per UC'!$F$2:$J$46,5,FALSE))</f>
        <v>Modelo Conceptual</v>
      </c>
      <c r="U447" s="1" t="b">
        <f t="array" ref="U447">(INDEX('Ontology and concepts per UC'!$G$2:$I$46,MATCH($S447,'Ontology and concepts per UC'!$F$2:$F$46,0),MATCH(LEFT($A447,3),'Ontology and concepts per UC'!$G$1:$I$1,0))=0)</f>
        <v>0</v>
      </c>
      <c r="V447" s="1" t="b">
        <f t="shared" si="13"/>
        <v>0</v>
      </c>
      <c r="W447" s="1" t="b">
        <v>0</v>
      </c>
      <c r="X447" s="1" t="b">
        <v>0</v>
      </c>
      <c r="Y447" s="1" t="b">
        <v>0</v>
      </c>
      <c r="Z447" s="1" t="b">
        <v>0</v>
      </c>
      <c r="AA447" s="1"/>
    </row>
    <row r="448" spans="1:27" x14ac:dyDescent="0.25">
      <c r="A448" s="1" t="s">
        <v>1168</v>
      </c>
      <c r="B448" s="2" t="s">
        <v>1259</v>
      </c>
      <c r="C448" s="2" t="s">
        <v>125</v>
      </c>
      <c r="D448" s="6">
        <f t="shared" si="7"/>
        <v>1</v>
      </c>
      <c r="E448" s="7" t="str">
        <f t="shared" si="8"/>
        <v>Manifestation</v>
      </c>
      <c r="F448" s="8" t="b">
        <f>IF(D448&lt;1,FALSE,ISERROR(MATCH(E448,'Ontology and concepts per UC'!$A$2:$A$62,0)))</f>
        <v>0</v>
      </c>
      <c r="G448" s="9" t="str">
        <f t="shared" si="9"/>
        <v/>
      </c>
      <c r="H448" s="9" t="str">
        <f t="shared" si="10"/>
        <v/>
      </c>
      <c r="I448" s="8" t="b">
        <f>IF(D448&lt;2,FALSE,ISERROR(MATCH(H448,'Ontology and concepts per UC'!$A$2:$A$62,0)))</f>
        <v>0</v>
      </c>
      <c r="J448" s="9" t="str">
        <f t="shared" si="11"/>
        <v/>
      </c>
      <c r="K448" s="8" t="b">
        <f>IF(D448&lt;3,FALSE,ISERROR(MATCH(J448,'Ontology and concepts per UC'!$A$2:$A$62,0)))</f>
        <v>0</v>
      </c>
      <c r="L448" s="2"/>
      <c r="M448" s="2" t="s">
        <v>1260</v>
      </c>
      <c r="N448" s="2"/>
      <c r="O448" s="1" t="b">
        <v>0</v>
      </c>
      <c r="P448" s="1">
        <v>0</v>
      </c>
      <c r="Q448" s="1">
        <v>0</v>
      </c>
      <c r="R448" s="1" t="b">
        <f t="shared" si="12"/>
        <v>0</v>
      </c>
      <c r="S448" s="2" t="s">
        <v>325</v>
      </c>
      <c r="T448" s="1" t="str">
        <f>IF(S448="","",VLOOKUP(S448,'Ontology and concepts per UC'!$F$2:$J$46,5,FALSE))</f>
        <v>Modelo Conceptual</v>
      </c>
      <c r="U448" s="1" t="b">
        <f t="array" ref="U448">(INDEX('Ontology and concepts per UC'!$G$2:$I$46,MATCH($S448,'Ontology and concepts per UC'!$F$2:$F$46,0),MATCH(LEFT($A448,3),'Ontology and concepts per UC'!$G$1:$I$1,0))=0)</f>
        <v>0</v>
      </c>
      <c r="V448" s="1" t="b">
        <f t="shared" si="13"/>
        <v>0</v>
      </c>
      <c r="W448" s="1" t="b">
        <v>0</v>
      </c>
      <c r="X448" s="1" t="b">
        <v>0</v>
      </c>
      <c r="Y448" s="1" t="b">
        <v>0</v>
      </c>
      <c r="Z448" s="1" t="b">
        <v>0</v>
      </c>
      <c r="AA448" s="1"/>
    </row>
    <row r="449" spans="1:27" x14ac:dyDescent="0.25">
      <c r="A449" s="1" t="s">
        <v>1168</v>
      </c>
      <c r="B449" s="2" t="s">
        <v>1261</v>
      </c>
      <c r="C449" s="2" t="s">
        <v>125</v>
      </c>
      <c r="D449" s="6">
        <f t="shared" si="7"/>
        <v>1</v>
      </c>
      <c r="E449" s="7" t="str">
        <f t="shared" si="8"/>
        <v>Manifestation</v>
      </c>
      <c r="F449" s="8" t="b">
        <f>IF(D449&lt;1,FALSE,ISERROR(MATCH(E449,'Ontology and concepts per UC'!$A$2:$A$62,0)))</f>
        <v>0</v>
      </c>
      <c r="G449" s="9" t="str">
        <f t="shared" si="9"/>
        <v/>
      </c>
      <c r="H449" s="9" t="str">
        <f t="shared" si="10"/>
        <v/>
      </c>
      <c r="I449" s="8" t="b">
        <f>IF(D449&lt;2,FALSE,ISERROR(MATCH(H449,'Ontology and concepts per UC'!$A$2:$A$62,0)))</f>
        <v>0</v>
      </c>
      <c r="J449" s="9" t="str">
        <f t="shared" si="11"/>
        <v/>
      </c>
      <c r="K449" s="8" t="b">
        <f>IF(D449&lt;3,FALSE,ISERROR(MATCH(J449,'Ontology and concepts per UC'!$A$2:$A$62,0)))</f>
        <v>0</v>
      </c>
      <c r="L449" s="2"/>
      <c r="M449" s="2" t="s">
        <v>1262</v>
      </c>
      <c r="N449" s="2"/>
      <c r="O449" s="1" t="b">
        <v>0</v>
      </c>
      <c r="P449" s="1">
        <v>0</v>
      </c>
      <c r="Q449" s="1">
        <v>0</v>
      </c>
      <c r="R449" s="1" t="b">
        <f t="shared" si="12"/>
        <v>0</v>
      </c>
      <c r="S449" s="2" t="s">
        <v>26</v>
      </c>
      <c r="T449" s="1" t="str">
        <f>IF(S449="","",VLOOKUP(S449,'Ontology and concepts per UC'!$F$2:$J$46,5,FALSE))</f>
        <v>Modelo Conceptual</v>
      </c>
      <c r="U449" s="1" t="b">
        <f t="array" ref="U449">(INDEX('Ontology and concepts per UC'!$G$2:$I$46,MATCH($S449,'Ontology and concepts per UC'!$F$2:$F$46,0),MATCH(LEFT($A449,3),'Ontology and concepts per UC'!$G$1:$I$1,0))=0)</f>
        <v>0</v>
      </c>
      <c r="V449" s="1" t="b">
        <f t="shared" si="13"/>
        <v>0</v>
      </c>
      <c r="W449" s="1" t="b">
        <v>0</v>
      </c>
      <c r="X449" s="1" t="b">
        <v>0</v>
      </c>
      <c r="Y449" s="1" t="b">
        <v>0</v>
      </c>
      <c r="Z449" s="1" t="b">
        <v>0</v>
      </c>
      <c r="AA449" s="1"/>
    </row>
    <row r="450" spans="1:27" x14ac:dyDescent="0.25">
      <c r="A450" s="1" t="s">
        <v>1168</v>
      </c>
      <c r="B450" s="2" t="s">
        <v>1263</v>
      </c>
      <c r="C450" s="2" t="s">
        <v>125</v>
      </c>
      <c r="D450" s="6">
        <f t="shared" si="7"/>
        <v>1</v>
      </c>
      <c r="E450" s="7" t="str">
        <f t="shared" si="8"/>
        <v>Manifestation</v>
      </c>
      <c r="F450" s="8" t="b">
        <f>IF(D450&lt;1,FALSE,ISERROR(MATCH(E450,'Ontology and concepts per UC'!$A$2:$A$62,0)))</f>
        <v>0</v>
      </c>
      <c r="G450" s="9" t="str">
        <f t="shared" si="9"/>
        <v/>
      </c>
      <c r="H450" s="9" t="str">
        <f t="shared" si="10"/>
        <v/>
      </c>
      <c r="I450" s="8" t="b">
        <f>IF(D450&lt;2,FALSE,ISERROR(MATCH(H450,'Ontology and concepts per UC'!$A$2:$A$62,0)))</f>
        <v>0</v>
      </c>
      <c r="J450" s="9" t="str">
        <f t="shared" si="11"/>
        <v/>
      </c>
      <c r="K450" s="8" t="b">
        <f>IF(D450&lt;3,FALSE,ISERROR(MATCH(J450,'Ontology and concepts per UC'!$A$2:$A$62,0)))</f>
        <v>0</v>
      </c>
      <c r="L450" s="2"/>
      <c r="M450" s="2" t="s">
        <v>1264</v>
      </c>
      <c r="N450" s="2"/>
      <c r="O450" s="1" t="b">
        <v>0</v>
      </c>
      <c r="P450" s="1">
        <v>0</v>
      </c>
      <c r="Q450" s="1">
        <v>0</v>
      </c>
      <c r="R450" s="1" t="b">
        <f t="shared" si="12"/>
        <v>0</v>
      </c>
      <c r="S450" s="2" t="s">
        <v>29</v>
      </c>
      <c r="T450" s="1" t="str">
        <f>IF(S450="","",VLOOKUP(S450,'Ontology and concepts per UC'!$F$2:$J$46,5,FALSE))</f>
        <v>Modelo Conceptual</v>
      </c>
      <c r="U450" s="1" t="b">
        <f t="array" ref="U450">(INDEX('Ontology and concepts per UC'!$G$2:$I$46,MATCH($S450,'Ontology and concepts per UC'!$F$2:$F$46,0),MATCH(LEFT($A450,3),'Ontology and concepts per UC'!$G$1:$I$1,0))=0)</f>
        <v>0</v>
      </c>
      <c r="V450" s="1" t="b">
        <f t="shared" si="13"/>
        <v>0</v>
      </c>
      <c r="W450" s="1" t="b">
        <v>0</v>
      </c>
      <c r="X450" s="1" t="b">
        <v>0</v>
      </c>
      <c r="Y450" s="1" t="b">
        <v>0</v>
      </c>
      <c r="Z450" s="1" t="b">
        <v>0</v>
      </c>
      <c r="AA450" s="1"/>
    </row>
    <row r="451" spans="1:27" x14ac:dyDescent="0.25">
      <c r="A451" s="1" t="s">
        <v>1168</v>
      </c>
      <c r="B451" s="2" t="s">
        <v>1265</v>
      </c>
      <c r="C451" s="2" t="s">
        <v>125</v>
      </c>
      <c r="D451" s="6">
        <f t="shared" si="7"/>
        <v>1</v>
      </c>
      <c r="E451" s="7" t="str">
        <f t="shared" si="8"/>
        <v>Manifestation</v>
      </c>
      <c r="F451" s="8" t="b">
        <f>IF(D451&lt;1,FALSE,ISERROR(MATCH(E451,'Ontology and concepts per UC'!$A$2:$A$62,0)))</f>
        <v>0</v>
      </c>
      <c r="G451" s="9" t="str">
        <f t="shared" si="9"/>
        <v/>
      </c>
      <c r="H451" s="9" t="str">
        <f t="shared" si="10"/>
        <v/>
      </c>
      <c r="I451" s="8" t="b">
        <f>IF(D451&lt;2,FALSE,ISERROR(MATCH(H451,'Ontology and concepts per UC'!$A$2:$A$62,0)))</f>
        <v>0</v>
      </c>
      <c r="J451" s="9" t="str">
        <f t="shared" si="11"/>
        <v/>
      </c>
      <c r="K451" s="8" t="b">
        <f>IF(D451&lt;3,FALSE,ISERROR(MATCH(J451,'Ontology and concepts per UC'!$A$2:$A$62,0)))</f>
        <v>0</v>
      </c>
      <c r="L451" s="2"/>
      <c r="M451" s="2" t="s">
        <v>1266</v>
      </c>
      <c r="N451" s="2"/>
      <c r="O451" s="1" t="b">
        <v>0</v>
      </c>
      <c r="P451" s="1">
        <v>0</v>
      </c>
      <c r="Q451" s="1">
        <v>0</v>
      </c>
      <c r="R451" s="1" t="b">
        <f t="shared" si="12"/>
        <v>0</v>
      </c>
      <c r="S451" s="2" t="s">
        <v>325</v>
      </c>
      <c r="T451" s="1" t="str">
        <f>IF(S451="","",VLOOKUP(S451,'Ontology and concepts per UC'!$F$2:$J$46,5,FALSE))</f>
        <v>Modelo Conceptual</v>
      </c>
      <c r="U451" s="1" t="b">
        <f t="array" ref="U451">(INDEX('Ontology and concepts per UC'!$G$2:$I$46,MATCH($S451,'Ontology and concepts per UC'!$F$2:$F$46,0),MATCH(LEFT($A451,3),'Ontology and concepts per UC'!$G$1:$I$1,0))=0)</f>
        <v>0</v>
      </c>
      <c r="V451" s="1" t="b">
        <f t="shared" si="13"/>
        <v>0</v>
      </c>
      <c r="W451" s="1" t="b">
        <v>0</v>
      </c>
      <c r="X451" s="1" t="b">
        <v>0</v>
      </c>
      <c r="Y451" s="1" t="b">
        <v>0</v>
      </c>
      <c r="Z451" s="1" t="b">
        <v>0</v>
      </c>
      <c r="AA451" s="1"/>
    </row>
    <row r="452" spans="1:27" x14ac:dyDescent="0.25">
      <c r="A452" s="1" t="s">
        <v>1168</v>
      </c>
      <c r="B452" s="2" t="s">
        <v>1267</v>
      </c>
      <c r="C452" s="2" t="s">
        <v>125</v>
      </c>
      <c r="D452" s="6">
        <f t="shared" si="7"/>
        <v>1</v>
      </c>
      <c r="E452" s="7" t="str">
        <f t="shared" si="8"/>
        <v>Manifestation</v>
      </c>
      <c r="F452" s="8" t="b">
        <f>IF(D452&lt;1,FALSE,ISERROR(MATCH(E452,'Ontology and concepts per UC'!$A$2:$A$62,0)))</f>
        <v>0</v>
      </c>
      <c r="G452" s="9" t="str">
        <f t="shared" si="9"/>
        <v/>
      </c>
      <c r="H452" s="9" t="str">
        <f t="shared" si="10"/>
        <v/>
      </c>
      <c r="I452" s="8" t="b">
        <f>IF(D452&lt;2,FALSE,ISERROR(MATCH(H452,'Ontology and concepts per UC'!$A$2:$A$62,0)))</f>
        <v>0</v>
      </c>
      <c r="J452" s="9" t="str">
        <f t="shared" si="11"/>
        <v/>
      </c>
      <c r="K452" s="8" t="b">
        <f>IF(D452&lt;3,FALSE,ISERROR(MATCH(J452,'Ontology and concepts per UC'!$A$2:$A$62,0)))</f>
        <v>0</v>
      </c>
      <c r="L452" s="2"/>
      <c r="M452" s="2" t="s">
        <v>1268</v>
      </c>
      <c r="N452" s="2"/>
      <c r="O452" s="1" t="b">
        <v>0</v>
      </c>
      <c r="P452" s="1">
        <v>0</v>
      </c>
      <c r="Q452" s="1">
        <v>0</v>
      </c>
      <c r="R452" s="1" t="b">
        <f t="shared" si="12"/>
        <v>0</v>
      </c>
      <c r="S452" s="2" t="s">
        <v>325</v>
      </c>
      <c r="T452" s="1" t="str">
        <f>IF(S452="","",VLOOKUP(S452,'Ontology and concepts per UC'!$F$2:$J$46,5,FALSE))</f>
        <v>Modelo Conceptual</v>
      </c>
      <c r="U452" s="1" t="b">
        <f t="array" ref="U452">(INDEX('Ontology and concepts per UC'!$G$2:$I$46,MATCH($S452,'Ontology and concepts per UC'!$F$2:$F$46,0),MATCH(LEFT($A452,3),'Ontology and concepts per UC'!$G$1:$I$1,0))=0)</f>
        <v>0</v>
      </c>
      <c r="V452" s="1" t="b">
        <f t="shared" si="13"/>
        <v>0</v>
      </c>
      <c r="W452" s="1" t="b">
        <v>0</v>
      </c>
      <c r="X452" s="1" t="b">
        <v>0</v>
      </c>
      <c r="Y452" s="1" t="b">
        <v>0</v>
      </c>
      <c r="Z452" s="1" t="b">
        <v>0</v>
      </c>
      <c r="AA452" s="1"/>
    </row>
    <row r="453" spans="1:27" x14ac:dyDescent="0.25">
      <c r="A453" s="1" t="s">
        <v>1168</v>
      </c>
      <c r="B453" s="2" t="s">
        <v>1269</v>
      </c>
      <c r="C453" s="2" t="s">
        <v>125</v>
      </c>
      <c r="D453" s="6">
        <f t="shared" si="7"/>
        <v>1</v>
      </c>
      <c r="E453" s="7" t="str">
        <f t="shared" si="8"/>
        <v>Manifestation</v>
      </c>
      <c r="F453" s="8" t="b">
        <f>IF(D453&lt;1,FALSE,ISERROR(MATCH(E453,'Ontology and concepts per UC'!$A$2:$A$62,0)))</f>
        <v>0</v>
      </c>
      <c r="G453" s="9" t="str">
        <f t="shared" si="9"/>
        <v/>
      </c>
      <c r="H453" s="9" t="str">
        <f t="shared" si="10"/>
        <v/>
      </c>
      <c r="I453" s="8" t="b">
        <f>IF(D453&lt;2,FALSE,ISERROR(MATCH(H453,'Ontology and concepts per UC'!$A$2:$A$62,0)))</f>
        <v>0</v>
      </c>
      <c r="J453" s="9" t="str">
        <f t="shared" si="11"/>
        <v/>
      </c>
      <c r="K453" s="8" t="b">
        <f>IF(D453&lt;3,FALSE,ISERROR(MATCH(J453,'Ontology and concepts per UC'!$A$2:$A$62,0)))</f>
        <v>0</v>
      </c>
      <c r="L453" s="2"/>
      <c r="M453" s="2" t="s">
        <v>1270</v>
      </c>
      <c r="N453" s="2"/>
      <c r="O453" s="1" t="b">
        <v>0</v>
      </c>
      <c r="P453" s="1">
        <v>0</v>
      </c>
      <c r="Q453" s="1">
        <v>0</v>
      </c>
      <c r="R453" s="1" t="b">
        <f t="shared" si="12"/>
        <v>0</v>
      </c>
      <c r="S453" s="2" t="s">
        <v>32</v>
      </c>
      <c r="T453" s="1" t="str">
        <f>IF(S453="","",VLOOKUP(S453,'Ontology and concepts per UC'!$F$2:$J$46,5,FALSE))</f>
        <v>Modelo Conceptual</v>
      </c>
      <c r="U453" s="1" t="b">
        <f t="array" ref="U453">(INDEX('Ontology and concepts per UC'!$G$2:$I$46,MATCH($S453,'Ontology and concepts per UC'!$F$2:$F$46,0),MATCH(LEFT($A453,3),'Ontology and concepts per UC'!$G$1:$I$1,0))=0)</f>
        <v>0</v>
      </c>
      <c r="V453" s="1" t="b">
        <f t="shared" si="13"/>
        <v>0</v>
      </c>
      <c r="W453" s="1" t="b">
        <v>0</v>
      </c>
      <c r="X453" s="1" t="b">
        <v>0</v>
      </c>
      <c r="Y453" s="1" t="b">
        <v>0</v>
      </c>
      <c r="Z453" s="1" t="b">
        <v>0</v>
      </c>
      <c r="AA453" s="1"/>
    </row>
    <row r="454" spans="1:27" x14ac:dyDescent="0.25">
      <c r="A454" s="1" t="s">
        <v>1168</v>
      </c>
      <c r="B454" s="2" t="s">
        <v>1271</v>
      </c>
      <c r="C454" s="2" t="s">
        <v>125</v>
      </c>
      <c r="D454" s="6">
        <f t="shared" si="7"/>
        <v>1</v>
      </c>
      <c r="E454" s="7" t="str">
        <f t="shared" si="8"/>
        <v>Manifestation</v>
      </c>
      <c r="F454" s="8" t="b">
        <f>IF(D454&lt;1,FALSE,ISERROR(MATCH(E454,'Ontology and concepts per UC'!$A$2:$A$62,0)))</f>
        <v>0</v>
      </c>
      <c r="G454" s="9" t="str">
        <f t="shared" si="9"/>
        <v/>
      </c>
      <c r="H454" s="9" t="str">
        <f t="shared" si="10"/>
        <v/>
      </c>
      <c r="I454" s="8" t="b">
        <f>IF(D454&lt;2,FALSE,ISERROR(MATCH(H454,'Ontology and concepts per UC'!$A$2:$A$62,0)))</f>
        <v>0</v>
      </c>
      <c r="J454" s="9" t="str">
        <f t="shared" si="11"/>
        <v/>
      </c>
      <c r="K454" s="8" t="b">
        <f>IF(D454&lt;3,FALSE,ISERROR(MATCH(J454,'Ontology and concepts per UC'!$A$2:$A$62,0)))</f>
        <v>0</v>
      </c>
      <c r="L454" s="2"/>
      <c r="M454" s="2" t="s">
        <v>1272</v>
      </c>
      <c r="N454" s="2"/>
      <c r="O454" s="1" t="b">
        <v>0</v>
      </c>
      <c r="P454" s="1">
        <v>0</v>
      </c>
      <c r="Q454" s="1">
        <v>0</v>
      </c>
      <c r="R454" s="1" t="b">
        <f t="shared" si="12"/>
        <v>0</v>
      </c>
      <c r="S454" s="2" t="s">
        <v>56</v>
      </c>
      <c r="T454" s="1" t="str">
        <f>IF(S454="","",VLOOKUP(S454,'Ontology and concepts per UC'!$F$2:$J$46,5,FALSE))</f>
        <v>Parámetros de progresión</v>
      </c>
      <c r="U454" s="1" t="b">
        <f t="array" ref="U454">(INDEX('Ontology and concepts per UC'!$G$2:$I$46,MATCH($S454,'Ontology and concepts per UC'!$F$2:$F$46,0),MATCH(LEFT($A454,3),'Ontology and concepts per UC'!$G$1:$I$1,0))=0)</f>
        <v>0</v>
      </c>
      <c r="V454" s="1" t="b">
        <f t="shared" si="13"/>
        <v>0</v>
      </c>
      <c r="W454" s="1" t="b">
        <v>0</v>
      </c>
      <c r="X454" s="1" t="b">
        <v>0</v>
      </c>
      <c r="Y454" s="1" t="b">
        <v>0</v>
      </c>
      <c r="Z454" s="1" t="b">
        <v>0</v>
      </c>
      <c r="AA454" s="1"/>
    </row>
    <row r="455" spans="1:27" x14ac:dyDescent="0.25">
      <c r="A455" s="1" t="s">
        <v>1168</v>
      </c>
      <c r="B455" s="2" t="s">
        <v>1273</v>
      </c>
      <c r="C455" s="2" t="s">
        <v>125</v>
      </c>
      <c r="D455" s="6">
        <f t="shared" si="7"/>
        <v>1</v>
      </c>
      <c r="E455" s="7" t="str">
        <f t="shared" si="8"/>
        <v>Manifestation</v>
      </c>
      <c r="F455" s="8" t="b">
        <f>IF(D455&lt;1,FALSE,ISERROR(MATCH(E455,'Ontology and concepts per UC'!$A$2:$A$62,0)))</f>
        <v>0</v>
      </c>
      <c r="G455" s="9" t="str">
        <f t="shared" si="9"/>
        <v/>
      </c>
      <c r="H455" s="9" t="str">
        <f t="shared" si="10"/>
        <v/>
      </c>
      <c r="I455" s="8" t="b">
        <f>IF(D455&lt;2,FALSE,ISERROR(MATCH(H455,'Ontology and concepts per UC'!$A$2:$A$62,0)))</f>
        <v>0</v>
      </c>
      <c r="J455" s="9" t="str">
        <f t="shared" si="11"/>
        <v/>
      </c>
      <c r="K455" s="8" t="b">
        <f>IF(D455&lt;3,FALSE,ISERROR(MATCH(J455,'Ontology and concepts per UC'!$A$2:$A$62,0)))</f>
        <v>0</v>
      </c>
      <c r="L455" s="2"/>
      <c r="M455" s="2" t="s">
        <v>1274</v>
      </c>
      <c r="N455" s="2"/>
      <c r="O455" s="1" t="b">
        <v>0</v>
      </c>
      <c r="P455" s="1">
        <v>0</v>
      </c>
      <c r="Q455" s="1">
        <v>0</v>
      </c>
      <c r="R455" s="1" t="b">
        <f t="shared" si="12"/>
        <v>0</v>
      </c>
      <c r="S455" s="2" t="s">
        <v>325</v>
      </c>
      <c r="T455" s="1" t="str">
        <f>IF(S455="","",VLOOKUP(S455,'Ontology and concepts per UC'!$F$2:$J$46,5,FALSE))</f>
        <v>Modelo Conceptual</v>
      </c>
      <c r="U455" s="1" t="b">
        <f t="array" ref="U455">(INDEX('Ontology and concepts per UC'!$G$2:$I$46,MATCH($S455,'Ontology and concepts per UC'!$F$2:$F$46,0),MATCH(LEFT($A455,3),'Ontology and concepts per UC'!$G$1:$I$1,0))=0)</f>
        <v>0</v>
      </c>
      <c r="V455" s="1" t="b">
        <f t="shared" si="13"/>
        <v>0</v>
      </c>
      <c r="W455" s="1" t="b">
        <v>0</v>
      </c>
      <c r="X455" s="1" t="b">
        <v>0</v>
      </c>
      <c r="Y455" s="1" t="b">
        <v>0</v>
      </c>
      <c r="Z455" s="1" t="b">
        <v>0</v>
      </c>
      <c r="AA455" s="1"/>
    </row>
    <row r="456" spans="1:27" x14ac:dyDescent="0.25">
      <c r="A456" s="1" t="s">
        <v>1168</v>
      </c>
      <c r="B456" s="2" t="s">
        <v>1275</v>
      </c>
      <c r="C456" s="2" t="s">
        <v>125</v>
      </c>
      <c r="D456" s="6">
        <f t="shared" si="7"/>
        <v>1</v>
      </c>
      <c r="E456" s="7" t="str">
        <f t="shared" si="8"/>
        <v>Manifestation</v>
      </c>
      <c r="F456" s="8" t="b">
        <f>IF(D456&lt;1,FALSE,ISERROR(MATCH(E456,'Ontology and concepts per UC'!$A$2:$A$62,0)))</f>
        <v>0</v>
      </c>
      <c r="G456" s="9" t="str">
        <f t="shared" si="9"/>
        <v/>
      </c>
      <c r="H456" s="9" t="str">
        <f t="shared" si="10"/>
        <v/>
      </c>
      <c r="I456" s="8" t="b">
        <f>IF(D456&lt;2,FALSE,ISERROR(MATCH(H456,'Ontology and concepts per UC'!$A$2:$A$62,0)))</f>
        <v>0</v>
      </c>
      <c r="J456" s="9" t="str">
        <f t="shared" si="11"/>
        <v/>
      </c>
      <c r="K456" s="8" t="b">
        <f>IF(D456&lt;3,FALSE,ISERROR(MATCH(J456,'Ontology and concepts per UC'!$A$2:$A$62,0)))</f>
        <v>0</v>
      </c>
      <c r="L456" s="2"/>
      <c r="M456" s="2" t="s">
        <v>1276</v>
      </c>
      <c r="N456" s="2"/>
      <c r="O456" s="1" t="b">
        <v>0</v>
      </c>
      <c r="P456" s="1">
        <v>0</v>
      </c>
      <c r="Q456" s="1">
        <v>0</v>
      </c>
      <c r="R456" s="1" t="b">
        <f t="shared" si="12"/>
        <v>0</v>
      </c>
      <c r="S456" s="2" t="s">
        <v>26</v>
      </c>
      <c r="T456" s="1" t="str">
        <f>IF(S456="","",VLOOKUP(S456,'Ontology and concepts per UC'!$F$2:$J$46,5,FALSE))</f>
        <v>Modelo Conceptual</v>
      </c>
      <c r="U456" s="1" t="b">
        <f t="array" ref="U456">(INDEX('Ontology and concepts per UC'!$G$2:$I$46,MATCH($S456,'Ontology and concepts per UC'!$F$2:$F$46,0),MATCH(LEFT($A456,3),'Ontology and concepts per UC'!$G$1:$I$1,0))=0)</f>
        <v>0</v>
      </c>
      <c r="V456" s="1" t="b">
        <f t="shared" si="13"/>
        <v>0</v>
      </c>
      <c r="W456" s="1" t="b">
        <v>0</v>
      </c>
      <c r="X456" s="1" t="b">
        <v>0</v>
      </c>
      <c r="Y456" s="1" t="b">
        <v>0</v>
      </c>
      <c r="Z456" s="1" t="b">
        <v>0</v>
      </c>
      <c r="AA456" s="1"/>
    </row>
    <row r="457" spans="1:27" x14ac:dyDescent="0.25">
      <c r="A457" s="1" t="s">
        <v>1168</v>
      </c>
      <c r="B457" s="2" t="s">
        <v>1277</v>
      </c>
      <c r="C457" s="2" t="s">
        <v>125</v>
      </c>
      <c r="D457" s="6">
        <f t="shared" si="7"/>
        <v>1</v>
      </c>
      <c r="E457" s="7" t="str">
        <f t="shared" si="8"/>
        <v>Manifestation</v>
      </c>
      <c r="F457" s="8" t="b">
        <f>IF(D457&lt;1,FALSE,ISERROR(MATCH(E457,'Ontology and concepts per UC'!$A$2:$A$62,0)))</f>
        <v>0</v>
      </c>
      <c r="G457" s="9" t="str">
        <f t="shared" si="9"/>
        <v/>
      </c>
      <c r="H457" s="9" t="str">
        <f t="shared" si="10"/>
        <v/>
      </c>
      <c r="I457" s="8" t="b">
        <f>IF(D457&lt;2,FALSE,ISERROR(MATCH(H457,'Ontology and concepts per UC'!$A$2:$A$62,0)))</f>
        <v>0</v>
      </c>
      <c r="J457" s="9" t="str">
        <f t="shared" si="11"/>
        <v/>
      </c>
      <c r="K457" s="8" t="b">
        <f>IF(D457&lt;3,FALSE,ISERROR(MATCH(J457,'Ontology and concepts per UC'!$A$2:$A$62,0)))</f>
        <v>0</v>
      </c>
      <c r="L457" s="2"/>
      <c r="M457" s="2" t="s">
        <v>1278</v>
      </c>
      <c r="N457" s="2"/>
      <c r="O457" s="1" t="b">
        <v>0</v>
      </c>
      <c r="P457" s="1">
        <v>0</v>
      </c>
      <c r="Q457" s="1">
        <v>0</v>
      </c>
      <c r="R457" s="1" t="b">
        <f t="shared" si="12"/>
        <v>0</v>
      </c>
      <c r="S457" s="2" t="s">
        <v>32</v>
      </c>
      <c r="T457" s="1" t="str">
        <f>IF(S457="","",VLOOKUP(S457,'Ontology and concepts per UC'!$F$2:$J$46,5,FALSE))</f>
        <v>Modelo Conceptual</v>
      </c>
      <c r="U457" s="1" t="b">
        <f t="array" ref="U457">(INDEX('Ontology and concepts per UC'!$G$2:$I$46,MATCH($S457,'Ontology and concepts per UC'!$F$2:$F$46,0),MATCH(LEFT($A457,3),'Ontology and concepts per UC'!$G$1:$I$1,0))=0)</f>
        <v>0</v>
      </c>
      <c r="V457" s="1" t="b">
        <f t="shared" si="13"/>
        <v>0</v>
      </c>
      <c r="W457" s="1" t="b">
        <v>0</v>
      </c>
      <c r="X457" s="1" t="b">
        <v>0</v>
      </c>
      <c r="Y457" s="1" t="b">
        <v>0</v>
      </c>
      <c r="Z457" s="1" t="b">
        <v>0</v>
      </c>
      <c r="AA457" s="1"/>
    </row>
    <row r="458" spans="1:27" x14ac:dyDescent="0.25">
      <c r="A458" s="1" t="s">
        <v>1168</v>
      </c>
      <c r="B458" s="2" t="s">
        <v>1279</v>
      </c>
      <c r="C458" s="2" t="s">
        <v>125</v>
      </c>
      <c r="D458" s="6">
        <f t="shared" si="7"/>
        <v>1</v>
      </c>
      <c r="E458" s="7" t="str">
        <f t="shared" si="8"/>
        <v>Manifestation</v>
      </c>
      <c r="F458" s="8" t="b">
        <f>IF(D458&lt;1,FALSE,ISERROR(MATCH(E458,'Ontology and concepts per UC'!$A$2:$A$62,0)))</f>
        <v>0</v>
      </c>
      <c r="G458" s="9" t="str">
        <f t="shared" si="9"/>
        <v/>
      </c>
      <c r="H458" s="9" t="str">
        <f t="shared" si="10"/>
        <v/>
      </c>
      <c r="I458" s="8" t="b">
        <f>IF(D458&lt;2,FALSE,ISERROR(MATCH(H458,'Ontology and concepts per UC'!$A$2:$A$62,0)))</f>
        <v>0</v>
      </c>
      <c r="J458" s="9" t="str">
        <f t="shared" si="11"/>
        <v/>
      </c>
      <c r="K458" s="8" t="b">
        <f>IF(D458&lt;3,FALSE,ISERROR(MATCH(J458,'Ontology and concepts per UC'!$A$2:$A$62,0)))</f>
        <v>0</v>
      </c>
      <c r="L458" s="2"/>
      <c r="M458" s="2" t="s">
        <v>1280</v>
      </c>
      <c r="N458" s="2"/>
      <c r="O458" s="1" t="b">
        <v>0</v>
      </c>
      <c r="P458" s="1">
        <v>0</v>
      </c>
      <c r="Q458" s="1">
        <v>0</v>
      </c>
      <c r="R458" s="1" t="b">
        <f t="shared" si="12"/>
        <v>0</v>
      </c>
      <c r="S458" s="2" t="s">
        <v>30</v>
      </c>
      <c r="T458" s="1" t="str">
        <f>IF(S458="","",VLOOKUP(S458,'Ontology and concepts per UC'!$F$2:$J$46,5,FALSE))</f>
        <v>Modelo Conceptual</v>
      </c>
      <c r="U458" s="1" t="b">
        <f t="array" ref="U458">(INDEX('Ontology and concepts per UC'!$G$2:$I$46,MATCH($S458,'Ontology and concepts per UC'!$F$2:$F$46,0),MATCH(LEFT($A458,3),'Ontology and concepts per UC'!$G$1:$I$1,0))=0)</f>
        <v>0</v>
      </c>
      <c r="V458" s="1" t="b">
        <f t="shared" si="13"/>
        <v>0</v>
      </c>
      <c r="W458" s="1" t="b">
        <v>0</v>
      </c>
      <c r="X458" s="1" t="b">
        <v>0</v>
      </c>
      <c r="Y458" s="1" t="b">
        <v>0</v>
      </c>
      <c r="Z458" s="1" t="b">
        <v>0</v>
      </c>
      <c r="AA458" s="1"/>
    </row>
    <row r="459" spans="1:27" x14ac:dyDescent="0.25">
      <c r="A459" s="1" t="s">
        <v>1168</v>
      </c>
      <c r="B459" s="2" t="s">
        <v>1281</v>
      </c>
      <c r="C459" s="2" t="s">
        <v>157</v>
      </c>
      <c r="D459" s="6">
        <f t="shared" si="7"/>
        <v>2</v>
      </c>
      <c r="E459" s="7" t="str">
        <f t="shared" si="8"/>
        <v>Parameter</v>
      </c>
      <c r="F459" s="8" t="b">
        <f>IF(D459&lt;1,FALSE,ISERROR(MATCH(E459,'Ontology and concepts per UC'!$A$2:$A$62,0)))</f>
        <v>0</v>
      </c>
      <c r="G459" s="9" t="str">
        <f t="shared" si="9"/>
        <v>DeterministicParameter</v>
      </c>
      <c r="H459" s="9" t="str">
        <f t="shared" si="10"/>
        <v>DeterministicParameter</v>
      </c>
      <c r="I459" s="8" t="b">
        <f>IF(D459&lt;2,FALSE,ISERROR(MATCH(H459,'Ontology and concepts per UC'!$A$2:$A$62,0)))</f>
        <v>0</v>
      </c>
      <c r="J459" s="9" t="str">
        <f t="shared" si="11"/>
        <v/>
      </c>
      <c r="K459" s="8" t="b">
        <f>IF(D459&lt;3,FALSE,ISERROR(MATCH(J459,'Ontology and concepts per UC'!$A$2:$A$62,0)))</f>
        <v>0</v>
      </c>
      <c r="L459" s="2" t="s">
        <v>1282</v>
      </c>
      <c r="M459" s="2" t="s">
        <v>1283</v>
      </c>
      <c r="N459" s="2"/>
      <c r="O459" s="1" t="b">
        <v>0</v>
      </c>
      <c r="P459" s="1">
        <v>0</v>
      </c>
      <c r="Q459" s="1">
        <v>0</v>
      </c>
      <c r="R459" s="1" t="b">
        <f t="shared" si="12"/>
        <v>1</v>
      </c>
      <c r="S459" s="2" t="s">
        <v>107</v>
      </c>
      <c r="T459" s="1" t="str">
        <f>IF(S459="","",VLOOKUP(S459,'Ontology and concepts per UC'!$F$2:$J$46,5,FALSE))</f>
        <v>Parcial</v>
      </c>
      <c r="U459" s="1" t="b">
        <f t="array" ref="U459">(INDEX('Ontology and concepts per UC'!$G$2:$I$46,MATCH($S459,'Ontology and concepts per UC'!$F$2:$F$46,0),MATCH(LEFT($A459,3),'Ontology and concepts per UC'!$G$1:$I$1,0))=0)</f>
        <v>0</v>
      </c>
      <c r="V459" s="1" t="b">
        <f t="shared" si="13"/>
        <v>0</v>
      </c>
      <c r="W459" s="1" t="b">
        <v>0</v>
      </c>
      <c r="X459" s="1" t="b">
        <v>0</v>
      </c>
      <c r="Y459" s="1" t="b">
        <v>0</v>
      </c>
      <c r="Z459" s="1" t="b">
        <v>0</v>
      </c>
      <c r="AA459" s="1" t="s">
        <v>205</v>
      </c>
    </row>
    <row r="460" spans="1:27" x14ac:dyDescent="0.25">
      <c r="A460" s="1" t="s">
        <v>1168</v>
      </c>
      <c r="B460" s="2" t="s">
        <v>1284</v>
      </c>
      <c r="C460" s="2" t="s">
        <v>157</v>
      </c>
      <c r="D460" s="6">
        <f t="shared" si="7"/>
        <v>2</v>
      </c>
      <c r="E460" s="7" t="str">
        <f t="shared" si="8"/>
        <v>Parameter</v>
      </c>
      <c r="F460" s="8" t="b">
        <f>IF(D460&lt;1,FALSE,ISERROR(MATCH(E460,'Ontology and concepts per UC'!$A$2:$A$62,0)))</f>
        <v>0</v>
      </c>
      <c r="G460" s="9" t="str">
        <f t="shared" si="9"/>
        <v>DeterministicParameter</v>
      </c>
      <c r="H460" s="9" t="str">
        <f t="shared" si="10"/>
        <v>DeterministicParameter</v>
      </c>
      <c r="I460" s="8" t="b">
        <f>IF(D460&lt;2,FALSE,ISERROR(MATCH(H460,'Ontology and concepts per UC'!$A$2:$A$62,0)))</f>
        <v>0</v>
      </c>
      <c r="J460" s="9" t="str">
        <f t="shared" si="11"/>
        <v/>
      </c>
      <c r="K460" s="8" t="b">
        <f>IF(D460&lt;3,FALSE,ISERROR(MATCH(J460,'Ontology and concepts per UC'!$A$2:$A$62,0)))</f>
        <v>0</v>
      </c>
      <c r="L460" s="2" t="s">
        <v>1285</v>
      </c>
      <c r="M460" s="2" t="s">
        <v>1286</v>
      </c>
      <c r="N460" s="2"/>
      <c r="O460" s="1" t="b">
        <v>0</v>
      </c>
      <c r="P460" s="1">
        <v>0</v>
      </c>
      <c r="Q460" s="1">
        <v>0</v>
      </c>
      <c r="R460" s="1" t="b">
        <f t="shared" si="12"/>
        <v>1</v>
      </c>
      <c r="S460" s="2" t="s">
        <v>107</v>
      </c>
      <c r="T460" s="1" t="str">
        <f>IF(S460="","",VLOOKUP(S460,'Ontology and concepts per UC'!$F$2:$J$46,5,FALSE))</f>
        <v>Parcial</v>
      </c>
      <c r="U460" s="1" t="b">
        <f t="array" ref="U460">(INDEX('Ontology and concepts per UC'!$G$2:$I$46,MATCH($S460,'Ontology and concepts per UC'!$F$2:$F$46,0),MATCH(LEFT($A460,3),'Ontology and concepts per UC'!$G$1:$I$1,0))=0)</f>
        <v>0</v>
      </c>
      <c r="V460" s="1" t="b">
        <f t="shared" si="13"/>
        <v>1</v>
      </c>
      <c r="W460" s="1" t="b">
        <v>0</v>
      </c>
      <c r="X460" s="1" t="b">
        <v>0</v>
      </c>
      <c r="Y460" s="1" t="b">
        <v>0</v>
      </c>
      <c r="Z460" s="1" t="b">
        <v>1</v>
      </c>
      <c r="AA460" s="1" t="s">
        <v>197</v>
      </c>
    </row>
    <row r="461" spans="1:27" x14ac:dyDescent="0.25">
      <c r="A461" s="1" t="s">
        <v>1168</v>
      </c>
      <c r="B461" s="2" t="s">
        <v>1287</v>
      </c>
      <c r="C461" s="2" t="s">
        <v>157</v>
      </c>
      <c r="D461" s="6">
        <f t="shared" si="7"/>
        <v>2</v>
      </c>
      <c r="E461" s="7" t="str">
        <f t="shared" si="8"/>
        <v>Parameter</v>
      </c>
      <c r="F461" s="8" t="b">
        <f>IF(D461&lt;1,FALSE,ISERROR(MATCH(E461,'Ontology and concepts per UC'!$A$2:$A$62,0)))</f>
        <v>0</v>
      </c>
      <c r="G461" s="9" t="str">
        <f t="shared" si="9"/>
        <v>DeterministicParameter</v>
      </c>
      <c r="H461" s="9" t="str">
        <f t="shared" si="10"/>
        <v>DeterministicParameter</v>
      </c>
      <c r="I461" s="8" t="b">
        <f>IF(D461&lt;2,FALSE,ISERROR(MATCH(H461,'Ontology and concepts per UC'!$A$2:$A$62,0)))</f>
        <v>0</v>
      </c>
      <c r="J461" s="9" t="str">
        <f t="shared" si="11"/>
        <v/>
      </c>
      <c r="K461" s="8" t="b">
        <f>IF(D461&lt;3,FALSE,ISERROR(MATCH(J461,'Ontology and concepts per UC'!$A$2:$A$62,0)))</f>
        <v>0</v>
      </c>
      <c r="L461" s="2" t="s">
        <v>1288</v>
      </c>
      <c r="M461" s="2" t="s">
        <v>1289</v>
      </c>
      <c r="N461" s="2"/>
      <c r="O461" s="1" t="b">
        <v>0</v>
      </c>
      <c r="P461" s="1">
        <v>0</v>
      </c>
      <c r="Q461" s="1">
        <v>0</v>
      </c>
      <c r="R461" s="1" t="b">
        <f t="shared" si="12"/>
        <v>1</v>
      </c>
      <c r="S461" s="2" t="s">
        <v>50</v>
      </c>
      <c r="T461" s="1" t="str">
        <f>IF(S461="","",VLOOKUP(S461,'Ontology and concepts per UC'!$F$2:$J$46,5,FALSE))</f>
        <v>Parámetros de progresión</v>
      </c>
      <c r="U461" s="1" t="b">
        <f t="array" ref="U461">(INDEX('Ontology and concepts per UC'!$G$2:$I$46,MATCH($S461,'Ontology and concepts per UC'!$F$2:$F$46,0),MATCH(LEFT($A461,3),'Ontology and concepts per UC'!$G$1:$I$1,0))=0)</f>
        <v>0</v>
      </c>
      <c r="V461" s="1" t="b">
        <f t="shared" si="13"/>
        <v>1</v>
      </c>
      <c r="W461" s="1" t="b">
        <v>0</v>
      </c>
      <c r="X461" s="1" t="b">
        <v>0</v>
      </c>
      <c r="Y461" s="1" t="b">
        <v>0</v>
      </c>
      <c r="Z461" s="1" t="b">
        <v>1</v>
      </c>
      <c r="AA461" s="1" t="s">
        <v>197</v>
      </c>
    </row>
    <row r="462" spans="1:27" x14ac:dyDescent="0.25">
      <c r="A462" s="1" t="s">
        <v>1168</v>
      </c>
      <c r="B462" s="2" t="s">
        <v>1290</v>
      </c>
      <c r="C462" s="2" t="s">
        <v>157</v>
      </c>
      <c r="D462" s="6">
        <f t="shared" si="7"/>
        <v>2</v>
      </c>
      <c r="E462" s="7" t="str">
        <f t="shared" si="8"/>
        <v>Parameter</v>
      </c>
      <c r="F462" s="8" t="b">
        <f>IF(D462&lt;1,FALSE,ISERROR(MATCH(E462,'Ontology and concepts per UC'!$A$2:$A$62,0)))</f>
        <v>0</v>
      </c>
      <c r="G462" s="9" t="str">
        <f t="shared" si="9"/>
        <v>DeterministicParameter</v>
      </c>
      <c r="H462" s="9" t="str">
        <f t="shared" si="10"/>
        <v>DeterministicParameter</v>
      </c>
      <c r="I462" s="8" t="b">
        <f>IF(D462&lt;2,FALSE,ISERROR(MATCH(H462,'Ontology and concepts per UC'!$A$2:$A$62,0)))</f>
        <v>0</v>
      </c>
      <c r="J462" s="9" t="str">
        <f t="shared" si="11"/>
        <v/>
      </c>
      <c r="K462" s="8" t="b">
        <f>IF(D462&lt;3,FALSE,ISERROR(MATCH(J462,'Ontology and concepts per UC'!$A$2:$A$62,0)))</f>
        <v>0</v>
      </c>
      <c r="L462" s="2" t="s">
        <v>1291</v>
      </c>
      <c r="M462" s="2" t="s">
        <v>1292</v>
      </c>
      <c r="N462" s="2"/>
      <c r="O462" s="1" t="b">
        <v>0</v>
      </c>
      <c r="P462" s="1">
        <v>0</v>
      </c>
      <c r="Q462" s="1">
        <v>0</v>
      </c>
      <c r="R462" s="1" t="b">
        <f t="shared" si="12"/>
        <v>1</v>
      </c>
      <c r="S462" s="2" t="s">
        <v>51</v>
      </c>
      <c r="T462" s="1" t="str">
        <f>IF(S462="","",VLOOKUP(S462,'Ontology and concepts per UC'!$F$2:$J$46,5,FALSE))</f>
        <v>Parámetros de progresión</v>
      </c>
      <c r="U462" s="1" t="b">
        <f t="array" ref="U462">(INDEX('Ontology and concepts per UC'!$G$2:$I$46,MATCH($S462,'Ontology and concepts per UC'!$F$2:$F$46,0),MATCH(LEFT($A462,3),'Ontology and concepts per UC'!$G$1:$I$1,0))=0)</f>
        <v>0</v>
      </c>
      <c r="V462" s="1" t="b">
        <f t="shared" si="13"/>
        <v>1</v>
      </c>
      <c r="W462" s="1" t="b">
        <v>0</v>
      </c>
      <c r="X462" s="1" t="b">
        <v>0</v>
      </c>
      <c r="Y462" s="1" t="b">
        <v>0</v>
      </c>
      <c r="Z462" s="1" t="b">
        <v>1</v>
      </c>
      <c r="AA462" s="1" t="s">
        <v>197</v>
      </c>
    </row>
    <row r="463" spans="1:27" x14ac:dyDescent="0.25">
      <c r="A463" s="1" t="s">
        <v>1168</v>
      </c>
      <c r="B463" s="2" t="s">
        <v>1293</v>
      </c>
      <c r="C463" s="2" t="s">
        <v>157</v>
      </c>
      <c r="D463" s="6">
        <f t="shared" si="7"/>
        <v>2</v>
      </c>
      <c r="E463" s="7" t="str">
        <f t="shared" si="8"/>
        <v>Parameter</v>
      </c>
      <c r="F463" s="8" t="b">
        <f>IF(D463&lt;1,FALSE,ISERROR(MATCH(E463,'Ontology and concepts per UC'!$A$2:$A$62,0)))</f>
        <v>0</v>
      </c>
      <c r="G463" s="9" t="str">
        <f t="shared" si="9"/>
        <v>DeterministicParameter</v>
      </c>
      <c r="H463" s="9" t="str">
        <f t="shared" si="10"/>
        <v>DeterministicParameter</v>
      </c>
      <c r="I463" s="8" t="b">
        <f>IF(D463&lt;2,FALSE,ISERROR(MATCH(H463,'Ontology and concepts per UC'!$A$2:$A$62,0)))</f>
        <v>0</v>
      </c>
      <c r="J463" s="9" t="str">
        <f t="shared" si="11"/>
        <v/>
      </c>
      <c r="K463" s="8" t="b">
        <f>IF(D463&lt;3,FALSE,ISERROR(MATCH(J463,'Ontology and concepts per UC'!$A$2:$A$62,0)))</f>
        <v>0</v>
      </c>
      <c r="L463" s="2" t="s">
        <v>1294</v>
      </c>
      <c r="M463" s="2" t="s">
        <v>1295</v>
      </c>
      <c r="N463" s="2"/>
      <c r="O463" s="1" t="b">
        <v>0</v>
      </c>
      <c r="P463" s="1">
        <v>0</v>
      </c>
      <c r="Q463" s="1">
        <v>0</v>
      </c>
      <c r="R463" s="1" t="b">
        <f t="shared" si="12"/>
        <v>1</v>
      </c>
      <c r="S463" s="2" t="s">
        <v>56</v>
      </c>
      <c r="T463" s="1" t="str">
        <f>IF(S463="","",VLOOKUP(S463,'Ontology and concepts per UC'!$F$2:$J$46,5,FALSE))</f>
        <v>Parámetros de progresión</v>
      </c>
      <c r="U463" s="1" t="b">
        <f t="array" ref="U463">(INDEX('Ontology and concepts per UC'!$G$2:$I$46,MATCH($S463,'Ontology and concepts per UC'!$F$2:$F$46,0),MATCH(LEFT($A463,3),'Ontology and concepts per UC'!$G$1:$I$1,0))=0)</f>
        <v>0</v>
      </c>
      <c r="V463" s="1" t="b">
        <f t="shared" si="13"/>
        <v>0</v>
      </c>
      <c r="W463" s="1" t="b">
        <v>0</v>
      </c>
      <c r="X463" s="1" t="b">
        <v>0</v>
      </c>
      <c r="Y463" s="1" t="b">
        <v>0</v>
      </c>
      <c r="Z463" s="1" t="b">
        <v>0</v>
      </c>
      <c r="AA463" s="1"/>
    </row>
    <row r="464" spans="1:27" x14ac:dyDescent="0.25">
      <c r="A464" s="1" t="s">
        <v>1168</v>
      </c>
      <c r="B464" s="2" t="s">
        <v>1296</v>
      </c>
      <c r="C464" s="2" t="s">
        <v>157</v>
      </c>
      <c r="D464" s="6">
        <f t="shared" si="7"/>
        <v>2</v>
      </c>
      <c r="E464" s="7" t="str">
        <f t="shared" si="8"/>
        <v>Parameter</v>
      </c>
      <c r="F464" s="8" t="b">
        <f>IF(D464&lt;1,FALSE,ISERROR(MATCH(E464,'Ontology and concepts per UC'!$A$2:$A$62,0)))</f>
        <v>0</v>
      </c>
      <c r="G464" s="9" t="str">
        <f t="shared" si="9"/>
        <v>DeterministicParameter</v>
      </c>
      <c r="H464" s="9" t="str">
        <f t="shared" si="10"/>
        <v>DeterministicParameter</v>
      </c>
      <c r="I464" s="8" t="b">
        <f>IF(D464&lt;2,FALSE,ISERROR(MATCH(H464,'Ontology and concepts per UC'!$A$2:$A$62,0)))</f>
        <v>0</v>
      </c>
      <c r="J464" s="9" t="str">
        <f t="shared" si="11"/>
        <v/>
      </c>
      <c r="K464" s="8" t="b">
        <f>IF(D464&lt;3,FALSE,ISERROR(MATCH(J464,'Ontology and concepts per UC'!$A$2:$A$62,0)))</f>
        <v>0</v>
      </c>
      <c r="L464" s="2" t="s">
        <v>1297</v>
      </c>
      <c r="M464" s="2" t="s">
        <v>1298</v>
      </c>
      <c r="N464" s="2"/>
      <c r="O464" s="1" t="b">
        <v>0</v>
      </c>
      <c r="P464" s="1">
        <v>0</v>
      </c>
      <c r="Q464" s="1">
        <v>0</v>
      </c>
      <c r="R464" s="1" t="b">
        <f t="shared" si="12"/>
        <v>1</v>
      </c>
      <c r="S464" s="2" t="s">
        <v>51</v>
      </c>
      <c r="T464" s="1" t="str">
        <f>IF(S464="","",VLOOKUP(S464,'Ontology and concepts per UC'!$F$2:$J$46,5,FALSE))</f>
        <v>Parámetros de progresión</v>
      </c>
      <c r="U464" s="1" t="b">
        <f t="array" ref="U464">(INDEX('Ontology and concepts per UC'!$G$2:$I$46,MATCH($S464,'Ontology and concepts per UC'!$F$2:$F$46,0),MATCH(LEFT($A464,3),'Ontology and concepts per UC'!$G$1:$I$1,0))=0)</f>
        <v>0</v>
      </c>
      <c r="V464" s="1" t="b">
        <f t="shared" si="13"/>
        <v>1</v>
      </c>
      <c r="W464" s="1" t="b">
        <v>0</v>
      </c>
      <c r="X464" s="1" t="b">
        <v>0</v>
      </c>
      <c r="Y464" s="1" t="b">
        <v>0</v>
      </c>
      <c r="Z464" s="1" t="b">
        <v>1</v>
      </c>
      <c r="AA464" s="1" t="s">
        <v>197</v>
      </c>
    </row>
    <row r="465" spans="1:27" x14ac:dyDescent="0.25">
      <c r="A465" s="1" t="s">
        <v>1168</v>
      </c>
      <c r="B465" s="2" t="s">
        <v>1299</v>
      </c>
      <c r="C465" s="2" t="s">
        <v>157</v>
      </c>
      <c r="D465" s="6">
        <f t="shared" si="7"/>
        <v>2</v>
      </c>
      <c r="E465" s="7" t="str">
        <f t="shared" si="8"/>
        <v>Parameter</v>
      </c>
      <c r="F465" s="8" t="b">
        <f>IF(D465&lt;1,FALSE,ISERROR(MATCH(E465,'Ontology and concepts per UC'!$A$2:$A$62,0)))</f>
        <v>0</v>
      </c>
      <c r="G465" s="9" t="str">
        <f t="shared" si="9"/>
        <v>DeterministicParameter</v>
      </c>
      <c r="H465" s="9" t="str">
        <f t="shared" si="10"/>
        <v>DeterministicParameter</v>
      </c>
      <c r="I465" s="8" t="b">
        <f>IF(D465&lt;2,FALSE,ISERROR(MATCH(H465,'Ontology and concepts per UC'!$A$2:$A$62,0)))</f>
        <v>0</v>
      </c>
      <c r="J465" s="9" t="str">
        <f t="shared" si="11"/>
        <v/>
      </c>
      <c r="K465" s="8" t="b">
        <f>IF(D465&lt;3,FALSE,ISERROR(MATCH(J465,'Ontology and concepts per UC'!$A$2:$A$62,0)))</f>
        <v>0</v>
      </c>
      <c r="L465" s="2" t="s">
        <v>1300</v>
      </c>
      <c r="M465" s="2" t="s">
        <v>1301</v>
      </c>
      <c r="N465" s="2"/>
      <c r="O465" s="1" t="b">
        <v>0</v>
      </c>
      <c r="P465" s="1">
        <v>0</v>
      </c>
      <c r="Q465" s="1">
        <v>0</v>
      </c>
      <c r="R465" s="1" t="b">
        <f t="shared" si="12"/>
        <v>1</v>
      </c>
      <c r="S465" s="2" t="s">
        <v>50</v>
      </c>
      <c r="T465" s="1" t="str">
        <f>IF(S465="","",VLOOKUP(S465,'Ontology and concepts per UC'!$F$2:$J$46,5,FALSE))</f>
        <v>Parámetros de progresión</v>
      </c>
      <c r="U465" s="1" t="b">
        <f t="array" ref="U465">(INDEX('Ontology and concepts per UC'!$G$2:$I$46,MATCH($S465,'Ontology and concepts per UC'!$F$2:$F$46,0),MATCH(LEFT($A465,3),'Ontology and concepts per UC'!$G$1:$I$1,0))=0)</f>
        <v>0</v>
      </c>
      <c r="V465" s="1" t="b">
        <f t="shared" si="13"/>
        <v>1</v>
      </c>
      <c r="W465" s="1" t="b">
        <v>0</v>
      </c>
      <c r="X465" s="1" t="b">
        <v>0</v>
      </c>
      <c r="Y465" s="1" t="b">
        <v>0</v>
      </c>
      <c r="Z465" s="1" t="b">
        <v>1</v>
      </c>
      <c r="AA465" s="1" t="s">
        <v>197</v>
      </c>
    </row>
    <row r="466" spans="1:27" x14ac:dyDescent="0.25">
      <c r="A466" s="1" t="s">
        <v>1168</v>
      </c>
      <c r="B466" s="2" t="s">
        <v>1302</v>
      </c>
      <c r="C466" s="2" t="s">
        <v>157</v>
      </c>
      <c r="D466" s="6">
        <f t="shared" si="7"/>
        <v>2</v>
      </c>
      <c r="E466" s="7" t="str">
        <f t="shared" si="8"/>
        <v>Parameter</v>
      </c>
      <c r="F466" s="8" t="b">
        <f>IF(D466&lt;1,FALSE,ISERROR(MATCH(E466,'Ontology and concepts per UC'!$A$2:$A$62,0)))</f>
        <v>0</v>
      </c>
      <c r="G466" s="9" t="str">
        <f t="shared" si="9"/>
        <v>DeterministicParameter</v>
      </c>
      <c r="H466" s="9" t="str">
        <f t="shared" si="10"/>
        <v>DeterministicParameter</v>
      </c>
      <c r="I466" s="8" t="b">
        <f>IF(D466&lt;2,FALSE,ISERROR(MATCH(H466,'Ontology and concepts per UC'!$A$2:$A$62,0)))</f>
        <v>0</v>
      </c>
      <c r="J466" s="9" t="str">
        <f t="shared" si="11"/>
        <v/>
      </c>
      <c r="K466" s="8" t="b">
        <f>IF(D466&lt;3,FALSE,ISERROR(MATCH(J466,'Ontology and concepts per UC'!$A$2:$A$62,0)))</f>
        <v>0</v>
      </c>
      <c r="L466" s="2" t="s">
        <v>1303</v>
      </c>
      <c r="M466" s="2" t="s">
        <v>1304</v>
      </c>
      <c r="N466" s="2"/>
      <c r="O466" s="1" t="b">
        <v>0</v>
      </c>
      <c r="P466" s="1">
        <v>0</v>
      </c>
      <c r="Q466" s="1">
        <v>0</v>
      </c>
      <c r="R466" s="1" t="b">
        <f t="shared" si="12"/>
        <v>1</v>
      </c>
      <c r="S466" s="2" t="s">
        <v>58</v>
      </c>
      <c r="T466" s="1" t="str">
        <f>IF(S466="","",VLOOKUP(S466,'Ontology and concepts per UC'!$F$2:$J$46,5,FALSE))</f>
        <v>Parámetros de progresión</v>
      </c>
      <c r="U466" s="1" t="b">
        <f t="array" ref="U466">(INDEX('Ontology and concepts per UC'!$G$2:$I$46,MATCH($S466,'Ontology and concepts per UC'!$F$2:$F$46,0),MATCH(LEFT($A466,3),'Ontology and concepts per UC'!$G$1:$I$1,0))=0)</f>
        <v>0</v>
      </c>
      <c r="V466" s="1" t="b">
        <f t="shared" si="13"/>
        <v>0</v>
      </c>
      <c r="W466" s="1" t="b">
        <v>0</v>
      </c>
      <c r="X466" s="1" t="b">
        <v>0</v>
      </c>
      <c r="Y466" s="1" t="b">
        <v>0</v>
      </c>
      <c r="Z466" s="1" t="b">
        <v>0</v>
      </c>
      <c r="AA466" s="1"/>
    </row>
    <row r="467" spans="1:27" x14ac:dyDescent="0.25">
      <c r="A467" s="1" t="s">
        <v>1168</v>
      </c>
      <c r="B467" s="2" t="s">
        <v>1305</v>
      </c>
      <c r="C467" s="2" t="s">
        <v>48</v>
      </c>
      <c r="D467" s="6">
        <f t="shared" si="7"/>
        <v>1</v>
      </c>
      <c r="E467" s="7" t="str">
        <f t="shared" si="8"/>
        <v>ScreeningStrategy</v>
      </c>
      <c r="F467" s="8" t="b">
        <f>IF(D467&lt;1,FALSE,ISERROR(MATCH(E467,'Ontology and concepts per UC'!$A$2:$A$62,0)))</f>
        <v>0</v>
      </c>
      <c r="G467" s="9" t="str">
        <f t="shared" si="9"/>
        <v/>
      </c>
      <c r="H467" s="9" t="str">
        <f t="shared" si="10"/>
        <v/>
      </c>
      <c r="I467" s="8" t="b">
        <f>IF(D467&lt;2,FALSE,ISERROR(MATCH(H467,'Ontology and concepts per UC'!$A$2:$A$62,0)))</f>
        <v>0</v>
      </c>
      <c r="J467" s="9" t="str">
        <f t="shared" si="11"/>
        <v/>
      </c>
      <c r="K467" s="8" t="b">
        <f>IF(D467&lt;3,FALSE,ISERROR(MATCH(J467,'Ontology and concepts per UC'!$A$2:$A$62,0)))</f>
        <v>0</v>
      </c>
      <c r="L467" s="2" t="s">
        <v>1199</v>
      </c>
      <c r="M467" s="2" t="s">
        <v>1306</v>
      </c>
      <c r="N467" s="2"/>
      <c r="O467" s="1" t="b">
        <v>0</v>
      </c>
      <c r="P467" s="1">
        <v>0</v>
      </c>
      <c r="Q467" s="1">
        <v>0</v>
      </c>
      <c r="R467" s="1" t="b">
        <f t="shared" si="12"/>
        <v>0</v>
      </c>
      <c r="S467" s="2" t="s">
        <v>47</v>
      </c>
      <c r="T467" s="1" t="str">
        <f>IF(S467="","",VLOOKUP(S467,'Ontology and concepts per UC'!$F$2:$J$46,5,FALSE))</f>
        <v>Parámetros de intervención</v>
      </c>
      <c r="U467" s="1" t="b">
        <f t="array" ref="U467">(INDEX('Ontology and concepts per UC'!$G$2:$I$46,MATCH($S467,'Ontology and concepts per UC'!$F$2:$F$46,0),MATCH(LEFT($A467,3),'Ontology and concepts per UC'!$G$1:$I$1,0))=0)</f>
        <v>0</v>
      </c>
      <c r="V467" s="1" t="b">
        <f t="shared" si="13"/>
        <v>0</v>
      </c>
      <c r="W467" s="1" t="b">
        <v>0</v>
      </c>
      <c r="X467" s="1" t="b">
        <v>0</v>
      </c>
      <c r="Y467" s="1" t="b">
        <v>0</v>
      </c>
      <c r="Z467" s="1" t="b">
        <v>0</v>
      </c>
      <c r="AA467" s="1"/>
    </row>
    <row r="468" spans="1:27" x14ac:dyDescent="0.25">
      <c r="A468" s="1" t="s">
        <v>1168</v>
      </c>
      <c r="B468" s="2" t="s">
        <v>1307</v>
      </c>
      <c r="C468" s="2" t="s">
        <v>1308</v>
      </c>
      <c r="D468" s="6">
        <f t="shared" si="7"/>
        <v>1</v>
      </c>
      <c r="E468" s="7" t="str">
        <f t="shared" si="8"/>
        <v>Treatment</v>
      </c>
      <c r="F468" s="8" t="b">
        <f>IF(D468&lt;1,FALSE,ISERROR(MATCH(E468,'Ontology and concepts per UC'!$A$2:$A$62,0)))</f>
        <v>0</v>
      </c>
      <c r="G468" s="9" t="str">
        <f t="shared" si="9"/>
        <v/>
      </c>
      <c r="H468" s="9" t="str">
        <f t="shared" si="10"/>
        <v/>
      </c>
      <c r="I468" s="8" t="b">
        <f>IF(D468&lt;2,FALSE,ISERROR(MATCH(H468,'Ontology and concepts per UC'!$A$2:$A$62,0)))</f>
        <v>0</v>
      </c>
      <c r="J468" s="9" t="str">
        <f t="shared" si="11"/>
        <v/>
      </c>
      <c r="K468" s="8" t="b">
        <f>IF(D468&lt;3,FALSE,ISERROR(MATCH(J468,'Ontology and concepts per UC'!$A$2:$A$62,0)))</f>
        <v>0</v>
      </c>
      <c r="L468" s="2"/>
      <c r="M468" s="2" t="s">
        <v>1309</v>
      </c>
      <c r="N468" s="2"/>
      <c r="O468" s="1" t="b">
        <v>0</v>
      </c>
      <c r="P468" s="1">
        <v>0</v>
      </c>
      <c r="Q468" s="1">
        <v>0</v>
      </c>
      <c r="R468" s="1" t="b">
        <f t="shared" si="12"/>
        <v>0</v>
      </c>
      <c r="S468" s="2" t="s">
        <v>62</v>
      </c>
      <c r="T468" s="1" t="str">
        <f>IF(S468="","",VLOOKUP(S468,'Ontology and concepts per UC'!$F$2:$J$46,5,FALSE))</f>
        <v>Tratamiento/seguimiento</v>
      </c>
      <c r="U468" s="1" t="b">
        <f t="array" ref="U468">(INDEX('Ontology and concepts per UC'!$G$2:$I$46,MATCH($S468,'Ontology and concepts per UC'!$F$2:$F$46,0),MATCH(LEFT($A468,3),'Ontology and concepts per UC'!$G$1:$I$1,0))=0)</f>
        <v>0</v>
      </c>
      <c r="V468" s="1" t="b">
        <f t="shared" si="13"/>
        <v>0</v>
      </c>
      <c r="W468" s="1" t="b">
        <v>0</v>
      </c>
      <c r="X468" s="1" t="b">
        <v>0</v>
      </c>
      <c r="Y468" s="1" t="b">
        <v>0</v>
      </c>
      <c r="Z468" s="1" t="b">
        <v>0</v>
      </c>
      <c r="AA468" s="1"/>
    </row>
    <row r="469" spans="1:27" x14ac:dyDescent="0.25">
      <c r="A469" s="1" t="s">
        <v>1168</v>
      </c>
      <c r="B469" s="2" t="s">
        <v>1310</v>
      </c>
      <c r="C469" s="2" t="s">
        <v>1308</v>
      </c>
      <c r="D469" s="6">
        <f t="shared" si="7"/>
        <v>1</v>
      </c>
      <c r="E469" s="7" t="str">
        <f t="shared" si="8"/>
        <v>Treatment</v>
      </c>
      <c r="F469" s="8" t="b">
        <f>IF(D469&lt;1,FALSE,ISERROR(MATCH(E469,'Ontology and concepts per UC'!$A$2:$A$62,0)))</f>
        <v>0</v>
      </c>
      <c r="G469" s="9" t="str">
        <f t="shared" si="9"/>
        <v/>
      </c>
      <c r="H469" s="9" t="str">
        <f t="shared" si="10"/>
        <v/>
      </c>
      <c r="I469" s="8" t="b">
        <f>IF(D469&lt;2,FALSE,ISERROR(MATCH(H469,'Ontology and concepts per UC'!$A$2:$A$62,0)))</f>
        <v>0</v>
      </c>
      <c r="J469" s="9" t="str">
        <f t="shared" si="11"/>
        <v/>
      </c>
      <c r="K469" s="8" t="b">
        <f>IF(D469&lt;3,FALSE,ISERROR(MATCH(J469,'Ontology and concepts per UC'!$A$2:$A$62,0)))</f>
        <v>0</v>
      </c>
      <c r="L469" s="2"/>
      <c r="M469" s="2" t="s">
        <v>1311</v>
      </c>
      <c r="N469" s="2" t="s">
        <v>1312</v>
      </c>
      <c r="O469" s="1" t="b">
        <v>0</v>
      </c>
      <c r="P469" s="1">
        <v>0</v>
      </c>
      <c r="Q469" s="1">
        <v>3</v>
      </c>
      <c r="R469" s="1" t="b">
        <f t="shared" si="12"/>
        <v>1</v>
      </c>
      <c r="S469" s="2" t="s">
        <v>187</v>
      </c>
      <c r="T469" s="1" t="str">
        <f>IF(S469="","",VLOOKUP(S469,'Ontology and concepts per UC'!$F$2:$J$46,5,FALSE))</f>
        <v>Otros</v>
      </c>
      <c r="U469" s="1" t="b">
        <f t="array" ref="U469">(INDEX('Ontology and concepts per UC'!$G$2:$I$46,MATCH($S469,'Ontology and concepts per UC'!$F$2:$F$46,0),MATCH(LEFT($A469,3),'Ontology and concepts per UC'!$G$1:$I$1,0))=0)</f>
        <v>1</v>
      </c>
      <c r="V469" s="1" t="b">
        <f t="shared" si="13"/>
        <v>1</v>
      </c>
      <c r="W469" s="1" t="b">
        <v>1</v>
      </c>
      <c r="X469" s="1" t="b">
        <v>1</v>
      </c>
      <c r="Y469" s="1" t="b">
        <v>0</v>
      </c>
      <c r="Z469" s="1" t="b">
        <v>0</v>
      </c>
      <c r="AA469" s="1" t="s">
        <v>1313</v>
      </c>
    </row>
    <row r="470" spans="1:27" x14ac:dyDescent="0.25">
      <c r="A470" s="1" t="s">
        <v>1168</v>
      </c>
      <c r="B470" s="2" t="s">
        <v>1314</v>
      </c>
      <c r="C470" s="2" t="s">
        <v>1308</v>
      </c>
      <c r="D470" s="6">
        <f t="shared" si="7"/>
        <v>1</v>
      </c>
      <c r="E470" s="7" t="str">
        <f t="shared" si="8"/>
        <v>Treatment</v>
      </c>
      <c r="F470" s="8" t="b">
        <f>IF(D470&lt;1,FALSE,ISERROR(MATCH(E470,'Ontology and concepts per UC'!$A$2:$A$62,0)))</f>
        <v>0</v>
      </c>
      <c r="G470" s="9" t="str">
        <f t="shared" si="9"/>
        <v/>
      </c>
      <c r="H470" s="9" t="str">
        <f t="shared" si="10"/>
        <v/>
      </c>
      <c r="I470" s="8" t="b">
        <f>IF(D470&lt;2,FALSE,ISERROR(MATCH(H470,'Ontology and concepts per UC'!$A$2:$A$62,0)))</f>
        <v>0</v>
      </c>
      <c r="J470" s="9" t="str">
        <f t="shared" si="11"/>
        <v/>
      </c>
      <c r="K470" s="8" t="b">
        <f>IF(D470&lt;3,FALSE,ISERROR(MATCH(J470,'Ontology and concepts per UC'!$A$2:$A$62,0)))</f>
        <v>0</v>
      </c>
      <c r="L470" s="2"/>
      <c r="M470" s="2" t="s">
        <v>1315</v>
      </c>
      <c r="N470" s="2" t="s">
        <v>1316</v>
      </c>
      <c r="O470" s="1" t="b">
        <v>0</v>
      </c>
      <c r="P470" s="1">
        <v>0</v>
      </c>
      <c r="Q470" s="1">
        <v>3</v>
      </c>
      <c r="R470" s="1" t="b">
        <f t="shared" si="12"/>
        <v>1</v>
      </c>
      <c r="S470" s="2" t="s">
        <v>107</v>
      </c>
      <c r="T470" s="1" t="str">
        <f>IF(S470="","",VLOOKUP(S470,'Ontology and concepts per UC'!$F$2:$J$46,5,FALSE))</f>
        <v>Parcial</v>
      </c>
      <c r="U470" s="1" t="b">
        <f t="array" ref="U470">(INDEX('Ontology and concepts per UC'!$G$2:$I$46,MATCH($S470,'Ontology and concepts per UC'!$F$2:$F$46,0),MATCH(LEFT($A470,3),'Ontology and concepts per UC'!$G$1:$I$1,0))=0)</f>
        <v>0</v>
      </c>
      <c r="V470" s="1" t="b">
        <f t="shared" si="13"/>
        <v>1</v>
      </c>
      <c r="W470" s="1" t="b">
        <v>1</v>
      </c>
      <c r="X470" s="1" t="b">
        <v>1</v>
      </c>
      <c r="Y470" s="1" t="b">
        <v>0</v>
      </c>
      <c r="Z470" s="1" t="b">
        <v>0</v>
      </c>
      <c r="AA470" s="1" t="s">
        <v>1313</v>
      </c>
    </row>
    <row r="471" spans="1:27" x14ac:dyDescent="0.25">
      <c r="A471" s="1" t="s">
        <v>1168</v>
      </c>
      <c r="B471" s="2" t="s">
        <v>1317</v>
      </c>
      <c r="C471" s="2" t="s">
        <v>1308</v>
      </c>
      <c r="D471" s="6">
        <f t="shared" si="7"/>
        <v>1</v>
      </c>
      <c r="E471" s="7" t="str">
        <f t="shared" si="8"/>
        <v>Treatment</v>
      </c>
      <c r="F471" s="8" t="b">
        <f>IF(D471&lt;1,FALSE,ISERROR(MATCH(E471,'Ontology and concepts per UC'!$A$2:$A$62,0)))</f>
        <v>0</v>
      </c>
      <c r="G471" s="9" t="str">
        <f t="shared" si="9"/>
        <v/>
      </c>
      <c r="H471" s="9" t="str">
        <f t="shared" si="10"/>
        <v/>
      </c>
      <c r="I471" s="8" t="b">
        <f>IF(D471&lt;2,FALSE,ISERROR(MATCH(H471,'Ontology and concepts per UC'!$A$2:$A$62,0)))</f>
        <v>0</v>
      </c>
      <c r="J471" s="9" t="str">
        <f t="shared" si="11"/>
        <v/>
      </c>
      <c r="K471" s="8" t="b">
        <f>IF(D471&lt;3,FALSE,ISERROR(MATCH(J471,'Ontology and concepts per UC'!$A$2:$A$62,0)))</f>
        <v>0</v>
      </c>
      <c r="L471" s="2"/>
      <c r="M471" s="2" t="s">
        <v>1318</v>
      </c>
      <c r="N471" s="2" t="s">
        <v>1319</v>
      </c>
      <c r="O471" s="1" t="b">
        <v>0</v>
      </c>
      <c r="P471" s="1">
        <v>0</v>
      </c>
      <c r="Q471" s="1">
        <v>3</v>
      </c>
      <c r="R471" s="1" t="b">
        <f t="shared" si="12"/>
        <v>1</v>
      </c>
      <c r="S471" s="2" t="s">
        <v>62</v>
      </c>
      <c r="T471" s="1" t="str">
        <f>IF(S471="","",VLOOKUP(S471,'Ontology and concepts per UC'!$F$2:$J$46,5,FALSE))</f>
        <v>Tratamiento/seguimiento</v>
      </c>
      <c r="U471" s="1" t="b">
        <f t="array" ref="U471">(INDEX('Ontology and concepts per UC'!$G$2:$I$46,MATCH($S471,'Ontology and concepts per UC'!$F$2:$F$46,0),MATCH(LEFT($A471,3),'Ontology and concepts per UC'!$G$1:$I$1,0))=0)</f>
        <v>0</v>
      </c>
      <c r="V471" s="1" t="b">
        <f t="shared" si="13"/>
        <v>1</v>
      </c>
      <c r="W471" s="1" t="b">
        <v>1</v>
      </c>
      <c r="X471" s="1" t="b">
        <v>1</v>
      </c>
      <c r="Y471" s="1" t="b">
        <v>0</v>
      </c>
      <c r="Z471" s="1" t="b">
        <v>0</v>
      </c>
      <c r="AA471" s="1" t="s">
        <v>1313</v>
      </c>
    </row>
    <row r="472" spans="1:27" x14ac:dyDescent="0.25">
      <c r="A472" s="1" t="s">
        <v>1168</v>
      </c>
      <c r="B472" s="2" t="s">
        <v>1320</v>
      </c>
      <c r="C472" s="2" t="s">
        <v>1115</v>
      </c>
      <c r="D472" s="6">
        <f t="shared" si="7"/>
        <v>2</v>
      </c>
      <c r="E472" s="7" t="str">
        <f t="shared" si="8"/>
        <v>Utility</v>
      </c>
      <c r="F472" s="8" t="b">
        <f>IF(D472&lt;1,FALSE,ISERROR(MATCH(E472,'Ontology and concepts per UC'!$A$2:$A$62,0)))</f>
        <v>0</v>
      </c>
      <c r="G472" s="9" t="str">
        <f t="shared" si="9"/>
        <v>DeterministicParameter</v>
      </c>
      <c r="H472" s="9" t="str">
        <f t="shared" si="10"/>
        <v>DeterministicParameter</v>
      </c>
      <c r="I472" s="8" t="b">
        <f>IF(D472&lt;2,FALSE,ISERROR(MATCH(H472,'Ontology and concepts per UC'!$A$2:$A$62,0)))</f>
        <v>0</v>
      </c>
      <c r="J472" s="9" t="str">
        <f t="shared" si="11"/>
        <v/>
      </c>
      <c r="K472" s="8" t="b">
        <f>IF(D472&lt;3,FALSE,ISERROR(MATCH(J472,'Ontology and concepts per UC'!$A$2:$A$62,0)))</f>
        <v>0</v>
      </c>
      <c r="L472" s="2"/>
      <c r="M472" s="2" t="s">
        <v>1321</v>
      </c>
      <c r="N472" s="2"/>
      <c r="O472" s="1" t="b">
        <v>0</v>
      </c>
      <c r="P472" s="1">
        <v>0</v>
      </c>
      <c r="Q472" s="1">
        <v>0</v>
      </c>
      <c r="R472" s="1" t="b">
        <f t="shared" si="12"/>
        <v>1</v>
      </c>
      <c r="S472" s="2" t="s">
        <v>174</v>
      </c>
      <c r="T472" s="1" t="str">
        <f>IF(S472="","",VLOOKUP(S472,'Ontology and concepts per UC'!$F$2:$J$46,5,FALSE))</f>
        <v>Utilidad</v>
      </c>
      <c r="U472" s="1" t="b">
        <f t="array" ref="U472">(INDEX('Ontology and concepts per UC'!$G$2:$I$46,MATCH($S472,'Ontology and concepts per UC'!$F$2:$F$46,0),MATCH(LEFT($A472,3),'Ontology and concepts per UC'!$G$1:$I$1,0))=0)</f>
        <v>0</v>
      </c>
      <c r="V472" s="1" t="b">
        <f t="shared" si="13"/>
        <v>0</v>
      </c>
      <c r="W472" s="1" t="b">
        <v>0</v>
      </c>
      <c r="X472" s="1" t="b">
        <v>0</v>
      </c>
      <c r="Y472" s="1" t="b">
        <v>0</v>
      </c>
      <c r="Z472" s="1" t="b">
        <v>0</v>
      </c>
      <c r="AA472" s="1"/>
    </row>
    <row r="473" spans="1:27" x14ac:dyDescent="0.25">
      <c r="A473" s="1" t="s">
        <v>1168</v>
      </c>
      <c r="B473" s="2" t="s">
        <v>1322</v>
      </c>
      <c r="C473" s="2" t="s">
        <v>1115</v>
      </c>
      <c r="D473" s="6">
        <f t="shared" si="7"/>
        <v>2</v>
      </c>
      <c r="E473" s="7" t="str">
        <f t="shared" si="8"/>
        <v>Utility</v>
      </c>
      <c r="F473" s="8" t="b">
        <f>IF(D473&lt;1,FALSE,ISERROR(MATCH(E473,'Ontology and concepts per UC'!$A$2:$A$62,0)))</f>
        <v>0</v>
      </c>
      <c r="G473" s="9" t="str">
        <f t="shared" si="9"/>
        <v>DeterministicParameter</v>
      </c>
      <c r="H473" s="9" t="str">
        <f t="shared" si="10"/>
        <v>DeterministicParameter</v>
      </c>
      <c r="I473" s="8" t="b">
        <f>IF(D473&lt;2,FALSE,ISERROR(MATCH(H473,'Ontology and concepts per UC'!$A$2:$A$62,0)))</f>
        <v>0</v>
      </c>
      <c r="J473" s="9" t="str">
        <f t="shared" si="11"/>
        <v/>
      </c>
      <c r="K473" s="8" t="b">
        <f>IF(D473&lt;3,FALSE,ISERROR(MATCH(J473,'Ontology and concepts per UC'!$A$2:$A$62,0)))</f>
        <v>0</v>
      </c>
      <c r="L473" s="2"/>
      <c r="M473" s="2" t="s">
        <v>1323</v>
      </c>
      <c r="N473" s="2"/>
      <c r="O473" s="1" t="b">
        <v>0</v>
      </c>
      <c r="P473" s="1">
        <v>0</v>
      </c>
      <c r="Q473" s="1">
        <v>0</v>
      </c>
      <c r="R473" s="1" t="b">
        <f t="shared" si="12"/>
        <v>1</v>
      </c>
      <c r="S473" s="2" t="s">
        <v>20</v>
      </c>
      <c r="T473" s="1" t="str">
        <f>IF(S473="","",VLOOKUP(S473,'Ontology and concepts per UC'!$F$2:$J$46,5,FALSE))</f>
        <v>Modelo Conceptual</v>
      </c>
      <c r="U473" s="1" t="b">
        <f t="array" ref="U473">(INDEX('Ontology and concepts per UC'!$G$2:$I$46,MATCH($S473,'Ontology and concepts per UC'!$F$2:$F$46,0),MATCH(LEFT($A473,3),'Ontology and concepts per UC'!$G$1:$I$1,0))=0)</f>
        <v>0</v>
      </c>
      <c r="V473" s="1" t="b">
        <f t="shared" si="13"/>
        <v>0</v>
      </c>
      <c r="W473" s="1" t="b">
        <v>0</v>
      </c>
      <c r="X473" s="1" t="b">
        <v>0</v>
      </c>
      <c r="Y473" s="1" t="b">
        <v>0</v>
      </c>
      <c r="Z473" s="1" t="b">
        <v>0</v>
      </c>
      <c r="AA473" s="1"/>
    </row>
    <row r="474" spans="1:27" x14ac:dyDescent="0.25">
      <c r="A474" s="1" t="s">
        <v>1168</v>
      </c>
      <c r="B474" s="2" t="s">
        <v>1324</v>
      </c>
      <c r="C474" s="2" t="s">
        <v>1115</v>
      </c>
      <c r="D474" s="6">
        <f t="shared" si="7"/>
        <v>2</v>
      </c>
      <c r="E474" s="7" t="str">
        <f t="shared" si="8"/>
        <v>Utility</v>
      </c>
      <c r="F474" s="8" t="b">
        <f>IF(D474&lt;1,FALSE,ISERROR(MATCH(E474,'Ontology and concepts per UC'!$A$2:$A$62,0)))</f>
        <v>0</v>
      </c>
      <c r="G474" s="9" t="str">
        <f t="shared" si="9"/>
        <v>DeterministicParameter</v>
      </c>
      <c r="H474" s="9" t="str">
        <f t="shared" si="10"/>
        <v>DeterministicParameter</v>
      </c>
      <c r="I474" s="8" t="b">
        <f>IF(D474&lt;2,FALSE,ISERROR(MATCH(H474,'Ontology and concepts per UC'!$A$2:$A$62,0)))</f>
        <v>0</v>
      </c>
      <c r="J474" s="9" t="str">
        <f t="shared" si="11"/>
        <v/>
      </c>
      <c r="K474" s="8" t="b">
        <f>IF(D474&lt;3,FALSE,ISERROR(MATCH(J474,'Ontology and concepts per UC'!$A$2:$A$62,0)))</f>
        <v>0</v>
      </c>
      <c r="L474" s="2"/>
      <c r="M474" s="2" t="s">
        <v>1325</v>
      </c>
      <c r="N474" s="2"/>
      <c r="O474" s="1" t="b">
        <v>0</v>
      </c>
      <c r="P474" s="1">
        <v>0</v>
      </c>
      <c r="Q474" s="1">
        <v>0</v>
      </c>
      <c r="R474" s="1" t="b">
        <f t="shared" si="12"/>
        <v>1</v>
      </c>
      <c r="S474" s="2" t="s">
        <v>174</v>
      </c>
      <c r="T474" s="1" t="str">
        <f>IF(S474="","",VLOOKUP(S474,'Ontology and concepts per UC'!$F$2:$J$46,5,FALSE))</f>
        <v>Utilidad</v>
      </c>
      <c r="U474" s="1" t="b">
        <f t="array" ref="U474">(INDEX('Ontology and concepts per UC'!$G$2:$I$46,MATCH($S474,'Ontology and concepts per UC'!$F$2:$F$46,0),MATCH(LEFT($A474,3),'Ontology and concepts per UC'!$G$1:$I$1,0))=0)</f>
        <v>0</v>
      </c>
      <c r="V474" s="1" t="b">
        <f t="shared" si="13"/>
        <v>0</v>
      </c>
      <c r="W474" s="1" t="b">
        <v>0</v>
      </c>
      <c r="X474" s="1" t="b">
        <v>0</v>
      </c>
      <c r="Y474" s="1" t="b">
        <v>0</v>
      </c>
      <c r="Z474" s="1" t="b">
        <v>0</v>
      </c>
      <c r="AA474" s="1"/>
    </row>
    <row r="475" spans="1:27" x14ac:dyDescent="0.25">
      <c r="A475" s="1" t="s">
        <v>1168</v>
      </c>
      <c r="B475" s="2" t="s">
        <v>1326</v>
      </c>
      <c r="C475" s="2" t="s">
        <v>1115</v>
      </c>
      <c r="D475" s="6">
        <f t="shared" si="7"/>
        <v>2</v>
      </c>
      <c r="E475" s="7" t="str">
        <f t="shared" si="8"/>
        <v>Utility</v>
      </c>
      <c r="F475" s="8" t="b">
        <f>IF(D475&lt;1,FALSE,ISERROR(MATCH(E475,'Ontology and concepts per UC'!$A$2:$A$62,0)))</f>
        <v>0</v>
      </c>
      <c r="G475" s="9" t="str">
        <f t="shared" si="9"/>
        <v>DeterministicParameter</v>
      </c>
      <c r="H475" s="9" t="str">
        <f t="shared" si="10"/>
        <v>DeterministicParameter</v>
      </c>
      <c r="I475" s="8" t="b">
        <f>IF(D475&lt;2,FALSE,ISERROR(MATCH(H475,'Ontology and concepts per UC'!$A$2:$A$62,0)))</f>
        <v>0</v>
      </c>
      <c r="J475" s="9" t="str">
        <f t="shared" si="11"/>
        <v/>
      </c>
      <c r="K475" s="8" t="b">
        <f>IF(D475&lt;3,FALSE,ISERROR(MATCH(J475,'Ontology and concepts per UC'!$A$2:$A$62,0)))</f>
        <v>0</v>
      </c>
      <c r="L475" s="2"/>
      <c r="M475" s="2" t="s">
        <v>1327</v>
      </c>
      <c r="N475" s="2"/>
      <c r="O475" s="1" t="b">
        <v>0</v>
      </c>
      <c r="P475" s="1">
        <v>0</v>
      </c>
      <c r="Q475" s="1">
        <v>0</v>
      </c>
      <c r="R475" s="1" t="b">
        <f t="shared" si="12"/>
        <v>1</v>
      </c>
      <c r="S475" s="2" t="s">
        <v>67</v>
      </c>
      <c r="T475" s="1" t="str">
        <f>IF(S475="","",VLOOKUP(S475,'Ontology and concepts per UC'!$F$2:$J$46,5,FALSE))</f>
        <v>Utilidad</v>
      </c>
      <c r="U475" s="1" t="b">
        <f t="array" ref="U475">(INDEX('Ontology and concepts per UC'!$G$2:$I$46,MATCH($S475,'Ontology and concepts per UC'!$F$2:$F$46,0),MATCH(LEFT($A475,3),'Ontology and concepts per UC'!$G$1:$I$1,0))=0)</f>
        <v>0</v>
      </c>
      <c r="V475" s="1" t="b">
        <f t="shared" si="13"/>
        <v>1</v>
      </c>
      <c r="W475" s="1" t="b">
        <v>0</v>
      </c>
      <c r="X475" s="1" t="b">
        <v>0</v>
      </c>
      <c r="Y475" s="1" t="b">
        <v>0</v>
      </c>
      <c r="Z475" s="1" t="b">
        <v>1</v>
      </c>
      <c r="AA475" s="1" t="s">
        <v>197</v>
      </c>
    </row>
    <row r="476" spans="1:27" x14ac:dyDescent="0.25">
      <c r="A476" s="1" t="s">
        <v>1168</v>
      </c>
      <c r="B476" s="2" t="s">
        <v>1328</v>
      </c>
      <c r="C476" s="2"/>
      <c r="D476" s="6">
        <f t="shared" si="7"/>
        <v>0</v>
      </c>
      <c r="E476" s="7">
        <f t="shared" si="8"/>
        <v>0</v>
      </c>
      <c r="F476" s="8" t="b">
        <f>IF(D476&lt;1,FALSE,ISERROR(MATCH(E476,'Ontology and concepts per UC'!$A$2:$A$62,0)))</f>
        <v>0</v>
      </c>
      <c r="G476" s="9" t="str">
        <f t="shared" si="9"/>
        <v/>
      </c>
      <c r="H476" s="9" t="str">
        <f t="shared" si="10"/>
        <v/>
      </c>
      <c r="I476" s="8" t="b">
        <f>IF(D476&lt;2,FALSE,ISERROR(MATCH(H476,'Ontology and concepts per UC'!$A$2:$A$62,0)))</f>
        <v>0</v>
      </c>
      <c r="J476" s="9" t="str">
        <f t="shared" si="11"/>
        <v/>
      </c>
      <c r="K476" s="8" t="b">
        <f>IF(D476&lt;3,FALSE,ISERROR(MATCH(J476,'Ontology and concepts per UC'!$A$2:$A$62,0)))</f>
        <v>0</v>
      </c>
      <c r="L476" s="2"/>
      <c r="M476" s="2"/>
      <c r="N476" s="2"/>
      <c r="O476" s="1" t="b">
        <v>1</v>
      </c>
      <c r="P476" s="1">
        <v>0</v>
      </c>
      <c r="Q476" s="1">
        <v>0</v>
      </c>
      <c r="R476" s="1" t="b">
        <f t="shared" si="12"/>
        <v>0</v>
      </c>
      <c r="S476" s="2" t="s">
        <v>187</v>
      </c>
      <c r="T476" s="1" t="str">
        <f>IF(S476="","",VLOOKUP(S476,'Ontology and concepts per UC'!$F$2:$J$46,5,FALSE))</f>
        <v>Otros</v>
      </c>
      <c r="U476" s="1" t="b">
        <f t="array" ref="U476">(INDEX('Ontology and concepts per UC'!$G$2:$I$46,MATCH($S476,'Ontology and concepts per UC'!$F$2:$F$46,0),MATCH(LEFT($A476,3),'Ontology and concepts per UC'!$G$1:$I$1,0))=0)</f>
        <v>1</v>
      </c>
      <c r="V476" s="1" t="b">
        <f t="shared" si="13"/>
        <v>1</v>
      </c>
      <c r="W476" s="1" t="b">
        <v>1</v>
      </c>
      <c r="X476" s="1" t="b">
        <v>0</v>
      </c>
      <c r="Y476" s="1" t="b">
        <v>0</v>
      </c>
      <c r="Z476" s="1" t="b">
        <v>0</v>
      </c>
      <c r="AA476" s="1" t="s">
        <v>188</v>
      </c>
    </row>
    <row r="477" spans="1:27" x14ac:dyDescent="0.25">
      <c r="A477" s="1" t="s">
        <v>1168</v>
      </c>
      <c r="B477" s="2" t="s">
        <v>1329</v>
      </c>
      <c r="C477" s="2"/>
      <c r="D477" s="6">
        <f t="shared" si="7"/>
        <v>0</v>
      </c>
      <c r="E477" s="7">
        <f t="shared" si="8"/>
        <v>0</v>
      </c>
      <c r="F477" s="8" t="b">
        <f>IF(D477&lt;1,FALSE,ISERROR(MATCH(E477,'Ontology and concepts per UC'!$A$2:$A$62,0)))</f>
        <v>0</v>
      </c>
      <c r="G477" s="9" t="str">
        <f t="shared" si="9"/>
        <v/>
      </c>
      <c r="H477" s="9" t="str">
        <f t="shared" si="10"/>
        <v/>
      </c>
      <c r="I477" s="8" t="b">
        <f>IF(D477&lt;2,FALSE,ISERROR(MATCH(H477,'Ontology and concepts per UC'!$A$2:$A$62,0)))</f>
        <v>0</v>
      </c>
      <c r="J477" s="9" t="str">
        <f t="shared" si="11"/>
        <v/>
      </c>
      <c r="K477" s="8" t="b">
        <f>IF(D477&lt;3,FALSE,ISERROR(MATCH(J477,'Ontology and concepts per UC'!$A$2:$A$62,0)))</f>
        <v>0</v>
      </c>
      <c r="L477" s="2"/>
      <c r="M477" s="2"/>
      <c r="N477" s="2"/>
      <c r="O477" s="1" t="b">
        <v>1</v>
      </c>
      <c r="P477" s="1">
        <v>0</v>
      </c>
      <c r="Q477" s="1">
        <v>0</v>
      </c>
      <c r="R477" s="1" t="b">
        <f t="shared" si="12"/>
        <v>0</v>
      </c>
      <c r="S477" s="2" t="s">
        <v>107</v>
      </c>
      <c r="T477" s="1" t="str">
        <f>IF(S477="","",VLOOKUP(S477,'Ontology and concepts per UC'!$F$2:$J$46,5,FALSE))</f>
        <v>Parcial</v>
      </c>
      <c r="U477" s="1" t="b">
        <f t="array" ref="U477">(INDEX('Ontology and concepts per UC'!$G$2:$I$46,MATCH($S477,'Ontology and concepts per UC'!$F$2:$F$46,0),MATCH(LEFT($A477,3),'Ontology and concepts per UC'!$G$1:$I$1,0))=0)</f>
        <v>0</v>
      </c>
      <c r="V477" s="1" t="b">
        <f t="shared" si="13"/>
        <v>1</v>
      </c>
      <c r="W477" s="1" t="b">
        <v>1</v>
      </c>
      <c r="X477" s="1" t="b">
        <v>0</v>
      </c>
      <c r="Y477" s="1" t="b">
        <v>0</v>
      </c>
      <c r="Z477" s="1" t="b">
        <v>0</v>
      </c>
      <c r="AA477" s="1" t="s">
        <v>188</v>
      </c>
    </row>
    <row r="478" spans="1:27" x14ac:dyDescent="0.25">
      <c r="A478" s="1" t="s">
        <v>1330</v>
      </c>
      <c r="B478" s="2" t="s">
        <v>1331</v>
      </c>
      <c r="C478" s="2" t="s">
        <v>192</v>
      </c>
      <c r="D478" s="6">
        <f t="shared" si="7"/>
        <v>1</v>
      </c>
      <c r="E478" s="7" t="str">
        <f t="shared" si="8"/>
        <v>AcuteManifestation</v>
      </c>
      <c r="F478" s="8" t="b">
        <f>IF(D478&lt;1,FALSE,ISERROR(MATCH(E478,'Ontology and concepts per UC'!$A$2:$A$62,0)))</f>
        <v>0</v>
      </c>
      <c r="G478" s="9" t="str">
        <f t="shared" si="9"/>
        <v/>
      </c>
      <c r="H478" s="9" t="str">
        <f t="shared" si="10"/>
        <v/>
      </c>
      <c r="I478" s="8" t="b">
        <f>IF(D478&lt;2,FALSE,ISERROR(MATCH(H478,'Ontology and concepts per UC'!$A$2:$A$62,0)))</f>
        <v>0</v>
      </c>
      <c r="J478" s="9" t="str">
        <f t="shared" si="11"/>
        <v/>
      </c>
      <c r="K478" s="8" t="b">
        <f>IF(D478&lt;3,FALSE,ISERROR(MATCH(J478,'Ontology and concepts per UC'!$A$2:$A$62,0)))</f>
        <v>0</v>
      </c>
      <c r="L478" s="2"/>
      <c r="M478" s="2" t="s">
        <v>1332</v>
      </c>
      <c r="N478" s="2" t="s">
        <v>1333</v>
      </c>
      <c r="O478" s="1" t="b">
        <v>0</v>
      </c>
      <c r="P478" s="1">
        <v>0</v>
      </c>
      <c r="Q478" s="1">
        <v>1</v>
      </c>
      <c r="R478" s="1" t="b">
        <f t="shared" si="12"/>
        <v>0</v>
      </c>
      <c r="S478" s="2" t="s">
        <v>325</v>
      </c>
      <c r="T478" s="1" t="str">
        <f>IF(S478="","",VLOOKUP(S478,'Ontology and concepts per UC'!$F$2:$J$46,5,FALSE))</f>
        <v>Modelo Conceptual</v>
      </c>
      <c r="U478" s="1" t="b">
        <f t="array" ref="U478">(INDEX('Ontology and concepts per UC'!$G$2:$I$46,MATCH($S478,'Ontology and concepts per UC'!$F$2:$F$46,0),MATCH(LEFT($A478,3),'Ontology and concepts per UC'!$G$1:$I$1,0))=0)</f>
        <v>0</v>
      </c>
      <c r="V478" s="1" t="b">
        <f t="shared" si="13"/>
        <v>1</v>
      </c>
      <c r="W478" s="1" t="b">
        <v>0</v>
      </c>
      <c r="X478" s="1" t="b">
        <v>1</v>
      </c>
      <c r="Y478" s="1" t="b">
        <v>0</v>
      </c>
      <c r="Z478" s="1" t="b">
        <v>0</v>
      </c>
      <c r="AA478" s="1" t="s">
        <v>1334</v>
      </c>
    </row>
    <row r="479" spans="1:27" x14ac:dyDescent="0.25">
      <c r="A479" s="1" t="s">
        <v>1330</v>
      </c>
      <c r="B479" s="2" t="s">
        <v>1335</v>
      </c>
      <c r="C479" s="2" t="s">
        <v>192</v>
      </c>
      <c r="D479" s="6">
        <f t="shared" si="7"/>
        <v>1</v>
      </c>
      <c r="E479" s="7" t="str">
        <f t="shared" si="8"/>
        <v>AcuteManifestation</v>
      </c>
      <c r="F479" s="8" t="b">
        <f>IF(D479&lt;1,FALSE,ISERROR(MATCH(E479,'Ontology and concepts per UC'!$A$2:$A$62,0)))</f>
        <v>0</v>
      </c>
      <c r="G479" s="9" t="str">
        <f t="shared" si="9"/>
        <v/>
      </c>
      <c r="H479" s="9" t="str">
        <f t="shared" si="10"/>
        <v/>
      </c>
      <c r="I479" s="8" t="b">
        <f>IF(D479&lt;2,FALSE,ISERROR(MATCH(H479,'Ontology and concepts per UC'!$A$2:$A$62,0)))</f>
        <v>0</v>
      </c>
      <c r="J479" s="9" t="str">
        <f t="shared" si="11"/>
        <v/>
      </c>
      <c r="K479" s="8" t="b">
        <f>IF(D479&lt;3,FALSE,ISERROR(MATCH(J479,'Ontology and concepts per UC'!$A$2:$A$62,0)))</f>
        <v>0</v>
      </c>
      <c r="L479" s="2"/>
      <c r="M479" s="2" t="s">
        <v>1336</v>
      </c>
      <c r="N479" s="2" t="s">
        <v>1333</v>
      </c>
      <c r="O479" s="1" t="b">
        <v>0</v>
      </c>
      <c r="P479" s="1">
        <v>0</v>
      </c>
      <c r="Q479" s="1">
        <v>1</v>
      </c>
      <c r="R479" s="1" t="b">
        <f t="shared" si="12"/>
        <v>0</v>
      </c>
      <c r="S479" s="2" t="s">
        <v>325</v>
      </c>
      <c r="T479" s="1" t="str">
        <f>IF(S479="","",VLOOKUP(S479,'Ontology and concepts per UC'!$F$2:$J$46,5,FALSE))</f>
        <v>Modelo Conceptual</v>
      </c>
      <c r="U479" s="1" t="b">
        <f t="array" ref="U479">(INDEX('Ontology and concepts per UC'!$G$2:$I$46,MATCH($S479,'Ontology and concepts per UC'!$F$2:$F$46,0),MATCH(LEFT($A479,3),'Ontology and concepts per UC'!$G$1:$I$1,0))=0)</f>
        <v>0</v>
      </c>
      <c r="V479" s="1" t="b">
        <f t="shared" si="13"/>
        <v>1</v>
      </c>
      <c r="W479" s="1" t="b">
        <v>0</v>
      </c>
      <c r="X479" s="1" t="b">
        <v>1</v>
      </c>
      <c r="Y479" s="1" t="b">
        <v>0</v>
      </c>
      <c r="Z479" s="1" t="b">
        <v>0</v>
      </c>
      <c r="AA479" s="1" t="s">
        <v>1334</v>
      </c>
    </row>
    <row r="480" spans="1:27" x14ac:dyDescent="0.25">
      <c r="A480" s="1" t="s">
        <v>1330</v>
      </c>
      <c r="B480" s="2" t="s">
        <v>1337</v>
      </c>
      <c r="C480" s="2" t="s">
        <v>192</v>
      </c>
      <c r="D480" s="6">
        <f t="shared" si="7"/>
        <v>1</v>
      </c>
      <c r="E480" s="7" t="str">
        <f t="shared" si="8"/>
        <v>AcuteManifestation</v>
      </c>
      <c r="F480" s="8" t="b">
        <f>IF(D480&lt;1,FALSE,ISERROR(MATCH(E480,'Ontology and concepts per UC'!$A$2:$A$62,0)))</f>
        <v>0</v>
      </c>
      <c r="G480" s="9" t="str">
        <f t="shared" si="9"/>
        <v/>
      </c>
      <c r="H480" s="9" t="str">
        <f t="shared" si="10"/>
        <v/>
      </c>
      <c r="I480" s="8" t="b">
        <f>IF(D480&lt;2,FALSE,ISERROR(MATCH(H480,'Ontology and concepts per UC'!$A$2:$A$62,0)))</f>
        <v>0</v>
      </c>
      <c r="J480" s="9" t="str">
        <f t="shared" si="11"/>
        <v/>
      </c>
      <c r="K480" s="8" t="b">
        <f>IF(D480&lt;3,FALSE,ISERROR(MATCH(J480,'Ontology and concepts per UC'!$A$2:$A$62,0)))</f>
        <v>0</v>
      </c>
      <c r="L480" s="2"/>
      <c r="M480" s="2" t="s">
        <v>1338</v>
      </c>
      <c r="N480" s="2" t="s">
        <v>1333</v>
      </c>
      <c r="O480" s="1" t="b">
        <v>0</v>
      </c>
      <c r="P480" s="1">
        <v>0</v>
      </c>
      <c r="Q480" s="1">
        <v>1</v>
      </c>
      <c r="R480" s="1" t="b">
        <f t="shared" si="12"/>
        <v>0</v>
      </c>
      <c r="S480" s="2" t="s">
        <v>28</v>
      </c>
      <c r="T480" s="1" t="str">
        <f>IF(S480="","",VLOOKUP(S480,'Ontology and concepts per UC'!$F$2:$J$46,5,FALSE))</f>
        <v>Modelo Conceptual</v>
      </c>
      <c r="U480" s="1" t="b">
        <f t="array" ref="U480">(INDEX('Ontology and concepts per UC'!$G$2:$I$46,MATCH($S480,'Ontology and concepts per UC'!$F$2:$F$46,0),MATCH(LEFT($A480,3),'Ontology and concepts per UC'!$G$1:$I$1,0))=0)</f>
        <v>0</v>
      </c>
      <c r="V480" s="1" t="b">
        <f t="shared" si="13"/>
        <v>1</v>
      </c>
      <c r="W480" s="1" t="b">
        <v>0</v>
      </c>
      <c r="X480" s="1" t="b">
        <v>1</v>
      </c>
      <c r="Y480" s="1" t="b">
        <v>0</v>
      </c>
      <c r="Z480" s="1" t="b">
        <v>0</v>
      </c>
      <c r="AA480" s="1" t="s">
        <v>1334</v>
      </c>
    </row>
    <row r="481" spans="1:27" x14ac:dyDescent="0.25">
      <c r="A481" s="1" t="s">
        <v>1330</v>
      </c>
      <c r="B481" s="2" t="s">
        <v>1339</v>
      </c>
      <c r="C481" s="2" t="s">
        <v>192</v>
      </c>
      <c r="D481" s="6">
        <f t="shared" si="7"/>
        <v>1</v>
      </c>
      <c r="E481" s="7" t="str">
        <f t="shared" si="8"/>
        <v>AcuteManifestation</v>
      </c>
      <c r="F481" s="8" t="b">
        <f>IF(D481&lt;1,FALSE,ISERROR(MATCH(E481,'Ontology and concepts per UC'!$A$2:$A$62,0)))</f>
        <v>0</v>
      </c>
      <c r="G481" s="9" t="str">
        <f t="shared" si="9"/>
        <v/>
      </c>
      <c r="H481" s="9" t="str">
        <f t="shared" si="10"/>
        <v/>
      </c>
      <c r="I481" s="8" t="b">
        <f>IF(D481&lt;2,FALSE,ISERROR(MATCH(H481,'Ontology and concepts per UC'!$A$2:$A$62,0)))</f>
        <v>0</v>
      </c>
      <c r="J481" s="9" t="str">
        <f t="shared" si="11"/>
        <v/>
      </c>
      <c r="K481" s="8" t="b">
        <f>IF(D481&lt;3,FALSE,ISERROR(MATCH(J481,'Ontology and concepts per UC'!$A$2:$A$62,0)))</f>
        <v>0</v>
      </c>
      <c r="L481" s="2"/>
      <c r="M481" s="2" t="s">
        <v>1340</v>
      </c>
      <c r="N481" s="2" t="s">
        <v>1333</v>
      </c>
      <c r="O481" s="1" t="b">
        <v>0</v>
      </c>
      <c r="P481" s="1">
        <v>0</v>
      </c>
      <c r="Q481" s="1">
        <v>1</v>
      </c>
      <c r="R481" s="1" t="b">
        <f t="shared" si="12"/>
        <v>0</v>
      </c>
      <c r="S481" s="2" t="s">
        <v>325</v>
      </c>
      <c r="T481" s="1" t="str">
        <f>IF(S481="","",VLOOKUP(S481,'Ontology and concepts per UC'!$F$2:$J$46,5,FALSE))</f>
        <v>Modelo Conceptual</v>
      </c>
      <c r="U481" s="1" t="b">
        <f t="array" ref="U481">(INDEX('Ontology and concepts per UC'!$G$2:$I$46,MATCH($S481,'Ontology and concepts per UC'!$F$2:$F$46,0),MATCH(LEFT($A481,3),'Ontology and concepts per UC'!$G$1:$I$1,0))=0)</f>
        <v>0</v>
      </c>
      <c r="V481" s="1" t="b">
        <f t="shared" si="13"/>
        <v>1</v>
      </c>
      <c r="W481" s="1" t="b">
        <v>0</v>
      </c>
      <c r="X481" s="1" t="b">
        <v>1</v>
      </c>
      <c r="Y481" s="1" t="b">
        <v>0</v>
      </c>
      <c r="Z481" s="1" t="b">
        <v>0</v>
      </c>
      <c r="AA481" s="1" t="s">
        <v>1334</v>
      </c>
    </row>
    <row r="482" spans="1:27" x14ac:dyDescent="0.25">
      <c r="A482" s="1" t="s">
        <v>1330</v>
      </c>
      <c r="B482" s="2" t="s">
        <v>1341</v>
      </c>
      <c r="C482" s="2" t="s">
        <v>192</v>
      </c>
      <c r="D482" s="6">
        <f t="shared" si="7"/>
        <v>1</v>
      </c>
      <c r="E482" s="7" t="str">
        <f t="shared" si="8"/>
        <v>AcuteManifestation</v>
      </c>
      <c r="F482" s="8" t="b">
        <f>IF(D482&lt;1,FALSE,ISERROR(MATCH(E482,'Ontology and concepts per UC'!$A$2:$A$62,0)))</f>
        <v>0</v>
      </c>
      <c r="G482" s="9" t="str">
        <f t="shared" si="9"/>
        <v/>
      </c>
      <c r="H482" s="9" t="str">
        <f t="shared" si="10"/>
        <v/>
      </c>
      <c r="I482" s="8" t="b">
        <f>IF(D482&lt;2,FALSE,ISERROR(MATCH(H482,'Ontology and concepts per UC'!$A$2:$A$62,0)))</f>
        <v>0</v>
      </c>
      <c r="J482" s="9" t="str">
        <f t="shared" si="11"/>
        <v/>
      </c>
      <c r="K482" s="8" t="b">
        <f>IF(D482&lt;3,FALSE,ISERROR(MATCH(J482,'Ontology and concepts per UC'!$A$2:$A$62,0)))</f>
        <v>0</v>
      </c>
      <c r="L482" s="2"/>
      <c r="M482" s="2" t="s">
        <v>1342</v>
      </c>
      <c r="N482" s="2" t="s">
        <v>1333</v>
      </c>
      <c r="O482" s="1" t="b">
        <v>0</v>
      </c>
      <c r="P482" s="1">
        <v>0</v>
      </c>
      <c r="Q482" s="1">
        <v>1</v>
      </c>
      <c r="R482" s="1" t="b">
        <f t="shared" si="12"/>
        <v>0</v>
      </c>
      <c r="S482" s="2" t="s">
        <v>325</v>
      </c>
      <c r="T482" s="1" t="str">
        <f>IF(S482="","",VLOOKUP(S482,'Ontology and concepts per UC'!$F$2:$J$46,5,FALSE))</f>
        <v>Modelo Conceptual</v>
      </c>
      <c r="U482" s="1" t="b">
        <f t="array" ref="U482">(INDEX('Ontology and concepts per UC'!$G$2:$I$46,MATCH($S482,'Ontology and concepts per UC'!$F$2:$F$46,0),MATCH(LEFT($A482,3),'Ontology and concepts per UC'!$G$1:$I$1,0))=0)</f>
        <v>0</v>
      </c>
      <c r="V482" s="1" t="b">
        <f t="shared" si="13"/>
        <v>1</v>
      </c>
      <c r="W482" s="1" t="b">
        <v>0</v>
      </c>
      <c r="X482" s="1" t="b">
        <v>1</v>
      </c>
      <c r="Y482" s="1" t="b">
        <v>0</v>
      </c>
      <c r="Z482" s="1" t="b">
        <v>0</v>
      </c>
      <c r="AA482" s="1" t="s">
        <v>1334</v>
      </c>
    </row>
    <row r="483" spans="1:27" x14ac:dyDescent="0.25">
      <c r="A483" s="1" t="s">
        <v>1330</v>
      </c>
      <c r="B483" s="2" t="s">
        <v>1343</v>
      </c>
      <c r="C483" s="2" t="s">
        <v>192</v>
      </c>
      <c r="D483" s="6">
        <f t="shared" si="7"/>
        <v>1</v>
      </c>
      <c r="E483" s="7" t="str">
        <f t="shared" si="8"/>
        <v>AcuteManifestation</v>
      </c>
      <c r="F483" s="8" t="b">
        <f>IF(D483&lt;1,FALSE,ISERROR(MATCH(E483,'Ontology and concepts per UC'!$A$2:$A$62,0)))</f>
        <v>0</v>
      </c>
      <c r="G483" s="9" t="str">
        <f t="shared" si="9"/>
        <v/>
      </c>
      <c r="H483" s="9" t="str">
        <f t="shared" si="10"/>
        <v/>
      </c>
      <c r="I483" s="8" t="b">
        <f>IF(D483&lt;2,FALSE,ISERROR(MATCH(H483,'Ontology and concepts per UC'!$A$2:$A$62,0)))</f>
        <v>0</v>
      </c>
      <c r="J483" s="9" t="str">
        <f t="shared" si="11"/>
        <v/>
      </c>
      <c r="K483" s="8" t="b">
        <f>IF(D483&lt;3,FALSE,ISERROR(MATCH(J483,'Ontology and concepts per UC'!$A$2:$A$62,0)))</f>
        <v>0</v>
      </c>
      <c r="L483" s="2"/>
      <c r="M483" s="2" t="s">
        <v>1344</v>
      </c>
      <c r="N483" s="2" t="s">
        <v>1333</v>
      </c>
      <c r="O483" s="1" t="b">
        <v>0</v>
      </c>
      <c r="P483" s="1">
        <v>0</v>
      </c>
      <c r="Q483" s="1">
        <v>1</v>
      </c>
      <c r="R483" s="1" t="b">
        <f t="shared" si="12"/>
        <v>0</v>
      </c>
      <c r="S483" s="2" t="s">
        <v>30</v>
      </c>
      <c r="T483" s="1" t="str">
        <f>IF(S483="","",VLOOKUP(S483,'Ontology and concepts per UC'!$F$2:$J$46,5,FALSE))</f>
        <v>Modelo Conceptual</v>
      </c>
      <c r="U483" s="1" t="b">
        <f t="array" ref="U483">(INDEX('Ontology and concepts per UC'!$G$2:$I$46,MATCH($S483,'Ontology and concepts per UC'!$F$2:$F$46,0),MATCH(LEFT($A483,3),'Ontology and concepts per UC'!$G$1:$I$1,0))=0)</f>
        <v>0</v>
      </c>
      <c r="V483" s="1" t="b">
        <f t="shared" si="13"/>
        <v>1</v>
      </c>
      <c r="W483" s="1" t="b">
        <v>0</v>
      </c>
      <c r="X483" s="1" t="b">
        <v>1</v>
      </c>
      <c r="Y483" s="1" t="b">
        <v>0</v>
      </c>
      <c r="Z483" s="1" t="b">
        <v>0</v>
      </c>
      <c r="AA483" s="1" t="s">
        <v>1334</v>
      </c>
    </row>
    <row r="484" spans="1:27" x14ac:dyDescent="0.25">
      <c r="A484" s="1" t="s">
        <v>1330</v>
      </c>
      <c r="B484" s="2" t="s">
        <v>1345</v>
      </c>
      <c r="C484" s="2" t="s">
        <v>192</v>
      </c>
      <c r="D484" s="6">
        <f t="shared" si="7"/>
        <v>1</v>
      </c>
      <c r="E484" s="7" t="str">
        <f t="shared" si="8"/>
        <v>AcuteManifestation</v>
      </c>
      <c r="F484" s="8" t="b">
        <f>IF(D484&lt;1,FALSE,ISERROR(MATCH(E484,'Ontology and concepts per UC'!$A$2:$A$62,0)))</f>
        <v>0</v>
      </c>
      <c r="G484" s="9" t="str">
        <f t="shared" si="9"/>
        <v/>
      </c>
      <c r="H484" s="9" t="str">
        <f t="shared" si="10"/>
        <v/>
      </c>
      <c r="I484" s="8" t="b">
        <f>IF(D484&lt;2,FALSE,ISERROR(MATCH(H484,'Ontology and concepts per UC'!$A$2:$A$62,0)))</f>
        <v>0</v>
      </c>
      <c r="J484" s="9" t="str">
        <f t="shared" si="11"/>
        <v/>
      </c>
      <c r="K484" s="8" t="b">
        <f>IF(D484&lt;3,FALSE,ISERROR(MATCH(J484,'Ontology and concepts per UC'!$A$2:$A$62,0)))</f>
        <v>0</v>
      </c>
      <c r="L484" s="2"/>
      <c r="M484" s="2" t="s">
        <v>1346</v>
      </c>
      <c r="N484" s="2" t="s">
        <v>1333</v>
      </c>
      <c r="O484" s="1" t="b">
        <v>0</v>
      </c>
      <c r="P484" s="1">
        <v>0</v>
      </c>
      <c r="Q484" s="1">
        <v>1</v>
      </c>
      <c r="R484" s="1" t="b">
        <f t="shared" si="12"/>
        <v>0</v>
      </c>
      <c r="S484" s="2" t="s">
        <v>325</v>
      </c>
      <c r="T484" s="1" t="str">
        <f>IF(S484="","",VLOOKUP(S484,'Ontology and concepts per UC'!$F$2:$J$46,5,FALSE))</f>
        <v>Modelo Conceptual</v>
      </c>
      <c r="U484" s="1" t="b">
        <f t="array" ref="U484">(INDEX('Ontology and concepts per UC'!$G$2:$I$46,MATCH($S484,'Ontology and concepts per UC'!$F$2:$F$46,0),MATCH(LEFT($A484,3),'Ontology and concepts per UC'!$G$1:$I$1,0))=0)</f>
        <v>0</v>
      </c>
      <c r="V484" s="1" t="b">
        <f t="shared" si="13"/>
        <v>1</v>
      </c>
      <c r="W484" s="1" t="b">
        <v>0</v>
      </c>
      <c r="X484" s="1" t="b">
        <v>1</v>
      </c>
      <c r="Y484" s="1" t="b">
        <v>0</v>
      </c>
      <c r="Z484" s="1" t="b">
        <v>0</v>
      </c>
      <c r="AA484" s="1" t="s">
        <v>1334</v>
      </c>
    </row>
    <row r="485" spans="1:27" x14ac:dyDescent="0.25">
      <c r="A485" s="1" t="s">
        <v>1330</v>
      </c>
      <c r="B485" s="2" t="s">
        <v>1347</v>
      </c>
      <c r="C485" s="2" t="s">
        <v>27</v>
      </c>
      <c r="D485" s="6">
        <f t="shared" si="7"/>
        <v>1</v>
      </c>
      <c r="E485" s="7" t="str">
        <f t="shared" si="8"/>
        <v>ChronicManifestation</v>
      </c>
      <c r="F485" s="8" t="b">
        <f>IF(D485&lt;1,FALSE,ISERROR(MATCH(E485,'Ontology and concepts per UC'!$A$2:$A$62,0)))</f>
        <v>0</v>
      </c>
      <c r="G485" s="9" t="str">
        <f t="shared" si="9"/>
        <v/>
      </c>
      <c r="H485" s="9" t="str">
        <f t="shared" si="10"/>
        <v/>
      </c>
      <c r="I485" s="8" t="b">
        <f>IF(D485&lt;2,FALSE,ISERROR(MATCH(H485,'Ontology and concepts per UC'!$A$2:$A$62,0)))</f>
        <v>0</v>
      </c>
      <c r="J485" s="9" t="str">
        <f t="shared" si="11"/>
        <v/>
      </c>
      <c r="K485" s="8" t="b">
        <f>IF(D485&lt;3,FALSE,ISERROR(MATCH(J485,'Ontology and concepts per UC'!$A$2:$A$62,0)))</f>
        <v>0</v>
      </c>
      <c r="L485" s="2"/>
      <c r="M485" s="2" t="s">
        <v>1348</v>
      </c>
      <c r="N485" s="2" t="s">
        <v>1333</v>
      </c>
      <c r="O485" s="1" t="b">
        <v>0</v>
      </c>
      <c r="P485" s="1">
        <v>0</v>
      </c>
      <c r="Q485" s="1">
        <v>1</v>
      </c>
      <c r="R485" s="1" t="b">
        <f t="shared" si="12"/>
        <v>0</v>
      </c>
      <c r="S485" s="2" t="s">
        <v>325</v>
      </c>
      <c r="T485" s="1" t="str">
        <f>IF(S485="","",VLOOKUP(S485,'Ontology and concepts per UC'!$F$2:$J$46,5,FALSE))</f>
        <v>Modelo Conceptual</v>
      </c>
      <c r="U485" s="1" t="b">
        <f t="array" ref="U485">(INDEX('Ontology and concepts per UC'!$G$2:$I$46,MATCH($S485,'Ontology and concepts per UC'!$F$2:$F$46,0),MATCH(LEFT($A485,3),'Ontology and concepts per UC'!$G$1:$I$1,0))=0)</f>
        <v>0</v>
      </c>
      <c r="V485" s="1" t="b">
        <f t="shared" si="13"/>
        <v>1</v>
      </c>
      <c r="W485" s="1" t="b">
        <v>0</v>
      </c>
      <c r="X485" s="1" t="b">
        <v>1</v>
      </c>
      <c r="Y485" s="1" t="b">
        <v>0</v>
      </c>
      <c r="Z485" s="1" t="b">
        <v>0</v>
      </c>
      <c r="AA485" s="1" t="s">
        <v>1334</v>
      </c>
    </row>
    <row r="486" spans="1:27" x14ac:dyDescent="0.25">
      <c r="A486" s="1" t="s">
        <v>1330</v>
      </c>
      <c r="B486" s="2" t="s">
        <v>1349</v>
      </c>
      <c r="C486" s="2" t="s">
        <v>27</v>
      </c>
      <c r="D486" s="6">
        <f t="shared" si="7"/>
        <v>1</v>
      </c>
      <c r="E486" s="7" t="str">
        <f t="shared" si="8"/>
        <v>ChronicManifestation</v>
      </c>
      <c r="F486" s="8" t="b">
        <f>IF(D486&lt;1,FALSE,ISERROR(MATCH(E486,'Ontology and concepts per UC'!$A$2:$A$62,0)))</f>
        <v>0</v>
      </c>
      <c r="G486" s="9" t="str">
        <f t="shared" si="9"/>
        <v/>
      </c>
      <c r="H486" s="9" t="str">
        <f t="shared" si="10"/>
        <v/>
      </c>
      <c r="I486" s="8" t="b">
        <f>IF(D486&lt;2,FALSE,ISERROR(MATCH(H486,'Ontology and concepts per UC'!$A$2:$A$62,0)))</f>
        <v>0</v>
      </c>
      <c r="J486" s="9" t="str">
        <f t="shared" si="11"/>
        <v/>
      </c>
      <c r="K486" s="8" t="b">
        <f>IF(D486&lt;3,FALSE,ISERROR(MATCH(J486,'Ontology and concepts per UC'!$A$2:$A$62,0)))</f>
        <v>0</v>
      </c>
      <c r="L486" s="2"/>
      <c r="M486" s="2" t="s">
        <v>1350</v>
      </c>
      <c r="N486" s="2" t="s">
        <v>1333</v>
      </c>
      <c r="O486" s="1" t="b">
        <v>0</v>
      </c>
      <c r="P486" s="1">
        <v>0</v>
      </c>
      <c r="Q486" s="1">
        <v>1</v>
      </c>
      <c r="R486" s="1" t="b">
        <f t="shared" si="12"/>
        <v>0</v>
      </c>
      <c r="S486" s="2" t="s">
        <v>325</v>
      </c>
      <c r="T486" s="1" t="str">
        <f>IF(S486="","",VLOOKUP(S486,'Ontology and concepts per UC'!$F$2:$J$46,5,FALSE))</f>
        <v>Modelo Conceptual</v>
      </c>
      <c r="U486" s="1" t="b">
        <f t="array" ref="U486">(INDEX('Ontology and concepts per UC'!$G$2:$I$46,MATCH($S486,'Ontology and concepts per UC'!$F$2:$F$46,0),MATCH(LEFT($A486,3),'Ontology and concepts per UC'!$G$1:$I$1,0))=0)</f>
        <v>0</v>
      </c>
      <c r="V486" s="1" t="b">
        <f t="shared" si="13"/>
        <v>1</v>
      </c>
      <c r="W486" s="1" t="b">
        <v>0</v>
      </c>
      <c r="X486" s="1" t="b">
        <v>1</v>
      </c>
      <c r="Y486" s="1" t="b">
        <v>0</v>
      </c>
      <c r="Z486" s="1" t="b">
        <v>0</v>
      </c>
      <c r="AA486" s="1" t="s">
        <v>1334</v>
      </c>
    </row>
    <row r="487" spans="1:27" x14ac:dyDescent="0.25">
      <c r="A487" s="1" t="s">
        <v>1330</v>
      </c>
      <c r="B487" s="2" t="s">
        <v>1351</v>
      </c>
      <c r="C487" s="2" t="s">
        <v>27</v>
      </c>
      <c r="D487" s="6">
        <f t="shared" si="7"/>
        <v>1</v>
      </c>
      <c r="E487" s="7" t="str">
        <f t="shared" si="8"/>
        <v>ChronicManifestation</v>
      </c>
      <c r="F487" s="8" t="b">
        <f>IF(D487&lt;1,FALSE,ISERROR(MATCH(E487,'Ontology and concepts per UC'!$A$2:$A$62,0)))</f>
        <v>0</v>
      </c>
      <c r="G487" s="9" t="str">
        <f t="shared" si="9"/>
        <v/>
      </c>
      <c r="H487" s="9" t="str">
        <f t="shared" si="10"/>
        <v/>
      </c>
      <c r="I487" s="8" t="b">
        <f>IF(D487&lt;2,FALSE,ISERROR(MATCH(H487,'Ontology and concepts per UC'!$A$2:$A$62,0)))</f>
        <v>0</v>
      </c>
      <c r="J487" s="9" t="str">
        <f t="shared" si="11"/>
        <v/>
      </c>
      <c r="K487" s="8" t="b">
        <f>IF(D487&lt;3,FALSE,ISERROR(MATCH(J487,'Ontology and concepts per UC'!$A$2:$A$62,0)))</f>
        <v>0</v>
      </c>
      <c r="L487" s="2"/>
      <c r="M487" s="2" t="s">
        <v>1352</v>
      </c>
      <c r="N487" s="2" t="s">
        <v>1333</v>
      </c>
      <c r="O487" s="1" t="b">
        <v>0</v>
      </c>
      <c r="P487" s="1">
        <v>0</v>
      </c>
      <c r="Q487" s="1">
        <v>1</v>
      </c>
      <c r="R487" s="1" t="b">
        <f t="shared" si="12"/>
        <v>0</v>
      </c>
      <c r="S487" s="2" t="s">
        <v>31</v>
      </c>
      <c r="T487" s="1" t="str">
        <f>IF(S487="","",VLOOKUP(S487,'Ontology and concepts per UC'!$F$2:$J$46,5,FALSE))</f>
        <v>Modelo Conceptual</v>
      </c>
      <c r="U487" s="1" t="b">
        <f t="array" ref="U487">(INDEX('Ontology and concepts per UC'!$G$2:$I$46,MATCH($S487,'Ontology and concepts per UC'!$F$2:$F$46,0),MATCH(LEFT($A487,3),'Ontology and concepts per UC'!$G$1:$I$1,0))=0)</f>
        <v>0</v>
      </c>
      <c r="V487" s="1" t="b">
        <f t="shared" si="13"/>
        <v>1</v>
      </c>
      <c r="W487" s="1" t="b">
        <v>0</v>
      </c>
      <c r="X487" s="1" t="b">
        <v>1</v>
      </c>
      <c r="Y487" s="1" t="b">
        <v>0</v>
      </c>
      <c r="Z487" s="1" t="b">
        <v>0</v>
      </c>
      <c r="AA487" s="1" t="s">
        <v>1334</v>
      </c>
    </row>
    <row r="488" spans="1:27" x14ac:dyDescent="0.25">
      <c r="A488" s="1" t="s">
        <v>1330</v>
      </c>
      <c r="B488" s="2" t="s">
        <v>1353</v>
      </c>
      <c r="C488" s="2" t="s">
        <v>27</v>
      </c>
      <c r="D488" s="6">
        <f t="shared" si="7"/>
        <v>1</v>
      </c>
      <c r="E488" s="7" t="str">
        <f t="shared" si="8"/>
        <v>ChronicManifestation</v>
      </c>
      <c r="F488" s="8" t="b">
        <f>IF(D488&lt;1,FALSE,ISERROR(MATCH(E488,'Ontology and concepts per UC'!$A$2:$A$62,0)))</f>
        <v>0</v>
      </c>
      <c r="G488" s="9" t="str">
        <f t="shared" si="9"/>
        <v/>
      </c>
      <c r="H488" s="9" t="str">
        <f t="shared" si="10"/>
        <v/>
      </c>
      <c r="I488" s="8" t="b">
        <f>IF(D488&lt;2,FALSE,ISERROR(MATCH(H488,'Ontology and concepts per UC'!$A$2:$A$62,0)))</f>
        <v>0</v>
      </c>
      <c r="J488" s="9" t="str">
        <f t="shared" si="11"/>
        <v/>
      </c>
      <c r="K488" s="8" t="b">
        <f>IF(D488&lt;3,FALSE,ISERROR(MATCH(J488,'Ontology and concepts per UC'!$A$2:$A$62,0)))</f>
        <v>0</v>
      </c>
      <c r="L488" s="2"/>
      <c r="M488" s="2" t="s">
        <v>1354</v>
      </c>
      <c r="N488" s="2" t="s">
        <v>1333</v>
      </c>
      <c r="O488" s="1" t="b">
        <v>0</v>
      </c>
      <c r="P488" s="1">
        <v>0</v>
      </c>
      <c r="Q488" s="1">
        <v>1</v>
      </c>
      <c r="R488" s="1" t="b">
        <f t="shared" si="12"/>
        <v>0</v>
      </c>
      <c r="S488" s="2" t="s">
        <v>325</v>
      </c>
      <c r="T488" s="1" t="str">
        <f>IF(S488="","",VLOOKUP(S488,'Ontology and concepts per UC'!$F$2:$J$46,5,FALSE))</f>
        <v>Modelo Conceptual</v>
      </c>
      <c r="U488" s="1" t="b">
        <f t="array" ref="U488">(INDEX('Ontology and concepts per UC'!$G$2:$I$46,MATCH($S488,'Ontology and concepts per UC'!$F$2:$F$46,0),MATCH(LEFT($A488,3),'Ontology and concepts per UC'!$G$1:$I$1,0))=0)</f>
        <v>0</v>
      </c>
      <c r="V488" s="1" t="b">
        <f t="shared" si="13"/>
        <v>1</v>
      </c>
      <c r="W488" s="1" t="b">
        <v>0</v>
      </c>
      <c r="X488" s="1" t="b">
        <v>1</v>
      </c>
      <c r="Y488" s="1" t="b">
        <v>0</v>
      </c>
      <c r="Z488" s="1" t="b">
        <v>0</v>
      </c>
      <c r="AA488" s="1" t="s">
        <v>1334</v>
      </c>
    </row>
    <row r="489" spans="1:27" x14ac:dyDescent="0.25">
      <c r="A489" s="1" t="s">
        <v>1330</v>
      </c>
      <c r="B489" s="2" t="s">
        <v>1355</v>
      </c>
      <c r="C489" s="2" t="s">
        <v>27</v>
      </c>
      <c r="D489" s="6">
        <f t="shared" si="7"/>
        <v>1</v>
      </c>
      <c r="E489" s="7" t="str">
        <f t="shared" si="8"/>
        <v>ChronicManifestation</v>
      </c>
      <c r="F489" s="8" t="b">
        <f>IF(D489&lt;1,FALSE,ISERROR(MATCH(E489,'Ontology and concepts per UC'!$A$2:$A$62,0)))</f>
        <v>0</v>
      </c>
      <c r="G489" s="9" t="str">
        <f t="shared" si="9"/>
        <v/>
      </c>
      <c r="H489" s="9" t="str">
        <f t="shared" si="10"/>
        <v/>
      </c>
      <c r="I489" s="8" t="b">
        <f>IF(D489&lt;2,FALSE,ISERROR(MATCH(H489,'Ontology and concepts per UC'!$A$2:$A$62,0)))</f>
        <v>0</v>
      </c>
      <c r="J489" s="9" t="str">
        <f t="shared" si="11"/>
        <v/>
      </c>
      <c r="K489" s="8" t="b">
        <f>IF(D489&lt;3,FALSE,ISERROR(MATCH(J489,'Ontology and concepts per UC'!$A$2:$A$62,0)))</f>
        <v>0</v>
      </c>
      <c r="L489" s="2"/>
      <c r="M489" s="2" t="s">
        <v>1356</v>
      </c>
      <c r="N489" s="2" t="s">
        <v>1333</v>
      </c>
      <c r="O489" s="1" t="b">
        <v>0</v>
      </c>
      <c r="P489" s="1">
        <v>0</v>
      </c>
      <c r="Q489" s="1">
        <v>1</v>
      </c>
      <c r="R489" s="1" t="b">
        <f t="shared" si="12"/>
        <v>0</v>
      </c>
      <c r="S489" s="2" t="s">
        <v>26</v>
      </c>
      <c r="T489" s="1" t="str">
        <f>IF(S489="","",VLOOKUP(S489,'Ontology and concepts per UC'!$F$2:$J$46,5,FALSE))</f>
        <v>Modelo Conceptual</v>
      </c>
      <c r="U489" s="1" t="b">
        <f t="array" ref="U489">(INDEX('Ontology and concepts per UC'!$G$2:$I$46,MATCH($S489,'Ontology and concepts per UC'!$F$2:$F$46,0),MATCH(LEFT($A489,3),'Ontology and concepts per UC'!$G$1:$I$1,0))=0)</f>
        <v>0</v>
      </c>
      <c r="V489" s="1" t="b">
        <f t="shared" si="13"/>
        <v>1</v>
      </c>
      <c r="W489" s="1" t="b">
        <v>0</v>
      </c>
      <c r="X489" s="1" t="b">
        <v>1</v>
      </c>
      <c r="Y489" s="1" t="b">
        <v>0</v>
      </c>
      <c r="Z489" s="1" t="b">
        <v>0</v>
      </c>
      <c r="AA489" s="1" t="s">
        <v>1334</v>
      </c>
    </row>
    <row r="490" spans="1:27" x14ac:dyDescent="0.25">
      <c r="A490" s="1" t="s">
        <v>1330</v>
      </c>
      <c r="B490" s="2" t="s">
        <v>1357</v>
      </c>
      <c r="C490" s="2" t="s">
        <v>27</v>
      </c>
      <c r="D490" s="6">
        <f t="shared" si="7"/>
        <v>1</v>
      </c>
      <c r="E490" s="7" t="str">
        <f t="shared" si="8"/>
        <v>ChronicManifestation</v>
      </c>
      <c r="F490" s="8" t="b">
        <f>IF(D490&lt;1,FALSE,ISERROR(MATCH(E490,'Ontology and concepts per UC'!$A$2:$A$62,0)))</f>
        <v>0</v>
      </c>
      <c r="G490" s="9" t="str">
        <f t="shared" si="9"/>
        <v/>
      </c>
      <c r="H490" s="9" t="str">
        <f t="shared" si="10"/>
        <v/>
      </c>
      <c r="I490" s="8" t="b">
        <f>IF(D490&lt;2,FALSE,ISERROR(MATCH(H490,'Ontology and concepts per UC'!$A$2:$A$62,0)))</f>
        <v>0</v>
      </c>
      <c r="J490" s="9" t="str">
        <f t="shared" si="11"/>
        <v/>
      </c>
      <c r="K490" s="8" t="b">
        <f>IF(D490&lt;3,FALSE,ISERROR(MATCH(J490,'Ontology and concepts per UC'!$A$2:$A$62,0)))</f>
        <v>0</v>
      </c>
      <c r="L490" s="2"/>
      <c r="M490" s="2" t="s">
        <v>1358</v>
      </c>
      <c r="N490" s="2" t="s">
        <v>1333</v>
      </c>
      <c r="O490" s="1" t="b">
        <v>0</v>
      </c>
      <c r="P490" s="1">
        <v>0</v>
      </c>
      <c r="Q490" s="1">
        <v>1</v>
      </c>
      <c r="R490" s="1" t="b">
        <f t="shared" si="12"/>
        <v>0</v>
      </c>
      <c r="S490" s="2" t="s">
        <v>29</v>
      </c>
      <c r="T490" s="1" t="str">
        <f>IF(S490="","",VLOOKUP(S490,'Ontology and concepts per UC'!$F$2:$J$46,5,FALSE))</f>
        <v>Modelo Conceptual</v>
      </c>
      <c r="U490" s="1" t="b">
        <f t="array" ref="U490">(INDEX('Ontology and concepts per UC'!$G$2:$I$46,MATCH($S490,'Ontology and concepts per UC'!$F$2:$F$46,0),MATCH(LEFT($A490,3),'Ontology and concepts per UC'!$G$1:$I$1,0))=0)</f>
        <v>0</v>
      </c>
      <c r="V490" s="1" t="b">
        <f t="shared" si="13"/>
        <v>1</v>
      </c>
      <c r="W490" s="1" t="b">
        <v>0</v>
      </c>
      <c r="X490" s="1" t="b">
        <v>1</v>
      </c>
      <c r="Y490" s="1" t="b">
        <v>0</v>
      </c>
      <c r="Z490" s="1" t="b">
        <v>0</v>
      </c>
      <c r="AA490" s="1" t="s">
        <v>1334</v>
      </c>
    </row>
    <row r="491" spans="1:27" x14ac:dyDescent="0.25">
      <c r="A491" s="1" t="s">
        <v>1330</v>
      </c>
      <c r="B491" s="2" t="s">
        <v>1359</v>
      </c>
      <c r="C491" s="2" t="s">
        <v>27</v>
      </c>
      <c r="D491" s="6">
        <f t="shared" si="7"/>
        <v>1</v>
      </c>
      <c r="E491" s="7" t="str">
        <f t="shared" si="8"/>
        <v>ChronicManifestation</v>
      </c>
      <c r="F491" s="8" t="b">
        <f>IF(D491&lt;1,FALSE,ISERROR(MATCH(E491,'Ontology and concepts per UC'!$A$2:$A$62,0)))</f>
        <v>0</v>
      </c>
      <c r="G491" s="9" t="str">
        <f t="shared" si="9"/>
        <v/>
      </c>
      <c r="H491" s="9" t="str">
        <f t="shared" si="10"/>
        <v/>
      </c>
      <c r="I491" s="8" t="b">
        <f>IF(D491&lt;2,FALSE,ISERROR(MATCH(H491,'Ontology and concepts per UC'!$A$2:$A$62,0)))</f>
        <v>0</v>
      </c>
      <c r="J491" s="9" t="str">
        <f t="shared" si="11"/>
        <v/>
      </c>
      <c r="K491" s="8" t="b">
        <f>IF(D491&lt;3,FALSE,ISERROR(MATCH(J491,'Ontology and concepts per UC'!$A$2:$A$62,0)))</f>
        <v>0</v>
      </c>
      <c r="L491" s="2"/>
      <c r="M491" s="2" t="s">
        <v>1360</v>
      </c>
      <c r="N491" s="2" t="s">
        <v>1333</v>
      </c>
      <c r="O491" s="1" t="b">
        <v>0</v>
      </c>
      <c r="P491" s="1">
        <v>0</v>
      </c>
      <c r="Q491" s="1">
        <v>1</v>
      </c>
      <c r="R491" s="1" t="b">
        <f t="shared" si="12"/>
        <v>0</v>
      </c>
      <c r="S491" s="2" t="s">
        <v>32</v>
      </c>
      <c r="T491" s="1" t="str">
        <f>IF(S491="","",VLOOKUP(S491,'Ontology and concepts per UC'!$F$2:$J$46,5,FALSE))</f>
        <v>Modelo Conceptual</v>
      </c>
      <c r="U491" s="1" t="b">
        <f t="array" ref="U491">(INDEX('Ontology and concepts per UC'!$G$2:$I$46,MATCH($S491,'Ontology and concepts per UC'!$F$2:$F$46,0),MATCH(LEFT($A491,3),'Ontology and concepts per UC'!$G$1:$I$1,0))=0)</f>
        <v>0</v>
      </c>
      <c r="V491" s="1" t="b">
        <f t="shared" si="13"/>
        <v>1</v>
      </c>
      <c r="W491" s="1" t="b">
        <v>0</v>
      </c>
      <c r="X491" s="1" t="b">
        <v>1</v>
      </c>
      <c r="Y491" s="1" t="b">
        <v>0</v>
      </c>
      <c r="Z491" s="1" t="b">
        <v>0</v>
      </c>
      <c r="AA491" s="1" t="s">
        <v>1334</v>
      </c>
    </row>
    <row r="492" spans="1:27" x14ac:dyDescent="0.25">
      <c r="A492" s="1" t="s">
        <v>1330</v>
      </c>
      <c r="B492" s="2" t="s">
        <v>1361</v>
      </c>
      <c r="C492" s="2" t="s">
        <v>1362</v>
      </c>
      <c r="D492" s="6">
        <f t="shared" si="7"/>
        <v>2</v>
      </c>
      <c r="E492" s="7" t="str">
        <f t="shared" si="8"/>
        <v>ClinicalDetection</v>
      </c>
      <c r="F492" s="8" t="b">
        <f>IF(D492&lt;1,FALSE,ISERROR(MATCH(E492,'Ontology and concepts per UC'!$A$2:$A$62,0)))</f>
        <v>1</v>
      </c>
      <c r="G492" s="9" t="str">
        <f t="shared" si="9"/>
        <v>Intervention</v>
      </c>
      <c r="H492" s="9" t="str">
        <f t="shared" si="10"/>
        <v>Intervention</v>
      </c>
      <c r="I492" s="8" t="b">
        <f>IF(D492&lt;2,FALSE,ISERROR(MATCH(H492,'Ontology and concepts per UC'!$A$2:$A$62,0)))</f>
        <v>0</v>
      </c>
      <c r="J492" s="9" t="str">
        <f t="shared" si="11"/>
        <v/>
      </c>
      <c r="K492" s="8" t="b">
        <f>IF(D492&lt;3,FALSE,ISERROR(MATCH(J492,'Ontology and concepts per UC'!$A$2:$A$62,0)))</f>
        <v>0</v>
      </c>
      <c r="L492" s="2"/>
      <c r="M492" s="2" t="s">
        <v>1363</v>
      </c>
      <c r="N492" s="2" t="s">
        <v>1364</v>
      </c>
      <c r="O492" s="1" t="b">
        <v>0</v>
      </c>
      <c r="P492" s="1">
        <v>1</v>
      </c>
      <c r="Q492" s="1">
        <v>3</v>
      </c>
      <c r="R492" s="1" t="b">
        <f t="shared" si="12"/>
        <v>1</v>
      </c>
      <c r="S492" s="2" t="s">
        <v>22</v>
      </c>
      <c r="T492" s="1" t="str">
        <f>IF(S492="","",VLOOKUP(S492,'Ontology and concepts per UC'!$F$2:$J$46,5,FALSE))</f>
        <v>Modelo Conceptual</v>
      </c>
      <c r="U492" s="1" t="b">
        <f t="array" ref="U492">(INDEX('Ontology and concepts per UC'!$G$2:$I$46,MATCH($S492,'Ontology and concepts per UC'!$F$2:$F$46,0),MATCH(LEFT($A492,3),'Ontology and concepts per UC'!$G$1:$I$1,0))=0)</f>
        <v>0</v>
      </c>
      <c r="V492" s="1" t="b">
        <f t="shared" si="13"/>
        <v>1</v>
      </c>
      <c r="W492" s="1" t="b">
        <v>1</v>
      </c>
      <c r="X492" s="1" t="b">
        <v>0</v>
      </c>
      <c r="Y492" s="1" t="b">
        <v>0</v>
      </c>
      <c r="Z492" s="1" t="b">
        <v>0</v>
      </c>
      <c r="AA492" s="1" t="s">
        <v>1365</v>
      </c>
    </row>
    <row r="493" spans="1:27" x14ac:dyDescent="0.25">
      <c r="A493" s="1" t="s">
        <v>1330</v>
      </c>
      <c r="B493" s="2" t="s">
        <v>1366</v>
      </c>
      <c r="C493" s="2" t="s">
        <v>942</v>
      </c>
      <c r="D493" s="6">
        <f t="shared" si="7"/>
        <v>2</v>
      </c>
      <c r="E493" s="7" t="str">
        <f t="shared" si="8"/>
        <v>DeterministicParameter</v>
      </c>
      <c r="F493" s="8" t="b">
        <f>IF(D493&lt;1,FALSE,ISERROR(MATCH(E493,'Ontology and concepts per UC'!$A$2:$A$62,0)))</f>
        <v>0</v>
      </c>
      <c r="G493" s="9" t="str">
        <f t="shared" si="9"/>
        <v>Parameter</v>
      </c>
      <c r="H493" s="9" t="str">
        <f t="shared" si="10"/>
        <v>Parameter</v>
      </c>
      <c r="I493" s="8" t="b">
        <f>IF(D493&lt;2,FALSE,ISERROR(MATCH(H493,'Ontology and concepts per UC'!$A$2:$A$62,0)))</f>
        <v>0</v>
      </c>
      <c r="J493" s="9" t="str">
        <f t="shared" si="11"/>
        <v/>
      </c>
      <c r="K493" s="8" t="b">
        <f>IF(D493&lt;3,FALSE,ISERROR(MATCH(J493,'Ontology and concepts per UC'!$A$2:$A$62,0)))</f>
        <v>0</v>
      </c>
      <c r="L493" s="2" t="s">
        <v>1367</v>
      </c>
      <c r="M493" s="2" t="s">
        <v>1368</v>
      </c>
      <c r="N493" s="2"/>
      <c r="O493" s="1" t="b">
        <v>0</v>
      </c>
      <c r="P493" s="1">
        <v>0</v>
      </c>
      <c r="Q493" s="1">
        <v>0</v>
      </c>
      <c r="R493" s="1" t="b">
        <f t="shared" si="12"/>
        <v>1</v>
      </c>
      <c r="S493" s="2" t="s">
        <v>107</v>
      </c>
      <c r="T493" s="1" t="str">
        <f>IF(S493="","",VLOOKUP(S493,'Ontology and concepts per UC'!$F$2:$J$46,5,FALSE))</f>
        <v>Parcial</v>
      </c>
      <c r="U493" s="1" t="b">
        <f t="array" ref="U493">(INDEX('Ontology and concepts per UC'!$G$2:$I$46,MATCH($S493,'Ontology and concepts per UC'!$F$2:$F$46,0),MATCH(LEFT($A493,3),'Ontology and concepts per UC'!$G$1:$I$1,0))=0)</f>
        <v>0</v>
      </c>
      <c r="V493" s="1" t="b">
        <f t="shared" si="13"/>
        <v>0</v>
      </c>
      <c r="W493" s="1" t="b">
        <v>0</v>
      </c>
      <c r="X493" s="1" t="b">
        <v>0</v>
      </c>
      <c r="Y493" s="1" t="b">
        <v>0</v>
      </c>
      <c r="Z493" s="1" t="b">
        <v>0</v>
      </c>
      <c r="AA493" s="1"/>
    </row>
    <row r="494" spans="1:27" x14ac:dyDescent="0.25">
      <c r="A494" s="1" t="s">
        <v>1330</v>
      </c>
      <c r="B494" s="2" t="s">
        <v>1369</v>
      </c>
      <c r="C494" s="2" t="s">
        <v>942</v>
      </c>
      <c r="D494" s="6">
        <f t="shared" si="7"/>
        <v>2</v>
      </c>
      <c r="E494" s="7" t="str">
        <f t="shared" si="8"/>
        <v>DeterministicParameter</v>
      </c>
      <c r="F494" s="8" t="b">
        <f>IF(D494&lt;1,FALSE,ISERROR(MATCH(E494,'Ontology and concepts per UC'!$A$2:$A$62,0)))</f>
        <v>0</v>
      </c>
      <c r="G494" s="9" t="str">
        <f t="shared" si="9"/>
        <v>Parameter</v>
      </c>
      <c r="H494" s="9" t="str">
        <f t="shared" si="10"/>
        <v>Parameter</v>
      </c>
      <c r="I494" s="8" t="b">
        <f>IF(D494&lt;2,FALSE,ISERROR(MATCH(H494,'Ontology and concepts per UC'!$A$2:$A$62,0)))</f>
        <v>0</v>
      </c>
      <c r="J494" s="9" t="str">
        <f t="shared" si="11"/>
        <v/>
      </c>
      <c r="K494" s="8" t="b">
        <f>IF(D494&lt;3,FALSE,ISERROR(MATCH(J494,'Ontology and concepts per UC'!$A$2:$A$62,0)))</f>
        <v>0</v>
      </c>
      <c r="L494" s="2" t="s">
        <v>1370</v>
      </c>
      <c r="M494" s="2" t="s">
        <v>1371</v>
      </c>
      <c r="N494" s="2"/>
      <c r="O494" s="1" t="b">
        <v>0</v>
      </c>
      <c r="P494" s="1">
        <v>0</v>
      </c>
      <c r="Q494" s="1">
        <v>0</v>
      </c>
      <c r="R494" s="1" t="b">
        <f t="shared" si="12"/>
        <v>1</v>
      </c>
      <c r="S494" s="2" t="s">
        <v>107</v>
      </c>
      <c r="T494" s="1" t="str">
        <f>IF(S494="","",VLOOKUP(S494,'Ontology and concepts per UC'!$F$2:$J$46,5,FALSE))</f>
        <v>Parcial</v>
      </c>
      <c r="U494" s="1" t="b">
        <f t="array" ref="U494">(INDEX('Ontology and concepts per UC'!$G$2:$I$46,MATCH($S494,'Ontology and concepts per UC'!$F$2:$F$46,0),MATCH(LEFT($A494,3),'Ontology and concepts per UC'!$G$1:$I$1,0))=0)</f>
        <v>0</v>
      </c>
      <c r="V494" s="1" t="b">
        <f t="shared" si="13"/>
        <v>0</v>
      </c>
      <c r="W494" s="1" t="b">
        <v>0</v>
      </c>
      <c r="X494" s="1" t="b">
        <v>0</v>
      </c>
      <c r="Y494" s="1" t="b">
        <v>0</v>
      </c>
      <c r="Z494" s="1" t="b">
        <v>0</v>
      </c>
      <c r="AA494" s="1"/>
    </row>
    <row r="495" spans="1:27" x14ac:dyDescent="0.25">
      <c r="A495" s="1" t="s">
        <v>1330</v>
      </c>
      <c r="B495" s="2" t="s">
        <v>1372</v>
      </c>
      <c r="C495" s="2" t="s">
        <v>942</v>
      </c>
      <c r="D495" s="6">
        <f t="shared" si="7"/>
        <v>2</v>
      </c>
      <c r="E495" s="7" t="str">
        <f t="shared" si="8"/>
        <v>DeterministicParameter</v>
      </c>
      <c r="F495" s="8" t="b">
        <f>IF(D495&lt;1,FALSE,ISERROR(MATCH(E495,'Ontology and concepts per UC'!$A$2:$A$62,0)))</f>
        <v>0</v>
      </c>
      <c r="G495" s="9" t="str">
        <f t="shared" si="9"/>
        <v>Parameter</v>
      </c>
      <c r="H495" s="9" t="str">
        <f t="shared" si="10"/>
        <v>Parameter</v>
      </c>
      <c r="I495" s="8" t="b">
        <f>IF(D495&lt;2,FALSE,ISERROR(MATCH(H495,'Ontology and concepts per UC'!$A$2:$A$62,0)))</f>
        <v>0</v>
      </c>
      <c r="J495" s="9" t="str">
        <f t="shared" si="11"/>
        <v/>
      </c>
      <c r="K495" s="8" t="b">
        <f>IF(D495&lt;3,FALSE,ISERROR(MATCH(J495,'Ontology and concepts per UC'!$A$2:$A$62,0)))</f>
        <v>0</v>
      </c>
      <c r="L495" s="2" t="s">
        <v>1373</v>
      </c>
      <c r="M495" s="2" t="s">
        <v>1374</v>
      </c>
      <c r="N495" s="2"/>
      <c r="O495" s="1" t="b">
        <v>0</v>
      </c>
      <c r="P495" s="1">
        <v>0</v>
      </c>
      <c r="Q495" s="1">
        <v>0</v>
      </c>
      <c r="R495" s="1" t="b">
        <f t="shared" si="12"/>
        <v>1</v>
      </c>
      <c r="S495" s="2" t="s">
        <v>107</v>
      </c>
      <c r="T495" s="1" t="str">
        <f>IF(S495="","",VLOOKUP(S495,'Ontology and concepts per UC'!$F$2:$J$46,5,FALSE))</f>
        <v>Parcial</v>
      </c>
      <c r="U495" s="1" t="b">
        <f t="array" ref="U495">(INDEX('Ontology and concepts per UC'!$G$2:$I$46,MATCH($S495,'Ontology and concepts per UC'!$F$2:$F$46,0),MATCH(LEFT($A495,3),'Ontology and concepts per UC'!$G$1:$I$1,0))=0)</f>
        <v>0</v>
      </c>
      <c r="V495" s="1" t="b">
        <f t="shared" si="13"/>
        <v>0</v>
      </c>
      <c r="W495" s="1" t="b">
        <v>0</v>
      </c>
      <c r="X495" s="1" t="b">
        <v>0</v>
      </c>
      <c r="Y495" s="1" t="b">
        <v>0</v>
      </c>
      <c r="Z495" s="1" t="b">
        <v>0</v>
      </c>
      <c r="AA495" s="1"/>
    </row>
    <row r="496" spans="1:27" x14ac:dyDescent="0.25">
      <c r="A496" s="1" t="s">
        <v>1330</v>
      </c>
      <c r="B496" s="2" t="s">
        <v>1375</v>
      </c>
      <c r="C496" s="2" t="s">
        <v>942</v>
      </c>
      <c r="D496" s="6">
        <f t="shared" si="7"/>
        <v>2</v>
      </c>
      <c r="E496" s="7" t="str">
        <f t="shared" si="8"/>
        <v>DeterministicParameter</v>
      </c>
      <c r="F496" s="8" t="b">
        <f>IF(D496&lt;1,FALSE,ISERROR(MATCH(E496,'Ontology and concepts per UC'!$A$2:$A$62,0)))</f>
        <v>0</v>
      </c>
      <c r="G496" s="9" t="str">
        <f t="shared" si="9"/>
        <v>Parameter</v>
      </c>
      <c r="H496" s="9" t="str">
        <f t="shared" si="10"/>
        <v>Parameter</v>
      </c>
      <c r="I496" s="8" t="b">
        <f>IF(D496&lt;2,FALSE,ISERROR(MATCH(H496,'Ontology and concepts per UC'!$A$2:$A$62,0)))</f>
        <v>0</v>
      </c>
      <c r="J496" s="9" t="str">
        <f t="shared" si="11"/>
        <v/>
      </c>
      <c r="K496" s="8" t="b">
        <f>IF(D496&lt;3,FALSE,ISERROR(MATCH(J496,'Ontology and concepts per UC'!$A$2:$A$62,0)))</f>
        <v>0</v>
      </c>
      <c r="L496" s="2" t="s">
        <v>1376</v>
      </c>
      <c r="M496" s="2" t="s">
        <v>1377</v>
      </c>
      <c r="N496" s="2"/>
      <c r="O496" s="1" t="b">
        <v>0</v>
      </c>
      <c r="P496" s="1">
        <v>0</v>
      </c>
      <c r="Q496" s="1">
        <v>0</v>
      </c>
      <c r="R496" s="1" t="b">
        <f t="shared" si="12"/>
        <v>1</v>
      </c>
      <c r="S496" s="2" t="s">
        <v>107</v>
      </c>
      <c r="T496" s="1" t="str">
        <f>IF(S496="","",VLOOKUP(S496,'Ontology and concepts per UC'!$F$2:$J$46,5,FALSE))</f>
        <v>Parcial</v>
      </c>
      <c r="U496" s="1" t="b">
        <f t="array" ref="U496">(INDEX('Ontology and concepts per UC'!$G$2:$I$46,MATCH($S496,'Ontology and concepts per UC'!$F$2:$F$46,0),MATCH(LEFT($A496,3),'Ontology and concepts per UC'!$G$1:$I$1,0))=0)</f>
        <v>0</v>
      </c>
      <c r="V496" s="1" t="b">
        <f t="shared" si="13"/>
        <v>0</v>
      </c>
      <c r="W496" s="1" t="b">
        <v>0</v>
      </c>
      <c r="X496" s="1" t="b">
        <v>0</v>
      </c>
      <c r="Y496" s="1" t="b">
        <v>0</v>
      </c>
      <c r="Z496" s="1" t="b">
        <v>0</v>
      </c>
      <c r="AA496" s="1"/>
    </row>
    <row r="497" spans="1:27" x14ac:dyDescent="0.25">
      <c r="A497" s="1" t="s">
        <v>1330</v>
      </c>
      <c r="B497" s="2" t="s">
        <v>1378</v>
      </c>
      <c r="C497" s="2" t="s">
        <v>942</v>
      </c>
      <c r="D497" s="6">
        <f t="shared" si="7"/>
        <v>2</v>
      </c>
      <c r="E497" s="7" t="str">
        <f t="shared" si="8"/>
        <v>DeterministicParameter</v>
      </c>
      <c r="F497" s="8" t="b">
        <f>IF(D497&lt;1,FALSE,ISERROR(MATCH(E497,'Ontology and concepts per UC'!$A$2:$A$62,0)))</f>
        <v>0</v>
      </c>
      <c r="G497" s="9" t="str">
        <f t="shared" si="9"/>
        <v>Parameter</v>
      </c>
      <c r="H497" s="9" t="str">
        <f t="shared" si="10"/>
        <v>Parameter</v>
      </c>
      <c r="I497" s="8" t="b">
        <f>IF(D497&lt;2,FALSE,ISERROR(MATCH(H497,'Ontology and concepts per UC'!$A$2:$A$62,0)))</f>
        <v>0</v>
      </c>
      <c r="J497" s="9" t="str">
        <f t="shared" si="11"/>
        <v/>
      </c>
      <c r="K497" s="8" t="b">
        <f>IF(D497&lt;3,FALSE,ISERROR(MATCH(J497,'Ontology and concepts per UC'!$A$2:$A$62,0)))</f>
        <v>0</v>
      </c>
      <c r="L497" s="2" t="s">
        <v>1379</v>
      </c>
      <c r="M497" s="2" t="s">
        <v>1380</v>
      </c>
      <c r="N497" s="2"/>
      <c r="O497" s="1" t="b">
        <v>0</v>
      </c>
      <c r="P497" s="1">
        <v>0</v>
      </c>
      <c r="Q497" s="1">
        <v>0</v>
      </c>
      <c r="R497" s="1" t="b">
        <f t="shared" si="12"/>
        <v>1</v>
      </c>
      <c r="S497" s="2" t="s">
        <v>107</v>
      </c>
      <c r="T497" s="1" t="str">
        <f>IF(S497="","",VLOOKUP(S497,'Ontology and concepts per UC'!$F$2:$J$46,5,FALSE))</f>
        <v>Parcial</v>
      </c>
      <c r="U497" s="1" t="b">
        <f t="array" ref="U497">(INDEX('Ontology and concepts per UC'!$G$2:$I$46,MATCH($S497,'Ontology and concepts per UC'!$F$2:$F$46,0),MATCH(LEFT($A497,3),'Ontology and concepts per UC'!$G$1:$I$1,0))=0)</f>
        <v>0</v>
      </c>
      <c r="V497" s="1" t="b">
        <f t="shared" si="13"/>
        <v>1</v>
      </c>
      <c r="W497" s="1" t="b">
        <v>0</v>
      </c>
      <c r="X497" s="1" t="b">
        <v>0</v>
      </c>
      <c r="Y497" s="1" t="b">
        <v>0</v>
      </c>
      <c r="Z497" s="1" t="b">
        <v>1</v>
      </c>
      <c r="AA497" s="1" t="s">
        <v>197</v>
      </c>
    </row>
    <row r="498" spans="1:27" x14ac:dyDescent="0.25">
      <c r="A498" s="1" t="s">
        <v>1330</v>
      </c>
      <c r="B498" s="2" t="s">
        <v>1381</v>
      </c>
      <c r="C498" s="2" t="s">
        <v>942</v>
      </c>
      <c r="D498" s="6">
        <f t="shared" si="7"/>
        <v>2</v>
      </c>
      <c r="E498" s="7" t="str">
        <f t="shared" si="8"/>
        <v>DeterministicParameter</v>
      </c>
      <c r="F498" s="8" t="b">
        <f>IF(D498&lt;1,FALSE,ISERROR(MATCH(E498,'Ontology and concepts per UC'!$A$2:$A$62,0)))</f>
        <v>0</v>
      </c>
      <c r="G498" s="9" t="str">
        <f t="shared" si="9"/>
        <v>Parameter</v>
      </c>
      <c r="H498" s="9" t="str">
        <f t="shared" si="10"/>
        <v>Parameter</v>
      </c>
      <c r="I498" s="8" t="b">
        <f>IF(D498&lt;2,FALSE,ISERROR(MATCH(H498,'Ontology and concepts per UC'!$A$2:$A$62,0)))</f>
        <v>0</v>
      </c>
      <c r="J498" s="9" t="str">
        <f t="shared" si="11"/>
        <v/>
      </c>
      <c r="K498" s="8" t="b">
        <f>IF(D498&lt;3,FALSE,ISERROR(MATCH(J498,'Ontology and concepts per UC'!$A$2:$A$62,0)))</f>
        <v>0</v>
      </c>
      <c r="L498" s="2" t="s">
        <v>1382</v>
      </c>
      <c r="M498" s="2" t="s">
        <v>1383</v>
      </c>
      <c r="N498" s="2"/>
      <c r="O498" s="1" t="b">
        <v>0</v>
      </c>
      <c r="P498" s="1">
        <v>0</v>
      </c>
      <c r="Q498" s="1">
        <v>0</v>
      </c>
      <c r="R498" s="1" t="b">
        <f t="shared" si="12"/>
        <v>1</v>
      </c>
      <c r="S498" s="2" t="s">
        <v>107</v>
      </c>
      <c r="T498" s="1" t="str">
        <f>IF(S498="","",VLOOKUP(S498,'Ontology and concepts per UC'!$F$2:$J$46,5,FALSE))</f>
        <v>Parcial</v>
      </c>
      <c r="U498" s="1" t="b">
        <f t="array" ref="U498">(INDEX('Ontology and concepts per UC'!$G$2:$I$46,MATCH($S498,'Ontology and concepts per UC'!$F$2:$F$46,0),MATCH(LEFT($A498,3),'Ontology and concepts per UC'!$G$1:$I$1,0))=0)</f>
        <v>0</v>
      </c>
      <c r="V498" s="1" t="b">
        <f t="shared" si="13"/>
        <v>0</v>
      </c>
      <c r="W498" s="1" t="b">
        <v>0</v>
      </c>
      <c r="X498" s="1" t="b">
        <v>0</v>
      </c>
      <c r="Y498" s="1" t="b">
        <v>0</v>
      </c>
      <c r="Z498" s="1" t="b">
        <v>0</v>
      </c>
      <c r="AA498" s="1"/>
    </row>
    <row r="499" spans="1:27" x14ac:dyDescent="0.25">
      <c r="A499" s="1" t="s">
        <v>1330</v>
      </c>
      <c r="B499" s="2" t="s">
        <v>1384</v>
      </c>
      <c r="C499" s="2" t="s">
        <v>942</v>
      </c>
      <c r="D499" s="6">
        <f t="shared" si="7"/>
        <v>2</v>
      </c>
      <c r="E499" s="7" t="str">
        <f t="shared" si="8"/>
        <v>DeterministicParameter</v>
      </c>
      <c r="F499" s="8" t="b">
        <f>IF(D499&lt;1,FALSE,ISERROR(MATCH(E499,'Ontology and concepts per UC'!$A$2:$A$62,0)))</f>
        <v>0</v>
      </c>
      <c r="G499" s="9" t="str">
        <f t="shared" si="9"/>
        <v>Parameter</v>
      </c>
      <c r="H499" s="9" t="str">
        <f t="shared" si="10"/>
        <v>Parameter</v>
      </c>
      <c r="I499" s="8" t="b">
        <f>IF(D499&lt;2,FALSE,ISERROR(MATCH(H499,'Ontology and concepts per UC'!$A$2:$A$62,0)))</f>
        <v>0</v>
      </c>
      <c r="J499" s="9" t="str">
        <f t="shared" si="11"/>
        <v/>
      </c>
      <c r="K499" s="8" t="b">
        <f>IF(D499&lt;3,FALSE,ISERROR(MATCH(J499,'Ontology and concepts per UC'!$A$2:$A$62,0)))</f>
        <v>0</v>
      </c>
      <c r="L499" s="2" t="s">
        <v>1385</v>
      </c>
      <c r="M499" s="2" t="s">
        <v>1386</v>
      </c>
      <c r="N499" s="2"/>
      <c r="O499" s="1" t="b">
        <v>0</v>
      </c>
      <c r="P499" s="1">
        <v>0</v>
      </c>
      <c r="Q499" s="1">
        <v>0</v>
      </c>
      <c r="R499" s="1" t="b">
        <f t="shared" si="12"/>
        <v>1</v>
      </c>
      <c r="S499" s="2" t="s">
        <v>367</v>
      </c>
      <c r="T499" s="1" t="str">
        <f>IF(S499="","",VLOOKUP(S499,'Ontology and concepts per UC'!$F$2:$J$46,5,FALSE))</f>
        <v>Parámetros de progresión</v>
      </c>
      <c r="U499" s="1" t="b">
        <f t="array" ref="U499">(INDEX('Ontology and concepts per UC'!$G$2:$I$46,MATCH($S499,'Ontology and concepts per UC'!$F$2:$F$46,0),MATCH(LEFT($A499,3),'Ontology and concepts per UC'!$G$1:$I$1,0))=0)</f>
        <v>0</v>
      </c>
      <c r="V499" s="1" t="b">
        <f t="shared" si="13"/>
        <v>0</v>
      </c>
      <c r="W499" s="1" t="b">
        <v>0</v>
      </c>
      <c r="X499" s="1" t="b">
        <v>0</v>
      </c>
      <c r="Y499" s="1" t="b">
        <v>0</v>
      </c>
      <c r="Z499" s="1" t="b">
        <v>0</v>
      </c>
      <c r="AA499" s="1"/>
    </row>
    <row r="500" spans="1:27" x14ac:dyDescent="0.25">
      <c r="A500" s="1" t="s">
        <v>1330</v>
      </c>
      <c r="B500" s="2" t="s">
        <v>1387</v>
      </c>
      <c r="C500" s="2" t="s">
        <v>942</v>
      </c>
      <c r="D500" s="6">
        <f t="shared" si="7"/>
        <v>2</v>
      </c>
      <c r="E500" s="7" t="str">
        <f t="shared" si="8"/>
        <v>DeterministicParameter</v>
      </c>
      <c r="F500" s="8" t="b">
        <f>IF(D500&lt;1,FALSE,ISERROR(MATCH(E500,'Ontology and concepts per UC'!$A$2:$A$62,0)))</f>
        <v>0</v>
      </c>
      <c r="G500" s="9" t="str">
        <f t="shared" si="9"/>
        <v>Parameter</v>
      </c>
      <c r="H500" s="9" t="str">
        <f t="shared" si="10"/>
        <v>Parameter</v>
      </c>
      <c r="I500" s="8" t="b">
        <f>IF(D500&lt;2,FALSE,ISERROR(MATCH(H500,'Ontology and concepts per UC'!$A$2:$A$62,0)))</f>
        <v>0</v>
      </c>
      <c r="J500" s="9" t="str">
        <f t="shared" si="11"/>
        <v/>
      </c>
      <c r="K500" s="8" t="b">
        <f>IF(D500&lt;3,FALSE,ISERROR(MATCH(J500,'Ontology and concepts per UC'!$A$2:$A$62,0)))</f>
        <v>0</v>
      </c>
      <c r="L500" s="2" t="s">
        <v>1373</v>
      </c>
      <c r="M500" s="2" t="s">
        <v>1388</v>
      </c>
      <c r="N500" s="2"/>
      <c r="O500" s="1" t="b">
        <v>0</v>
      </c>
      <c r="P500" s="1">
        <v>0</v>
      </c>
      <c r="Q500" s="1">
        <v>0</v>
      </c>
      <c r="R500" s="1" t="b">
        <f t="shared" si="12"/>
        <v>1</v>
      </c>
      <c r="S500" s="2" t="s">
        <v>367</v>
      </c>
      <c r="T500" s="1" t="str">
        <f>IF(S500="","",VLOOKUP(S500,'Ontology and concepts per UC'!$F$2:$J$46,5,FALSE))</f>
        <v>Parámetros de progresión</v>
      </c>
      <c r="U500" s="1" t="b">
        <f t="array" ref="U500">(INDEX('Ontology and concepts per UC'!$G$2:$I$46,MATCH($S500,'Ontology and concepts per UC'!$F$2:$F$46,0),MATCH(LEFT($A500,3),'Ontology and concepts per UC'!$G$1:$I$1,0))=0)</f>
        <v>0</v>
      </c>
      <c r="V500" s="1" t="b">
        <f t="shared" si="13"/>
        <v>0</v>
      </c>
      <c r="W500" s="1" t="b">
        <v>0</v>
      </c>
      <c r="X500" s="1" t="b">
        <v>0</v>
      </c>
      <c r="Y500" s="1" t="b">
        <v>0</v>
      </c>
      <c r="Z500" s="1" t="b">
        <v>0</v>
      </c>
      <c r="AA500" s="1"/>
    </row>
    <row r="501" spans="1:27" x14ac:dyDescent="0.25">
      <c r="A501" s="1" t="s">
        <v>1330</v>
      </c>
      <c r="B501" s="2" t="s">
        <v>1389</v>
      </c>
      <c r="C501" s="2" t="s">
        <v>942</v>
      </c>
      <c r="D501" s="6">
        <f t="shared" si="7"/>
        <v>2</v>
      </c>
      <c r="E501" s="7" t="str">
        <f t="shared" si="8"/>
        <v>DeterministicParameter</v>
      </c>
      <c r="F501" s="8" t="b">
        <f>IF(D501&lt;1,FALSE,ISERROR(MATCH(E501,'Ontology and concepts per UC'!$A$2:$A$62,0)))</f>
        <v>0</v>
      </c>
      <c r="G501" s="9" t="str">
        <f t="shared" si="9"/>
        <v>Parameter</v>
      </c>
      <c r="H501" s="9" t="str">
        <f t="shared" si="10"/>
        <v>Parameter</v>
      </c>
      <c r="I501" s="8" t="b">
        <f>IF(D501&lt;2,FALSE,ISERROR(MATCH(H501,'Ontology and concepts per UC'!$A$2:$A$62,0)))</f>
        <v>0</v>
      </c>
      <c r="J501" s="9" t="str">
        <f t="shared" si="11"/>
        <v/>
      </c>
      <c r="K501" s="8" t="b">
        <f>IF(D501&lt;3,FALSE,ISERROR(MATCH(J501,'Ontology and concepts per UC'!$A$2:$A$62,0)))</f>
        <v>0</v>
      </c>
      <c r="L501" s="2" t="s">
        <v>1376</v>
      </c>
      <c r="M501" s="2" t="s">
        <v>1390</v>
      </c>
      <c r="N501" s="2"/>
      <c r="O501" s="1" t="b">
        <v>0</v>
      </c>
      <c r="P501" s="1">
        <v>0</v>
      </c>
      <c r="Q501" s="1">
        <v>0</v>
      </c>
      <c r="R501" s="1" t="b">
        <f t="shared" si="12"/>
        <v>1</v>
      </c>
      <c r="S501" s="2" t="s">
        <v>367</v>
      </c>
      <c r="T501" s="1" t="str">
        <f>IF(S501="","",VLOOKUP(S501,'Ontology and concepts per UC'!$F$2:$J$46,5,FALSE))</f>
        <v>Parámetros de progresión</v>
      </c>
      <c r="U501" s="1" t="b">
        <f t="array" ref="U501">(INDEX('Ontology and concepts per UC'!$G$2:$I$46,MATCH($S501,'Ontology and concepts per UC'!$F$2:$F$46,0),MATCH(LEFT($A501,3),'Ontology and concepts per UC'!$G$1:$I$1,0))=0)</f>
        <v>0</v>
      </c>
      <c r="V501" s="1" t="b">
        <f t="shared" si="13"/>
        <v>0</v>
      </c>
      <c r="W501" s="1" t="b">
        <v>0</v>
      </c>
      <c r="X501" s="1" t="b">
        <v>0</v>
      </c>
      <c r="Y501" s="1" t="b">
        <v>0</v>
      </c>
      <c r="Z501" s="1" t="b">
        <v>0</v>
      </c>
      <c r="AA501" s="1"/>
    </row>
    <row r="502" spans="1:27" x14ac:dyDescent="0.25">
      <c r="A502" s="1" t="s">
        <v>1330</v>
      </c>
      <c r="B502" s="2" t="s">
        <v>1391</v>
      </c>
      <c r="C502" s="2" t="s">
        <v>942</v>
      </c>
      <c r="D502" s="6">
        <f t="shared" si="7"/>
        <v>2</v>
      </c>
      <c r="E502" s="7" t="str">
        <f t="shared" si="8"/>
        <v>DeterministicParameter</v>
      </c>
      <c r="F502" s="8" t="b">
        <f>IF(D502&lt;1,FALSE,ISERROR(MATCH(E502,'Ontology and concepts per UC'!$A$2:$A$62,0)))</f>
        <v>0</v>
      </c>
      <c r="G502" s="9" t="str">
        <f t="shared" si="9"/>
        <v>Parameter</v>
      </c>
      <c r="H502" s="9" t="str">
        <f t="shared" si="10"/>
        <v>Parameter</v>
      </c>
      <c r="I502" s="8" t="b">
        <f>IF(D502&lt;2,FALSE,ISERROR(MATCH(H502,'Ontology and concepts per UC'!$A$2:$A$62,0)))</f>
        <v>0</v>
      </c>
      <c r="J502" s="9" t="str">
        <f t="shared" si="11"/>
        <v/>
      </c>
      <c r="K502" s="8" t="b">
        <f>IF(D502&lt;3,FALSE,ISERROR(MATCH(J502,'Ontology and concepts per UC'!$A$2:$A$62,0)))</f>
        <v>0</v>
      </c>
      <c r="L502" s="2" t="s">
        <v>1392</v>
      </c>
      <c r="M502" s="2" t="s">
        <v>1393</v>
      </c>
      <c r="N502" s="2"/>
      <c r="O502" s="1" t="b">
        <v>0</v>
      </c>
      <c r="P502" s="1">
        <v>0</v>
      </c>
      <c r="Q502" s="1">
        <v>0</v>
      </c>
      <c r="R502" s="1" t="b">
        <f t="shared" si="12"/>
        <v>1</v>
      </c>
      <c r="S502" s="2" t="s">
        <v>56</v>
      </c>
      <c r="T502" s="1" t="str">
        <f>IF(S502="","",VLOOKUP(S502,'Ontology and concepts per UC'!$F$2:$J$46,5,FALSE))</f>
        <v>Parámetros de progresión</v>
      </c>
      <c r="U502" s="1" t="b">
        <f t="array" ref="U502">(INDEX('Ontology and concepts per UC'!$G$2:$I$46,MATCH($S502,'Ontology and concepts per UC'!$F$2:$F$46,0),MATCH(LEFT($A502,3),'Ontology and concepts per UC'!$G$1:$I$1,0))=0)</f>
        <v>0</v>
      </c>
      <c r="V502" s="1" t="b">
        <f t="shared" si="13"/>
        <v>0</v>
      </c>
      <c r="W502" s="1" t="b">
        <v>0</v>
      </c>
      <c r="X502" s="1" t="b">
        <v>0</v>
      </c>
      <c r="Y502" s="1" t="b">
        <v>0</v>
      </c>
      <c r="Z502" s="1" t="b">
        <v>0</v>
      </c>
      <c r="AA502" s="1"/>
    </row>
    <row r="503" spans="1:27" x14ac:dyDescent="0.25">
      <c r="A503" s="1" t="s">
        <v>1330</v>
      </c>
      <c r="B503" s="2" t="s">
        <v>1394</v>
      </c>
      <c r="C503" s="2" t="s">
        <v>942</v>
      </c>
      <c r="D503" s="6">
        <f t="shared" si="7"/>
        <v>2</v>
      </c>
      <c r="E503" s="7" t="str">
        <f t="shared" si="8"/>
        <v>DeterministicParameter</v>
      </c>
      <c r="F503" s="8" t="b">
        <f>IF(D503&lt;1,FALSE,ISERROR(MATCH(E503,'Ontology and concepts per UC'!$A$2:$A$62,0)))</f>
        <v>0</v>
      </c>
      <c r="G503" s="9" t="str">
        <f t="shared" si="9"/>
        <v>Parameter</v>
      </c>
      <c r="H503" s="9" t="str">
        <f t="shared" si="10"/>
        <v>Parameter</v>
      </c>
      <c r="I503" s="8" t="b">
        <f>IF(D503&lt;2,FALSE,ISERROR(MATCH(H503,'Ontology and concepts per UC'!$A$2:$A$62,0)))</f>
        <v>0</v>
      </c>
      <c r="J503" s="9" t="str">
        <f t="shared" si="11"/>
        <v/>
      </c>
      <c r="K503" s="8" t="b">
        <f>IF(D503&lt;3,FALSE,ISERROR(MATCH(J503,'Ontology and concepts per UC'!$A$2:$A$62,0)))</f>
        <v>0</v>
      </c>
      <c r="L503" s="2" t="s">
        <v>1379</v>
      </c>
      <c r="M503" s="2" t="s">
        <v>1395</v>
      </c>
      <c r="N503" s="2"/>
      <c r="O503" s="1" t="b">
        <v>0</v>
      </c>
      <c r="P503" s="1">
        <v>0</v>
      </c>
      <c r="Q503" s="1">
        <v>0</v>
      </c>
      <c r="R503" s="1" t="b">
        <f t="shared" si="12"/>
        <v>1</v>
      </c>
      <c r="S503" s="2" t="s">
        <v>50</v>
      </c>
      <c r="T503" s="1" t="str">
        <f>IF(S503="","",VLOOKUP(S503,'Ontology and concepts per UC'!$F$2:$J$46,5,FALSE))</f>
        <v>Parámetros de progresión</v>
      </c>
      <c r="U503" s="1" t="b">
        <f t="array" ref="U503">(INDEX('Ontology and concepts per UC'!$G$2:$I$46,MATCH($S503,'Ontology and concepts per UC'!$F$2:$F$46,0),MATCH(LEFT($A503,3),'Ontology and concepts per UC'!$G$1:$I$1,0))=0)</f>
        <v>0</v>
      </c>
      <c r="V503" s="1" t="b">
        <f t="shared" si="13"/>
        <v>1</v>
      </c>
      <c r="W503" s="1" t="b">
        <v>0</v>
      </c>
      <c r="X503" s="1" t="b">
        <v>0</v>
      </c>
      <c r="Y503" s="1" t="b">
        <v>0</v>
      </c>
      <c r="Z503" s="1" t="b">
        <v>1</v>
      </c>
      <c r="AA503" s="1" t="s">
        <v>197</v>
      </c>
    </row>
    <row r="504" spans="1:27" x14ac:dyDescent="0.25">
      <c r="A504" s="1" t="s">
        <v>1330</v>
      </c>
      <c r="B504" s="2" t="s">
        <v>1396</v>
      </c>
      <c r="C504" s="2" t="s">
        <v>942</v>
      </c>
      <c r="D504" s="6">
        <f t="shared" si="7"/>
        <v>2</v>
      </c>
      <c r="E504" s="7" t="str">
        <f t="shared" si="8"/>
        <v>DeterministicParameter</v>
      </c>
      <c r="F504" s="8" t="b">
        <f>IF(D504&lt;1,FALSE,ISERROR(MATCH(E504,'Ontology and concepts per UC'!$A$2:$A$62,0)))</f>
        <v>0</v>
      </c>
      <c r="G504" s="9" t="str">
        <f t="shared" si="9"/>
        <v>Parameter</v>
      </c>
      <c r="H504" s="9" t="str">
        <f t="shared" si="10"/>
        <v>Parameter</v>
      </c>
      <c r="I504" s="8" t="b">
        <f>IF(D504&lt;2,FALSE,ISERROR(MATCH(H504,'Ontology and concepts per UC'!$A$2:$A$62,0)))</f>
        <v>0</v>
      </c>
      <c r="J504" s="9" t="str">
        <f t="shared" si="11"/>
        <v/>
      </c>
      <c r="K504" s="8" t="b">
        <f>IF(D504&lt;3,FALSE,ISERROR(MATCH(J504,'Ontology and concepts per UC'!$A$2:$A$62,0)))</f>
        <v>0</v>
      </c>
      <c r="L504" s="2" t="s">
        <v>1397</v>
      </c>
      <c r="M504" s="2" t="s">
        <v>1398</v>
      </c>
      <c r="N504" s="2"/>
      <c r="O504" s="1" t="b">
        <v>0</v>
      </c>
      <c r="P504" s="1">
        <v>0</v>
      </c>
      <c r="Q504" s="1">
        <v>0</v>
      </c>
      <c r="R504" s="1" t="b">
        <f t="shared" si="12"/>
        <v>1</v>
      </c>
      <c r="S504" s="2" t="s">
        <v>54</v>
      </c>
      <c r="T504" s="1" t="str">
        <f>IF(S504="","",VLOOKUP(S504,'Ontology and concepts per UC'!$F$2:$J$46,5,FALSE))</f>
        <v>Parámetros de progresión</v>
      </c>
      <c r="U504" s="1" t="b">
        <f t="array" ref="U504">(INDEX('Ontology and concepts per UC'!$G$2:$I$46,MATCH($S504,'Ontology and concepts per UC'!$F$2:$F$46,0),MATCH(LEFT($A504,3),'Ontology and concepts per UC'!$G$1:$I$1,0))=0)</f>
        <v>0</v>
      </c>
      <c r="V504" s="1" t="b">
        <f t="shared" si="13"/>
        <v>0</v>
      </c>
      <c r="W504" s="1" t="b">
        <v>0</v>
      </c>
      <c r="X504" s="1" t="b">
        <v>0</v>
      </c>
      <c r="Y504" s="1" t="b">
        <v>0</v>
      </c>
      <c r="Z504" s="1" t="b">
        <v>0</v>
      </c>
      <c r="AA504" s="1"/>
    </row>
    <row r="505" spans="1:27" x14ac:dyDescent="0.25">
      <c r="A505" s="1" t="s">
        <v>1330</v>
      </c>
      <c r="B505" s="2" t="s">
        <v>1399</v>
      </c>
      <c r="C505" s="2" t="s">
        <v>942</v>
      </c>
      <c r="D505" s="6">
        <f t="shared" si="7"/>
        <v>2</v>
      </c>
      <c r="E505" s="7" t="str">
        <f t="shared" si="8"/>
        <v>DeterministicParameter</v>
      </c>
      <c r="F505" s="8" t="b">
        <f>IF(D505&lt;1,FALSE,ISERROR(MATCH(E505,'Ontology and concepts per UC'!$A$2:$A$62,0)))</f>
        <v>0</v>
      </c>
      <c r="G505" s="9" t="str">
        <f t="shared" si="9"/>
        <v>Parameter</v>
      </c>
      <c r="H505" s="9" t="str">
        <f t="shared" si="10"/>
        <v>Parameter</v>
      </c>
      <c r="I505" s="8" t="b">
        <f>IF(D505&lt;2,FALSE,ISERROR(MATCH(H505,'Ontology and concepts per UC'!$A$2:$A$62,0)))</f>
        <v>0</v>
      </c>
      <c r="J505" s="9" t="str">
        <f t="shared" si="11"/>
        <v/>
      </c>
      <c r="K505" s="8" t="b">
        <f>IF(D505&lt;3,FALSE,ISERROR(MATCH(J505,'Ontology and concepts per UC'!$A$2:$A$62,0)))</f>
        <v>0</v>
      </c>
      <c r="L505" s="2" t="s">
        <v>1400</v>
      </c>
      <c r="M505" s="2" t="s">
        <v>1401</v>
      </c>
      <c r="N505" s="2"/>
      <c r="O505" s="1" t="b">
        <v>0</v>
      </c>
      <c r="P505" s="1">
        <v>0</v>
      </c>
      <c r="Q505" s="1">
        <v>0</v>
      </c>
      <c r="R505" s="1" t="b">
        <f t="shared" si="12"/>
        <v>1</v>
      </c>
      <c r="S505" s="2" t="s">
        <v>58</v>
      </c>
      <c r="T505" s="1" t="str">
        <f>IF(S505="","",VLOOKUP(S505,'Ontology and concepts per UC'!$F$2:$J$46,5,FALSE))</f>
        <v>Parámetros de progresión</v>
      </c>
      <c r="U505" s="1" t="b">
        <f t="array" ref="U505">(INDEX('Ontology and concepts per UC'!$G$2:$I$46,MATCH($S505,'Ontology and concepts per UC'!$F$2:$F$46,0),MATCH(LEFT($A505,3),'Ontology and concepts per UC'!$G$1:$I$1,0))=0)</f>
        <v>0</v>
      </c>
      <c r="V505" s="1" t="b">
        <f t="shared" si="13"/>
        <v>0</v>
      </c>
      <c r="W505" s="1" t="b">
        <v>0</v>
      </c>
      <c r="X505" s="1" t="b">
        <v>0</v>
      </c>
      <c r="Y505" s="1" t="b">
        <v>0</v>
      </c>
      <c r="Z505" s="1" t="b">
        <v>0</v>
      </c>
      <c r="AA505" s="1"/>
    </row>
    <row r="506" spans="1:27" x14ac:dyDescent="0.25">
      <c r="A506" s="1" t="s">
        <v>1330</v>
      </c>
      <c r="B506" s="2" t="s">
        <v>1402</v>
      </c>
      <c r="C506" s="2" t="s">
        <v>1403</v>
      </c>
      <c r="D506" s="6">
        <f t="shared" si="7"/>
        <v>3</v>
      </c>
      <c r="E506" s="7" t="str">
        <f t="shared" si="8"/>
        <v>DeterministicParameter</v>
      </c>
      <c r="F506" s="8" t="b">
        <f>IF(D506&lt;1,FALSE,ISERROR(MATCH(E506,'Ontology and concepts per UC'!$A$2:$A$62,0)))</f>
        <v>0</v>
      </c>
      <c r="G506" s="9" t="str">
        <f t="shared" si="9"/>
        <v>Parameter; TimeToOnset</v>
      </c>
      <c r="H506" s="9" t="str">
        <f t="shared" si="10"/>
        <v>Parameter</v>
      </c>
      <c r="I506" s="8" t="b">
        <f>IF(D506&lt;2,FALSE,ISERROR(MATCH(H506,'Ontology and concepts per UC'!$A$2:$A$62,0)))</f>
        <v>0</v>
      </c>
      <c r="J506" s="9" t="str">
        <f t="shared" si="11"/>
        <v>TimeToOnset</v>
      </c>
      <c r="K506" s="8" t="b">
        <f>IF(D506&lt;3,FALSE,ISERROR(MATCH(J506,'Ontology and concepts per UC'!$A$2:$A$62,0)))</f>
        <v>1</v>
      </c>
      <c r="L506" s="2" t="s">
        <v>1404</v>
      </c>
      <c r="M506" s="2" t="s">
        <v>1405</v>
      </c>
      <c r="N506" s="2" t="s">
        <v>1406</v>
      </c>
      <c r="O506" s="1" t="b">
        <v>0</v>
      </c>
      <c r="P506" s="1">
        <v>1</v>
      </c>
      <c r="Q506" s="1">
        <v>2</v>
      </c>
      <c r="R506" s="1" t="b">
        <f t="shared" si="12"/>
        <v>1</v>
      </c>
      <c r="S506" s="2" t="s">
        <v>367</v>
      </c>
      <c r="T506" s="1" t="str">
        <f>IF(S506="","",VLOOKUP(S506,'Ontology and concepts per UC'!$F$2:$J$46,5,FALSE))</f>
        <v>Parámetros de progresión</v>
      </c>
      <c r="U506" s="1" t="b">
        <f t="array" ref="U506">(INDEX('Ontology and concepts per UC'!$G$2:$I$46,MATCH($S506,'Ontology and concepts per UC'!$F$2:$F$46,0),MATCH(LEFT($A506,3),'Ontology and concepts per UC'!$G$1:$I$1,0))=0)</f>
        <v>0</v>
      </c>
      <c r="V506" s="1" t="b">
        <f t="shared" si="13"/>
        <v>1</v>
      </c>
      <c r="W506" s="1" t="b">
        <v>1</v>
      </c>
      <c r="X506" s="1" t="b">
        <v>0</v>
      </c>
      <c r="Y506" s="1" t="b">
        <v>0</v>
      </c>
      <c r="Z506" s="1" t="b">
        <v>0</v>
      </c>
      <c r="AA506" s="1" t="s">
        <v>1407</v>
      </c>
    </row>
    <row r="507" spans="1:27" x14ac:dyDescent="0.25">
      <c r="A507" s="1" t="s">
        <v>1330</v>
      </c>
      <c r="B507" s="2" t="s">
        <v>1408</v>
      </c>
      <c r="C507" s="2" t="s">
        <v>1409</v>
      </c>
      <c r="D507" s="6">
        <f t="shared" si="7"/>
        <v>3</v>
      </c>
      <c r="E507" s="7" t="str">
        <f t="shared" si="8"/>
        <v>DeterministicParameter</v>
      </c>
      <c r="F507" s="8" t="b">
        <f>IF(D507&lt;1,FALSE,ISERROR(MATCH(E507,'Ontology and concepts per UC'!$A$2:$A$62,0)))</f>
        <v>0</v>
      </c>
      <c r="G507" s="9" t="str">
        <f t="shared" si="9"/>
        <v>TimeToOnset; Parameter</v>
      </c>
      <c r="H507" s="9" t="str">
        <f t="shared" si="10"/>
        <v>TimeToOnset</v>
      </c>
      <c r="I507" s="8" t="b">
        <f>IF(D507&lt;2,FALSE,ISERROR(MATCH(H507,'Ontology and concepts per UC'!$A$2:$A$62,0)))</f>
        <v>1</v>
      </c>
      <c r="J507" s="9" t="str">
        <f t="shared" si="11"/>
        <v>Parameter</v>
      </c>
      <c r="K507" s="8" t="b">
        <f>IF(D507&lt;3,FALSE,ISERROR(MATCH(J507,'Ontology and concepts per UC'!$A$2:$A$62,0)))</f>
        <v>0</v>
      </c>
      <c r="L507" s="2" t="s">
        <v>1410</v>
      </c>
      <c r="M507" s="2" t="s">
        <v>1411</v>
      </c>
      <c r="N507" s="2" t="s">
        <v>1412</v>
      </c>
      <c r="O507" s="1" t="b">
        <v>0</v>
      </c>
      <c r="P507" s="1">
        <v>1</v>
      </c>
      <c r="Q507" s="1">
        <v>2</v>
      </c>
      <c r="R507" s="1" t="b">
        <f t="shared" si="12"/>
        <v>1</v>
      </c>
      <c r="S507" s="2" t="s">
        <v>367</v>
      </c>
      <c r="T507" s="1" t="str">
        <f>IF(S507="","",VLOOKUP(S507,'Ontology and concepts per UC'!$F$2:$J$46,5,FALSE))</f>
        <v>Parámetros de progresión</v>
      </c>
      <c r="U507" s="1" t="b">
        <f t="array" ref="U507">(INDEX('Ontology and concepts per UC'!$G$2:$I$46,MATCH($S507,'Ontology and concepts per UC'!$F$2:$F$46,0),MATCH(LEFT($A507,3),'Ontology and concepts per UC'!$G$1:$I$1,0))=0)</f>
        <v>0</v>
      </c>
      <c r="V507" s="1" t="b">
        <f t="shared" si="13"/>
        <v>1</v>
      </c>
      <c r="W507" s="1" t="b">
        <v>1</v>
      </c>
      <c r="X507" s="1" t="b">
        <v>0</v>
      </c>
      <c r="Y507" s="1" t="b">
        <v>0</v>
      </c>
      <c r="Z507" s="1" t="b">
        <v>0</v>
      </c>
      <c r="AA507" s="1" t="s">
        <v>1407</v>
      </c>
    </row>
    <row r="508" spans="1:27" x14ac:dyDescent="0.25">
      <c r="A508" s="1" t="s">
        <v>1330</v>
      </c>
      <c r="B508" s="2" t="s">
        <v>1413</v>
      </c>
      <c r="C508" s="2" t="s">
        <v>1409</v>
      </c>
      <c r="D508" s="6">
        <f t="shared" si="7"/>
        <v>3</v>
      </c>
      <c r="E508" s="7" t="str">
        <f t="shared" si="8"/>
        <v>DeterministicParameter</v>
      </c>
      <c r="F508" s="8" t="b">
        <f>IF(D508&lt;1,FALSE,ISERROR(MATCH(E508,'Ontology and concepts per UC'!$A$2:$A$62,0)))</f>
        <v>0</v>
      </c>
      <c r="G508" s="9" t="str">
        <f t="shared" si="9"/>
        <v>TimeToOnset; Parameter</v>
      </c>
      <c r="H508" s="9" t="str">
        <f t="shared" si="10"/>
        <v>TimeToOnset</v>
      </c>
      <c r="I508" s="8" t="b">
        <f>IF(D508&lt;2,FALSE,ISERROR(MATCH(H508,'Ontology and concepts per UC'!$A$2:$A$62,0)))</f>
        <v>1</v>
      </c>
      <c r="J508" s="9" t="str">
        <f t="shared" si="11"/>
        <v>Parameter</v>
      </c>
      <c r="K508" s="8" t="b">
        <f>IF(D508&lt;3,FALSE,ISERROR(MATCH(J508,'Ontology and concepts per UC'!$A$2:$A$62,0)))</f>
        <v>0</v>
      </c>
      <c r="L508" s="2" t="s">
        <v>1414</v>
      </c>
      <c r="M508" s="2" t="s">
        <v>1415</v>
      </c>
      <c r="N508" s="2" t="s">
        <v>1406</v>
      </c>
      <c r="O508" s="1" t="b">
        <v>0</v>
      </c>
      <c r="P508" s="1">
        <v>1</v>
      </c>
      <c r="Q508" s="1">
        <v>2</v>
      </c>
      <c r="R508" s="1" t="b">
        <f t="shared" si="12"/>
        <v>1</v>
      </c>
      <c r="S508" s="2" t="s">
        <v>55</v>
      </c>
      <c r="T508" s="1" t="str">
        <f>IF(S508="","",VLOOKUP(S508,'Ontology and concepts per UC'!$F$2:$J$46,5,FALSE))</f>
        <v>Parámetros de progresión</v>
      </c>
      <c r="U508" s="1" t="b">
        <f t="array" ref="U508">(INDEX('Ontology and concepts per UC'!$G$2:$I$46,MATCH($S508,'Ontology and concepts per UC'!$F$2:$F$46,0),MATCH(LEFT($A508,3),'Ontology and concepts per UC'!$G$1:$I$1,0))=0)</f>
        <v>0</v>
      </c>
      <c r="V508" s="1" t="b">
        <f t="shared" si="13"/>
        <v>1</v>
      </c>
      <c r="W508" s="1" t="b">
        <v>1</v>
      </c>
      <c r="X508" s="1" t="b">
        <v>0</v>
      </c>
      <c r="Y508" s="1" t="b">
        <v>0</v>
      </c>
      <c r="Z508" s="1" t="b">
        <v>0</v>
      </c>
      <c r="AA508" s="1" t="s">
        <v>1407</v>
      </c>
    </row>
    <row r="509" spans="1:27" x14ac:dyDescent="0.25">
      <c r="A509" s="1" t="s">
        <v>1330</v>
      </c>
      <c r="B509" s="2" t="s">
        <v>1416</v>
      </c>
      <c r="C509" s="2" t="s">
        <v>1409</v>
      </c>
      <c r="D509" s="6">
        <f t="shared" si="7"/>
        <v>3</v>
      </c>
      <c r="E509" s="7" t="str">
        <f t="shared" si="8"/>
        <v>DeterministicParameter</v>
      </c>
      <c r="F509" s="8" t="b">
        <f>IF(D509&lt;1,FALSE,ISERROR(MATCH(E509,'Ontology and concepts per UC'!$A$2:$A$62,0)))</f>
        <v>0</v>
      </c>
      <c r="G509" s="9" t="str">
        <f t="shared" si="9"/>
        <v>TimeToOnset; Parameter</v>
      </c>
      <c r="H509" s="9" t="str">
        <f t="shared" si="10"/>
        <v>TimeToOnset</v>
      </c>
      <c r="I509" s="8" t="b">
        <f>IF(D509&lt;2,FALSE,ISERROR(MATCH(H509,'Ontology and concepts per UC'!$A$2:$A$62,0)))</f>
        <v>1</v>
      </c>
      <c r="J509" s="9" t="str">
        <f t="shared" si="11"/>
        <v>Parameter</v>
      </c>
      <c r="K509" s="8" t="b">
        <f>IF(D509&lt;3,FALSE,ISERROR(MATCH(J509,'Ontology and concepts per UC'!$A$2:$A$62,0)))</f>
        <v>0</v>
      </c>
      <c r="L509" s="2" t="s">
        <v>1417</v>
      </c>
      <c r="M509" s="2" t="s">
        <v>1418</v>
      </c>
      <c r="N509" s="2" t="s">
        <v>1406</v>
      </c>
      <c r="O509" s="1" t="b">
        <v>0</v>
      </c>
      <c r="P509" s="1">
        <v>1</v>
      </c>
      <c r="Q509" s="1">
        <v>2</v>
      </c>
      <c r="R509" s="1" t="b">
        <f t="shared" si="12"/>
        <v>1</v>
      </c>
      <c r="S509" s="2" t="s">
        <v>367</v>
      </c>
      <c r="T509" s="1" t="str">
        <f>IF(S509="","",VLOOKUP(S509,'Ontology and concepts per UC'!$F$2:$J$46,5,FALSE))</f>
        <v>Parámetros de progresión</v>
      </c>
      <c r="U509" s="1" t="b">
        <f t="array" ref="U509">(INDEX('Ontology and concepts per UC'!$G$2:$I$46,MATCH($S509,'Ontology and concepts per UC'!$F$2:$F$46,0),MATCH(LEFT($A509,3),'Ontology and concepts per UC'!$G$1:$I$1,0))=0)</f>
        <v>0</v>
      </c>
      <c r="V509" s="1" t="b">
        <f t="shared" si="13"/>
        <v>1</v>
      </c>
      <c r="W509" s="1" t="b">
        <v>1</v>
      </c>
      <c r="X509" s="1" t="b">
        <v>0</v>
      </c>
      <c r="Y509" s="1" t="b">
        <v>0</v>
      </c>
      <c r="Z509" s="1" t="b">
        <v>0</v>
      </c>
      <c r="AA509" s="1" t="s">
        <v>1407</v>
      </c>
    </row>
    <row r="510" spans="1:27" x14ac:dyDescent="0.25">
      <c r="A510" s="1" t="s">
        <v>1330</v>
      </c>
      <c r="B510" s="2" t="s">
        <v>1419</v>
      </c>
      <c r="C510" s="2" t="s">
        <v>1106</v>
      </c>
      <c r="D510" s="6">
        <f t="shared" si="7"/>
        <v>2</v>
      </c>
      <c r="E510" s="7" t="str">
        <f t="shared" si="8"/>
        <v>DeterministicParameter</v>
      </c>
      <c r="F510" s="8" t="b">
        <f>IF(D510&lt;1,FALSE,ISERROR(MATCH(E510,'Ontology and concepts per UC'!$A$2:$A$62,0)))</f>
        <v>0</v>
      </c>
      <c r="G510" s="9" t="str">
        <f t="shared" si="9"/>
        <v>Utility</v>
      </c>
      <c r="H510" s="9" t="str">
        <f t="shared" si="10"/>
        <v>Utility</v>
      </c>
      <c r="I510" s="8" t="b">
        <f>IF(D510&lt;2,FALSE,ISERROR(MATCH(H510,'Ontology and concepts per UC'!$A$2:$A$62,0)))</f>
        <v>0</v>
      </c>
      <c r="J510" s="9" t="str">
        <f t="shared" si="11"/>
        <v/>
      </c>
      <c r="K510" s="8" t="b">
        <f>IF(D510&lt;3,FALSE,ISERROR(MATCH(J510,'Ontology and concepts per UC'!$A$2:$A$62,0)))</f>
        <v>0</v>
      </c>
      <c r="L510" s="2" t="s">
        <v>1420</v>
      </c>
      <c r="M510" s="2" t="s">
        <v>1421</v>
      </c>
      <c r="N510" s="2"/>
      <c r="O510" s="1" t="b">
        <v>0</v>
      </c>
      <c r="P510" s="1">
        <v>0</v>
      </c>
      <c r="Q510" s="1">
        <v>0</v>
      </c>
      <c r="R510" s="1" t="b">
        <f t="shared" si="12"/>
        <v>1</v>
      </c>
      <c r="S510" s="2" t="s">
        <v>70</v>
      </c>
      <c r="T510" s="1" t="str">
        <f>IF(S510="","",VLOOKUP(S510,'Ontology and concepts per UC'!$F$2:$J$46,5,FALSE))</f>
        <v>Utilidad</v>
      </c>
      <c r="U510" s="1" t="b">
        <f t="array" ref="U510">(INDEX('Ontology and concepts per UC'!$G$2:$I$46,MATCH($S510,'Ontology and concepts per UC'!$F$2:$F$46,0),MATCH(LEFT($A510,3),'Ontology and concepts per UC'!$G$1:$I$1,0))=0)</f>
        <v>0</v>
      </c>
      <c r="V510" s="1" t="b">
        <f t="shared" si="13"/>
        <v>0</v>
      </c>
      <c r="W510" s="1" t="b">
        <v>0</v>
      </c>
      <c r="X510" s="1" t="b">
        <v>0</v>
      </c>
      <c r="Y510" s="1" t="b">
        <v>0</v>
      </c>
      <c r="Z510" s="1" t="b">
        <v>0</v>
      </c>
      <c r="AA510" s="1"/>
    </row>
    <row r="511" spans="1:27" x14ac:dyDescent="0.25">
      <c r="A511" s="1" t="s">
        <v>1330</v>
      </c>
      <c r="B511" s="2" t="s">
        <v>1422</v>
      </c>
      <c r="C511" s="2" t="s">
        <v>1106</v>
      </c>
      <c r="D511" s="6">
        <f t="shared" si="7"/>
        <v>2</v>
      </c>
      <c r="E511" s="7" t="str">
        <f t="shared" si="8"/>
        <v>DeterministicParameter</v>
      </c>
      <c r="F511" s="8" t="b">
        <f>IF(D511&lt;1,FALSE,ISERROR(MATCH(E511,'Ontology and concepts per UC'!$A$2:$A$62,0)))</f>
        <v>0</v>
      </c>
      <c r="G511" s="9" t="str">
        <f t="shared" si="9"/>
        <v>Utility</v>
      </c>
      <c r="H511" s="9" t="str">
        <f t="shared" si="10"/>
        <v>Utility</v>
      </c>
      <c r="I511" s="8" t="b">
        <f>IF(D511&lt;2,FALSE,ISERROR(MATCH(H511,'Ontology and concepts per UC'!$A$2:$A$62,0)))</f>
        <v>0</v>
      </c>
      <c r="J511" s="9" t="str">
        <f t="shared" si="11"/>
        <v/>
      </c>
      <c r="K511" s="8" t="b">
        <f>IF(D511&lt;3,FALSE,ISERROR(MATCH(J511,'Ontology and concepts per UC'!$A$2:$A$62,0)))</f>
        <v>0</v>
      </c>
      <c r="L511" s="2" t="s">
        <v>1154</v>
      </c>
      <c r="M511" s="2" t="s">
        <v>1423</v>
      </c>
      <c r="N511" s="2"/>
      <c r="O511" s="1" t="b">
        <v>0</v>
      </c>
      <c r="P511" s="1">
        <v>0</v>
      </c>
      <c r="Q511" s="1">
        <v>0</v>
      </c>
      <c r="R511" s="1" t="b">
        <f t="shared" si="12"/>
        <v>1</v>
      </c>
      <c r="S511" s="2" t="s">
        <v>69</v>
      </c>
      <c r="T511" s="1" t="str">
        <f>IF(S511="","",VLOOKUP(S511,'Ontology and concepts per UC'!$F$2:$J$46,5,FALSE))</f>
        <v>Utilidad</v>
      </c>
      <c r="U511" s="1" t="b">
        <f t="array" ref="U511">(INDEX('Ontology and concepts per UC'!$G$2:$I$46,MATCH($S511,'Ontology and concepts per UC'!$F$2:$F$46,0),MATCH(LEFT($A511,3),'Ontology and concepts per UC'!$G$1:$I$1,0))=0)</f>
        <v>0</v>
      </c>
      <c r="V511" s="1" t="b">
        <f t="shared" si="13"/>
        <v>0</v>
      </c>
      <c r="W511" s="1" t="b">
        <v>0</v>
      </c>
      <c r="X511" s="1" t="b">
        <v>0</v>
      </c>
      <c r="Y511" s="1" t="b">
        <v>0</v>
      </c>
      <c r="Z511" s="1" t="b">
        <v>0</v>
      </c>
      <c r="AA511" s="1"/>
    </row>
    <row r="512" spans="1:27" x14ac:dyDescent="0.25">
      <c r="A512" s="1" t="s">
        <v>1330</v>
      </c>
      <c r="B512" s="2" t="s">
        <v>1424</v>
      </c>
      <c r="C512" s="2" t="s">
        <v>104</v>
      </c>
      <c r="D512" s="6">
        <f t="shared" ref="D512:D766" si="14">IF(ISBLANK(C512),0,LEN(C512)-LEN(SUBSTITUTE(C512,";",""))+1)</f>
        <v>1</v>
      </c>
      <c r="E512" s="7" t="str">
        <f t="shared" ref="E512:E766" si="15">IF(D512&lt;2,C512,LEFT(C512,FIND(";",C512)-1))</f>
        <v>Disease</v>
      </c>
      <c r="F512" s="8" t="b">
        <f>IF(D512&lt;1,FALSE,ISERROR(MATCH(E512,'Ontology and concepts per UC'!$A$2:$A$62,0)))</f>
        <v>0</v>
      </c>
      <c r="G512" s="9" t="str">
        <f t="shared" ref="G512:G766" si="16">IF(D512&lt;2,"",MID(C512,LEN(E512)+3,LEN(C512)-FIND(";",C512)-1))</f>
        <v/>
      </c>
      <c r="H512" s="9" t="str">
        <f t="shared" ref="H512:H766" si="17">IF(D512&lt;3,G512,LEFT(G512,FIND(";",G512)-1))</f>
        <v/>
      </c>
      <c r="I512" s="8" t="b">
        <f>IF(D512&lt;2,FALSE,ISERROR(MATCH(H512,'Ontology and concepts per UC'!$A$2:$A$62,0)))</f>
        <v>0</v>
      </c>
      <c r="J512" s="9" t="str">
        <f t="shared" ref="J512:J766" si="18">IF(D512&lt;3,"",RIGHT(G512,LEN(G512)-FIND(";",G512)-1))</f>
        <v/>
      </c>
      <c r="K512" s="8" t="b">
        <f>IF(D512&lt;3,FALSE,ISERROR(MATCH(J512,'Ontology and concepts per UC'!$A$2:$A$62,0)))</f>
        <v>0</v>
      </c>
      <c r="L512" s="2"/>
      <c r="M512" s="2" t="s">
        <v>1425</v>
      </c>
      <c r="N512" s="2" t="s">
        <v>1426</v>
      </c>
      <c r="O512" s="1" t="b">
        <v>0</v>
      </c>
      <c r="P512" s="1">
        <v>0</v>
      </c>
      <c r="Q512" s="1">
        <v>1</v>
      </c>
      <c r="R512" s="1" t="b">
        <f t="shared" ref="R512:R766" si="19">NOT(ISERROR(SEARCH("hasSource",M512)))</f>
        <v>0</v>
      </c>
      <c r="S512" s="2" t="s">
        <v>35</v>
      </c>
      <c r="T512" s="1" t="str">
        <f>IF(S512="","",VLOOKUP(S512,'Ontology and concepts per UC'!$F$2:$J$46,5,FALSE))</f>
        <v>Modelo Conceptual</v>
      </c>
      <c r="U512" s="1" t="b">
        <f t="array" ref="U512">(INDEX('Ontology and concepts per UC'!$G$2:$I$46,MATCH($S512,'Ontology and concepts per UC'!$F$2:$F$46,0),MATCH(LEFT($A512,3),'Ontology and concepts per UC'!$G$1:$I$1,0))=0)</f>
        <v>0</v>
      </c>
      <c r="V512" s="1" t="b">
        <f t="shared" ref="V512:V766" si="20">COUNTIF(W512:Z512,TRUE)&gt;0</f>
        <v>1</v>
      </c>
      <c r="W512" s="1" t="b">
        <v>1</v>
      </c>
      <c r="X512" s="1" t="b">
        <v>0</v>
      </c>
      <c r="Y512" s="1" t="b">
        <v>0</v>
      </c>
      <c r="Z512" s="1" t="b">
        <v>0</v>
      </c>
      <c r="AA512" s="1" t="s">
        <v>1427</v>
      </c>
    </row>
    <row r="513" spans="1:27" x14ac:dyDescent="0.25">
      <c r="A513" s="1" t="s">
        <v>1330</v>
      </c>
      <c r="B513" s="2" t="s">
        <v>1428</v>
      </c>
      <c r="C513" s="2" t="s">
        <v>665</v>
      </c>
      <c r="D513" s="6">
        <f t="shared" si="14"/>
        <v>1</v>
      </c>
      <c r="E513" s="7" t="str">
        <f t="shared" si="15"/>
        <v>DiseaseStage</v>
      </c>
      <c r="F513" s="8" t="b">
        <f>IF(D513&lt;1,FALSE,ISERROR(MATCH(E513,'Ontology and concepts per UC'!$A$2:$A$62,0)))</f>
        <v>1</v>
      </c>
      <c r="G513" s="9" t="str">
        <f t="shared" si="16"/>
        <v/>
      </c>
      <c r="H513" s="9" t="str">
        <f t="shared" si="17"/>
        <v/>
      </c>
      <c r="I513" s="8" t="b">
        <f>IF(D513&lt;2,FALSE,ISERROR(MATCH(H513,'Ontology and concepts per UC'!$A$2:$A$62,0)))</f>
        <v>0</v>
      </c>
      <c r="J513" s="9" t="str">
        <f t="shared" si="18"/>
        <v/>
      </c>
      <c r="K513" s="8" t="b">
        <f>IF(D513&lt;3,FALSE,ISERROR(MATCH(J513,'Ontology and concepts per UC'!$A$2:$A$62,0)))</f>
        <v>0</v>
      </c>
      <c r="L513" s="2"/>
      <c r="M513" s="2" t="s">
        <v>1429</v>
      </c>
      <c r="N513" s="2" t="s">
        <v>1430</v>
      </c>
      <c r="O513" s="1" t="b">
        <v>0</v>
      </c>
      <c r="P513" s="1">
        <v>1</v>
      </c>
      <c r="Q513" s="1">
        <v>1</v>
      </c>
      <c r="R513" s="1" t="b">
        <f t="shared" si="19"/>
        <v>0</v>
      </c>
      <c r="S513" s="2" t="s">
        <v>187</v>
      </c>
      <c r="T513" s="1" t="str">
        <f>IF(S513="","",VLOOKUP(S513,'Ontology and concepts per UC'!$F$2:$J$46,5,FALSE))</f>
        <v>Otros</v>
      </c>
      <c r="U513" s="1" t="b">
        <f t="array" ref="U513">(INDEX('Ontology and concepts per UC'!$G$2:$I$46,MATCH($S513,'Ontology and concepts per UC'!$F$2:$F$46,0),MATCH(LEFT($A513,3),'Ontology and concepts per UC'!$G$1:$I$1,0))=0)</f>
        <v>1</v>
      </c>
      <c r="V513" s="1" t="b">
        <f t="shared" si="20"/>
        <v>1</v>
      </c>
      <c r="W513" s="1" t="b">
        <v>1</v>
      </c>
      <c r="X513" s="1" t="b">
        <v>0</v>
      </c>
      <c r="Y513" s="1" t="b">
        <v>0</v>
      </c>
      <c r="Z513" s="1" t="b">
        <v>0</v>
      </c>
      <c r="AA513" s="1" t="s">
        <v>1431</v>
      </c>
    </row>
    <row r="514" spans="1:27" x14ac:dyDescent="0.25">
      <c r="A514" s="1" t="s">
        <v>1330</v>
      </c>
      <c r="B514" s="2" t="s">
        <v>1432</v>
      </c>
      <c r="C514" s="2" t="s">
        <v>665</v>
      </c>
      <c r="D514" s="6">
        <f t="shared" si="14"/>
        <v>1</v>
      </c>
      <c r="E514" s="7" t="str">
        <f t="shared" si="15"/>
        <v>DiseaseStage</v>
      </c>
      <c r="F514" s="8" t="b">
        <f>IF(D514&lt;1,FALSE,ISERROR(MATCH(E514,'Ontology and concepts per UC'!$A$2:$A$62,0)))</f>
        <v>1</v>
      </c>
      <c r="G514" s="9" t="str">
        <f t="shared" si="16"/>
        <v/>
      </c>
      <c r="H514" s="9" t="str">
        <f t="shared" si="17"/>
        <v/>
      </c>
      <c r="I514" s="8" t="b">
        <f>IF(D514&lt;2,FALSE,ISERROR(MATCH(H514,'Ontology and concepts per UC'!$A$2:$A$62,0)))</f>
        <v>0</v>
      </c>
      <c r="J514" s="9" t="str">
        <f t="shared" si="18"/>
        <v/>
      </c>
      <c r="K514" s="8" t="b">
        <f>IF(D514&lt;3,FALSE,ISERROR(MATCH(J514,'Ontology and concepts per UC'!$A$2:$A$62,0)))</f>
        <v>0</v>
      </c>
      <c r="L514" s="2"/>
      <c r="M514" s="2" t="s">
        <v>1433</v>
      </c>
      <c r="N514" s="2" t="s">
        <v>1430</v>
      </c>
      <c r="O514" s="1" t="b">
        <v>0</v>
      </c>
      <c r="P514" s="1">
        <v>1</v>
      </c>
      <c r="Q514" s="1">
        <v>1</v>
      </c>
      <c r="R514" s="1" t="b">
        <f t="shared" si="19"/>
        <v>0</v>
      </c>
      <c r="S514" s="2" t="s">
        <v>187</v>
      </c>
      <c r="T514" s="1" t="str">
        <f>IF(S514="","",VLOOKUP(S514,'Ontology and concepts per UC'!$F$2:$J$46,5,FALSE))</f>
        <v>Otros</v>
      </c>
      <c r="U514" s="1" t="b">
        <f t="array" ref="U514">(INDEX('Ontology and concepts per UC'!$G$2:$I$46,MATCH($S514,'Ontology and concepts per UC'!$F$2:$F$46,0),MATCH(LEFT($A514,3),'Ontology and concepts per UC'!$G$1:$I$1,0))=0)</f>
        <v>1</v>
      </c>
      <c r="V514" s="1" t="b">
        <f t="shared" si="20"/>
        <v>1</v>
      </c>
      <c r="W514" s="1" t="b">
        <v>1</v>
      </c>
      <c r="X514" s="1" t="b">
        <v>0</v>
      </c>
      <c r="Y514" s="1" t="b">
        <v>0</v>
      </c>
      <c r="Z514" s="1" t="b">
        <v>0</v>
      </c>
      <c r="AA514" s="1" t="s">
        <v>1431</v>
      </c>
    </row>
    <row r="515" spans="1:27" x14ac:dyDescent="0.25">
      <c r="A515" s="1" t="s">
        <v>1330</v>
      </c>
      <c r="B515" s="2" t="s">
        <v>1434</v>
      </c>
      <c r="C515" s="2" t="s">
        <v>665</v>
      </c>
      <c r="D515" s="6">
        <f t="shared" si="14"/>
        <v>1</v>
      </c>
      <c r="E515" s="7" t="str">
        <f t="shared" si="15"/>
        <v>DiseaseStage</v>
      </c>
      <c r="F515" s="8" t="b">
        <f>IF(D515&lt;1,FALSE,ISERROR(MATCH(E515,'Ontology and concepts per UC'!$A$2:$A$62,0)))</f>
        <v>1</v>
      </c>
      <c r="G515" s="9" t="str">
        <f t="shared" si="16"/>
        <v/>
      </c>
      <c r="H515" s="9" t="str">
        <f t="shared" si="17"/>
        <v/>
      </c>
      <c r="I515" s="8" t="b">
        <f>IF(D515&lt;2,FALSE,ISERROR(MATCH(H515,'Ontology and concepts per UC'!$A$2:$A$62,0)))</f>
        <v>0</v>
      </c>
      <c r="J515" s="9" t="str">
        <f t="shared" si="18"/>
        <v/>
      </c>
      <c r="K515" s="8" t="b">
        <f>IF(D515&lt;3,FALSE,ISERROR(MATCH(J515,'Ontology and concepts per UC'!$A$2:$A$62,0)))</f>
        <v>0</v>
      </c>
      <c r="L515" s="2"/>
      <c r="M515" s="2" t="s">
        <v>1435</v>
      </c>
      <c r="N515" s="2" t="s">
        <v>1430</v>
      </c>
      <c r="O515" s="1" t="b">
        <v>0</v>
      </c>
      <c r="P515" s="1">
        <v>1</v>
      </c>
      <c r="Q515" s="1">
        <v>1</v>
      </c>
      <c r="R515" s="1" t="b">
        <f t="shared" si="19"/>
        <v>0</v>
      </c>
      <c r="S515" s="2" t="s">
        <v>187</v>
      </c>
      <c r="T515" s="1" t="str">
        <f>IF(S515="","",VLOOKUP(S515,'Ontology and concepts per UC'!$F$2:$J$46,5,FALSE))</f>
        <v>Otros</v>
      </c>
      <c r="U515" s="1" t="b">
        <f t="array" ref="U515">(INDEX('Ontology and concepts per UC'!$G$2:$I$46,MATCH($S515,'Ontology and concepts per UC'!$F$2:$F$46,0),MATCH(LEFT($A515,3),'Ontology and concepts per UC'!$G$1:$I$1,0))=0)</f>
        <v>1</v>
      </c>
      <c r="V515" s="1" t="b">
        <f t="shared" si="20"/>
        <v>1</v>
      </c>
      <c r="W515" s="1" t="b">
        <v>1</v>
      </c>
      <c r="X515" s="1" t="b">
        <v>0</v>
      </c>
      <c r="Y515" s="1" t="b">
        <v>0</v>
      </c>
      <c r="Z515" s="1" t="b">
        <v>0</v>
      </c>
      <c r="AA515" s="1" t="s">
        <v>1431</v>
      </c>
    </row>
    <row r="516" spans="1:27" x14ac:dyDescent="0.25">
      <c r="A516" s="1" t="s">
        <v>1330</v>
      </c>
      <c r="B516" s="2" t="s">
        <v>1436</v>
      </c>
      <c r="C516" s="2" t="s">
        <v>1437</v>
      </c>
      <c r="D516" s="6">
        <f t="shared" si="14"/>
        <v>2</v>
      </c>
      <c r="E516" s="7" t="str">
        <f t="shared" si="15"/>
        <v>EpidemiologicalParameter</v>
      </c>
      <c r="F516" s="8" t="b">
        <f>IF(D516&lt;1,FALSE,ISERROR(MATCH(E516,'Ontology and concepts per UC'!$A$2:$A$62,0)))</f>
        <v>0</v>
      </c>
      <c r="G516" s="9" t="str">
        <f t="shared" si="16"/>
        <v>DeterministicParameter</v>
      </c>
      <c r="H516" s="9" t="str">
        <f t="shared" si="17"/>
        <v>DeterministicParameter</v>
      </c>
      <c r="I516" s="8" t="b">
        <f>IF(D516&lt;2,FALSE,ISERROR(MATCH(H516,'Ontology and concepts per UC'!$A$2:$A$62,0)))</f>
        <v>0</v>
      </c>
      <c r="J516" s="9" t="str">
        <f t="shared" si="18"/>
        <v/>
      </c>
      <c r="K516" s="8" t="b">
        <f>IF(D516&lt;3,FALSE,ISERROR(MATCH(J516,'Ontology and concepts per UC'!$A$2:$A$62,0)))</f>
        <v>0</v>
      </c>
      <c r="L516" s="2" t="s">
        <v>1438</v>
      </c>
      <c r="M516" s="2" t="s">
        <v>1439</v>
      </c>
      <c r="N516" s="2"/>
      <c r="O516" s="1" t="b">
        <v>0</v>
      </c>
      <c r="P516" s="1">
        <v>0</v>
      </c>
      <c r="Q516" s="1">
        <v>0</v>
      </c>
      <c r="R516" s="1" t="b">
        <f t="shared" si="19"/>
        <v>1</v>
      </c>
      <c r="S516" s="2" t="s">
        <v>38</v>
      </c>
      <c r="T516" s="1" t="str">
        <f>IF(S516="","",VLOOKUP(S516,'Ontology and concepts per UC'!$F$2:$J$46,5,FALSE))</f>
        <v>Parámetro epidemiológico</v>
      </c>
      <c r="U516" s="1" t="b">
        <f t="array" ref="U516">(INDEX('Ontology and concepts per UC'!$G$2:$I$46,MATCH($S516,'Ontology and concepts per UC'!$F$2:$F$46,0),MATCH(LEFT($A516,3),'Ontology and concepts per UC'!$G$1:$I$1,0))=0)</f>
        <v>0</v>
      </c>
      <c r="V516" s="1" t="b">
        <f t="shared" si="20"/>
        <v>0</v>
      </c>
      <c r="W516" s="1" t="b">
        <v>0</v>
      </c>
      <c r="X516" s="1" t="b">
        <v>0</v>
      </c>
      <c r="Y516" s="1" t="b">
        <v>0</v>
      </c>
      <c r="Z516" s="1" t="b">
        <v>0</v>
      </c>
      <c r="AA516" s="1"/>
    </row>
    <row r="517" spans="1:27" x14ac:dyDescent="0.25">
      <c r="A517" s="1" t="s">
        <v>1330</v>
      </c>
      <c r="B517" s="2" t="s">
        <v>1440</v>
      </c>
      <c r="C517" s="2" t="s">
        <v>1441</v>
      </c>
      <c r="D517" s="6">
        <f t="shared" si="14"/>
        <v>2</v>
      </c>
      <c r="E517" s="7" t="str">
        <f t="shared" si="15"/>
        <v>FollowUpStrategy</v>
      </c>
      <c r="F517" s="8" t="b">
        <f>IF(D517&lt;1,FALSE,ISERROR(MATCH(E517,'Ontology and concepts per UC'!$A$2:$A$62,0)))</f>
        <v>0</v>
      </c>
      <c r="G517" s="9" t="str">
        <f t="shared" si="16"/>
        <v>MonitoringIntervention</v>
      </c>
      <c r="H517" s="9" t="str">
        <f t="shared" si="17"/>
        <v>MonitoringIntervention</v>
      </c>
      <c r="I517" s="8" t="b">
        <f>IF(D517&lt;2,FALSE,ISERROR(MATCH(H517,'Ontology and concepts per UC'!$A$2:$A$62,0)))</f>
        <v>1</v>
      </c>
      <c r="J517" s="9" t="str">
        <f t="shared" si="18"/>
        <v/>
      </c>
      <c r="K517" s="8" t="b">
        <f>IF(D517&lt;3,FALSE,ISERROR(MATCH(J517,'Ontology and concepts per UC'!$A$2:$A$62,0)))</f>
        <v>0</v>
      </c>
      <c r="L517" s="2"/>
      <c r="M517" s="2" t="s">
        <v>1442</v>
      </c>
      <c r="N517" s="2" t="s">
        <v>1443</v>
      </c>
      <c r="O517" s="1" t="b">
        <v>0</v>
      </c>
      <c r="P517" s="1">
        <v>1</v>
      </c>
      <c r="Q517" s="1">
        <v>8</v>
      </c>
      <c r="R517" s="1" t="b">
        <f t="shared" si="19"/>
        <v>1</v>
      </c>
      <c r="S517" s="2" t="s">
        <v>60</v>
      </c>
      <c r="T517" s="1" t="str">
        <f>IF(S517="","",VLOOKUP(S517,'Ontology and concepts per UC'!$F$2:$J$46,5,FALSE))</f>
        <v>Tratamiento/seguimiento</v>
      </c>
      <c r="U517" s="1" t="b">
        <f t="array" ref="U517">(INDEX('Ontology and concepts per UC'!$G$2:$I$46,MATCH($S517,'Ontology and concepts per UC'!$F$2:$F$46,0),MATCH(LEFT($A517,3),'Ontology and concepts per UC'!$G$1:$I$1,0))=0)</f>
        <v>0</v>
      </c>
      <c r="V517" s="1" t="b">
        <f t="shared" si="20"/>
        <v>1</v>
      </c>
      <c r="W517" s="1" t="b">
        <v>1</v>
      </c>
      <c r="X517" s="1" t="b">
        <v>0</v>
      </c>
      <c r="Y517" s="1" t="b">
        <v>0</v>
      </c>
      <c r="Z517" s="1" t="b">
        <v>1</v>
      </c>
      <c r="AA517" s="1" t="s">
        <v>1444</v>
      </c>
    </row>
    <row r="518" spans="1:27" x14ac:dyDescent="0.25">
      <c r="A518" s="1" t="s">
        <v>1330</v>
      </c>
      <c r="B518" s="2" t="s">
        <v>1445</v>
      </c>
      <c r="C518" s="2" t="s">
        <v>1446</v>
      </c>
      <c r="D518" s="6">
        <f t="shared" si="14"/>
        <v>2</v>
      </c>
      <c r="E518" s="7" t="str">
        <f t="shared" si="15"/>
        <v>Intervention</v>
      </c>
      <c r="F518" s="8" t="b">
        <f>IF(D518&lt;1,FALSE,ISERROR(MATCH(E518,'Ontology and concepts per UC'!$A$2:$A$62,0)))</f>
        <v>0</v>
      </c>
      <c r="G518" s="9" t="str">
        <f t="shared" si="16"/>
        <v>DiagnosticTest</v>
      </c>
      <c r="H518" s="9" t="str">
        <f t="shared" si="17"/>
        <v>DiagnosticTest</v>
      </c>
      <c r="I518" s="8" t="b">
        <f>IF(D518&lt;2,FALSE,ISERROR(MATCH(H518,'Ontology and concepts per UC'!$A$2:$A$62,0)))</f>
        <v>1</v>
      </c>
      <c r="J518" s="9" t="str">
        <f t="shared" si="18"/>
        <v/>
      </c>
      <c r="K518" s="8" t="b">
        <f>IF(D518&lt;3,FALSE,ISERROR(MATCH(J518,'Ontology and concepts per UC'!$A$2:$A$62,0)))</f>
        <v>0</v>
      </c>
      <c r="L518" s="2"/>
      <c r="M518" s="2" t="s">
        <v>1447</v>
      </c>
      <c r="N518" s="2" t="s">
        <v>1448</v>
      </c>
      <c r="O518" s="1" t="b">
        <v>0</v>
      </c>
      <c r="P518" s="1">
        <v>1</v>
      </c>
      <c r="Q518" s="1">
        <v>1</v>
      </c>
      <c r="R518" s="1" t="b">
        <f t="shared" si="19"/>
        <v>1</v>
      </c>
      <c r="S518" s="2" t="s">
        <v>42</v>
      </c>
      <c r="T518" s="1" t="str">
        <f>IF(S518="","",VLOOKUP(S518,'Ontology and concepts per UC'!$F$2:$J$46,5,FALSE))</f>
        <v>Parámetros de intervención</v>
      </c>
      <c r="U518" s="1" t="b">
        <f t="array" ref="U518">(INDEX('Ontology and concepts per UC'!$G$2:$I$46,MATCH($S518,'Ontology and concepts per UC'!$F$2:$F$46,0),MATCH(LEFT($A518,3),'Ontology and concepts per UC'!$G$1:$I$1,0))=0)</f>
        <v>0</v>
      </c>
      <c r="V518" s="1" t="b">
        <f t="shared" si="20"/>
        <v>1</v>
      </c>
      <c r="W518" s="1" t="b">
        <v>1</v>
      </c>
      <c r="X518" s="1" t="b">
        <v>0</v>
      </c>
      <c r="Y518" s="1" t="b">
        <v>0</v>
      </c>
      <c r="Z518" s="1" t="b">
        <v>1</v>
      </c>
      <c r="AA518" s="1" t="s">
        <v>1449</v>
      </c>
    </row>
    <row r="519" spans="1:27" x14ac:dyDescent="0.25">
      <c r="A519" s="1" t="s">
        <v>1330</v>
      </c>
      <c r="B519" s="2" t="s">
        <v>1450</v>
      </c>
      <c r="C519" s="2" t="s">
        <v>1451</v>
      </c>
      <c r="D519" s="6">
        <f t="shared" si="14"/>
        <v>2</v>
      </c>
      <c r="E519" s="7" t="str">
        <f t="shared" si="15"/>
        <v>Intervention</v>
      </c>
      <c r="F519" s="8" t="b">
        <f>IF(D519&lt;1,FALSE,ISERROR(MATCH(E519,'Ontology and concepts per UC'!$A$2:$A$62,0)))</f>
        <v>0</v>
      </c>
      <c r="G519" s="9" t="str">
        <f t="shared" si="16"/>
        <v>ScreeningIntervention</v>
      </c>
      <c r="H519" s="9" t="str">
        <f t="shared" si="17"/>
        <v>ScreeningIntervention</v>
      </c>
      <c r="I519" s="8" t="b">
        <f>IF(D519&lt;2,FALSE,ISERROR(MATCH(H519,'Ontology and concepts per UC'!$A$2:$A$62,0)))</f>
        <v>0</v>
      </c>
      <c r="J519" s="9" t="str">
        <f t="shared" si="18"/>
        <v/>
      </c>
      <c r="K519" s="8" t="b">
        <f>IF(D519&lt;3,FALSE,ISERROR(MATCH(J519,'Ontology and concepts per UC'!$A$2:$A$62,0)))</f>
        <v>0</v>
      </c>
      <c r="L519" s="2"/>
      <c r="M519" s="2" t="s">
        <v>1452</v>
      </c>
      <c r="N519" s="2" t="s">
        <v>1453</v>
      </c>
      <c r="O519" s="1" t="b">
        <v>0</v>
      </c>
      <c r="P519" s="1">
        <v>0</v>
      </c>
      <c r="Q519" s="1">
        <v>3</v>
      </c>
      <c r="R519" s="1" t="b">
        <f t="shared" si="19"/>
        <v>1</v>
      </c>
      <c r="S519" s="2" t="s">
        <v>24</v>
      </c>
      <c r="T519" s="1" t="str">
        <f>IF(S519="","",VLOOKUP(S519,'Ontology and concepts per UC'!$F$2:$J$46,5,FALSE))</f>
        <v>Modelo Conceptual</v>
      </c>
      <c r="U519" s="1" t="b">
        <f t="array" ref="U519">(INDEX('Ontology and concepts per UC'!$G$2:$I$46,MATCH($S519,'Ontology and concepts per UC'!$F$2:$F$46,0),MATCH(LEFT($A519,3),'Ontology and concepts per UC'!$G$1:$I$1,0))=0)</f>
        <v>0</v>
      </c>
      <c r="V519" s="1" t="b">
        <f t="shared" si="20"/>
        <v>1</v>
      </c>
      <c r="W519" s="1" t="b">
        <v>1</v>
      </c>
      <c r="X519" s="1" t="b">
        <v>0</v>
      </c>
      <c r="Y519" s="1" t="b">
        <v>0</v>
      </c>
      <c r="Z519" s="1" t="b">
        <v>1</v>
      </c>
      <c r="AA519" s="1" t="s">
        <v>197</v>
      </c>
    </row>
    <row r="520" spans="1:27" x14ac:dyDescent="0.25">
      <c r="A520" s="1" t="s">
        <v>1330</v>
      </c>
      <c r="B520" s="2" t="s">
        <v>1454</v>
      </c>
      <c r="C520" s="2" t="s">
        <v>1455</v>
      </c>
      <c r="D520" s="6">
        <f t="shared" si="14"/>
        <v>2</v>
      </c>
      <c r="E520" s="7" t="str">
        <f t="shared" si="15"/>
        <v>MonitoringIntervention</v>
      </c>
      <c r="F520" s="8" t="b">
        <f>IF(D520&lt;1,FALSE,ISERROR(MATCH(E520,'Ontology and concepts per UC'!$A$2:$A$62,0)))</f>
        <v>1</v>
      </c>
      <c r="G520" s="9" t="str">
        <f t="shared" si="16"/>
        <v>FollowUpStrategy</v>
      </c>
      <c r="H520" s="9" t="str">
        <f t="shared" si="17"/>
        <v>FollowUpStrategy</v>
      </c>
      <c r="I520" s="8" t="b">
        <f>IF(D520&lt;2,FALSE,ISERROR(MATCH(H520,'Ontology and concepts per UC'!$A$2:$A$62,0)))</f>
        <v>0</v>
      </c>
      <c r="J520" s="9" t="str">
        <f t="shared" si="18"/>
        <v/>
      </c>
      <c r="K520" s="8" t="b">
        <f>IF(D520&lt;3,FALSE,ISERROR(MATCH(J520,'Ontology and concepts per UC'!$A$2:$A$62,0)))</f>
        <v>0</v>
      </c>
      <c r="L520" s="2"/>
      <c r="M520" s="2" t="s">
        <v>1456</v>
      </c>
      <c r="N520" s="2" t="s">
        <v>1457</v>
      </c>
      <c r="O520" s="1" t="b">
        <v>0</v>
      </c>
      <c r="P520" s="1">
        <v>1</v>
      </c>
      <c r="Q520" s="1">
        <v>8</v>
      </c>
      <c r="R520" s="1" t="b">
        <f t="shared" si="19"/>
        <v>1</v>
      </c>
      <c r="S520" s="2" t="s">
        <v>107</v>
      </c>
      <c r="T520" s="1" t="str">
        <f>IF(S520="","",VLOOKUP(S520,'Ontology and concepts per UC'!$F$2:$J$46,5,FALSE))</f>
        <v>Parcial</v>
      </c>
      <c r="U520" s="1" t="b">
        <f t="array" ref="U520">(INDEX('Ontology and concepts per UC'!$G$2:$I$46,MATCH($S520,'Ontology and concepts per UC'!$F$2:$F$46,0),MATCH(LEFT($A520,3),'Ontology and concepts per UC'!$G$1:$I$1,0))=0)</f>
        <v>0</v>
      </c>
      <c r="V520" s="1" t="b">
        <f t="shared" si="20"/>
        <v>1</v>
      </c>
      <c r="W520" s="1" t="b">
        <v>1</v>
      </c>
      <c r="X520" s="1" t="b">
        <v>0</v>
      </c>
      <c r="Y520" s="1" t="b">
        <v>0</v>
      </c>
      <c r="Z520" s="1" t="b">
        <v>1</v>
      </c>
      <c r="AA520" s="1" t="s">
        <v>1444</v>
      </c>
    </row>
    <row r="521" spans="1:27" x14ac:dyDescent="0.25">
      <c r="A521" s="1" t="s">
        <v>1330</v>
      </c>
      <c r="B521" s="2" t="s">
        <v>1458</v>
      </c>
      <c r="C521" s="2" t="s">
        <v>157</v>
      </c>
      <c r="D521" s="6">
        <f t="shared" si="14"/>
        <v>2</v>
      </c>
      <c r="E521" s="7" t="str">
        <f t="shared" si="15"/>
        <v>Parameter</v>
      </c>
      <c r="F521" s="8" t="b">
        <f>IF(D521&lt;1,FALSE,ISERROR(MATCH(E521,'Ontology and concepts per UC'!$A$2:$A$62,0)))</f>
        <v>0</v>
      </c>
      <c r="G521" s="9" t="str">
        <f t="shared" si="16"/>
        <v>DeterministicParameter</v>
      </c>
      <c r="H521" s="9" t="str">
        <f t="shared" si="17"/>
        <v>DeterministicParameter</v>
      </c>
      <c r="I521" s="8" t="b">
        <f>IF(D521&lt;2,FALSE,ISERROR(MATCH(H521,'Ontology and concepts per UC'!$A$2:$A$62,0)))</f>
        <v>0</v>
      </c>
      <c r="J521" s="9" t="str">
        <f t="shared" si="18"/>
        <v/>
      </c>
      <c r="K521" s="8" t="b">
        <f>IF(D521&lt;3,FALSE,ISERROR(MATCH(J521,'Ontology and concepts per UC'!$A$2:$A$62,0)))</f>
        <v>0</v>
      </c>
      <c r="L521" s="2" t="s">
        <v>1459</v>
      </c>
      <c r="M521" s="2" t="s">
        <v>1460</v>
      </c>
      <c r="N521" s="2"/>
      <c r="O521" s="1" t="b">
        <v>0</v>
      </c>
      <c r="P521" s="1">
        <v>0</v>
      </c>
      <c r="Q521" s="1">
        <v>0</v>
      </c>
      <c r="R521" s="1" t="b">
        <f t="shared" si="19"/>
        <v>1</v>
      </c>
      <c r="S521" s="2" t="s">
        <v>107</v>
      </c>
      <c r="T521" s="1" t="str">
        <f>IF(S521="","",VLOOKUP(S521,'Ontology and concepts per UC'!$F$2:$J$46,5,FALSE))</f>
        <v>Parcial</v>
      </c>
      <c r="U521" s="1" t="b">
        <f t="array" ref="U521">(INDEX('Ontology and concepts per UC'!$G$2:$I$46,MATCH($S521,'Ontology and concepts per UC'!$F$2:$F$46,0),MATCH(LEFT($A521,3),'Ontology and concepts per UC'!$G$1:$I$1,0))=0)</f>
        <v>0</v>
      </c>
      <c r="V521" s="1" t="b">
        <f t="shared" si="20"/>
        <v>0</v>
      </c>
      <c r="W521" s="1" t="b">
        <v>0</v>
      </c>
      <c r="X521" s="1" t="b">
        <v>0</v>
      </c>
      <c r="Y521" s="1" t="b">
        <v>0</v>
      </c>
      <c r="Z521" s="1" t="b">
        <v>0</v>
      </c>
      <c r="AA521" s="1"/>
    </row>
    <row r="522" spans="1:27" x14ac:dyDescent="0.25">
      <c r="A522" s="1" t="s">
        <v>1330</v>
      </c>
      <c r="B522" s="2" t="s">
        <v>1461</v>
      </c>
      <c r="C522" s="2" t="s">
        <v>157</v>
      </c>
      <c r="D522" s="6">
        <f t="shared" si="14"/>
        <v>2</v>
      </c>
      <c r="E522" s="7" t="str">
        <f t="shared" si="15"/>
        <v>Parameter</v>
      </c>
      <c r="F522" s="8" t="b">
        <f>IF(D522&lt;1,FALSE,ISERROR(MATCH(E522,'Ontology and concepts per UC'!$A$2:$A$62,0)))</f>
        <v>0</v>
      </c>
      <c r="G522" s="9" t="str">
        <f t="shared" si="16"/>
        <v>DeterministicParameter</v>
      </c>
      <c r="H522" s="9" t="str">
        <f t="shared" si="17"/>
        <v>DeterministicParameter</v>
      </c>
      <c r="I522" s="8" t="b">
        <f>IF(D522&lt;2,FALSE,ISERROR(MATCH(H522,'Ontology and concepts per UC'!$A$2:$A$62,0)))</f>
        <v>0</v>
      </c>
      <c r="J522" s="9" t="str">
        <f t="shared" si="18"/>
        <v/>
      </c>
      <c r="K522" s="8" t="b">
        <f>IF(D522&lt;3,FALSE,ISERROR(MATCH(J522,'Ontology and concepts per UC'!$A$2:$A$62,0)))</f>
        <v>0</v>
      </c>
      <c r="L522" s="2" t="s">
        <v>1462</v>
      </c>
      <c r="M522" s="2" t="s">
        <v>1463</v>
      </c>
      <c r="N522" s="2"/>
      <c r="O522" s="1" t="b">
        <v>0</v>
      </c>
      <c r="P522" s="1">
        <v>0</v>
      </c>
      <c r="Q522" s="1">
        <v>0</v>
      </c>
      <c r="R522" s="1" t="b">
        <f t="shared" si="19"/>
        <v>1</v>
      </c>
      <c r="S522" s="2" t="s">
        <v>107</v>
      </c>
      <c r="T522" s="1" t="str">
        <f>IF(S522="","",VLOOKUP(S522,'Ontology and concepts per UC'!$F$2:$J$46,5,FALSE))</f>
        <v>Parcial</v>
      </c>
      <c r="U522" s="1" t="b">
        <f t="array" ref="U522">(INDEX('Ontology and concepts per UC'!$G$2:$I$46,MATCH($S522,'Ontology and concepts per UC'!$F$2:$F$46,0),MATCH(LEFT($A522,3),'Ontology and concepts per UC'!$G$1:$I$1,0))=0)</f>
        <v>0</v>
      </c>
      <c r="V522" s="1" t="b">
        <f t="shared" si="20"/>
        <v>0</v>
      </c>
      <c r="W522" s="1" t="b">
        <v>0</v>
      </c>
      <c r="X522" s="1" t="b">
        <v>0</v>
      </c>
      <c r="Y522" s="1" t="b">
        <v>0</v>
      </c>
      <c r="Z522" s="1" t="b">
        <v>0</v>
      </c>
      <c r="AA522" s="1"/>
    </row>
    <row r="523" spans="1:27" x14ac:dyDescent="0.25">
      <c r="A523" s="1" t="s">
        <v>1330</v>
      </c>
      <c r="B523" s="2" t="s">
        <v>1464</v>
      </c>
      <c r="C523" s="2" t="s">
        <v>157</v>
      </c>
      <c r="D523" s="6">
        <f t="shared" si="14"/>
        <v>2</v>
      </c>
      <c r="E523" s="7" t="str">
        <f t="shared" si="15"/>
        <v>Parameter</v>
      </c>
      <c r="F523" s="8" t="b">
        <f>IF(D523&lt;1,FALSE,ISERROR(MATCH(E523,'Ontology and concepts per UC'!$A$2:$A$62,0)))</f>
        <v>0</v>
      </c>
      <c r="G523" s="9" t="str">
        <f t="shared" si="16"/>
        <v>DeterministicParameter</v>
      </c>
      <c r="H523" s="9" t="str">
        <f t="shared" si="17"/>
        <v>DeterministicParameter</v>
      </c>
      <c r="I523" s="8" t="b">
        <f>IF(D523&lt;2,FALSE,ISERROR(MATCH(H523,'Ontology and concepts per UC'!$A$2:$A$62,0)))</f>
        <v>0</v>
      </c>
      <c r="J523" s="9" t="str">
        <f t="shared" si="18"/>
        <v/>
      </c>
      <c r="K523" s="8" t="b">
        <f>IF(D523&lt;3,FALSE,ISERROR(MATCH(J523,'Ontology and concepts per UC'!$A$2:$A$62,0)))</f>
        <v>0</v>
      </c>
      <c r="L523" s="2" t="s">
        <v>1465</v>
      </c>
      <c r="M523" s="2" t="s">
        <v>1466</v>
      </c>
      <c r="N523" s="2"/>
      <c r="O523" s="1" t="b">
        <v>0</v>
      </c>
      <c r="P523" s="1">
        <v>0</v>
      </c>
      <c r="Q523" s="1">
        <v>0</v>
      </c>
      <c r="R523" s="1" t="b">
        <f t="shared" si="19"/>
        <v>1</v>
      </c>
      <c r="S523" s="2" t="s">
        <v>107</v>
      </c>
      <c r="T523" s="1" t="str">
        <f>IF(S523="","",VLOOKUP(S523,'Ontology and concepts per UC'!$F$2:$J$46,5,FALSE))</f>
        <v>Parcial</v>
      </c>
      <c r="U523" s="1" t="b">
        <f t="array" ref="U523">(INDEX('Ontology and concepts per UC'!$G$2:$I$46,MATCH($S523,'Ontology and concepts per UC'!$F$2:$F$46,0),MATCH(LEFT($A523,3),'Ontology and concepts per UC'!$G$1:$I$1,0))=0)</f>
        <v>0</v>
      </c>
      <c r="V523" s="1" t="b">
        <f t="shared" si="20"/>
        <v>0</v>
      </c>
      <c r="W523" s="1" t="b">
        <v>0</v>
      </c>
      <c r="X523" s="1" t="b">
        <v>0</v>
      </c>
      <c r="Y523" s="1" t="b">
        <v>0</v>
      </c>
      <c r="Z523" s="1" t="b">
        <v>0</v>
      </c>
      <c r="AA523" s="1"/>
    </row>
    <row r="524" spans="1:27" x14ac:dyDescent="0.25">
      <c r="A524" s="1" t="s">
        <v>1330</v>
      </c>
      <c r="B524" s="2" t="s">
        <v>1467</v>
      </c>
      <c r="C524" s="2" t="s">
        <v>157</v>
      </c>
      <c r="D524" s="6">
        <f t="shared" si="14"/>
        <v>2</v>
      </c>
      <c r="E524" s="7" t="str">
        <f t="shared" si="15"/>
        <v>Parameter</v>
      </c>
      <c r="F524" s="8" t="b">
        <f>IF(D524&lt;1,FALSE,ISERROR(MATCH(E524,'Ontology and concepts per UC'!$A$2:$A$62,0)))</f>
        <v>0</v>
      </c>
      <c r="G524" s="9" t="str">
        <f t="shared" si="16"/>
        <v>DeterministicParameter</v>
      </c>
      <c r="H524" s="9" t="str">
        <f t="shared" si="17"/>
        <v>DeterministicParameter</v>
      </c>
      <c r="I524" s="8" t="b">
        <f>IF(D524&lt;2,FALSE,ISERROR(MATCH(H524,'Ontology and concepts per UC'!$A$2:$A$62,0)))</f>
        <v>0</v>
      </c>
      <c r="J524" s="9" t="str">
        <f t="shared" si="18"/>
        <v/>
      </c>
      <c r="K524" s="8" t="b">
        <f>IF(D524&lt;3,FALSE,ISERROR(MATCH(J524,'Ontology and concepts per UC'!$A$2:$A$62,0)))</f>
        <v>0</v>
      </c>
      <c r="L524" s="2" t="s">
        <v>1468</v>
      </c>
      <c r="M524" s="2" t="s">
        <v>1469</v>
      </c>
      <c r="N524" s="2"/>
      <c r="O524" s="1" t="b">
        <v>0</v>
      </c>
      <c r="P524" s="1">
        <v>0</v>
      </c>
      <c r="Q524" s="1">
        <v>0</v>
      </c>
      <c r="R524" s="1" t="b">
        <f t="shared" si="19"/>
        <v>1</v>
      </c>
      <c r="S524" s="2" t="s">
        <v>107</v>
      </c>
      <c r="T524" s="1" t="str">
        <f>IF(S524="","",VLOOKUP(S524,'Ontology and concepts per UC'!$F$2:$J$46,5,FALSE))</f>
        <v>Parcial</v>
      </c>
      <c r="U524" s="1" t="b">
        <f t="array" ref="U524">(INDEX('Ontology and concepts per UC'!$G$2:$I$46,MATCH($S524,'Ontology and concepts per UC'!$F$2:$F$46,0),MATCH(LEFT($A524,3),'Ontology and concepts per UC'!$G$1:$I$1,0))=0)</f>
        <v>0</v>
      </c>
      <c r="V524" s="1" t="b">
        <f t="shared" si="20"/>
        <v>0</v>
      </c>
      <c r="W524" s="1" t="b">
        <v>0</v>
      </c>
      <c r="X524" s="1" t="b">
        <v>0</v>
      </c>
      <c r="Y524" s="1" t="b">
        <v>0</v>
      </c>
      <c r="Z524" s="1" t="b">
        <v>0</v>
      </c>
      <c r="AA524" s="1"/>
    </row>
    <row r="525" spans="1:27" x14ac:dyDescent="0.25">
      <c r="A525" s="1" t="s">
        <v>1330</v>
      </c>
      <c r="B525" s="2" t="s">
        <v>1470</v>
      </c>
      <c r="C525" s="2" t="s">
        <v>157</v>
      </c>
      <c r="D525" s="6">
        <f t="shared" si="14"/>
        <v>2</v>
      </c>
      <c r="E525" s="7" t="str">
        <f t="shared" si="15"/>
        <v>Parameter</v>
      </c>
      <c r="F525" s="8" t="b">
        <f>IF(D525&lt;1,FALSE,ISERROR(MATCH(E525,'Ontology and concepts per UC'!$A$2:$A$62,0)))</f>
        <v>0</v>
      </c>
      <c r="G525" s="9" t="str">
        <f t="shared" si="16"/>
        <v>DeterministicParameter</v>
      </c>
      <c r="H525" s="9" t="str">
        <f t="shared" si="17"/>
        <v>DeterministicParameter</v>
      </c>
      <c r="I525" s="8" t="b">
        <f>IF(D525&lt;2,FALSE,ISERROR(MATCH(H525,'Ontology and concepts per UC'!$A$2:$A$62,0)))</f>
        <v>0</v>
      </c>
      <c r="J525" s="9" t="str">
        <f t="shared" si="18"/>
        <v/>
      </c>
      <c r="K525" s="8" t="b">
        <f>IF(D525&lt;3,FALSE,ISERROR(MATCH(J525,'Ontology and concepts per UC'!$A$2:$A$62,0)))</f>
        <v>0</v>
      </c>
      <c r="L525" s="2" t="s">
        <v>1471</v>
      </c>
      <c r="M525" s="2" t="s">
        <v>1472</v>
      </c>
      <c r="N525" s="2"/>
      <c r="O525" s="1" t="b">
        <v>0</v>
      </c>
      <c r="P525" s="1">
        <v>0</v>
      </c>
      <c r="Q525" s="1">
        <v>0</v>
      </c>
      <c r="R525" s="1" t="b">
        <f t="shared" si="19"/>
        <v>1</v>
      </c>
      <c r="S525" s="2" t="s">
        <v>107</v>
      </c>
      <c r="T525" s="1" t="str">
        <f>IF(S525="","",VLOOKUP(S525,'Ontology and concepts per UC'!$F$2:$J$46,5,FALSE))</f>
        <v>Parcial</v>
      </c>
      <c r="U525" s="1" t="b">
        <f t="array" ref="U525">(INDEX('Ontology and concepts per UC'!$G$2:$I$46,MATCH($S525,'Ontology and concepts per UC'!$F$2:$F$46,0),MATCH(LEFT($A525,3),'Ontology and concepts per UC'!$G$1:$I$1,0))=0)</f>
        <v>0</v>
      </c>
      <c r="V525" s="1" t="b">
        <f t="shared" si="20"/>
        <v>1</v>
      </c>
      <c r="W525" s="1" t="b">
        <v>0</v>
      </c>
      <c r="X525" s="1" t="b">
        <v>0</v>
      </c>
      <c r="Y525" s="1" t="b">
        <v>0</v>
      </c>
      <c r="Z525" s="1" t="b">
        <v>1</v>
      </c>
      <c r="AA525" s="1" t="s">
        <v>197</v>
      </c>
    </row>
    <row r="526" spans="1:27" x14ac:dyDescent="0.25">
      <c r="A526" s="1" t="s">
        <v>1330</v>
      </c>
      <c r="B526" s="2" t="s">
        <v>1473</v>
      </c>
      <c r="C526" s="2" t="s">
        <v>157</v>
      </c>
      <c r="D526" s="6">
        <f t="shared" si="14"/>
        <v>2</v>
      </c>
      <c r="E526" s="7" t="str">
        <f t="shared" si="15"/>
        <v>Parameter</v>
      </c>
      <c r="F526" s="8" t="b">
        <f>IF(D526&lt;1,FALSE,ISERROR(MATCH(E526,'Ontology and concepts per UC'!$A$2:$A$62,0)))</f>
        <v>0</v>
      </c>
      <c r="G526" s="9" t="str">
        <f t="shared" si="16"/>
        <v>DeterministicParameter</v>
      </c>
      <c r="H526" s="9" t="str">
        <f t="shared" si="17"/>
        <v>DeterministicParameter</v>
      </c>
      <c r="I526" s="8" t="b">
        <f>IF(D526&lt;2,FALSE,ISERROR(MATCH(H526,'Ontology and concepts per UC'!$A$2:$A$62,0)))</f>
        <v>0</v>
      </c>
      <c r="J526" s="9" t="str">
        <f t="shared" si="18"/>
        <v/>
      </c>
      <c r="K526" s="8" t="b">
        <f>IF(D526&lt;3,FALSE,ISERROR(MATCH(J526,'Ontology and concepts per UC'!$A$2:$A$62,0)))</f>
        <v>0</v>
      </c>
      <c r="L526" s="2" t="s">
        <v>1474</v>
      </c>
      <c r="M526" s="2" t="s">
        <v>1475</v>
      </c>
      <c r="N526" s="2"/>
      <c r="O526" s="1" t="b">
        <v>0</v>
      </c>
      <c r="P526" s="1">
        <v>0</v>
      </c>
      <c r="Q526" s="1">
        <v>0</v>
      </c>
      <c r="R526" s="1" t="b">
        <f t="shared" si="19"/>
        <v>1</v>
      </c>
      <c r="S526" s="2" t="s">
        <v>107</v>
      </c>
      <c r="T526" s="1" t="str">
        <f>IF(S526="","",VLOOKUP(S526,'Ontology and concepts per UC'!$F$2:$J$46,5,FALSE))</f>
        <v>Parcial</v>
      </c>
      <c r="U526" s="1" t="b">
        <f t="array" ref="U526">(INDEX('Ontology and concepts per UC'!$G$2:$I$46,MATCH($S526,'Ontology and concepts per UC'!$F$2:$F$46,0),MATCH(LEFT($A526,3),'Ontology and concepts per UC'!$G$1:$I$1,0))=0)</f>
        <v>0</v>
      </c>
      <c r="V526" s="1" t="b">
        <f t="shared" si="20"/>
        <v>0</v>
      </c>
      <c r="W526" s="1" t="b">
        <v>0</v>
      </c>
      <c r="X526" s="1" t="b">
        <v>0</v>
      </c>
      <c r="Y526" s="1" t="b">
        <v>0</v>
      </c>
      <c r="Z526" s="1" t="b">
        <v>0</v>
      </c>
      <c r="AA526" s="1"/>
    </row>
    <row r="527" spans="1:27" x14ac:dyDescent="0.25">
      <c r="A527" s="1" t="s">
        <v>1330</v>
      </c>
      <c r="B527" s="2" t="s">
        <v>1476</v>
      </c>
      <c r="C527" s="2" t="s">
        <v>157</v>
      </c>
      <c r="D527" s="6">
        <f t="shared" si="14"/>
        <v>2</v>
      </c>
      <c r="E527" s="7" t="str">
        <f t="shared" si="15"/>
        <v>Parameter</v>
      </c>
      <c r="F527" s="8" t="b">
        <f>IF(D527&lt;1,FALSE,ISERROR(MATCH(E527,'Ontology and concepts per UC'!$A$2:$A$62,0)))</f>
        <v>0</v>
      </c>
      <c r="G527" s="9" t="str">
        <f t="shared" si="16"/>
        <v>DeterministicParameter</v>
      </c>
      <c r="H527" s="9" t="str">
        <f t="shared" si="17"/>
        <v>DeterministicParameter</v>
      </c>
      <c r="I527" s="8" t="b">
        <f>IF(D527&lt;2,FALSE,ISERROR(MATCH(H527,'Ontology and concepts per UC'!$A$2:$A$62,0)))</f>
        <v>0</v>
      </c>
      <c r="J527" s="9" t="str">
        <f t="shared" si="18"/>
        <v/>
      </c>
      <c r="K527" s="8" t="b">
        <f>IF(D527&lt;3,FALSE,ISERROR(MATCH(J527,'Ontology and concepts per UC'!$A$2:$A$62,0)))</f>
        <v>0</v>
      </c>
      <c r="L527" s="2" t="s">
        <v>1477</v>
      </c>
      <c r="M527" s="2" t="s">
        <v>1478</v>
      </c>
      <c r="N527" s="2"/>
      <c r="O527" s="1" t="b">
        <v>0</v>
      </c>
      <c r="P527" s="1">
        <v>0</v>
      </c>
      <c r="Q527" s="1">
        <v>0</v>
      </c>
      <c r="R527" s="1" t="b">
        <f t="shared" si="19"/>
        <v>1</v>
      </c>
      <c r="S527" s="2" t="s">
        <v>107</v>
      </c>
      <c r="T527" s="1" t="str">
        <f>IF(S527="","",VLOOKUP(S527,'Ontology and concepts per UC'!$F$2:$J$46,5,FALSE))</f>
        <v>Parcial</v>
      </c>
      <c r="U527" s="1" t="b">
        <f t="array" ref="U527">(INDEX('Ontology and concepts per UC'!$G$2:$I$46,MATCH($S527,'Ontology and concepts per UC'!$F$2:$F$46,0),MATCH(LEFT($A527,3),'Ontology and concepts per UC'!$G$1:$I$1,0))=0)</f>
        <v>0</v>
      </c>
      <c r="V527" s="1" t="b">
        <f t="shared" si="20"/>
        <v>0</v>
      </c>
      <c r="W527" s="1" t="b">
        <v>0</v>
      </c>
      <c r="X527" s="1" t="b">
        <v>0</v>
      </c>
      <c r="Y527" s="1" t="b">
        <v>0</v>
      </c>
      <c r="Z527" s="1" t="b">
        <v>0</v>
      </c>
      <c r="AA527" s="1"/>
    </row>
    <row r="528" spans="1:27" x14ac:dyDescent="0.25">
      <c r="A528" s="1" t="s">
        <v>1330</v>
      </c>
      <c r="B528" s="2" t="s">
        <v>1479</v>
      </c>
      <c r="C528" s="2" t="s">
        <v>157</v>
      </c>
      <c r="D528" s="6">
        <f t="shared" si="14"/>
        <v>2</v>
      </c>
      <c r="E528" s="7" t="str">
        <f t="shared" si="15"/>
        <v>Parameter</v>
      </c>
      <c r="F528" s="8" t="b">
        <f>IF(D528&lt;1,FALSE,ISERROR(MATCH(E528,'Ontology and concepts per UC'!$A$2:$A$62,0)))</f>
        <v>0</v>
      </c>
      <c r="G528" s="9" t="str">
        <f t="shared" si="16"/>
        <v>DeterministicParameter</v>
      </c>
      <c r="H528" s="9" t="str">
        <f t="shared" si="17"/>
        <v>DeterministicParameter</v>
      </c>
      <c r="I528" s="8" t="b">
        <f>IF(D528&lt;2,FALSE,ISERROR(MATCH(H528,'Ontology and concepts per UC'!$A$2:$A$62,0)))</f>
        <v>0</v>
      </c>
      <c r="J528" s="9" t="str">
        <f t="shared" si="18"/>
        <v/>
      </c>
      <c r="K528" s="8" t="b">
        <f>IF(D528&lt;3,FALSE,ISERROR(MATCH(J528,'Ontology and concepts per UC'!$A$2:$A$62,0)))</f>
        <v>0</v>
      </c>
      <c r="L528" s="2" t="s">
        <v>1397</v>
      </c>
      <c r="M528" s="2" t="s">
        <v>1480</v>
      </c>
      <c r="N528" s="2"/>
      <c r="O528" s="1" t="b">
        <v>0</v>
      </c>
      <c r="P528" s="1">
        <v>0</v>
      </c>
      <c r="Q528" s="1">
        <v>0</v>
      </c>
      <c r="R528" s="1" t="b">
        <f t="shared" si="19"/>
        <v>1</v>
      </c>
      <c r="S528" s="2" t="s">
        <v>107</v>
      </c>
      <c r="T528" s="1" t="str">
        <f>IF(S528="","",VLOOKUP(S528,'Ontology and concepts per UC'!$F$2:$J$46,5,FALSE))</f>
        <v>Parcial</v>
      </c>
      <c r="U528" s="1" t="b">
        <f t="array" ref="U528">(INDEX('Ontology and concepts per UC'!$G$2:$I$46,MATCH($S528,'Ontology and concepts per UC'!$F$2:$F$46,0),MATCH(LEFT($A528,3),'Ontology and concepts per UC'!$G$1:$I$1,0))=0)</f>
        <v>0</v>
      </c>
      <c r="V528" s="1" t="b">
        <f t="shared" si="20"/>
        <v>0</v>
      </c>
      <c r="W528" s="1" t="b">
        <v>0</v>
      </c>
      <c r="X528" s="1" t="b">
        <v>0</v>
      </c>
      <c r="Y528" s="1" t="b">
        <v>0</v>
      </c>
      <c r="Z528" s="1" t="b">
        <v>0</v>
      </c>
      <c r="AA528" s="1"/>
    </row>
    <row r="529" spans="1:27" x14ac:dyDescent="0.25">
      <c r="A529" s="1" t="s">
        <v>1330</v>
      </c>
      <c r="B529" s="2" t="s">
        <v>1481</v>
      </c>
      <c r="C529" s="2" t="s">
        <v>157</v>
      </c>
      <c r="D529" s="6">
        <f t="shared" si="14"/>
        <v>2</v>
      </c>
      <c r="E529" s="7" t="str">
        <f t="shared" si="15"/>
        <v>Parameter</v>
      </c>
      <c r="F529" s="8" t="b">
        <f>IF(D529&lt;1,FALSE,ISERROR(MATCH(E529,'Ontology and concepts per UC'!$A$2:$A$62,0)))</f>
        <v>0</v>
      </c>
      <c r="G529" s="9" t="str">
        <f t="shared" si="16"/>
        <v>DeterministicParameter</v>
      </c>
      <c r="H529" s="9" t="str">
        <f t="shared" si="17"/>
        <v>DeterministicParameter</v>
      </c>
      <c r="I529" s="8" t="b">
        <f>IF(D529&lt;2,FALSE,ISERROR(MATCH(H529,'Ontology and concepts per UC'!$A$2:$A$62,0)))</f>
        <v>0</v>
      </c>
      <c r="J529" s="9" t="str">
        <f t="shared" si="18"/>
        <v/>
      </c>
      <c r="K529" s="8" t="b">
        <f>IF(D529&lt;3,FALSE,ISERROR(MATCH(J529,'Ontology and concepts per UC'!$A$2:$A$62,0)))</f>
        <v>0</v>
      </c>
      <c r="L529" s="2" t="s">
        <v>1482</v>
      </c>
      <c r="M529" s="2" t="s">
        <v>1483</v>
      </c>
      <c r="N529" s="2"/>
      <c r="O529" s="1" t="b">
        <v>0</v>
      </c>
      <c r="P529" s="1">
        <v>0</v>
      </c>
      <c r="Q529" s="1">
        <v>0</v>
      </c>
      <c r="R529" s="1" t="b">
        <f t="shared" si="19"/>
        <v>1</v>
      </c>
      <c r="S529" s="2" t="s">
        <v>367</v>
      </c>
      <c r="T529" s="1" t="str">
        <f>IF(S529="","",VLOOKUP(S529,'Ontology and concepts per UC'!$F$2:$J$46,5,FALSE))</f>
        <v>Parámetros de progresión</v>
      </c>
      <c r="U529" s="1" t="b">
        <f t="array" ref="U529">(INDEX('Ontology and concepts per UC'!$G$2:$I$46,MATCH($S529,'Ontology and concepts per UC'!$F$2:$F$46,0),MATCH(LEFT($A529,3),'Ontology and concepts per UC'!$G$1:$I$1,0))=0)</f>
        <v>0</v>
      </c>
      <c r="V529" s="1" t="b">
        <f t="shared" si="20"/>
        <v>0</v>
      </c>
      <c r="W529" s="1" t="b">
        <v>0</v>
      </c>
      <c r="X529" s="1" t="b">
        <v>0</v>
      </c>
      <c r="Y529" s="1" t="b">
        <v>0</v>
      </c>
      <c r="Z529" s="1" t="b">
        <v>0</v>
      </c>
      <c r="AA529" s="1"/>
    </row>
    <row r="530" spans="1:27" x14ac:dyDescent="0.25">
      <c r="A530" s="1" t="s">
        <v>1330</v>
      </c>
      <c r="B530" s="2" t="s">
        <v>1484</v>
      </c>
      <c r="C530" s="2" t="s">
        <v>157</v>
      </c>
      <c r="D530" s="6">
        <f t="shared" si="14"/>
        <v>2</v>
      </c>
      <c r="E530" s="7" t="str">
        <f t="shared" si="15"/>
        <v>Parameter</v>
      </c>
      <c r="F530" s="8" t="b">
        <f>IF(D530&lt;1,FALSE,ISERROR(MATCH(E530,'Ontology and concepts per UC'!$A$2:$A$62,0)))</f>
        <v>0</v>
      </c>
      <c r="G530" s="9" t="str">
        <f t="shared" si="16"/>
        <v>DeterministicParameter</v>
      </c>
      <c r="H530" s="9" t="str">
        <f t="shared" si="17"/>
        <v>DeterministicParameter</v>
      </c>
      <c r="I530" s="8" t="b">
        <f>IF(D530&lt;2,FALSE,ISERROR(MATCH(H530,'Ontology and concepts per UC'!$A$2:$A$62,0)))</f>
        <v>0</v>
      </c>
      <c r="J530" s="9" t="str">
        <f t="shared" si="18"/>
        <v/>
      </c>
      <c r="K530" s="8" t="b">
        <f>IF(D530&lt;3,FALSE,ISERROR(MATCH(J530,'Ontology and concepts per UC'!$A$2:$A$62,0)))</f>
        <v>0</v>
      </c>
      <c r="L530" s="2" t="s">
        <v>1367</v>
      </c>
      <c r="M530" s="2" t="s">
        <v>1485</v>
      </c>
      <c r="N530" s="2"/>
      <c r="O530" s="1" t="b">
        <v>0</v>
      </c>
      <c r="P530" s="1">
        <v>0</v>
      </c>
      <c r="Q530" s="1">
        <v>0</v>
      </c>
      <c r="R530" s="1" t="b">
        <f t="shared" si="19"/>
        <v>1</v>
      </c>
      <c r="S530" s="2" t="s">
        <v>367</v>
      </c>
      <c r="T530" s="1" t="str">
        <f>IF(S530="","",VLOOKUP(S530,'Ontology and concepts per UC'!$F$2:$J$46,5,FALSE))</f>
        <v>Parámetros de progresión</v>
      </c>
      <c r="U530" s="1" t="b">
        <f t="array" ref="U530">(INDEX('Ontology and concepts per UC'!$G$2:$I$46,MATCH($S530,'Ontology and concepts per UC'!$F$2:$F$46,0),MATCH(LEFT($A530,3),'Ontology and concepts per UC'!$G$1:$I$1,0))=0)</f>
        <v>0</v>
      </c>
      <c r="V530" s="1" t="b">
        <f t="shared" si="20"/>
        <v>0</v>
      </c>
      <c r="W530" s="1" t="b">
        <v>0</v>
      </c>
      <c r="X530" s="1" t="b">
        <v>0</v>
      </c>
      <c r="Y530" s="1" t="b">
        <v>0</v>
      </c>
      <c r="Z530" s="1" t="b">
        <v>0</v>
      </c>
      <c r="AA530" s="1"/>
    </row>
    <row r="531" spans="1:27" x14ac:dyDescent="0.25">
      <c r="A531" s="1" t="s">
        <v>1330</v>
      </c>
      <c r="B531" s="2" t="s">
        <v>1486</v>
      </c>
      <c r="C531" s="2" t="s">
        <v>157</v>
      </c>
      <c r="D531" s="6">
        <f t="shared" si="14"/>
        <v>2</v>
      </c>
      <c r="E531" s="7" t="str">
        <f t="shared" si="15"/>
        <v>Parameter</v>
      </c>
      <c r="F531" s="8" t="b">
        <f>IF(D531&lt;1,FALSE,ISERROR(MATCH(E531,'Ontology and concepts per UC'!$A$2:$A$62,0)))</f>
        <v>0</v>
      </c>
      <c r="G531" s="9" t="str">
        <f t="shared" si="16"/>
        <v>DeterministicParameter</v>
      </c>
      <c r="H531" s="9" t="str">
        <f t="shared" si="17"/>
        <v>DeterministicParameter</v>
      </c>
      <c r="I531" s="8" t="b">
        <f>IF(D531&lt;2,FALSE,ISERROR(MATCH(H531,'Ontology and concepts per UC'!$A$2:$A$62,0)))</f>
        <v>0</v>
      </c>
      <c r="J531" s="9" t="str">
        <f t="shared" si="18"/>
        <v/>
      </c>
      <c r="K531" s="8" t="b">
        <f>IF(D531&lt;3,FALSE,ISERROR(MATCH(J531,'Ontology and concepts per UC'!$A$2:$A$62,0)))</f>
        <v>0</v>
      </c>
      <c r="L531" s="2" t="s">
        <v>1487</v>
      </c>
      <c r="M531" s="2" t="s">
        <v>1488</v>
      </c>
      <c r="N531" s="2"/>
      <c r="O531" s="1" t="b">
        <v>0</v>
      </c>
      <c r="P531" s="1">
        <v>0</v>
      </c>
      <c r="Q531" s="1">
        <v>0</v>
      </c>
      <c r="R531" s="1" t="b">
        <f t="shared" si="19"/>
        <v>1</v>
      </c>
      <c r="S531" s="2" t="s">
        <v>51</v>
      </c>
      <c r="T531" s="1" t="str">
        <f>IF(S531="","",VLOOKUP(S531,'Ontology and concepts per UC'!$F$2:$J$46,5,FALSE))</f>
        <v>Parámetros de progresión</v>
      </c>
      <c r="U531" s="1" t="b">
        <f t="array" ref="U531">(INDEX('Ontology and concepts per UC'!$G$2:$I$46,MATCH($S531,'Ontology and concepts per UC'!$F$2:$F$46,0),MATCH(LEFT($A531,3),'Ontology and concepts per UC'!$G$1:$I$1,0))=0)</f>
        <v>0</v>
      </c>
      <c r="V531" s="1" t="b">
        <f t="shared" si="20"/>
        <v>1</v>
      </c>
      <c r="W531" s="1" t="b">
        <v>0</v>
      </c>
      <c r="X531" s="1" t="b">
        <v>0</v>
      </c>
      <c r="Y531" s="1" t="b">
        <v>0</v>
      </c>
      <c r="Z531" s="1" t="b">
        <v>1</v>
      </c>
      <c r="AA531" s="1" t="s">
        <v>197</v>
      </c>
    </row>
    <row r="532" spans="1:27" x14ac:dyDescent="0.25">
      <c r="A532" s="1" t="s">
        <v>1330</v>
      </c>
      <c r="B532" s="2" t="s">
        <v>1489</v>
      </c>
      <c r="C532" s="2" t="s">
        <v>157</v>
      </c>
      <c r="D532" s="6">
        <f t="shared" si="14"/>
        <v>2</v>
      </c>
      <c r="E532" s="7" t="str">
        <f t="shared" si="15"/>
        <v>Parameter</v>
      </c>
      <c r="F532" s="8" t="b">
        <f>IF(D532&lt;1,FALSE,ISERROR(MATCH(E532,'Ontology and concepts per UC'!$A$2:$A$62,0)))</f>
        <v>0</v>
      </c>
      <c r="G532" s="9" t="str">
        <f t="shared" si="16"/>
        <v>DeterministicParameter</v>
      </c>
      <c r="H532" s="9" t="str">
        <f t="shared" si="17"/>
        <v>DeterministicParameter</v>
      </c>
      <c r="I532" s="8" t="b">
        <f>IF(D532&lt;2,FALSE,ISERROR(MATCH(H532,'Ontology and concepts per UC'!$A$2:$A$62,0)))</f>
        <v>0</v>
      </c>
      <c r="J532" s="9" t="str">
        <f t="shared" si="18"/>
        <v/>
      </c>
      <c r="K532" s="8" t="b">
        <f>IF(D532&lt;3,FALSE,ISERROR(MATCH(J532,'Ontology and concepts per UC'!$A$2:$A$62,0)))</f>
        <v>0</v>
      </c>
      <c r="L532" s="2" t="s">
        <v>1468</v>
      </c>
      <c r="M532" s="2" t="s">
        <v>1490</v>
      </c>
      <c r="N532" s="2"/>
      <c r="O532" s="1" t="b">
        <v>0</v>
      </c>
      <c r="P532" s="1">
        <v>0</v>
      </c>
      <c r="Q532" s="1">
        <v>0</v>
      </c>
      <c r="R532" s="1" t="b">
        <f t="shared" si="19"/>
        <v>1</v>
      </c>
      <c r="S532" s="2" t="s">
        <v>367</v>
      </c>
      <c r="T532" s="1" t="str">
        <f>IF(S532="","",VLOOKUP(S532,'Ontology and concepts per UC'!$F$2:$J$46,5,FALSE))</f>
        <v>Parámetros de progresión</v>
      </c>
      <c r="U532" s="1" t="b">
        <f t="array" ref="U532">(INDEX('Ontology and concepts per UC'!$G$2:$I$46,MATCH($S532,'Ontology and concepts per UC'!$F$2:$F$46,0),MATCH(LEFT($A532,3),'Ontology and concepts per UC'!$G$1:$I$1,0))=0)</f>
        <v>0</v>
      </c>
      <c r="V532" s="1" t="b">
        <f t="shared" si="20"/>
        <v>0</v>
      </c>
      <c r="W532" s="1" t="b">
        <v>0</v>
      </c>
      <c r="X532" s="1" t="b">
        <v>0</v>
      </c>
      <c r="Y532" s="1" t="b">
        <v>0</v>
      </c>
      <c r="Z532" s="1" t="b">
        <v>0</v>
      </c>
      <c r="AA532" s="1"/>
    </row>
    <row r="533" spans="1:27" x14ac:dyDescent="0.25">
      <c r="A533" s="1" t="s">
        <v>1330</v>
      </c>
      <c r="B533" s="2" t="s">
        <v>1491</v>
      </c>
      <c r="C533" s="2" t="s">
        <v>157</v>
      </c>
      <c r="D533" s="6">
        <f t="shared" si="14"/>
        <v>2</v>
      </c>
      <c r="E533" s="7" t="str">
        <f t="shared" si="15"/>
        <v>Parameter</v>
      </c>
      <c r="F533" s="8" t="b">
        <f>IF(D533&lt;1,FALSE,ISERROR(MATCH(E533,'Ontology and concepts per UC'!$A$2:$A$62,0)))</f>
        <v>0</v>
      </c>
      <c r="G533" s="9" t="str">
        <f t="shared" si="16"/>
        <v>DeterministicParameter</v>
      </c>
      <c r="H533" s="9" t="str">
        <f t="shared" si="17"/>
        <v>DeterministicParameter</v>
      </c>
      <c r="I533" s="8" t="b">
        <f>IF(D533&lt;2,FALSE,ISERROR(MATCH(H533,'Ontology and concepts per UC'!$A$2:$A$62,0)))</f>
        <v>0</v>
      </c>
      <c r="J533" s="9" t="str">
        <f t="shared" si="18"/>
        <v/>
      </c>
      <c r="K533" s="8" t="b">
        <f>IF(D533&lt;3,FALSE,ISERROR(MATCH(J533,'Ontology and concepts per UC'!$A$2:$A$62,0)))</f>
        <v>0</v>
      </c>
      <c r="L533" s="2" t="s">
        <v>1492</v>
      </c>
      <c r="M533" s="2" t="s">
        <v>1493</v>
      </c>
      <c r="N533" s="2"/>
      <c r="O533" s="1" t="b">
        <v>0</v>
      </c>
      <c r="P533" s="1">
        <v>0</v>
      </c>
      <c r="Q533" s="1">
        <v>0</v>
      </c>
      <c r="R533" s="1" t="b">
        <f t="shared" si="19"/>
        <v>1</v>
      </c>
      <c r="S533" s="2" t="s">
        <v>55</v>
      </c>
      <c r="T533" s="1" t="str">
        <f>IF(S533="","",VLOOKUP(S533,'Ontology and concepts per UC'!$F$2:$J$46,5,FALSE))</f>
        <v>Parámetros de progresión</v>
      </c>
      <c r="U533" s="1" t="b">
        <f t="array" ref="U533">(INDEX('Ontology and concepts per UC'!$G$2:$I$46,MATCH($S533,'Ontology and concepts per UC'!$F$2:$F$46,0),MATCH(LEFT($A533,3),'Ontology and concepts per UC'!$G$1:$I$1,0))=0)</f>
        <v>0</v>
      </c>
      <c r="V533" s="1" t="b">
        <f t="shared" si="20"/>
        <v>0</v>
      </c>
      <c r="W533" s="1" t="b">
        <v>0</v>
      </c>
      <c r="X533" s="1" t="b">
        <v>0</v>
      </c>
      <c r="Y533" s="1" t="b">
        <v>0</v>
      </c>
      <c r="Z533" s="1" t="b">
        <v>0</v>
      </c>
      <c r="AA533" s="1"/>
    </row>
    <row r="534" spans="1:27" x14ac:dyDescent="0.25">
      <c r="A534" s="1" t="s">
        <v>1330</v>
      </c>
      <c r="B534" s="2" t="s">
        <v>1494</v>
      </c>
      <c r="C534" s="2" t="s">
        <v>157</v>
      </c>
      <c r="D534" s="6">
        <f t="shared" si="14"/>
        <v>2</v>
      </c>
      <c r="E534" s="7" t="str">
        <f t="shared" si="15"/>
        <v>Parameter</v>
      </c>
      <c r="F534" s="8" t="b">
        <f>IF(D534&lt;1,FALSE,ISERROR(MATCH(E534,'Ontology and concepts per UC'!$A$2:$A$62,0)))</f>
        <v>0</v>
      </c>
      <c r="G534" s="9" t="str">
        <f t="shared" si="16"/>
        <v>DeterministicParameter</v>
      </c>
      <c r="H534" s="9" t="str">
        <f t="shared" si="17"/>
        <v>DeterministicParameter</v>
      </c>
      <c r="I534" s="8" t="b">
        <f>IF(D534&lt;2,FALSE,ISERROR(MATCH(H534,'Ontology and concepts per UC'!$A$2:$A$62,0)))</f>
        <v>0</v>
      </c>
      <c r="J534" s="9" t="str">
        <f t="shared" si="18"/>
        <v/>
      </c>
      <c r="K534" s="8" t="b">
        <f>IF(D534&lt;3,FALSE,ISERROR(MATCH(J534,'Ontology and concepts per UC'!$A$2:$A$62,0)))</f>
        <v>0</v>
      </c>
      <c r="L534" s="2" t="s">
        <v>1370</v>
      </c>
      <c r="M534" s="2" t="s">
        <v>1495</v>
      </c>
      <c r="N534" s="2"/>
      <c r="O534" s="1" t="b">
        <v>0</v>
      </c>
      <c r="P534" s="1">
        <v>0</v>
      </c>
      <c r="Q534" s="1">
        <v>0</v>
      </c>
      <c r="R534" s="1" t="b">
        <f t="shared" si="19"/>
        <v>1</v>
      </c>
      <c r="S534" s="2" t="s">
        <v>367</v>
      </c>
      <c r="T534" s="1" t="str">
        <f>IF(S534="","",VLOOKUP(S534,'Ontology and concepts per UC'!$F$2:$J$46,5,FALSE))</f>
        <v>Parámetros de progresión</v>
      </c>
      <c r="U534" s="1" t="b">
        <f t="array" ref="U534">(INDEX('Ontology and concepts per UC'!$G$2:$I$46,MATCH($S534,'Ontology and concepts per UC'!$F$2:$F$46,0),MATCH(LEFT($A534,3),'Ontology and concepts per UC'!$G$1:$I$1,0))=0)</f>
        <v>0</v>
      </c>
      <c r="V534" s="1" t="b">
        <f t="shared" si="20"/>
        <v>0</v>
      </c>
      <c r="W534" s="1" t="b">
        <v>0</v>
      </c>
      <c r="X534" s="1" t="b">
        <v>0</v>
      </c>
      <c r="Y534" s="1" t="b">
        <v>0</v>
      </c>
      <c r="Z534" s="1" t="b">
        <v>0</v>
      </c>
      <c r="AA534" s="1"/>
    </row>
    <row r="535" spans="1:27" x14ac:dyDescent="0.25">
      <c r="A535" s="1" t="s">
        <v>1330</v>
      </c>
      <c r="B535" s="2" t="s">
        <v>1496</v>
      </c>
      <c r="C535" s="2" t="s">
        <v>157</v>
      </c>
      <c r="D535" s="6">
        <f t="shared" si="14"/>
        <v>2</v>
      </c>
      <c r="E535" s="7" t="str">
        <f t="shared" si="15"/>
        <v>Parameter</v>
      </c>
      <c r="F535" s="8" t="b">
        <f>IF(D535&lt;1,FALSE,ISERROR(MATCH(E535,'Ontology and concepts per UC'!$A$2:$A$62,0)))</f>
        <v>0</v>
      </c>
      <c r="G535" s="9" t="str">
        <f t="shared" si="16"/>
        <v>DeterministicParameter</v>
      </c>
      <c r="H535" s="9" t="str">
        <f t="shared" si="17"/>
        <v>DeterministicParameter</v>
      </c>
      <c r="I535" s="8" t="b">
        <f>IF(D535&lt;2,FALSE,ISERROR(MATCH(H535,'Ontology and concepts per UC'!$A$2:$A$62,0)))</f>
        <v>0</v>
      </c>
      <c r="J535" s="9" t="str">
        <f t="shared" si="18"/>
        <v/>
      </c>
      <c r="K535" s="8" t="b">
        <f>IF(D535&lt;3,FALSE,ISERROR(MATCH(J535,'Ontology and concepts per UC'!$A$2:$A$62,0)))</f>
        <v>0</v>
      </c>
      <c r="L535" s="2" t="s">
        <v>1477</v>
      </c>
      <c r="M535" s="2" t="s">
        <v>1497</v>
      </c>
      <c r="N535" s="2"/>
      <c r="O535" s="1" t="b">
        <v>0</v>
      </c>
      <c r="P535" s="1">
        <v>0</v>
      </c>
      <c r="Q535" s="1">
        <v>0</v>
      </c>
      <c r="R535" s="1" t="b">
        <f t="shared" si="19"/>
        <v>1</v>
      </c>
      <c r="S535" s="2" t="s">
        <v>367</v>
      </c>
      <c r="T535" s="1" t="str">
        <f>IF(S535="","",VLOOKUP(S535,'Ontology and concepts per UC'!$F$2:$J$46,5,FALSE))</f>
        <v>Parámetros de progresión</v>
      </c>
      <c r="U535" s="1" t="b">
        <f t="array" ref="U535">(INDEX('Ontology and concepts per UC'!$G$2:$I$46,MATCH($S535,'Ontology and concepts per UC'!$F$2:$F$46,0),MATCH(LEFT($A535,3),'Ontology and concepts per UC'!$G$1:$I$1,0))=0)</f>
        <v>0</v>
      </c>
      <c r="V535" s="1" t="b">
        <f t="shared" si="20"/>
        <v>0</v>
      </c>
      <c r="W535" s="1" t="b">
        <v>0</v>
      </c>
      <c r="X535" s="1" t="b">
        <v>0</v>
      </c>
      <c r="Y535" s="1" t="b">
        <v>0</v>
      </c>
      <c r="Z535" s="1" t="b">
        <v>0</v>
      </c>
      <c r="AA535" s="1"/>
    </row>
    <row r="536" spans="1:27" x14ac:dyDescent="0.25">
      <c r="A536" s="1" t="s">
        <v>1330</v>
      </c>
      <c r="B536" s="2" t="s">
        <v>1498</v>
      </c>
      <c r="C536" s="2" t="s">
        <v>1499</v>
      </c>
      <c r="D536" s="6">
        <f t="shared" si="14"/>
        <v>3</v>
      </c>
      <c r="E536" s="7" t="str">
        <f t="shared" si="15"/>
        <v>Parameter</v>
      </c>
      <c r="F536" s="8" t="b">
        <f>IF(D536&lt;1,FALSE,ISERROR(MATCH(E536,'Ontology and concepts per UC'!$A$2:$A$62,0)))</f>
        <v>0</v>
      </c>
      <c r="G536" s="9" t="str">
        <f t="shared" si="16"/>
        <v>DeterministicParameter; TimeToOnset</v>
      </c>
      <c r="H536" s="9" t="str">
        <f t="shared" si="17"/>
        <v>DeterministicParameter</v>
      </c>
      <c r="I536" s="8" t="b">
        <f>IF(D536&lt;2,FALSE,ISERROR(MATCH(H536,'Ontology and concepts per UC'!$A$2:$A$62,0)))</f>
        <v>0</v>
      </c>
      <c r="J536" s="9" t="str">
        <f t="shared" si="18"/>
        <v>TimeToOnset</v>
      </c>
      <c r="K536" s="8" t="b">
        <f>IF(D536&lt;3,FALSE,ISERROR(MATCH(J536,'Ontology and concepts per UC'!$A$2:$A$62,0)))</f>
        <v>1</v>
      </c>
      <c r="L536" s="2" t="s">
        <v>1500</v>
      </c>
      <c r="M536" s="2" t="s">
        <v>1501</v>
      </c>
      <c r="N536" s="2" t="s">
        <v>1502</v>
      </c>
      <c r="O536" s="1" t="b">
        <v>0</v>
      </c>
      <c r="P536" s="1">
        <v>1</v>
      </c>
      <c r="Q536" s="1">
        <v>2</v>
      </c>
      <c r="R536" s="1" t="b">
        <f t="shared" si="19"/>
        <v>1</v>
      </c>
      <c r="S536" s="2" t="s">
        <v>54</v>
      </c>
      <c r="T536" s="1" t="str">
        <f>IF(S536="","",VLOOKUP(S536,'Ontology and concepts per UC'!$F$2:$J$46,5,FALSE))</f>
        <v>Parámetros de progresión</v>
      </c>
      <c r="U536" s="1" t="b">
        <f t="array" ref="U536">(INDEX('Ontology and concepts per UC'!$G$2:$I$46,MATCH($S536,'Ontology and concepts per UC'!$F$2:$F$46,0),MATCH(LEFT($A536,3),'Ontology and concepts per UC'!$G$1:$I$1,0))=0)</f>
        <v>0</v>
      </c>
      <c r="V536" s="1" t="b">
        <f t="shared" si="20"/>
        <v>1</v>
      </c>
      <c r="W536" s="1" t="b">
        <v>1</v>
      </c>
      <c r="X536" s="1" t="b">
        <v>0</v>
      </c>
      <c r="Y536" s="1" t="b">
        <v>0</v>
      </c>
      <c r="Z536" s="1" t="b">
        <v>0</v>
      </c>
      <c r="AA536" s="1" t="s">
        <v>1407</v>
      </c>
    </row>
    <row r="537" spans="1:27" x14ac:dyDescent="0.25">
      <c r="A537" s="1" t="s">
        <v>1330</v>
      </c>
      <c r="B537" s="2" t="s">
        <v>1503</v>
      </c>
      <c r="C537" s="2" t="s">
        <v>1504</v>
      </c>
      <c r="D537" s="6">
        <f t="shared" si="14"/>
        <v>3</v>
      </c>
      <c r="E537" s="7" t="str">
        <f t="shared" si="15"/>
        <v>Parameter</v>
      </c>
      <c r="F537" s="8" t="b">
        <f>IF(D537&lt;1,FALSE,ISERROR(MATCH(E537,'Ontology and concepts per UC'!$A$2:$A$62,0)))</f>
        <v>0</v>
      </c>
      <c r="G537" s="9" t="str">
        <f t="shared" si="16"/>
        <v>TimeToOnset; DeterministicParameter</v>
      </c>
      <c r="H537" s="9" t="str">
        <f t="shared" si="17"/>
        <v>TimeToOnset</v>
      </c>
      <c r="I537" s="8" t="b">
        <f>IF(D537&lt;2,FALSE,ISERROR(MATCH(H537,'Ontology and concepts per UC'!$A$2:$A$62,0)))</f>
        <v>1</v>
      </c>
      <c r="J537" s="9" t="str">
        <f t="shared" si="18"/>
        <v>DeterministicParameter</v>
      </c>
      <c r="K537" s="8" t="b">
        <f>IF(D537&lt;3,FALSE,ISERROR(MATCH(J537,'Ontology and concepts per UC'!$A$2:$A$62,0)))</f>
        <v>0</v>
      </c>
      <c r="L537" s="2" t="s">
        <v>1505</v>
      </c>
      <c r="M537" s="2" t="s">
        <v>1506</v>
      </c>
      <c r="N537" s="2" t="s">
        <v>1406</v>
      </c>
      <c r="O537" s="1" t="b">
        <v>0</v>
      </c>
      <c r="P537" s="1">
        <v>1</v>
      </c>
      <c r="Q537" s="1">
        <v>2</v>
      </c>
      <c r="R537" s="1" t="b">
        <f t="shared" si="19"/>
        <v>1</v>
      </c>
      <c r="S537" s="2" t="s">
        <v>51</v>
      </c>
      <c r="T537" s="1" t="str">
        <f>IF(S537="","",VLOOKUP(S537,'Ontology and concepts per UC'!$F$2:$J$46,5,FALSE))</f>
        <v>Parámetros de progresión</v>
      </c>
      <c r="U537" s="1" t="b">
        <f t="array" ref="U537">(INDEX('Ontology and concepts per UC'!$G$2:$I$46,MATCH($S537,'Ontology and concepts per UC'!$F$2:$F$46,0),MATCH(LEFT($A537,3),'Ontology and concepts per UC'!$G$1:$I$1,0))=0)</f>
        <v>0</v>
      </c>
      <c r="V537" s="1" t="b">
        <f t="shared" si="20"/>
        <v>1</v>
      </c>
      <c r="W537" s="1" t="b">
        <v>1</v>
      </c>
      <c r="X537" s="1" t="b">
        <v>0</v>
      </c>
      <c r="Y537" s="1" t="b">
        <v>0</v>
      </c>
      <c r="Z537" s="1" t="b">
        <v>0</v>
      </c>
      <c r="AA537" s="1" t="s">
        <v>1407</v>
      </c>
    </row>
    <row r="538" spans="1:27" x14ac:dyDescent="0.25">
      <c r="A538" s="1" t="s">
        <v>1330</v>
      </c>
      <c r="B538" s="2" t="s">
        <v>1507</v>
      </c>
      <c r="C538" s="2" t="s">
        <v>1504</v>
      </c>
      <c r="D538" s="6">
        <f t="shared" si="14"/>
        <v>3</v>
      </c>
      <c r="E538" s="7" t="str">
        <f t="shared" si="15"/>
        <v>Parameter</v>
      </c>
      <c r="F538" s="8" t="b">
        <f>IF(D538&lt;1,FALSE,ISERROR(MATCH(E538,'Ontology and concepts per UC'!$A$2:$A$62,0)))</f>
        <v>0</v>
      </c>
      <c r="G538" s="9" t="str">
        <f t="shared" si="16"/>
        <v>TimeToOnset; DeterministicParameter</v>
      </c>
      <c r="H538" s="9" t="str">
        <f t="shared" si="17"/>
        <v>TimeToOnset</v>
      </c>
      <c r="I538" s="8" t="b">
        <f>IF(D538&lt;2,FALSE,ISERROR(MATCH(H538,'Ontology and concepts per UC'!$A$2:$A$62,0)))</f>
        <v>1</v>
      </c>
      <c r="J538" s="9" t="str">
        <f t="shared" si="18"/>
        <v>DeterministicParameter</v>
      </c>
      <c r="K538" s="8" t="b">
        <f>IF(D538&lt;3,FALSE,ISERROR(MATCH(J538,'Ontology and concepts per UC'!$A$2:$A$62,0)))</f>
        <v>0</v>
      </c>
      <c r="L538" s="2" t="s">
        <v>1508</v>
      </c>
      <c r="M538" s="2" t="s">
        <v>1509</v>
      </c>
      <c r="N538" s="2" t="s">
        <v>1510</v>
      </c>
      <c r="O538" s="1" t="b">
        <v>0</v>
      </c>
      <c r="P538" s="1">
        <v>1</v>
      </c>
      <c r="Q538" s="1">
        <v>2</v>
      </c>
      <c r="R538" s="1" t="b">
        <f t="shared" si="19"/>
        <v>1</v>
      </c>
      <c r="S538" s="2" t="s">
        <v>58</v>
      </c>
      <c r="T538" s="1" t="str">
        <f>IF(S538="","",VLOOKUP(S538,'Ontology and concepts per UC'!$F$2:$J$46,5,FALSE))</f>
        <v>Parámetros de progresión</v>
      </c>
      <c r="U538" s="1" t="b">
        <f t="array" ref="U538">(INDEX('Ontology and concepts per UC'!$G$2:$I$46,MATCH($S538,'Ontology and concepts per UC'!$F$2:$F$46,0),MATCH(LEFT($A538,3),'Ontology and concepts per UC'!$G$1:$I$1,0))=0)</f>
        <v>0</v>
      </c>
      <c r="V538" s="1" t="b">
        <f t="shared" si="20"/>
        <v>1</v>
      </c>
      <c r="W538" s="1" t="b">
        <v>1</v>
      </c>
      <c r="X538" s="1" t="b">
        <v>0</v>
      </c>
      <c r="Y538" s="1" t="b">
        <v>0</v>
      </c>
      <c r="Z538" s="1" t="b">
        <v>0</v>
      </c>
      <c r="AA538" s="1" t="s">
        <v>1407</v>
      </c>
    </row>
    <row r="539" spans="1:27" x14ac:dyDescent="0.25">
      <c r="A539" s="1" t="s">
        <v>1330</v>
      </c>
      <c r="B539" s="2" t="s">
        <v>1511</v>
      </c>
      <c r="C539" s="2" t="s">
        <v>1512</v>
      </c>
      <c r="D539" s="6">
        <f t="shared" si="14"/>
        <v>2</v>
      </c>
      <c r="E539" s="7" t="str">
        <f t="shared" si="15"/>
        <v>PharmacologicalTreatment</v>
      </c>
      <c r="F539" s="8" t="b">
        <f>IF(D539&lt;1,FALSE,ISERROR(MATCH(E539,'Ontology and concepts per UC'!$A$2:$A$62,0)))</f>
        <v>1</v>
      </c>
      <c r="G539" s="9" t="str">
        <f t="shared" si="16"/>
        <v>Treatment</v>
      </c>
      <c r="H539" s="9" t="str">
        <f t="shared" si="17"/>
        <v>Treatment</v>
      </c>
      <c r="I539" s="8" t="b">
        <f>IF(D539&lt;2,FALSE,ISERROR(MATCH(H539,'Ontology and concepts per UC'!$A$2:$A$62,0)))</f>
        <v>0</v>
      </c>
      <c r="J539" s="9" t="str">
        <f t="shared" si="18"/>
        <v/>
      </c>
      <c r="K539" s="8" t="b">
        <f>IF(D539&lt;3,FALSE,ISERROR(MATCH(J539,'Ontology and concepts per UC'!$A$2:$A$62,0)))</f>
        <v>0</v>
      </c>
      <c r="L539" s="2"/>
      <c r="M539" s="2" t="s">
        <v>1513</v>
      </c>
      <c r="N539" s="2" t="s">
        <v>1514</v>
      </c>
      <c r="O539" s="1" t="b">
        <v>0</v>
      </c>
      <c r="P539" s="1">
        <v>1</v>
      </c>
      <c r="Q539" s="1">
        <v>4</v>
      </c>
      <c r="R539" s="1" t="b">
        <f t="shared" si="19"/>
        <v>1</v>
      </c>
      <c r="S539" s="2" t="s">
        <v>107</v>
      </c>
      <c r="T539" s="1" t="str">
        <f>IF(S539="","",VLOOKUP(S539,'Ontology and concepts per UC'!$F$2:$J$46,5,FALSE))</f>
        <v>Parcial</v>
      </c>
      <c r="U539" s="1" t="b">
        <f t="array" ref="U539">(INDEX('Ontology and concepts per UC'!$G$2:$I$46,MATCH($S539,'Ontology and concepts per UC'!$F$2:$F$46,0),MATCH(LEFT($A539,3),'Ontology and concepts per UC'!$G$1:$I$1,0))=0)</f>
        <v>0</v>
      </c>
      <c r="V539" s="1" t="b">
        <f t="shared" si="20"/>
        <v>1</v>
      </c>
      <c r="W539" s="1" t="b">
        <v>1</v>
      </c>
      <c r="X539" s="1" t="b">
        <v>0</v>
      </c>
      <c r="Y539" s="1" t="b">
        <v>0</v>
      </c>
      <c r="Z539" s="1" t="b">
        <v>0</v>
      </c>
      <c r="AA539" s="1" t="s">
        <v>1515</v>
      </c>
    </row>
    <row r="540" spans="1:27" x14ac:dyDescent="0.25">
      <c r="A540" s="1" t="s">
        <v>1330</v>
      </c>
      <c r="B540" s="2" t="s">
        <v>1516</v>
      </c>
      <c r="C540" s="2" t="s">
        <v>1512</v>
      </c>
      <c r="D540" s="6">
        <f t="shared" si="14"/>
        <v>2</v>
      </c>
      <c r="E540" s="7" t="str">
        <f t="shared" si="15"/>
        <v>PharmacologicalTreatment</v>
      </c>
      <c r="F540" s="8" t="b">
        <f>IF(D540&lt;1,FALSE,ISERROR(MATCH(E540,'Ontology and concepts per UC'!$A$2:$A$62,0)))</f>
        <v>1</v>
      </c>
      <c r="G540" s="9" t="str">
        <f t="shared" si="16"/>
        <v>Treatment</v>
      </c>
      <c r="H540" s="9" t="str">
        <f t="shared" si="17"/>
        <v>Treatment</v>
      </c>
      <c r="I540" s="8" t="b">
        <f>IF(D540&lt;2,FALSE,ISERROR(MATCH(H540,'Ontology and concepts per UC'!$A$2:$A$62,0)))</f>
        <v>0</v>
      </c>
      <c r="J540" s="9" t="str">
        <f t="shared" si="18"/>
        <v/>
      </c>
      <c r="K540" s="8" t="b">
        <f>IF(D540&lt;3,FALSE,ISERROR(MATCH(J540,'Ontology and concepts per UC'!$A$2:$A$62,0)))</f>
        <v>0</v>
      </c>
      <c r="L540" s="2"/>
      <c r="M540" s="2" t="s">
        <v>1517</v>
      </c>
      <c r="N540" s="2" t="s">
        <v>1518</v>
      </c>
      <c r="O540" s="1" t="b">
        <v>0</v>
      </c>
      <c r="P540" s="1">
        <v>1</v>
      </c>
      <c r="Q540" s="1">
        <v>4</v>
      </c>
      <c r="R540" s="1" t="b">
        <f t="shared" si="19"/>
        <v>1</v>
      </c>
      <c r="S540" s="2" t="s">
        <v>62</v>
      </c>
      <c r="T540" s="1" t="str">
        <f>IF(S540="","",VLOOKUP(S540,'Ontology and concepts per UC'!$F$2:$J$46,5,FALSE))</f>
        <v>Tratamiento/seguimiento</v>
      </c>
      <c r="U540" s="1" t="b">
        <f t="array" ref="U540">(INDEX('Ontology and concepts per UC'!$G$2:$I$46,MATCH($S540,'Ontology and concepts per UC'!$F$2:$F$46,0),MATCH(LEFT($A540,3),'Ontology and concepts per UC'!$G$1:$I$1,0))=0)</f>
        <v>0</v>
      </c>
      <c r="V540" s="1" t="b">
        <f t="shared" si="20"/>
        <v>1</v>
      </c>
      <c r="W540" s="1" t="b">
        <v>1</v>
      </c>
      <c r="X540" s="1" t="b">
        <v>0</v>
      </c>
      <c r="Y540" s="1" t="b">
        <v>0</v>
      </c>
      <c r="Z540" s="1" t="b">
        <v>0</v>
      </c>
      <c r="AA540" s="1" t="s">
        <v>1515</v>
      </c>
    </row>
    <row r="541" spans="1:27" x14ac:dyDescent="0.25">
      <c r="A541" s="1" t="s">
        <v>1330</v>
      </c>
      <c r="B541" s="2" t="s">
        <v>1519</v>
      </c>
      <c r="C541" s="2" t="s">
        <v>1520</v>
      </c>
      <c r="D541" s="6">
        <f t="shared" si="14"/>
        <v>3</v>
      </c>
      <c r="E541" s="7" t="str">
        <f t="shared" si="15"/>
        <v>TimeToOnset</v>
      </c>
      <c r="F541" s="8" t="b">
        <f>IF(D541&lt;1,FALSE,ISERROR(MATCH(E541,'Ontology and concepts per UC'!$A$2:$A$62,0)))</f>
        <v>1</v>
      </c>
      <c r="G541" s="9" t="str">
        <f t="shared" si="16"/>
        <v>DeterministicParameter; Parameter</v>
      </c>
      <c r="H541" s="9" t="str">
        <f t="shared" si="17"/>
        <v>DeterministicParameter</v>
      </c>
      <c r="I541" s="8" t="b">
        <f>IF(D541&lt;2,FALSE,ISERROR(MATCH(H541,'Ontology and concepts per UC'!$A$2:$A$62,0)))</f>
        <v>0</v>
      </c>
      <c r="J541" s="9" t="str">
        <f t="shared" si="18"/>
        <v>Parameter</v>
      </c>
      <c r="K541" s="8" t="b">
        <f>IF(D541&lt;3,FALSE,ISERROR(MATCH(J541,'Ontology and concepts per UC'!$A$2:$A$62,0)))</f>
        <v>0</v>
      </c>
      <c r="L541" s="2" t="s">
        <v>1521</v>
      </c>
      <c r="M541" s="2" t="s">
        <v>1522</v>
      </c>
      <c r="N541" s="2" t="s">
        <v>1523</v>
      </c>
      <c r="O541" s="1" t="b">
        <v>0</v>
      </c>
      <c r="P541" s="1">
        <v>1</v>
      </c>
      <c r="Q541" s="1">
        <v>2</v>
      </c>
      <c r="R541" s="1" t="b">
        <f t="shared" si="19"/>
        <v>1</v>
      </c>
      <c r="S541" s="2" t="s">
        <v>367</v>
      </c>
      <c r="T541" s="1" t="str">
        <f>IF(S541="","",VLOOKUP(S541,'Ontology and concepts per UC'!$F$2:$J$46,5,FALSE))</f>
        <v>Parámetros de progresión</v>
      </c>
      <c r="U541" s="1" t="b">
        <f t="array" ref="U541">(INDEX('Ontology and concepts per UC'!$G$2:$I$46,MATCH($S541,'Ontology and concepts per UC'!$F$2:$F$46,0),MATCH(LEFT($A541,3),'Ontology and concepts per UC'!$G$1:$I$1,0))=0)</f>
        <v>0</v>
      </c>
      <c r="V541" s="1" t="b">
        <f t="shared" si="20"/>
        <v>1</v>
      </c>
      <c r="W541" s="1" t="b">
        <v>1</v>
      </c>
      <c r="X541" s="1" t="b">
        <v>0</v>
      </c>
      <c r="Y541" s="1" t="b">
        <v>0</v>
      </c>
      <c r="Z541" s="1" t="b">
        <v>0</v>
      </c>
      <c r="AA541" s="1" t="s">
        <v>1407</v>
      </c>
    </row>
    <row r="542" spans="1:27" x14ac:dyDescent="0.25">
      <c r="A542" s="1" t="s">
        <v>1330</v>
      </c>
      <c r="B542" s="2" t="s">
        <v>1524</v>
      </c>
      <c r="C542" s="2" t="s">
        <v>1520</v>
      </c>
      <c r="D542" s="6">
        <f t="shared" si="14"/>
        <v>3</v>
      </c>
      <c r="E542" s="7" t="str">
        <f t="shared" si="15"/>
        <v>TimeToOnset</v>
      </c>
      <c r="F542" s="8" t="b">
        <f>IF(D542&lt;1,FALSE,ISERROR(MATCH(E542,'Ontology and concepts per UC'!$A$2:$A$62,0)))</f>
        <v>1</v>
      </c>
      <c r="G542" s="9" t="str">
        <f t="shared" si="16"/>
        <v>DeterministicParameter; Parameter</v>
      </c>
      <c r="H542" s="9" t="str">
        <f t="shared" si="17"/>
        <v>DeterministicParameter</v>
      </c>
      <c r="I542" s="8" t="b">
        <f>IF(D542&lt;2,FALSE,ISERROR(MATCH(H542,'Ontology and concepts per UC'!$A$2:$A$62,0)))</f>
        <v>0</v>
      </c>
      <c r="J542" s="9" t="str">
        <f t="shared" si="18"/>
        <v>Parameter</v>
      </c>
      <c r="K542" s="8" t="b">
        <f>IF(D542&lt;3,FALSE,ISERROR(MATCH(J542,'Ontology and concepts per UC'!$A$2:$A$62,0)))</f>
        <v>0</v>
      </c>
      <c r="L542" s="2" t="s">
        <v>1525</v>
      </c>
      <c r="M542" s="2" t="s">
        <v>1526</v>
      </c>
      <c r="N542" s="2" t="s">
        <v>1502</v>
      </c>
      <c r="O542" s="1" t="b">
        <v>0</v>
      </c>
      <c r="P542" s="1">
        <v>1</v>
      </c>
      <c r="Q542" s="1">
        <v>2</v>
      </c>
      <c r="R542" s="1" t="b">
        <f t="shared" si="19"/>
        <v>1</v>
      </c>
      <c r="S542" s="2" t="s">
        <v>50</v>
      </c>
      <c r="T542" s="1" t="str">
        <f>IF(S542="","",VLOOKUP(S542,'Ontology and concepts per UC'!$F$2:$J$46,5,FALSE))</f>
        <v>Parámetros de progresión</v>
      </c>
      <c r="U542" s="1" t="b">
        <f t="array" ref="U542">(INDEX('Ontology and concepts per UC'!$G$2:$I$46,MATCH($S542,'Ontology and concepts per UC'!$F$2:$F$46,0),MATCH(LEFT($A542,3),'Ontology and concepts per UC'!$G$1:$I$1,0))=0)</f>
        <v>0</v>
      </c>
      <c r="V542" s="1" t="b">
        <f t="shared" si="20"/>
        <v>1</v>
      </c>
      <c r="W542" s="1" t="b">
        <v>1</v>
      </c>
      <c r="X542" s="1" t="b">
        <v>0</v>
      </c>
      <c r="Y542" s="1" t="b">
        <v>0</v>
      </c>
      <c r="Z542" s="1" t="b">
        <v>0</v>
      </c>
      <c r="AA542" s="1" t="s">
        <v>1407</v>
      </c>
    </row>
    <row r="543" spans="1:27" x14ac:dyDescent="0.25">
      <c r="A543" s="1" t="s">
        <v>1330</v>
      </c>
      <c r="B543" s="2" t="s">
        <v>1527</v>
      </c>
      <c r="C543" s="2" t="s">
        <v>1528</v>
      </c>
      <c r="D543" s="6">
        <f t="shared" si="14"/>
        <v>3</v>
      </c>
      <c r="E543" s="7" t="str">
        <f t="shared" si="15"/>
        <v>TimeToOnset</v>
      </c>
      <c r="F543" s="8" t="b">
        <f>IF(D543&lt;1,FALSE,ISERROR(MATCH(E543,'Ontology and concepts per UC'!$A$2:$A$62,0)))</f>
        <v>1</v>
      </c>
      <c r="G543" s="9" t="str">
        <f t="shared" si="16"/>
        <v>Parameter; DeterministicParameter</v>
      </c>
      <c r="H543" s="9" t="str">
        <f t="shared" si="17"/>
        <v>Parameter</v>
      </c>
      <c r="I543" s="8" t="b">
        <f>IF(D543&lt;2,FALSE,ISERROR(MATCH(H543,'Ontology and concepts per UC'!$A$2:$A$62,0)))</f>
        <v>0</v>
      </c>
      <c r="J543" s="9" t="str">
        <f t="shared" si="18"/>
        <v>DeterministicParameter</v>
      </c>
      <c r="K543" s="8" t="b">
        <f>IF(D543&lt;3,FALSE,ISERROR(MATCH(J543,'Ontology and concepts per UC'!$A$2:$A$62,0)))</f>
        <v>0</v>
      </c>
      <c r="L543" s="2" t="s">
        <v>1529</v>
      </c>
      <c r="M543" s="2" t="s">
        <v>1530</v>
      </c>
      <c r="N543" s="2" t="s">
        <v>1406</v>
      </c>
      <c r="O543" s="1" t="b">
        <v>0</v>
      </c>
      <c r="P543" s="1">
        <v>1</v>
      </c>
      <c r="Q543" s="1">
        <v>2</v>
      </c>
      <c r="R543" s="1" t="b">
        <f t="shared" si="19"/>
        <v>1</v>
      </c>
      <c r="S543" s="2" t="s">
        <v>367</v>
      </c>
      <c r="T543" s="1" t="str">
        <f>IF(S543="","",VLOOKUP(S543,'Ontology and concepts per UC'!$F$2:$J$46,5,FALSE))</f>
        <v>Parámetros de progresión</v>
      </c>
      <c r="U543" s="1" t="b">
        <f t="array" ref="U543">(INDEX('Ontology and concepts per UC'!$G$2:$I$46,MATCH($S543,'Ontology and concepts per UC'!$F$2:$F$46,0),MATCH(LEFT($A543,3),'Ontology and concepts per UC'!$G$1:$I$1,0))=0)</f>
        <v>0</v>
      </c>
      <c r="V543" s="1" t="b">
        <f t="shared" si="20"/>
        <v>1</v>
      </c>
      <c r="W543" s="1" t="b">
        <v>1</v>
      </c>
      <c r="X543" s="1" t="b">
        <v>0</v>
      </c>
      <c r="Y543" s="1" t="b">
        <v>0</v>
      </c>
      <c r="Z543" s="1" t="b">
        <v>0</v>
      </c>
      <c r="AA543" s="1" t="s">
        <v>1407</v>
      </c>
    </row>
    <row r="544" spans="1:27" x14ac:dyDescent="0.25">
      <c r="A544" s="1" t="s">
        <v>1330</v>
      </c>
      <c r="B544" s="2" t="s">
        <v>1531</v>
      </c>
      <c r="C544" s="2" t="s">
        <v>1115</v>
      </c>
      <c r="D544" s="6">
        <f t="shared" si="14"/>
        <v>2</v>
      </c>
      <c r="E544" s="7" t="str">
        <f t="shared" si="15"/>
        <v>Utility</v>
      </c>
      <c r="F544" s="8" t="b">
        <f>IF(D544&lt;1,FALSE,ISERROR(MATCH(E544,'Ontology and concepts per UC'!$A$2:$A$62,0)))</f>
        <v>0</v>
      </c>
      <c r="G544" s="9" t="str">
        <f t="shared" si="16"/>
        <v>DeterministicParameter</v>
      </c>
      <c r="H544" s="9" t="str">
        <f t="shared" si="17"/>
        <v>DeterministicParameter</v>
      </c>
      <c r="I544" s="8" t="b">
        <f>IF(D544&lt;2,FALSE,ISERROR(MATCH(H544,'Ontology and concepts per UC'!$A$2:$A$62,0)))</f>
        <v>0</v>
      </c>
      <c r="J544" s="9" t="str">
        <f t="shared" si="18"/>
        <v/>
      </c>
      <c r="K544" s="8" t="b">
        <f>IF(D544&lt;3,FALSE,ISERROR(MATCH(J544,'Ontology and concepts per UC'!$A$2:$A$62,0)))</f>
        <v>0</v>
      </c>
      <c r="L544" s="2" t="s">
        <v>1154</v>
      </c>
      <c r="M544" s="2" t="s">
        <v>1532</v>
      </c>
      <c r="N544" s="2"/>
      <c r="O544" s="1" t="b">
        <v>0</v>
      </c>
      <c r="P544" s="1">
        <v>0</v>
      </c>
      <c r="Q544" s="1">
        <v>0</v>
      </c>
      <c r="R544" s="1" t="b">
        <f t="shared" si="19"/>
        <v>1</v>
      </c>
      <c r="S544" s="2" t="s">
        <v>70</v>
      </c>
      <c r="T544" s="1" t="str">
        <f>IF(S544="","",VLOOKUP(S544,'Ontology and concepts per UC'!$F$2:$J$46,5,FALSE))</f>
        <v>Utilidad</v>
      </c>
      <c r="U544" s="1" t="b">
        <f t="array" ref="U544">(INDEX('Ontology and concepts per UC'!$G$2:$I$46,MATCH($S544,'Ontology and concepts per UC'!$F$2:$F$46,0),MATCH(LEFT($A544,3),'Ontology and concepts per UC'!$G$1:$I$1,0))=0)</f>
        <v>0</v>
      </c>
      <c r="V544" s="1" t="b">
        <f t="shared" si="20"/>
        <v>0</v>
      </c>
      <c r="W544" s="1" t="b">
        <v>0</v>
      </c>
      <c r="X544" s="1" t="b">
        <v>0</v>
      </c>
      <c r="Y544" s="1" t="b">
        <v>0</v>
      </c>
      <c r="Z544" s="1" t="b">
        <v>0</v>
      </c>
      <c r="AA544" s="1"/>
    </row>
    <row r="545" spans="1:27" x14ac:dyDescent="0.25">
      <c r="A545" s="1" t="s">
        <v>1330</v>
      </c>
      <c r="B545" s="2" t="s">
        <v>1533</v>
      </c>
      <c r="C545" s="2" t="s">
        <v>1115</v>
      </c>
      <c r="D545" s="6">
        <f t="shared" si="14"/>
        <v>2</v>
      </c>
      <c r="E545" s="7" t="str">
        <f t="shared" si="15"/>
        <v>Utility</v>
      </c>
      <c r="F545" s="8" t="b">
        <f>IF(D545&lt;1,FALSE,ISERROR(MATCH(E545,'Ontology and concepts per UC'!$A$2:$A$62,0)))</f>
        <v>0</v>
      </c>
      <c r="G545" s="9" t="str">
        <f t="shared" si="16"/>
        <v>DeterministicParameter</v>
      </c>
      <c r="H545" s="9" t="str">
        <f t="shared" si="17"/>
        <v>DeterministicParameter</v>
      </c>
      <c r="I545" s="8" t="b">
        <f>IF(D545&lt;2,FALSE,ISERROR(MATCH(H545,'Ontology and concepts per UC'!$A$2:$A$62,0)))</f>
        <v>0</v>
      </c>
      <c r="J545" s="9" t="str">
        <f t="shared" si="18"/>
        <v/>
      </c>
      <c r="K545" s="8" t="b">
        <f>IF(D545&lt;3,FALSE,ISERROR(MATCH(J545,'Ontology and concepts per UC'!$A$2:$A$62,0)))</f>
        <v>0</v>
      </c>
      <c r="L545" s="2" t="s">
        <v>1420</v>
      </c>
      <c r="M545" s="2" t="s">
        <v>1534</v>
      </c>
      <c r="N545" s="2"/>
      <c r="O545" s="1" t="b">
        <v>0</v>
      </c>
      <c r="P545" s="1">
        <v>0</v>
      </c>
      <c r="Q545" s="1">
        <v>0</v>
      </c>
      <c r="R545" s="1" t="b">
        <f t="shared" si="19"/>
        <v>1</v>
      </c>
      <c r="S545" s="2" t="s">
        <v>69</v>
      </c>
      <c r="T545" s="1" t="str">
        <f>IF(S545="","",VLOOKUP(S545,'Ontology and concepts per UC'!$F$2:$J$46,5,FALSE))</f>
        <v>Utilidad</v>
      </c>
      <c r="U545" s="1" t="b">
        <f t="array" ref="U545">(INDEX('Ontology and concepts per UC'!$G$2:$I$46,MATCH($S545,'Ontology and concepts per UC'!$F$2:$F$46,0),MATCH(LEFT($A545,3),'Ontology and concepts per UC'!$G$1:$I$1,0))=0)</f>
        <v>0</v>
      </c>
      <c r="V545" s="1" t="b">
        <f t="shared" si="20"/>
        <v>0</v>
      </c>
      <c r="W545" s="1" t="b">
        <v>0</v>
      </c>
      <c r="X545" s="1" t="b">
        <v>0</v>
      </c>
      <c r="Y545" s="1" t="b">
        <v>0</v>
      </c>
      <c r="Z545" s="1" t="b">
        <v>0</v>
      </c>
      <c r="AA545" s="1"/>
    </row>
    <row r="546" spans="1:27" x14ac:dyDescent="0.25">
      <c r="A546" s="1" t="s">
        <v>1330</v>
      </c>
      <c r="B546" s="2" t="s">
        <v>1535</v>
      </c>
      <c r="C546" s="2"/>
      <c r="D546" s="6">
        <f t="shared" si="14"/>
        <v>0</v>
      </c>
      <c r="E546" s="7">
        <f t="shared" si="15"/>
        <v>0</v>
      </c>
      <c r="F546" s="8" t="b">
        <f>IF(D546&lt;1,FALSE,ISERROR(MATCH(E546,'Ontology and concepts per UC'!$A$2:$A$62,0)))</f>
        <v>0</v>
      </c>
      <c r="G546" s="9" t="str">
        <f t="shared" si="16"/>
        <v/>
      </c>
      <c r="H546" s="9" t="str">
        <f t="shared" si="17"/>
        <v/>
      </c>
      <c r="I546" s="8" t="b">
        <f>IF(D546&lt;2,FALSE,ISERROR(MATCH(H546,'Ontology and concepts per UC'!$A$2:$A$62,0)))</f>
        <v>0</v>
      </c>
      <c r="J546" s="9" t="str">
        <f t="shared" si="18"/>
        <v/>
      </c>
      <c r="K546" s="8" t="b">
        <f>IF(D546&lt;3,FALSE,ISERROR(MATCH(J546,'Ontology and concepts per UC'!$A$2:$A$62,0)))</f>
        <v>0</v>
      </c>
      <c r="L546" s="2"/>
      <c r="M546" s="2"/>
      <c r="N546" s="2"/>
      <c r="O546" s="1" t="b">
        <v>1</v>
      </c>
      <c r="P546" s="1">
        <v>0</v>
      </c>
      <c r="Q546" s="1">
        <v>0</v>
      </c>
      <c r="R546" s="1" t="b">
        <f t="shared" si="19"/>
        <v>0</v>
      </c>
      <c r="S546" s="2" t="s">
        <v>187</v>
      </c>
      <c r="T546" s="1" t="str">
        <f>IF(S546="","",VLOOKUP(S546,'Ontology and concepts per UC'!$F$2:$J$46,5,FALSE))</f>
        <v>Otros</v>
      </c>
      <c r="U546" s="1" t="b">
        <f t="array" ref="U546">(INDEX('Ontology and concepts per UC'!$G$2:$I$46,MATCH($S546,'Ontology and concepts per UC'!$F$2:$F$46,0),MATCH(LEFT($A546,3),'Ontology and concepts per UC'!$G$1:$I$1,0))=0)</f>
        <v>1</v>
      </c>
      <c r="V546" s="1" t="b">
        <f t="shared" si="20"/>
        <v>1</v>
      </c>
      <c r="W546" s="1" t="b">
        <v>1</v>
      </c>
      <c r="X546" s="1" t="b">
        <v>0</v>
      </c>
      <c r="Y546" s="1" t="b">
        <v>1</v>
      </c>
      <c r="Z546" s="1" t="b">
        <v>0</v>
      </c>
      <c r="AA546" s="1" t="s">
        <v>1101</v>
      </c>
    </row>
    <row r="547" spans="1:27" x14ac:dyDescent="0.25">
      <c r="A547" s="1" t="s">
        <v>1536</v>
      </c>
      <c r="B547" s="2" t="s">
        <v>1537</v>
      </c>
      <c r="C547" s="2" t="s">
        <v>192</v>
      </c>
      <c r="D547" s="6">
        <f t="shared" si="14"/>
        <v>1</v>
      </c>
      <c r="E547" s="7" t="str">
        <f t="shared" si="15"/>
        <v>AcuteManifestation</v>
      </c>
      <c r="F547" s="8" t="b">
        <f>IF(D547&lt;1,FALSE,ISERROR(MATCH(E547,'Ontology and concepts per UC'!$A$2:$A$62,0)))</f>
        <v>0</v>
      </c>
      <c r="G547" s="9" t="str">
        <f t="shared" si="16"/>
        <v/>
      </c>
      <c r="H547" s="9" t="str">
        <f t="shared" si="17"/>
        <v/>
      </c>
      <c r="I547" s="8" t="b">
        <f>IF(D547&lt;2,FALSE,ISERROR(MATCH(H547,'Ontology and concepts per UC'!$A$2:$A$62,0)))</f>
        <v>0</v>
      </c>
      <c r="J547" s="9" t="str">
        <f t="shared" si="18"/>
        <v/>
      </c>
      <c r="K547" s="8" t="b">
        <f>IF(D547&lt;3,FALSE,ISERROR(MATCH(J547,'Ontology and concepts per UC'!$A$2:$A$62,0)))</f>
        <v>0</v>
      </c>
      <c r="L547" s="2" t="s">
        <v>1538</v>
      </c>
      <c r="M547" s="2" t="s">
        <v>1539</v>
      </c>
      <c r="N547" s="2"/>
      <c r="O547" s="1" t="b">
        <v>0</v>
      </c>
      <c r="P547" s="1">
        <v>0</v>
      </c>
      <c r="Q547" s="1">
        <v>0</v>
      </c>
      <c r="R547" s="1" t="b">
        <f t="shared" si="19"/>
        <v>0</v>
      </c>
      <c r="S547" s="2" t="s">
        <v>325</v>
      </c>
      <c r="T547" s="1" t="str">
        <f>IF(S547="","",VLOOKUP(S547,'Ontology and concepts per UC'!$F$2:$J$46,5,FALSE))</f>
        <v>Modelo Conceptual</v>
      </c>
      <c r="U547" s="1" t="b">
        <f t="array" ref="U547">(INDEX('Ontology and concepts per UC'!$G$2:$I$46,MATCH($S547,'Ontology and concepts per UC'!$F$2:$F$46,0),MATCH(LEFT($A547,3),'Ontology and concepts per UC'!$G$1:$I$1,0))=0)</f>
        <v>0</v>
      </c>
      <c r="V547" s="1" t="b">
        <f t="shared" si="20"/>
        <v>0</v>
      </c>
      <c r="W547" s="1" t="b">
        <v>0</v>
      </c>
      <c r="X547" s="1" t="b">
        <v>0</v>
      </c>
      <c r="Y547" s="1" t="b">
        <v>0</v>
      </c>
      <c r="Z547" s="1" t="b">
        <v>0</v>
      </c>
      <c r="AA547" s="1"/>
    </row>
    <row r="548" spans="1:27" x14ac:dyDescent="0.25">
      <c r="A548" s="1" t="s">
        <v>1536</v>
      </c>
      <c r="B548" s="2" t="s">
        <v>1540</v>
      </c>
      <c r="C548" s="2" t="s">
        <v>192</v>
      </c>
      <c r="D548" s="6">
        <f t="shared" si="14"/>
        <v>1</v>
      </c>
      <c r="E548" s="7" t="str">
        <f t="shared" si="15"/>
        <v>AcuteManifestation</v>
      </c>
      <c r="F548" s="8" t="b">
        <f>IF(D548&lt;1,FALSE,ISERROR(MATCH(E548,'Ontology and concepts per UC'!$A$2:$A$62,0)))</f>
        <v>0</v>
      </c>
      <c r="G548" s="9" t="str">
        <f t="shared" si="16"/>
        <v/>
      </c>
      <c r="H548" s="9" t="str">
        <f t="shared" si="17"/>
        <v/>
      </c>
      <c r="I548" s="8" t="b">
        <f>IF(D548&lt;2,FALSE,ISERROR(MATCH(H548,'Ontology and concepts per UC'!$A$2:$A$62,0)))</f>
        <v>0</v>
      </c>
      <c r="J548" s="9" t="str">
        <f t="shared" si="18"/>
        <v/>
      </c>
      <c r="K548" s="8" t="b">
        <f>IF(D548&lt;3,FALSE,ISERROR(MATCH(J548,'Ontology and concepts per UC'!$A$2:$A$62,0)))</f>
        <v>0</v>
      </c>
      <c r="L548" s="2" t="s">
        <v>1541</v>
      </c>
      <c r="M548" s="2" t="s">
        <v>1542</v>
      </c>
      <c r="N548" s="2"/>
      <c r="O548" s="1" t="b">
        <v>0</v>
      </c>
      <c r="P548" s="1">
        <v>0</v>
      </c>
      <c r="Q548" s="1">
        <v>0</v>
      </c>
      <c r="R548" s="1" t="b">
        <f t="shared" si="19"/>
        <v>0</v>
      </c>
      <c r="S548" s="2" t="s">
        <v>31</v>
      </c>
      <c r="T548" s="1" t="str">
        <f>IF(S548="","",VLOOKUP(S548,'Ontology and concepts per UC'!$F$2:$J$46,5,FALSE))</f>
        <v>Modelo Conceptual</v>
      </c>
      <c r="U548" s="1" t="b">
        <f t="array" ref="U548">(INDEX('Ontology and concepts per UC'!$G$2:$I$46,MATCH($S548,'Ontology and concepts per UC'!$F$2:$F$46,0),MATCH(LEFT($A548,3),'Ontology and concepts per UC'!$G$1:$I$1,0))=0)</f>
        <v>0</v>
      </c>
      <c r="V548" s="1" t="b">
        <f t="shared" si="20"/>
        <v>0</v>
      </c>
      <c r="W548" s="1" t="b">
        <v>0</v>
      </c>
      <c r="X548" s="1" t="b">
        <v>0</v>
      </c>
      <c r="Y548" s="1" t="b">
        <v>0</v>
      </c>
      <c r="Z548" s="1" t="b">
        <v>0</v>
      </c>
      <c r="AA548" s="1"/>
    </row>
    <row r="549" spans="1:27" x14ac:dyDescent="0.25">
      <c r="A549" s="1" t="s">
        <v>1536</v>
      </c>
      <c r="B549" s="2" t="s">
        <v>1543</v>
      </c>
      <c r="C549" s="2" t="s">
        <v>192</v>
      </c>
      <c r="D549" s="6">
        <f t="shared" si="14"/>
        <v>1</v>
      </c>
      <c r="E549" s="7" t="str">
        <f t="shared" si="15"/>
        <v>AcuteManifestation</v>
      </c>
      <c r="F549" s="8" t="b">
        <f>IF(D549&lt;1,FALSE,ISERROR(MATCH(E549,'Ontology and concepts per UC'!$A$2:$A$62,0)))</f>
        <v>0</v>
      </c>
      <c r="G549" s="9" t="str">
        <f t="shared" si="16"/>
        <v/>
      </c>
      <c r="H549" s="9" t="str">
        <f t="shared" si="17"/>
        <v/>
      </c>
      <c r="I549" s="8" t="b">
        <f>IF(D549&lt;2,FALSE,ISERROR(MATCH(H549,'Ontology and concepts per UC'!$A$2:$A$62,0)))</f>
        <v>0</v>
      </c>
      <c r="J549" s="9" t="str">
        <f t="shared" si="18"/>
        <v/>
      </c>
      <c r="K549" s="8" t="b">
        <f>IF(D549&lt;3,FALSE,ISERROR(MATCH(J549,'Ontology and concepts per UC'!$A$2:$A$62,0)))</f>
        <v>0</v>
      </c>
      <c r="L549" s="2" t="s">
        <v>1544</v>
      </c>
      <c r="M549" s="2" t="s">
        <v>1545</v>
      </c>
      <c r="N549" s="2"/>
      <c r="O549" s="1" t="b">
        <v>0</v>
      </c>
      <c r="P549" s="1">
        <v>0</v>
      </c>
      <c r="Q549" s="1">
        <v>0</v>
      </c>
      <c r="R549" s="1" t="b">
        <f t="shared" si="19"/>
        <v>0</v>
      </c>
      <c r="S549" s="2" t="s">
        <v>17</v>
      </c>
      <c r="T549" s="1" t="str">
        <f>IF(S549="","",VLOOKUP(S549,'Ontology and concepts per UC'!$F$2:$J$46,5,FALSE))</f>
        <v>Modelo Conceptual</v>
      </c>
      <c r="U549" s="1" t="b">
        <f t="array" ref="U549">(INDEX('Ontology and concepts per UC'!$G$2:$I$46,MATCH($S549,'Ontology and concepts per UC'!$F$2:$F$46,0),MATCH(LEFT($A549,3),'Ontology and concepts per UC'!$G$1:$I$1,0))=0)</f>
        <v>0</v>
      </c>
      <c r="V549" s="1" t="b">
        <f t="shared" si="20"/>
        <v>0</v>
      </c>
      <c r="W549" s="1" t="b">
        <v>0</v>
      </c>
      <c r="X549" s="1" t="b">
        <v>0</v>
      </c>
      <c r="Y549" s="1" t="b">
        <v>0</v>
      </c>
      <c r="Z549" s="1" t="b">
        <v>0</v>
      </c>
      <c r="AA549" s="1"/>
    </row>
    <row r="550" spans="1:27" x14ac:dyDescent="0.25">
      <c r="A550" s="1" t="s">
        <v>1536</v>
      </c>
      <c r="B550" s="2" t="s">
        <v>1546</v>
      </c>
      <c r="C550" s="2" t="s">
        <v>192</v>
      </c>
      <c r="D550" s="6">
        <f t="shared" si="14"/>
        <v>1</v>
      </c>
      <c r="E550" s="7" t="str">
        <f t="shared" si="15"/>
        <v>AcuteManifestation</v>
      </c>
      <c r="F550" s="8" t="b">
        <f>IF(D550&lt;1,FALSE,ISERROR(MATCH(E550,'Ontology and concepts per UC'!$A$2:$A$62,0)))</f>
        <v>0</v>
      </c>
      <c r="G550" s="9" t="str">
        <f t="shared" si="16"/>
        <v/>
      </c>
      <c r="H550" s="9" t="str">
        <f t="shared" si="17"/>
        <v/>
      </c>
      <c r="I550" s="8" t="b">
        <f>IF(D550&lt;2,FALSE,ISERROR(MATCH(H550,'Ontology and concepts per UC'!$A$2:$A$62,0)))</f>
        <v>0</v>
      </c>
      <c r="J550" s="9" t="str">
        <f t="shared" si="18"/>
        <v/>
      </c>
      <c r="K550" s="8" t="b">
        <f>IF(D550&lt;3,FALSE,ISERROR(MATCH(J550,'Ontology and concepts per UC'!$A$2:$A$62,0)))</f>
        <v>0</v>
      </c>
      <c r="L550" s="2" t="s">
        <v>1547</v>
      </c>
      <c r="M550" s="2" t="s">
        <v>1548</v>
      </c>
      <c r="N550" s="2"/>
      <c r="O550" s="1" t="b">
        <v>0</v>
      </c>
      <c r="P550" s="1">
        <v>0</v>
      </c>
      <c r="Q550" s="1">
        <v>0</v>
      </c>
      <c r="R550" s="1" t="b">
        <f t="shared" si="19"/>
        <v>0</v>
      </c>
      <c r="S550" s="2" t="s">
        <v>325</v>
      </c>
      <c r="T550" s="1" t="str">
        <f>IF(S550="","",VLOOKUP(S550,'Ontology and concepts per UC'!$F$2:$J$46,5,FALSE))</f>
        <v>Modelo Conceptual</v>
      </c>
      <c r="U550" s="1" t="b">
        <f t="array" ref="U550">(INDEX('Ontology and concepts per UC'!$G$2:$I$46,MATCH($S550,'Ontology and concepts per UC'!$F$2:$F$46,0),MATCH(LEFT($A550,3),'Ontology and concepts per UC'!$G$1:$I$1,0))=0)</f>
        <v>0</v>
      </c>
      <c r="V550" s="1" t="b">
        <f t="shared" si="20"/>
        <v>0</v>
      </c>
      <c r="W550" s="1" t="b">
        <v>0</v>
      </c>
      <c r="X550" s="1" t="b">
        <v>0</v>
      </c>
      <c r="Y550" s="1" t="b">
        <v>0</v>
      </c>
      <c r="Z550" s="1" t="b">
        <v>0</v>
      </c>
      <c r="AA550" s="1"/>
    </row>
    <row r="551" spans="1:27" x14ac:dyDescent="0.25">
      <c r="A551" s="1" t="s">
        <v>1536</v>
      </c>
      <c r="B551" s="2" t="s">
        <v>1549</v>
      </c>
      <c r="C551" s="2" t="s">
        <v>192</v>
      </c>
      <c r="D551" s="6">
        <f t="shared" si="14"/>
        <v>1</v>
      </c>
      <c r="E551" s="7" t="str">
        <f t="shared" si="15"/>
        <v>AcuteManifestation</v>
      </c>
      <c r="F551" s="8" t="b">
        <f>IF(D551&lt;1,FALSE,ISERROR(MATCH(E551,'Ontology and concepts per UC'!$A$2:$A$62,0)))</f>
        <v>0</v>
      </c>
      <c r="G551" s="9" t="str">
        <f t="shared" si="16"/>
        <v/>
      </c>
      <c r="H551" s="9" t="str">
        <f t="shared" si="17"/>
        <v/>
      </c>
      <c r="I551" s="8" t="b">
        <f>IF(D551&lt;2,FALSE,ISERROR(MATCH(H551,'Ontology and concepts per UC'!$A$2:$A$62,0)))</f>
        <v>0</v>
      </c>
      <c r="J551" s="9" t="str">
        <f t="shared" si="18"/>
        <v/>
      </c>
      <c r="K551" s="8" t="b">
        <f>IF(D551&lt;3,FALSE,ISERROR(MATCH(J551,'Ontology and concepts per UC'!$A$2:$A$62,0)))</f>
        <v>0</v>
      </c>
      <c r="L551" s="2" t="s">
        <v>1550</v>
      </c>
      <c r="M551" s="2" t="s">
        <v>1551</v>
      </c>
      <c r="N551" s="2"/>
      <c r="O551" s="1" t="b">
        <v>0</v>
      </c>
      <c r="P551" s="1">
        <v>0</v>
      </c>
      <c r="Q551" s="1">
        <v>0</v>
      </c>
      <c r="R551" s="1" t="b">
        <f t="shared" si="19"/>
        <v>0</v>
      </c>
      <c r="S551" s="2" t="s">
        <v>30</v>
      </c>
      <c r="T551" s="1" t="str">
        <f>IF(S551="","",VLOOKUP(S551,'Ontology and concepts per UC'!$F$2:$J$46,5,FALSE))</f>
        <v>Modelo Conceptual</v>
      </c>
      <c r="U551" s="1" t="b">
        <f t="array" ref="U551">(INDEX('Ontology and concepts per UC'!$G$2:$I$46,MATCH($S551,'Ontology and concepts per UC'!$F$2:$F$46,0),MATCH(LEFT($A551,3),'Ontology and concepts per UC'!$G$1:$I$1,0))=0)</f>
        <v>0</v>
      </c>
      <c r="V551" s="1" t="b">
        <f t="shared" si="20"/>
        <v>0</v>
      </c>
      <c r="W551" s="1" t="b">
        <v>0</v>
      </c>
      <c r="X551" s="1" t="b">
        <v>0</v>
      </c>
      <c r="Y551" s="1" t="b">
        <v>0</v>
      </c>
      <c r="Z551" s="1" t="b">
        <v>0</v>
      </c>
      <c r="AA551" s="1"/>
    </row>
    <row r="552" spans="1:27" x14ac:dyDescent="0.25">
      <c r="A552" s="1" t="s">
        <v>1536</v>
      </c>
      <c r="B552" s="2" t="s">
        <v>1552</v>
      </c>
      <c r="C552" s="2" t="s">
        <v>27</v>
      </c>
      <c r="D552" s="6">
        <f t="shared" si="14"/>
        <v>1</v>
      </c>
      <c r="E552" s="7" t="str">
        <f t="shared" si="15"/>
        <v>ChronicManifestation</v>
      </c>
      <c r="F552" s="8" t="b">
        <f>IF(D552&lt;1,FALSE,ISERROR(MATCH(E552,'Ontology and concepts per UC'!$A$2:$A$62,0)))</f>
        <v>0</v>
      </c>
      <c r="G552" s="9" t="str">
        <f t="shared" si="16"/>
        <v/>
      </c>
      <c r="H552" s="9" t="str">
        <f t="shared" si="17"/>
        <v/>
      </c>
      <c r="I552" s="8" t="b">
        <f>IF(D552&lt;2,FALSE,ISERROR(MATCH(H552,'Ontology and concepts per UC'!$A$2:$A$62,0)))</f>
        <v>0</v>
      </c>
      <c r="J552" s="9" t="str">
        <f t="shared" si="18"/>
        <v/>
      </c>
      <c r="K552" s="8" t="b">
        <f>IF(D552&lt;3,FALSE,ISERROR(MATCH(J552,'Ontology and concepts per UC'!$A$2:$A$62,0)))</f>
        <v>0</v>
      </c>
      <c r="L552" s="2" t="s">
        <v>1553</v>
      </c>
      <c r="M552" s="2" t="s">
        <v>1130</v>
      </c>
      <c r="N552" s="2"/>
      <c r="O552" s="1" t="b">
        <v>0</v>
      </c>
      <c r="P552" s="1">
        <v>0</v>
      </c>
      <c r="Q552" s="1">
        <v>0</v>
      </c>
      <c r="R552" s="1" t="b">
        <f t="shared" si="19"/>
        <v>0</v>
      </c>
      <c r="S552" s="2" t="s">
        <v>325</v>
      </c>
      <c r="T552" s="1" t="str">
        <f>IF(S552="","",VLOOKUP(S552,'Ontology and concepts per UC'!$F$2:$J$46,5,FALSE))</f>
        <v>Modelo Conceptual</v>
      </c>
      <c r="U552" s="1" t="b">
        <f t="array" ref="U552">(INDEX('Ontology and concepts per UC'!$G$2:$I$46,MATCH($S552,'Ontology and concepts per UC'!$F$2:$F$46,0),MATCH(LEFT($A552,3),'Ontology and concepts per UC'!$G$1:$I$1,0))=0)</f>
        <v>0</v>
      </c>
      <c r="V552" s="1" t="b">
        <f t="shared" si="20"/>
        <v>0</v>
      </c>
      <c r="W552" s="1" t="b">
        <v>0</v>
      </c>
      <c r="X552" s="1" t="b">
        <v>0</v>
      </c>
      <c r="Y552" s="1" t="b">
        <v>0</v>
      </c>
      <c r="Z552" s="1" t="b">
        <v>0</v>
      </c>
      <c r="AA552" s="1"/>
    </row>
    <row r="553" spans="1:27" x14ac:dyDescent="0.25">
      <c r="A553" s="1" t="s">
        <v>1536</v>
      </c>
      <c r="B553" s="2" t="s">
        <v>1554</v>
      </c>
      <c r="C553" s="2" t="s">
        <v>27</v>
      </c>
      <c r="D553" s="6">
        <f t="shared" si="14"/>
        <v>1</v>
      </c>
      <c r="E553" s="7" t="str">
        <f t="shared" si="15"/>
        <v>ChronicManifestation</v>
      </c>
      <c r="F553" s="8" t="b">
        <f>IF(D553&lt;1,FALSE,ISERROR(MATCH(E553,'Ontology and concepts per UC'!$A$2:$A$62,0)))</f>
        <v>0</v>
      </c>
      <c r="G553" s="9" t="str">
        <f t="shared" si="16"/>
        <v/>
      </c>
      <c r="H553" s="9" t="str">
        <f t="shared" si="17"/>
        <v/>
      </c>
      <c r="I553" s="8" t="b">
        <f>IF(D553&lt;2,FALSE,ISERROR(MATCH(H553,'Ontology and concepts per UC'!$A$2:$A$62,0)))</f>
        <v>0</v>
      </c>
      <c r="J553" s="9" t="str">
        <f t="shared" si="18"/>
        <v/>
      </c>
      <c r="K553" s="8" t="b">
        <f>IF(D553&lt;3,FALSE,ISERROR(MATCH(J553,'Ontology and concepts per UC'!$A$2:$A$62,0)))</f>
        <v>0</v>
      </c>
      <c r="L553" s="2" t="s">
        <v>1555</v>
      </c>
      <c r="M553" s="2" t="s">
        <v>1556</v>
      </c>
      <c r="N553" s="2"/>
      <c r="O553" s="1" t="b">
        <v>0</v>
      </c>
      <c r="P553" s="1">
        <v>0</v>
      </c>
      <c r="Q553" s="1">
        <v>0</v>
      </c>
      <c r="R553" s="1" t="b">
        <f t="shared" si="19"/>
        <v>0</v>
      </c>
      <c r="S553" s="2" t="s">
        <v>325</v>
      </c>
      <c r="T553" s="1" t="str">
        <f>IF(S553="","",VLOOKUP(S553,'Ontology and concepts per UC'!$F$2:$J$46,5,FALSE))</f>
        <v>Modelo Conceptual</v>
      </c>
      <c r="U553" s="1" t="b">
        <f t="array" ref="U553">(INDEX('Ontology and concepts per UC'!$G$2:$I$46,MATCH($S553,'Ontology and concepts per UC'!$F$2:$F$46,0),MATCH(LEFT($A553,3),'Ontology and concepts per UC'!$G$1:$I$1,0))=0)</f>
        <v>0</v>
      </c>
      <c r="V553" s="1" t="b">
        <f t="shared" si="20"/>
        <v>0</v>
      </c>
      <c r="W553" s="1" t="b">
        <v>0</v>
      </c>
      <c r="X553" s="1" t="b">
        <v>0</v>
      </c>
      <c r="Y553" s="1" t="b">
        <v>0</v>
      </c>
      <c r="Z553" s="1" t="b">
        <v>0</v>
      </c>
      <c r="AA553" s="1"/>
    </row>
    <row r="554" spans="1:27" x14ac:dyDescent="0.25">
      <c r="A554" s="1" t="s">
        <v>1536</v>
      </c>
      <c r="B554" s="2" t="s">
        <v>1557</v>
      </c>
      <c r="C554" s="2" t="s">
        <v>27</v>
      </c>
      <c r="D554" s="6">
        <f t="shared" si="14"/>
        <v>1</v>
      </c>
      <c r="E554" s="7" t="str">
        <f t="shared" si="15"/>
        <v>ChronicManifestation</v>
      </c>
      <c r="F554" s="8" t="b">
        <f>IF(D554&lt;1,FALSE,ISERROR(MATCH(E554,'Ontology and concepts per UC'!$A$2:$A$62,0)))</f>
        <v>0</v>
      </c>
      <c r="G554" s="9" t="str">
        <f t="shared" si="16"/>
        <v/>
      </c>
      <c r="H554" s="9" t="str">
        <f t="shared" si="17"/>
        <v/>
      </c>
      <c r="I554" s="8" t="b">
        <f>IF(D554&lt;2,FALSE,ISERROR(MATCH(H554,'Ontology and concepts per UC'!$A$2:$A$62,0)))</f>
        <v>0</v>
      </c>
      <c r="J554" s="9" t="str">
        <f t="shared" si="18"/>
        <v/>
      </c>
      <c r="K554" s="8" t="b">
        <f>IF(D554&lt;3,FALSE,ISERROR(MATCH(J554,'Ontology and concepts per UC'!$A$2:$A$62,0)))</f>
        <v>0</v>
      </c>
      <c r="L554" s="2" t="s">
        <v>1558</v>
      </c>
      <c r="M554" s="2" t="s">
        <v>1559</v>
      </c>
      <c r="N554" s="2"/>
      <c r="O554" s="1" t="b">
        <v>0</v>
      </c>
      <c r="P554" s="1">
        <v>0</v>
      </c>
      <c r="Q554" s="1">
        <v>0</v>
      </c>
      <c r="R554" s="1" t="b">
        <f t="shared" si="19"/>
        <v>0</v>
      </c>
      <c r="S554" s="2" t="s">
        <v>26</v>
      </c>
      <c r="T554" s="1" t="str">
        <f>IF(S554="","",VLOOKUP(S554,'Ontology and concepts per UC'!$F$2:$J$46,5,FALSE))</f>
        <v>Modelo Conceptual</v>
      </c>
      <c r="U554" s="1" t="b">
        <f t="array" ref="U554">(INDEX('Ontology and concepts per UC'!$G$2:$I$46,MATCH($S554,'Ontology and concepts per UC'!$F$2:$F$46,0),MATCH(LEFT($A554,3),'Ontology and concepts per UC'!$G$1:$I$1,0))=0)</f>
        <v>0</v>
      </c>
      <c r="V554" s="1" t="b">
        <f t="shared" si="20"/>
        <v>0</v>
      </c>
      <c r="W554" s="1" t="b">
        <v>0</v>
      </c>
      <c r="X554" s="1" t="b">
        <v>0</v>
      </c>
      <c r="Y554" s="1" t="b">
        <v>0</v>
      </c>
      <c r="Z554" s="1" t="b">
        <v>0</v>
      </c>
      <c r="AA554" s="1"/>
    </row>
    <row r="555" spans="1:27" x14ac:dyDescent="0.25">
      <c r="A555" s="1" t="s">
        <v>1536</v>
      </c>
      <c r="B555" s="2" t="s">
        <v>1560</v>
      </c>
      <c r="C555" s="2" t="s">
        <v>27</v>
      </c>
      <c r="D555" s="6">
        <f t="shared" si="14"/>
        <v>1</v>
      </c>
      <c r="E555" s="7" t="str">
        <f t="shared" si="15"/>
        <v>ChronicManifestation</v>
      </c>
      <c r="F555" s="8" t="b">
        <f>IF(D555&lt;1,FALSE,ISERROR(MATCH(E555,'Ontology and concepts per UC'!$A$2:$A$62,0)))</f>
        <v>0</v>
      </c>
      <c r="G555" s="9" t="str">
        <f t="shared" si="16"/>
        <v/>
      </c>
      <c r="H555" s="9" t="str">
        <f t="shared" si="17"/>
        <v/>
      </c>
      <c r="I555" s="8" t="b">
        <f>IF(D555&lt;2,FALSE,ISERROR(MATCH(H555,'Ontology and concepts per UC'!$A$2:$A$62,0)))</f>
        <v>0</v>
      </c>
      <c r="J555" s="9" t="str">
        <f t="shared" si="18"/>
        <v/>
      </c>
      <c r="K555" s="8" t="b">
        <f>IF(D555&lt;3,FALSE,ISERROR(MATCH(J555,'Ontology and concepts per UC'!$A$2:$A$62,0)))</f>
        <v>0</v>
      </c>
      <c r="L555" s="2" t="s">
        <v>1561</v>
      </c>
      <c r="M555" s="2" t="s">
        <v>1137</v>
      </c>
      <c r="N555" s="2"/>
      <c r="O555" s="1" t="b">
        <v>0</v>
      </c>
      <c r="P555" s="1">
        <v>0</v>
      </c>
      <c r="Q555" s="1">
        <v>0</v>
      </c>
      <c r="R555" s="1" t="b">
        <f t="shared" si="19"/>
        <v>0</v>
      </c>
      <c r="S555" s="2" t="s">
        <v>28</v>
      </c>
      <c r="T555" s="1" t="str">
        <f>IF(S555="","",VLOOKUP(S555,'Ontology and concepts per UC'!$F$2:$J$46,5,FALSE))</f>
        <v>Modelo Conceptual</v>
      </c>
      <c r="U555" s="1" t="b">
        <f t="array" ref="U555">(INDEX('Ontology and concepts per UC'!$G$2:$I$46,MATCH($S555,'Ontology and concepts per UC'!$F$2:$F$46,0),MATCH(LEFT($A555,3),'Ontology and concepts per UC'!$G$1:$I$1,0))=0)</f>
        <v>0</v>
      </c>
      <c r="V555" s="1" t="b">
        <f t="shared" si="20"/>
        <v>0</v>
      </c>
      <c r="W555" s="1" t="b">
        <v>0</v>
      </c>
      <c r="X555" s="1" t="b">
        <v>0</v>
      </c>
      <c r="Y555" s="1" t="b">
        <v>0</v>
      </c>
      <c r="Z555" s="1" t="b">
        <v>0</v>
      </c>
      <c r="AA555" s="1"/>
    </row>
    <row r="556" spans="1:27" x14ac:dyDescent="0.25">
      <c r="A556" s="1" t="s">
        <v>1536</v>
      </c>
      <c r="B556" s="2" t="s">
        <v>1562</v>
      </c>
      <c r="C556" s="2" t="s">
        <v>27</v>
      </c>
      <c r="D556" s="6">
        <f t="shared" si="14"/>
        <v>1</v>
      </c>
      <c r="E556" s="7" t="str">
        <f t="shared" si="15"/>
        <v>ChronicManifestation</v>
      </c>
      <c r="F556" s="8" t="b">
        <f>IF(D556&lt;1,FALSE,ISERROR(MATCH(E556,'Ontology and concepts per UC'!$A$2:$A$62,0)))</f>
        <v>0</v>
      </c>
      <c r="G556" s="9" t="str">
        <f t="shared" si="16"/>
        <v/>
      </c>
      <c r="H556" s="9" t="str">
        <f t="shared" si="17"/>
        <v/>
      </c>
      <c r="I556" s="8" t="b">
        <f>IF(D556&lt;2,FALSE,ISERROR(MATCH(H556,'Ontology and concepts per UC'!$A$2:$A$62,0)))</f>
        <v>0</v>
      </c>
      <c r="J556" s="9" t="str">
        <f t="shared" si="18"/>
        <v/>
      </c>
      <c r="K556" s="8" t="b">
        <f>IF(D556&lt;3,FALSE,ISERROR(MATCH(J556,'Ontology and concepts per UC'!$A$2:$A$62,0)))</f>
        <v>0</v>
      </c>
      <c r="L556" s="2" t="s">
        <v>1563</v>
      </c>
      <c r="M556" s="2" t="s">
        <v>1564</v>
      </c>
      <c r="N556" s="2"/>
      <c r="O556" s="1" t="b">
        <v>0</v>
      </c>
      <c r="P556" s="1">
        <v>0</v>
      </c>
      <c r="Q556" s="1">
        <v>0</v>
      </c>
      <c r="R556" s="1" t="b">
        <f t="shared" si="19"/>
        <v>0</v>
      </c>
      <c r="S556" s="2" t="s">
        <v>29</v>
      </c>
      <c r="T556" s="1" t="str">
        <f>IF(S556="","",VLOOKUP(S556,'Ontology and concepts per UC'!$F$2:$J$46,5,FALSE))</f>
        <v>Modelo Conceptual</v>
      </c>
      <c r="U556" s="1" t="b">
        <f t="array" ref="U556">(INDEX('Ontology and concepts per UC'!$G$2:$I$46,MATCH($S556,'Ontology and concepts per UC'!$F$2:$F$46,0),MATCH(LEFT($A556,3),'Ontology and concepts per UC'!$G$1:$I$1,0))=0)</f>
        <v>0</v>
      </c>
      <c r="V556" s="1" t="b">
        <f t="shared" si="20"/>
        <v>0</v>
      </c>
      <c r="W556" s="1" t="b">
        <v>0</v>
      </c>
      <c r="X556" s="1" t="b">
        <v>0</v>
      </c>
      <c r="Y556" s="1" t="b">
        <v>0</v>
      </c>
      <c r="Z556" s="1" t="b">
        <v>0</v>
      </c>
      <c r="AA556" s="1"/>
    </row>
    <row r="557" spans="1:27" x14ac:dyDescent="0.25">
      <c r="A557" s="1" t="s">
        <v>1536</v>
      </c>
      <c r="B557" s="2" t="s">
        <v>1565</v>
      </c>
      <c r="C557" s="2" t="s">
        <v>27</v>
      </c>
      <c r="D557" s="6">
        <f t="shared" si="14"/>
        <v>1</v>
      </c>
      <c r="E557" s="7" t="str">
        <f t="shared" si="15"/>
        <v>ChronicManifestation</v>
      </c>
      <c r="F557" s="8" t="b">
        <f>IF(D557&lt;1,FALSE,ISERROR(MATCH(E557,'Ontology and concepts per UC'!$A$2:$A$62,0)))</f>
        <v>0</v>
      </c>
      <c r="G557" s="9" t="str">
        <f t="shared" si="16"/>
        <v/>
      </c>
      <c r="H557" s="9" t="str">
        <f t="shared" si="17"/>
        <v/>
      </c>
      <c r="I557" s="8" t="b">
        <f>IF(D557&lt;2,FALSE,ISERROR(MATCH(H557,'Ontology and concepts per UC'!$A$2:$A$62,0)))</f>
        <v>0</v>
      </c>
      <c r="J557" s="9" t="str">
        <f t="shared" si="18"/>
        <v/>
      </c>
      <c r="K557" s="8" t="b">
        <f>IF(D557&lt;3,FALSE,ISERROR(MATCH(J557,'Ontology and concepts per UC'!$A$2:$A$62,0)))</f>
        <v>0</v>
      </c>
      <c r="L557" s="2" t="s">
        <v>1566</v>
      </c>
      <c r="M557" s="2" t="s">
        <v>132</v>
      </c>
      <c r="N557" s="2"/>
      <c r="O557" s="1" t="b">
        <v>0</v>
      </c>
      <c r="P557" s="1">
        <v>0</v>
      </c>
      <c r="Q557" s="1">
        <v>0</v>
      </c>
      <c r="R557" s="1" t="b">
        <f t="shared" si="19"/>
        <v>0</v>
      </c>
      <c r="S557" s="2" t="s">
        <v>32</v>
      </c>
      <c r="T557" s="1" t="str">
        <f>IF(S557="","",VLOOKUP(S557,'Ontology and concepts per UC'!$F$2:$J$46,5,FALSE))</f>
        <v>Modelo Conceptual</v>
      </c>
      <c r="U557" s="1" t="b">
        <f t="array" ref="U557">(INDEX('Ontology and concepts per UC'!$G$2:$I$46,MATCH($S557,'Ontology and concepts per UC'!$F$2:$F$46,0),MATCH(LEFT($A557,3),'Ontology and concepts per UC'!$G$1:$I$1,0))=0)</f>
        <v>0</v>
      </c>
      <c r="V557" s="1" t="b">
        <f t="shared" si="20"/>
        <v>0</v>
      </c>
      <c r="W557" s="1" t="b">
        <v>0</v>
      </c>
      <c r="X557" s="1" t="b">
        <v>0</v>
      </c>
      <c r="Y557" s="1" t="b">
        <v>0</v>
      </c>
      <c r="Z557" s="1" t="b">
        <v>0</v>
      </c>
      <c r="AA557" s="1"/>
    </row>
    <row r="558" spans="1:27" x14ac:dyDescent="0.25">
      <c r="A558" s="1" t="s">
        <v>1536</v>
      </c>
      <c r="B558" s="2" t="s">
        <v>1567</v>
      </c>
      <c r="C558" s="2" t="s">
        <v>201</v>
      </c>
      <c r="D558" s="6">
        <f t="shared" si="14"/>
        <v>1</v>
      </c>
      <c r="E558" s="7" t="str">
        <f t="shared" si="15"/>
        <v>DeterministicParameter</v>
      </c>
      <c r="F558" s="8" t="b">
        <f>IF(D558&lt;1,FALSE,ISERROR(MATCH(E558,'Ontology and concepts per UC'!$A$2:$A$62,0)))</f>
        <v>0</v>
      </c>
      <c r="G558" s="9" t="str">
        <f t="shared" si="16"/>
        <v/>
      </c>
      <c r="H558" s="9" t="str">
        <f t="shared" si="17"/>
        <v/>
      </c>
      <c r="I558" s="8" t="b">
        <f>IF(D558&lt;2,FALSE,ISERROR(MATCH(H558,'Ontology and concepts per UC'!$A$2:$A$62,0)))</f>
        <v>0</v>
      </c>
      <c r="J558" s="9" t="str">
        <f t="shared" si="18"/>
        <v/>
      </c>
      <c r="K558" s="8" t="b">
        <f>IF(D558&lt;3,FALSE,ISERROR(MATCH(J558,'Ontology and concepts per UC'!$A$2:$A$62,0)))</f>
        <v>0</v>
      </c>
      <c r="L558" s="2" t="s">
        <v>1568</v>
      </c>
      <c r="M558" s="2" t="s">
        <v>1569</v>
      </c>
      <c r="N558" s="2"/>
      <c r="O558" s="1" t="b">
        <v>0</v>
      </c>
      <c r="P558" s="1">
        <v>0</v>
      </c>
      <c r="Q558" s="1">
        <v>0</v>
      </c>
      <c r="R558" s="1" t="b">
        <f t="shared" si="19"/>
        <v>1</v>
      </c>
      <c r="S558" s="2" t="s">
        <v>47</v>
      </c>
      <c r="T558" s="1" t="str">
        <f>IF(S558="","",VLOOKUP(S558,'Ontology and concepts per UC'!$F$2:$J$46,5,FALSE))</f>
        <v>Parámetros de intervención</v>
      </c>
      <c r="U558" s="1" t="b">
        <f t="array" ref="U558">(INDEX('Ontology and concepts per UC'!$G$2:$I$46,MATCH($S558,'Ontology and concepts per UC'!$F$2:$F$46,0),MATCH(LEFT($A558,3),'Ontology and concepts per UC'!$G$1:$I$1,0))=0)</f>
        <v>0</v>
      </c>
      <c r="V558" s="1" t="b">
        <f t="shared" si="20"/>
        <v>0</v>
      </c>
      <c r="W558" s="1" t="b">
        <v>0</v>
      </c>
      <c r="X558" s="1" t="b">
        <v>0</v>
      </c>
      <c r="Y558" s="1" t="b">
        <v>0</v>
      </c>
      <c r="Z558" s="1" t="b">
        <v>0</v>
      </c>
      <c r="AA558" s="1"/>
    </row>
    <row r="559" spans="1:27" x14ac:dyDescent="0.25">
      <c r="A559" s="1" t="s">
        <v>1536</v>
      </c>
      <c r="B559" s="2" t="s">
        <v>1570</v>
      </c>
      <c r="C559" s="2" t="s">
        <v>201</v>
      </c>
      <c r="D559" s="6">
        <f t="shared" si="14"/>
        <v>1</v>
      </c>
      <c r="E559" s="7" t="str">
        <f t="shared" si="15"/>
        <v>DeterministicParameter</v>
      </c>
      <c r="F559" s="8" t="b">
        <f>IF(D559&lt;1,FALSE,ISERROR(MATCH(E559,'Ontology and concepts per UC'!$A$2:$A$62,0)))</f>
        <v>0</v>
      </c>
      <c r="G559" s="9" t="str">
        <f t="shared" si="16"/>
        <v/>
      </c>
      <c r="H559" s="9" t="str">
        <f t="shared" si="17"/>
        <v/>
      </c>
      <c r="I559" s="8" t="b">
        <f>IF(D559&lt;2,FALSE,ISERROR(MATCH(H559,'Ontology and concepts per UC'!$A$2:$A$62,0)))</f>
        <v>0</v>
      </c>
      <c r="J559" s="9" t="str">
        <f t="shared" si="18"/>
        <v/>
      </c>
      <c r="K559" s="8" t="b">
        <f>IF(D559&lt;3,FALSE,ISERROR(MATCH(J559,'Ontology and concepts per UC'!$A$2:$A$62,0)))</f>
        <v>0</v>
      </c>
      <c r="L559" s="2" t="s">
        <v>1571</v>
      </c>
      <c r="M559" s="2" t="s">
        <v>1572</v>
      </c>
      <c r="N559" s="2"/>
      <c r="O559" s="1" t="b">
        <v>0</v>
      </c>
      <c r="P559" s="1">
        <v>0</v>
      </c>
      <c r="Q559" s="1">
        <v>0</v>
      </c>
      <c r="R559" s="1" t="b">
        <f t="shared" si="19"/>
        <v>1</v>
      </c>
      <c r="S559" s="2" t="s">
        <v>46</v>
      </c>
      <c r="T559" s="1" t="str">
        <f>IF(S559="","",VLOOKUP(S559,'Ontology and concepts per UC'!$F$2:$J$46,5,FALSE))</f>
        <v>Parámetros de intervención</v>
      </c>
      <c r="U559" s="1" t="b">
        <f t="array" ref="U559">(INDEX('Ontology and concepts per UC'!$G$2:$I$46,MATCH($S559,'Ontology and concepts per UC'!$F$2:$F$46,0),MATCH(LEFT($A559,3),'Ontology and concepts per UC'!$G$1:$I$1,0))=0)</f>
        <v>0</v>
      </c>
      <c r="V559" s="1" t="b">
        <f t="shared" si="20"/>
        <v>0</v>
      </c>
      <c r="W559" s="1" t="b">
        <v>0</v>
      </c>
      <c r="X559" s="1" t="b">
        <v>0</v>
      </c>
      <c r="Y559" s="1" t="b">
        <v>0</v>
      </c>
      <c r="Z559" s="1" t="b">
        <v>0</v>
      </c>
      <c r="AA559" s="1"/>
    </row>
    <row r="560" spans="1:27" x14ac:dyDescent="0.25">
      <c r="A560" s="1" t="s">
        <v>1536</v>
      </c>
      <c r="B560" s="2" t="s">
        <v>1573</v>
      </c>
      <c r="C560" s="2" t="s">
        <v>23</v>
      </c>
      <c r="D560" s="6">
        <f t="shared" si="14"/>
        <v>1</v>
      </c>
      <c r="E560" s="7" t="str">
        <f t="shared" si="15"/>
        <v>DiagnosisIntervention</v>
      </c>
      <c r="F560" s="8" t="b">
        <f>IF(D560&lt;1,FALSE,ISERROR(MATCH(E560,'Ontology and concepts per UC'!$A$2:$A$62,0)))</f>
        <v>0</v>
      </c>
      <c r="G560" s="9" t="str">
        <f t="shared" si="16"/>
        <v/>
      </c>
      <c r="H560" s="9" t="str">
        <f t="shared" si="17"/>
        <v/>
      </c>
      <c r="I560" s="8" t="b">
        <f>IF(D560&lt;2,FALSE,ISERROR(MATCH(H560,'Ontology and concepts per UC'!$A$2:$A$62,0)))</f>
        <v>0</v>
      </c>
      <c r="J560" s="9" t="str">
        <f t="shared" si="18"/>
        <v/>
      </c>
      <c r="K560" s="8" t="b">
        <f>IF(D560&lt;3,FALSE,ISERROR(MATCH(J560,'Ontology and concepts per UC'!$A$2:$A$62,0)))</f>
        <v>0</v>
      </c>
      <c r="L560" s="2"/>
      <c r="M560" s="2" t="s">
        <v>1574</v>
      </c>
      <c r="N560" s="2"/>
      <c r="O560" s="1" t="b">
        <v>0</v>
      </c>
      <c r="P560" s="1">
        <v>0</v>
      </c>
      <c r="Q560" s="1">
        <v>0</v>
      </c>
      <c r="R560" s="1" t="b">
        <f t="shared" si="19"/>
        <v>0</v>
      </c>
      <c r="S560" s="2" t="s">
        <v>22</v>
      </c>
      <c r="T560" s="1" t="str">
        <f>IF(S560="","",VLOOKUP(S560,'Ontology and concepts per UC'!$F$2:$J$46,5,FALSE))</f>
        <v>Modelo Conceptual</v>
      </c>
      <c r="U560" s="1" t="b">
        <f t="array" ref="U560">(INDEX('Ontology and concepts per UC'!$G$2:$I$46,MATCH($S560,'Ontology and concepts per UC'!$F$2:$F$46,0),MATCH(LEFT($A560,3),'Ontology and concepts per UC'!$G$1:$I$1,0))=0)</f>
        <v>0</v>
      </c>
      <c r="V560" s="1" t="b">
        <f t="shared" si="20"/>
        <v>0</v>
      </c>
      <c r="W560" s="1" t="b">
        <v>0</v>
      </c>
      <c r="X560" s="1" t="b">
        <v>0</v>
      </c>
      <c r="Y560" s="1" t="b">
        <v>0</v>
      </c>
      <c r="Z560" s="1" t="b">
        <v>0</v>
      </c>
      <c r="AA560" s="1"/>
    </row>
    <row r="561" spans="1:27" x14ac:dyDescent="0.25">
      <c r="A561" s="1" t="s">
        <v>1536</v>
      </c>
      <c r="B561" s="2" t="s">
        <v>1575</v>
      </c>
      <c r="C561" s="2" t="s">
        <v>1576</v>
      </c>
      <c r="D561" s="6">
        <f t="shared" si="14"/>
        <v>1</v>
      </c>
      <c r="E561" s="7" t="str">
        <f t="shared" si="15"/>
        <v>DiscreteEventSimulationModel</v>
      </c>
      <c r="F561" s="8" t="b">
        <f>IF(D561&lt;1,FALSE,ISERROR(MATCH(E561,'Ontology and concepts per UC'!$A$2:$A$62,0)))</f>
        <v>0</v>
      </c>
      <c r="G561" s="9" t="str">
        <f t="shared" si="16"/>
        <v/>
      </c>
      <c r="H561" s="9" t="str">
        <f t="shared" si="17"/>
        <v/>
      </c>
      <c r="I561" s="8" t="b">
        <f>IF(D561&lt;2,FALSE,ISERROR(MATCH(H561,'Ontology and concepts per UC'!$A$2:$A$62,0)))</f>
        <v>0</v>
      </c>
      <c r="J561" s="9" t="str">
        <f t="shared" si="18"/>
        <v/>
      </c>
      <c r="K561" s="8" t="b">
        <f>IF(D561&lt;3,FALSE,ISERROR(MATCH(J561,'Ontology and concepts per UC'!$A$2:$A$62,0)))</f>
        <v>0</v>
      </c>
      <c r="L561" s="2" t="s">
        <v>1577</v>
      </c>
      <c r="M561" s="2" t="s">
        <v>1578</v>
      </c>
      <c r="N561" s="2"/>
      <c r="O561" s="1" t="b">
        <v>0</v>
      </c>
      <c r="P561" s="1">
        <v>0</v>
      </c>
      <c r="Q561" s="1">
        <v>0</v>
      </c>
      <c r="R561" s="1" t="b">
        <f t="shared" si="19"/>
        <v>0</v>
      </c>
      <c r="S561" s="2" t="s">
        <v>33</v>
      </c>
      <c r="T561" s="1" t="str">
        <f>IF(S561="","",VLOOKUP(S561,'Ontology and concepts per UC'!$F$2:$J$46,5,FALSE))</f>
        <v>Modelo Conceptual</v>
      </c>
      <c r="U561" s="1" t="b">
        <f t="array" ref="U561">(INDEX('Ontology and concepts per UC'!$G$2:$I$46,MATCH($S561,'Ontology and concepts per UC'!$F$2:$F$46,0),MATCH(LEFT($A561,3),'Ontology and concepts per UC'!$G$1:$I$1,0))=0)</f>
        <v>0</v>
      </c>
      <c r="V561" s="1" t="b">
        <f t="shared" si="20"/>
        <v>0</v>
      </c>
      <c r="W561" s="1" t="b">
        <v>0</v>
      </c>
      <c r="X561" s="1" t="b">
        <v>0</v>
      </c>
      <c r="Y561" s="1" t="b">
        <v>0</v>
      </c>
      <c r="Z561" s="1" t="b">
        <v>0</v>
      </c>
      <c r="AA561" s="1"/>
    </row>
    <row r="562" spans="1:27" x14ac:dyDescent="0.25">
      <c r="A562" s="1" t="s">
        <v>1536</v>
      </c>
      <c r="B562" s="2" t="s">
        <v>1579</v>
      </c>
      <c r="C562" s="2" t="s">
        <v>104</v>
      </c>
      <c r="D562" s="6">
        <f t="shared" si="14"/>
        <v>1</v>
      </c>
      <c r="E562" s="7" t="str">
        <f t="shared" si="15"/>
        <v>Disease</v>
      </c>
      <c r="F562" s="8" t="b">
        <f>IF(D562&lt;1,FALSE,ISERROR(MATCH(E562,'Ontology and concepts per UC'!$A$2:$A$62,0)))</f>
        <v>0</v>
      </c>
      <c r="G562" s="9" t="str">
        <f t="shared" si="16"/>
        <v/>
      </c>
      <c r="H562" s="9" t="str">
        <f t="shared" si="17"/>
        <v/>
      </c>
      <c r="I562" s="8" t="b">
        <f>IF(D562&lt;2,FALSE,ISERROR(MATCH(H562,'Ontology and concepts per UC'!$A$2:$A$62,0)))</f>
        <v>0</v>
      </c>
      <c r="J562" s="9" t="str">
        <f t="shared" si="18"/>
        <v/>
      </c>
      <c r="K562" s="8" t="b">
        <f>IF(D562&lt;3,FALSE,ISERROR(MATCH(J562,'Ontology and concepts per UC'!$A$2:$A$62,0)))</f>
        <v>0</v>
      </c>
      <c r="L562" s="2" t="s">
        <v>1580</v>
      </c>
      <c r="M562" s="2" t="s">
        <v>1581</v>
      </c>
      <c r="N562" s="2"/>
      <c r="O562" s="1" t="b">
        <v>0</v>
      </c>
      <c r="P562" s="1">
        <v>0</v>
      </c>
      <c r="Q562" s="1">
        <v>0</v>
      </c>
      <c r="R562" s="1" t="b">
        <f t="shared" si="19"/>
        <v>0</v>
      </c>
      <c r="S562" s="2" t="s">
        <v>35</v>
      </c>
      <c r="T562" s="1" t="str">
        <f>IF(S562="","",VLOOKUP(S562,'Ontology and concepts per UC'!$F$2:$J$46,5,FALSE))</f>
        <v>Modelo Conceptual</v>
      </c>
      <c r="U562" s="1" t="b">
        <f t="array" ref="U562">(INDEX('Ontology and concepts per UC'!$G$2:$I$46,MATCH($S562,'Ontology and concepts per UC'!$F$2:$F$46,0),MATCH(LEFT($A562,3),'Ontology and concepts per UC'!$G$1:$I$1,0))=0)</f>
        <v>0</v>
      </c>
      <c r="V562" s="1" t="b">
        <f t="shared" si="20"/>
        <v>1</v>
      </c>
      <c r="W562" s="1" t="b">
        <v>0</v>
      </c>
      <c r="X562" s="1" t="b">
        <v>0</v>
      </c>
      <c r="Y562" s="1" t="b">
        <v>0</v>
      </c>
      <c r="Z562" s="1" t="b">
        <v>1</v>
      </c>
      <c r="AA562" s="1" t="s">
        <v>197</v>
      </c>
    </row>
    <row r="563" spans="1:27" x14ac:dyDescent="0.25">
      <c r="A563" s="1" t="s">
        <v>1536</v>
      </c>
      <c r="B563" s="2" t="s">
        <v>1582</v>
      </c>
      <c r="C563" s="2" t="s">
        <v>1583</v>
      </c>
      <c r="D563" s="6">
        <f t="shared" si="14"/>
        <v>1</v>
      </c>
      <c r="E563" s="7" t="str">
        <f t="shared" si="15"/>
        <v>Drug</v>
      </c>
      <c r="F563" s="8" t="b">
        <f>IF(D563&lt;1,FALSE,ISERROR(MATCH(E563,'Ontology and concepts per UC'!$A$2:$A$62,0)))</f>
        <v>0</v>
      </c>
      <c r="G563" s="9" t="str">
        <f t="shared" si="16"/>
        <v/>
      </c>
      <c r="H563" s="9" t="str">
        <f t="shared" si="17"/>
        <v/>
      </c>
      <c r="I563" s="8" t="b">
        <f>IF(D563&lt;2,FALSE,ISERROR(MATCH(H563,'Ontology and concepts per UC'!$A$2:$A$62,0)))</f>
        <v>0</v>
      </c>
      <c r="J563" s="9" t="str">
        <f t="shared" si="18"/>
        <v/>
      </c>
      <c r="K563" s="8" t="b">
        <f>IF(D563&lt;3,FALSE,ISERROR(MATCH(J563,'Ontology and concepts per UC'!$A$2:$A$62,0)))</f>
        <v>0</v>
      </c>
      <c r="L563" s="2"/>
      <c r="M563" s="2" t="s">
        <v>1584</v>
      </c>
      <c r="N563" s="2"/>
      <c r="O563" s="1" t="b">
        <v>0</v>
      </c>
      <c r="P563" s="1">
        <v>0</v>
      </c>
      <c r="Q563" s="1">
        <v>0</v>
      </c>
      <c r="R563" s="1" t="b">
        <f t="shared" si="19"/>
        <v>0</v>
      </c>
      <c r="S563" s="2" t="s">
        <v>62</v>
      </c>
      <c r="T563" s="1" t="str">
        <f>IF(S563="","",VLOOKUP(S563,'Ontology and concepts per UC'!$F$2:$J$46,5,FALSE))</f>
        <v>Tratamiento/seguimiento</v>
      </c>
      <c r="U563" s="1" t="b">
        <f t="array" ref="U563">(INDEX('Ontology and concepts per UC'!$G$2:$I$46,MATCH($S563,'Ontology and concepts per UC'!$F$2:$F$46,0),MATCH(LEFT($A563,3),'Ontology and concepts per UC'!$G$1:$I$1,0))=0)</f>
        <v>0</v>
      </c>
      <c r="V563" s="1" t="b">
        <f t="shared" si="20"/>
        <v>0</v>
      </c>
      <c r="W563" s="1" t="b">
        <v>0</v>
      </c>
      <c r="X563" s="1" t="b">
        <v>0</v>
      </c>
      <c r="Y563" s="1" t="b">
        <v>0</v>
      </c>
      <c r="Z563" s="1" t="b">
        <v>0</v>
      </c>
      <c r="AA563" s="1"/>
    </row>
    <row r="564" spans="1:27" x14ac:dyDescent="0.25">
      <c r="A564" s="1" t="s">
        <v>1536</v>
      </c>
      <c r="B564" s="2" t="s">
        <v>1585</v>
      </c>
      <c r="C564" s="2" t="s">
        <v>208</v>
      </c>
      <c r="D564" s="6">
        <f t="shared" si="14"/>
        <v>1</v>
      </c>
      <c r="E564" s="7" t="str">
        <f t="shared" si="15"/>
        <v>EpidemiologicalParameter</v>
      </c>
      <c r="F564" s="8" t="b">
        <f>IF(D564&lt;1,FALSE,ISERROR(MATCH(E564,'Ontology and concepts per UC'!$A$2:$A$62,0)))</f>
        <v>0</v>
      </c>
      <c r="G564" s="9" t="str">
        <f t="shared" si="16"/>
        <v/>
      </c>
      <c r="H564" s="9" t="str">
        <f t="shared" si="17"/>
        <v/>
      </c>
      <c r="I564" s="8" t="b">
        <f>IF(D564&lt;2,FALSE,ISERROR(MATCH(H564,'Ontology and concepts per UC'!$A$2:$A$62,0)))</f>
        <v>0</v>
      </c>
      <c r="J564" s="9" t="str">
        <f t="shared" si="18"/>
        <v/>
      </c>
      <c r="K564" s="8" t="b">
        <f>IF(D564&lt;3,FALSE,ISERROR(MATCH(J564,'Ontology and concepts per UC'!$A$2:$A$62,0)))</f>
        <v>0</v>
      </c>
      <c r="L564" s="2" t="s">
        <v>1586</v>
      </c>
      <c r="M564" s="2" t="s">
        <v>1587</v>
      </c>
      <c r="N564" s="2"/>
      <c r="O564" s="1" t="b">
        <v>0</v>
      </c>
      <c r="P564" s="1">
        <v>0</v>
      </c>
      <c r="Q564" s="1">
        <v>0</v>
      </c>
      <c r="R564" s="1" t="b">
        <f t="shared" si="19"/>
        <v>1</v>
      </c>
      <c r="S564" s="2" t="s">
        <v>50</v>
      </c>
      <c r="T564" s="1" t="str">
        <f>IF(S564="","",VLOOKUP(S564,'Ontology and concepts per UC'!$F$2:$J$46,5,FALSE))</f>
        <v>Parámetros de progresión</v>
      </c>
      <c r="U564" s="1" t="b">
        <f t="array" ref="U564">(INDEX('Ontology and concepts per UC'!$G$2:$I$46,MATCH($S564,'Ontology and concepts per UC'!$F$2:$F$46,0),MATCH(LEFT($A564,3),'Ontology and concepts per UC'!$G$1:$I$1,0))=0)</f>
        <v>0</v>
      </c>
      <c r="V564" s="1" t="b">
        <f t="shared" si="20"/>
        <v>1</v>
      </c>
      <c r="W564" s="1" t="b">
        <v>0</v>
      </c>
      <c r="X564" s="1" t="b">
        <v>0</v>
      </c>
      <c r="Y564" s="1" t="b">
        <v>0</v>
      </c>
      <c r="Z564" s="1" t="b">
        <v>1</v>
      </c>
      <c r="AA564" s="1" t="s">
        <v>197</v>
      </c>
    </row>
    <row r="565" spans="1:27" x14ac:dyDescent="0.25">
      <c r="A565" s="1" t="s">
        <v>1536</v>
      </c>
      <c r="B565" s="2" t="s">
        <v>1588</v>
      </c>
      <c r="C565" s="2" t="s">
        <v>208</v>
      </c>
      <c r="D565" s="6">
        <f t="shared" si="14"/>
        <v>1</v>
      </c>
      <c r="E565" s="7" t="str">
        <f t="shared" si="15"/>
        <v>EpidemiologicalParameter</v>
      </c>
      <c r="F565" s="8" t="b">
        <f>IF(D565&lt;1,FALSE,ISERROR(MATCH(E565,'Ontology and concepts per UC'!$A$2:$A$62,0)))</f>
        <v>0</v>
      </c>
      <c r="G565" s="9" t="str">
        <f t="shared" si="16"/>
        <v/>
      </c>
      <c r="H565" s="9" t="str">
        <f t="shared" si="17"/>
        <v/>
      </c>
      <c r="I565" s="8" t="b">
        <f>IF(D565&lt;2,FALSE,ISERROR(MATCH(H565,'Ontology and concepts per UC'!$A$2:$A$62,0)))</f>
        <v>0</v>
      </c>
      <c r="J565" s="9" t="str">
        <f t="shared" si="18"/>
        <v/>
      </c>
      <c r="K565" s="8" t="b">
        <f>IF(D565&lt;3,FALSE,ISERROR(MATCH(J565,'Ontology and concepts per UC'!$A$2:$A$62,0)))</f>
        <v>0</v>
      </c>
      <c r="L565" s="2" t="s">
        <v>1586</v>
      </c>
      <c r="M565" s="2" t="s">
        <v>1589</v>
      </c>
      <c r="N565" s="2"/>
      <c r="O565" s="1" t="b">
        <v>0</v>
      </c>
      <c r="P565" s="1">
        <v>0</v>
      </c>
      <c r="Q565" s="1">
        <v>0</v>
      </c>
      <c r="R565" s="1" t="b">
        <f t="shared" si="19"/>
        <v>1</v>
      </c>
      <c r="S565" s="2" t="s">
        <v>58</v>
      </c>
      <c r="T565" s="1" t="str">
        <f>IF(S565="","",VLOOKUP(S565,'Ontology and concepts per UC'!$F$2:$J$46,5,FALSE))</f>
        <v>Parámetros de progresión</v>
      </c>
      <c r="U565" s="1" t="b">
        <f t="array" ref="U565">(INDEX('Ontology and concepts per UC'!$G$2:$I$46,MATCH($S565,'Ontology and concepts per UC'!$F$2:$F$46,0),MATCH(LEFT($A565,3),'Ontology and concepts per UC'!$G$1:$I$1,0))=0)</f>
        <v>0</v>
      </c>
      <c r="V565" s="1" t="b">
        <f t="shared" si="20"/>
        <v>0</v>
      </c>
      <c r="W565" s="1" t="b">
        <v>0</v>
      </c>
      <c r="X565" s="1" t="b">
        <v>0</v>
      </c>
      <c r="Y565" s="1" t="b">
        <v>0</v>
      </c>
      <c r="Z565" s="1" t="b">
        <v>0</v>
      </c>
      <c r="AA565" s="1"/>
    </row>
    <row r="566" spans="1:27" x14ac:dyDescent="0.25">
      <c r="A566" s="1" t="s">
        <v>1536</v>
      </c>
      <c r="B566" s="2" t="s">
        <v>1590</v>
      </c>
      <c r="C566" s="2" t="s">
        <v>208</v>
      </c>
      <c r="D566" s="6">
        <f t="shared" si="14"/>
        <v>1</v>
      </c>
      <c r="E566" s="7" t="str">
        <f t="shared" si="15"/>
        <v>EpidemiologicalParameter</v>
      </c>
      <c r="F566" s="8" t="b">
        <f>IF(D566&lt;1,FALSE,ISERROR(MATCH(E566,'Ontology and concepts per UC'!$A$2:$A$62,0)))</f>
        <v>0</v>
      </c>
      <c r="G566" s="9" t="str">
        <f t="shared" si="16"/>
        <v/>
      </c>
      <c r="H566" s="9" t="str">
        <f t="shared" si="17"/>
        <v/>
      </c>
      <c r="I566" s="8" t="b">
        <f>IF(D566&lt;2,FALSE,ISERROR(MATCH(H566,'Ontology and concepts per UC'!$A$2:$A$62,0)))</f>
        <v>0</v>
      </c>
      <c r="J566" s="9" t="str">
        <f t="shared" si="18"/>
        <v/>
      </c>
      <c r="K566" s="8" t="b">
        <f>IF(D566&lt;3,FALSE,ISERROR(MATCH(J566,'Ontology and concepts per UC'!$A$2:$A$62,0)))</f>
        <v>0</v>
      </c>
      <c r="L566" s="2" t="s">
        <v>1586</v>
      </c>
      <c r="M566" s="2" t="s">
        <v>1591</v>
      </c>
      <c r="N566" s="2"/>
      <c r="O566" s="1" t="b">
        <v>0</v>
      </c>
      <c r="P566" s="1">
        <v>0</v>
      </c>
      <c r="Q566" s="1">
        <v>0</v>
      </c>
      <c r="R566" s="1" t="b">
        <f t="shared" si="19"/>
        <v>1</v>
      </c>
      <c r="S566" s="2" t="s">
        <v>55</v>
      </c>
      <c r="T566" s="1" t="str">
        <f>IF(S566="","",VLOOKUP(S566,'Ontology and concepts per UC'!$F$2:$J$46,5,FALSE))</f>
        <v>Parámetros de progresión</v>
      </c>
      <c r="U566" s="1" t="b">
        <f t="array" ref="U566">(INDEX('Ontology and concepts per UC'!$G$2:$I$46,MATCH($S566,'Ontology and concepts per UC'!$F$2:$F$46,0),MATCH(LEFT($A566,3),'Ontology and concepts per UC'!$G$1:$I$1,0))=0)</f>
        <v>0</v>
      </c>
      <c r="V566" s="1" t="b">
        <f t="shared" si="20"/>
        <v>1</v>
      </c>
      <c r="W566" s="1" t="b">
        <v>0</v>
      </c>
      <c r="X566" s="1" t="b">
        <v>0</v>
      </c>
      <c r="Y566" s="1" t="b">
        <v>0</v>
      </c>
      <c r="Z566" s="1" t="b">
        <v>1</v>
      </c>
      <c r="AA566" s="1" t="s">
        <v>197</v>
      </c>
    </row>
    <row r="567" spans="1:27" x14ac:dyDescent="0.25">
      <c r="A567" s="1" t="s">
        <v>1536</v>
      </c>
      <c r="B567" s="2" t="s">
        <v>1592</v>
      </c>
      <c r="C567" s="2" t="s">
        <v>14</v>
      </c>
      <c r="D567" s="6">
        <f t="shared" si="14"/>
        <v>1</v>
      </c>
      <c r="E567" s="7" t="str">
        <f t="shared" si="15"/>
        <v>Population</v>
      </c>
      <c r="F567" s="8" t="b">
        <f>IF(D567&lt;1,FALSE,ISERROR(MATCH(E567,'Ontology and concepts per UC'!$A$2:$A$62,0)))</f>
        <v>0</v>
      </c>
      <c r="G567" s="9" t="str">
        <f t="shared" si="16"/>
        <v/>
      </c>
      <c r="H567" s="9" t="str">
        <f t="shared" si="17"/>
        <v/>
      </c>
      <c r="I567" s="8" t="b">
        <f>IF(D567&lt;2,FALSE,ISERROR(MATCH(H567,'Ontology and concepts per UC'!$A$2:$A$62,0)))</f>
        <v>0</v>
      </c>
      <c r="J567" s="9" t="str">
        <f t="shared" si="18"/>
        <v/>
      </c>
      <c r="K567" s="8" t="b">
        <f>IF(D567&lt;3,FALSE,ISERROR(MATCH(J567,'Ontology and concepts per UC'!$A$2:$A$62,0)))</f>
        <v>0</v>
      </c>
      <c r="L567" s="2" t="s">
        <v>1593</v>
      </c>
      <c r="M567" s="2" t="s">
        <v>1594</v>
      </c>
      <c r="N567" s="2"/>
      <c r="O567" s="1" t="b">
        <v>0</v>
      </c>
      <c r="P567" s="1">
        <v>0</v>
      </c>
      <c r="Q567" s="1">
        <v>0</v>
      </c>
      <c r="R567" s="1" t="b">
        <f t="shared" si="19"/>
        <v>0</v>
      </c>
      <c r="S567" s="2" t="s">
        <v>13</v>
      </c>
      <c r="T567" s="1" t="str">
        <f>IF(S567="","",VLOOKUP(S567,'Ontology and concepts per UC'!$F$2:$J$46,5,FALSE))</f>
        <v>Modelo Conceptual</v>
      </c>
      <c r="U567" s="1" t="b">
        <f t="array" ref="U567">(INDEX('Ontology and concepts per UC'!$G$2:$I$46,MATCH($S567,'Ontology and concepts per UC'!$F$2:$F$46,0),MATCH(LEFT($A567,3),'Ontology and concepts per UC'!$G$1:$I$1,0))=0)</f>
        <v>0</v>
      </c>
      <c r="V567" s="1" t="b">
        <f t="shared" si="20"/>
        <v>0</v>
      </c>
      <c r="W567" s="1" t="b">
        <v>0</v>
      </c>
      <c r="X567" s="1" t="b">
        <v>0</v>
      </c>
      <c r="Y567" s="1" t="b">
        <v>0</v>
      </c>
      <c r="Z567" s="1" t="b">
        <v>0</v>
      </c>
      <c r="AA567" s="1"/>
    </row>
    <row r="568" spans="1:27" x14ac:dyDescent="0.25">
      <c r="A568" s="1" t="s">
        <v>1536</v>
      </c>
      <c r="B568" s="2" t="s">
        <v>1595</v>
      </c>
      <c r="C568" s="2" t="s">
        <v>25</v>
      </c>
      <c r="D568" s="6">
        <f t="shared" si="14"/>
        <v>1</v>
      </c>
      <c r="E568" s="7" t="str">
        <f t="shared" si="15"/>
        <v>ScreeningIntervention</v>
      </c>
      <c r="F568" s="8" t="b">
        <f>IF(D568&lt;1,FALSE,ISERROR(MATCH(E568,'Ontology and concepts per UC'!$A$2:$A$62,0)))</f>
        <v>0</v>
      </c>
      <c r="G568" s="9" t="str">
        <f t="shared" si="16"/>
        <v/>
      </c>
      <c r="H568" s="9" t="str">
        <f t="shared" si="17"/>
        <v/>
      </c>
      <c r="I568" s="8" t="b">
        <f>IF(D568&lt;2,FALSE,ISERROR(MATCH(H568,'Ontology and concepts per UC'!$A$2:$A$62,0)))</f>
        <v>0</v>
      </c>
      <c r="J568" s="9" t="str">
        <f t="shared" si="18"/>
        <v/>
      </c>
      <c r="K568" s="8" t="b">
        <f>IF(D568&lt;3,FALSE,ISERROR(MATCH(J568,'Ontology and concepts per UC'!$A$2:$A$62,0)))</f>
        <v>0</v>
      </c>
      <c r="L568" s="2" t="s">
        <v>1596</v>
      </c>
      <c r="M568" s="2" t="s">
        <v>1597</v>
      </c>
      <c r="N568" s="2"/>
      <c r="O568" s="1" t="b">
        <v>0</v>
      </c>
      <c r="P568" s="1">
        <v>0</v>
      </c>
      <c r="Q568" s="1">
        <v>0</v>
      </c>
      <c r="R568" s="1" t="b">
        <f t="shared" si="19"/>
        <v>0</v>
      </c>
      <c r="S568" s="2" t="s">
        <v>24</v>
      </c>
      <c r="T568" s="1" t="str">
        <f>IF(S568="","",VLOOKUP(S568,'Ontology and concepts per UC'!$F$2:$J$46,5,FALSE))</f>
        <v>Modelo Conceptual</v>
      </c>
      <c r="U568" s="1" t="b">
        <f t="array" ref="U568">(INDEX('Ontology and concepts per UC'!$G$2:$I$46,MATCH($S568,'Ontology and concepts per UC'!$F$2:$F$46,0),MATCH(LEFT($A568,3),'Ontology and concepts per UC'!$G$1:$I$1,0))=0)</f>
        <v>0</v>
      </c>
      <c r="V568" s="1" t="b">
        <f t="shared" si="20"/>
        <v>0</v>
      </c>
      <c r="W568" s="1" t="b">
        <v>0</v>
      </c>
      <c r="X568" s="1" t="b">
        <v>0</v>
      </c>
      <c r="Y568" s="1" t="b">
        <v>0</v>
      </c>
      <c r="Z568" s="1" t="b">
        <v>0</v>
      </c>
      <c r="AA568" s="1"/>
    </row>
    <row r="569" spans="1:27" x14ac:dyDescent="0.25">
      <c r="A569" s="1" t="s">
        <v>1536</v>
      </c>
      <c r="B569" s="2" t="s">
        <v>1598</v>
      </c>
      <c r="C569" s="2" t="s">
        <v>219</v>
      </c>
      <c r="D569" s="6">
        <f t="shared" si="14"/>
        <v>1</v>
      </c>
      <c r="E569" s="7" t="str">
        <f t="shared" si="15"/>
        <v>Utility</v>
      </c>
      <c r="F569" s="8" t="b">
        <f>IF(D569&lt;1,FALSE,ISERROR(MATCH(E569,'Ontology and concepts per UC'!$A$2:$A$62,0)))</f>
        <v>0</v>
      </c>
      <c r="G569" s="9" t="str">
        <f t="shared" si="16"/>
        <v/>
      </c>
      <c r="H569" s="9" t="str">
        <f t="shared" si="17"/>
        <v/>
      </c>
      <c r="I569" s="8" t="b">
        <f>IF(D569&lt;2,FALSE,ISERROR(MATCH(H569,'Ontology and concepts per UC'!$A$2:$A$62,0)))</f>
        <v>0</v>
      </c>
      <c r="J569" s="9" t="str">
        <f t="shared" si="18"/>
        <v/>
      </c>
      <c r="K569" s="8" t="b">
        <f>IF(D569&lt;3,FALSE,ISERROR(MATCH(J569,'Ontology and concepts per UC'!$A$2:$A$62,0)))</f>
        <v>0</v>
      </c>
      <c r="L569" s="2"/>
      <c r="M569" s="2" t="s">
        <v>1599</v>
      </c>
      <c r="N569" s="2"/>
      <c r="O569" s="1" t="b">
        <v>0</v>
      </c>
      <c r="P569" s="1">
        <v>0</v>
      </c>
      <c r="Q569" s="1">
        <v>0</v>
      </c>
      <c r="R569" s="1" t="b">
        <f t="shared" si="19"/>
        <v>0</v>
      </c>
      <c r="S569" s="2" t="s">
        <v>174</v>
      </c>
      <c r="T569" s="1" t="str">
        <f>IF(S569="","",VLOOKUP(S569,'Ontology and concepts per UC'!$F$2:$J$46,5,FALSE))</f>
        <v>Utilidad</v>
      </c>
      <c r="U569" s="1" t="b">
        <f t="array" ref="U569">(INDEX('Ontology and concepts per UC'!$G$2:$I$46,MATCH($S569,'Ontology and concepts per UC'!$F$2:$F$46,0),MATCH(LEFT($A569,3),'Ontology and concepts per UC'!$G$1:$I$1,0))=0)</f>
        <v>0</v>
      </c>
      <c r="V569" s="1" t="b">
        <f t="shared" si="20"/>
        <v>0</v>
      </c>
      <c r="W569" s="1" t="b">
        <v>0</v>
      </c>
      <c r="X569" s="1" t="b">
        <v>0</v>
      </c>
      <c r="Y569" s="1" t="b">
        <v>0</v>
      </c>
      <c r="Z569" s="1" t="b">
        <v>0</v>
      </c>
      <c r="AA569" s="1"/>
    </row>
    <row r="570" spans="1:27" x14ac:dyDescent="0.25">
      <c r="A570" s="1" t="s">
        <v>1536</v>
      </c>
      <c r="B570" s="2" t="s">
        <v>1600</v>
      </c>
      <c r="C570" s="2" t="s">
        <v>219</v>
      </c>
      <c r="D570" s="6">
        <f t="shared" si="14"/>
        <v>1</v>
      </c>
      <c r="E570" s="7" t="str">
        <f t="shared" si="15"/>
        <v>Utility</v>
      </c>
      <c r="F570" s="8" t="b">
        <f>IF(D570&lt;1,FALSE,ISERROR(MATCH(E570,'Ontology and concepts per UC'!$A$2:$A$62,0)))</f>
        <v>0</v>
      </c>
      <c r="G570" s="9" t="str">
        <f t="shared" si="16"/>
        <v/>
      </c>
      <c r="H570" s="9" t="str">
        <f t="shared" si="17"/>
        <v/>
      </c>
      <c r="I570" s="8" t="b">
        <f>IF(D570&lt;2,FALSE,ISERROR(MATCH(H570,'Ontology and concepts per UC'!$A$2:$A$62,0)))</f>
        <v>0</v>
      </c>
      <c r="J570" s="9" t="str">
        <f t="shared" si="18"/>
        <v/>
      </c>
      <c r="K570" s="8" t="b">
        <f>IF(D570&lt;3,FALSE,ISERROR(MATCH(J570,'Ontology and concepts per UC'!$A$2:$A$62,0)))</f>
        <v>0</v>
      </c>
      <c r="L570" s="2"/>
      <c r="M570" s="2" t="s">
        <v>1601</v>
      </c>
      <c r="N570" s="2"/>
      <c r="O570" s="1" t="b">
        <v>0</v>
      </c>
      <c r="P570" s="1">
        <v>0</v>
      </c>
      <c r="Q570" s="1">
        <v>0</v>
      </c>
      <c r="R570" s="1" t="b">
        <f t="shared" si="19"/>
        <v>1</v>
      </c>
      <c r="S570" s="2" t="s">
        <v>174</v>
      </c>
      <c r="T570" s="1" t="str">
        <f>IF(S570="","",VLOOKUP(S570,'Ontology and concepts per UC'!$F$2:$J$46,5,FALSE))</f>
        <v>Utilidad</v>
      </c>
      <c r="U570" s="1" t="b">
        <f t="array" ref="U570">(INDEX('Ontology and concepts per UC'!$G$2:$I$46,MATCH($S570,'Ontology and concepts per UC'!$F$2:$F$46,0),MATCH(LEFT($A570,3),'Ontology and concepts per UC'!$G$1:$I$1,0))=0)</f>
        <v>0</v>
      </c>
      <c r="V570" s="1" t="b">
        <f t="shared" si="20"/>
        <v>1</v>
      </c>
      <c r="W570" s="1" t="b">
        <v>0</v>
      </c>
      <c r="X570" s="1" t="b">
        <v>0</v>
      </c>
      <c r="Y570" s="1" t="b">
        <v>0</v>
      </c>
      <c r="Z570" s="1" t="b">
        <v>1</v>
      </c>
      <c r="AA570" s="1" t="s">
        <v>197</v>
      </c>
    </row>
    <row r="571" spans="1:27" x14ac:dyDescent="0.25">
      <c r="A571" s="1" t="s">
        <v>1536</v>
      </c>
      <c r="B571" s="2" t="s">
        <v>1602</v>
      </c>
      <c r="C571" s="2" t="s">
        <v>219</v>
      </c>
      <c r="D571" s="6">
        <f t="shared" si="14"/>
        <v>1</v>
      </c>
      <c r="E571" s="7" t="str">
        <f t="shared" si="15"/>
        <v>Utility</v>
      </c>
      <c r="F571" s="8" t="b">
        <f>IF(D571&lt;1,FALSE,ISERROR(MATCH(E571,'Ontology and concepts per UC'!$A$2:$A$62,0)))</f>
        <v>0</v>
      </c>
      <c r="G571" s="9" t="str">
        <f t="shared" si="16"/>
        <v/>
      </c>
      <c r="H571" s="9" t="str">
        <f t="shared" si="17"/>
        <v/>
      </c>
      <c r="I571" s="8" t="b">
        <f>IF(D571&lt;2,FALSE,ISERROR(MATCH(H571,'Ontology and concepts per UC'!$A$2:$A$62,0)))</f>
        <v>0</v>
      </c>
      <c r="J571" s="9" t="str">
        <f t="shared" si="18"/>
        <v/>
      </c>
      <c r="K571" s="8" t="b">
        <f>IF(D571&lt;3,FALSE,ISERROR(MATCH(J571,'Ontology and concepts per UC'!$A$2:$A$62,0)))</f>
        <v>0</v>
      </c>
      <c r="L571" s="2"/>
      <c r="M571" s="2" t="s">
        <v>1603</v>
      </c>
      <c r="N571" s="2"/>
      <c r="O571" s="1" t="b">
        <v>0</v>
      </c>
      <c r="P571" s="1">
        <v>0</v>
      </c>
      <c r="Q571" s="1">
        <v>0</v>
      </c>
      <c r="R571" s="1" t="b">
        <f t="shared" si="19"/>
        <v>1</v>
      </c>
      <c r="S571" s="2" t="s">
        <v>65</v>
      </c>
      <c r="T571" s="1" t="str">
        <f>IF(S571="","",VLOOKUP(S571,'Ontology and concepts per UC'!$F$2:$J$46,5,FALSE))</f>
        <v>Utilidad</v>
      </c>
      <c r="U571" s="1" t="b">
        <f t="array" ref="U571">(INDEX('Ontology and concepts per UC'!$G$2:$I$46,MATCH($S571,'Ontology and concepts per UC'!$F$2:$F$46,0),MATCH(LEFT($A571,3),'Ontology and concepts per UC'!$G$1:$I$1,0))=0)</f>
        <v>0</v>
      </c>
      <c r="V571" s="1" t="b">
        <f t="shared" si="20"/>
        <v>0</v>
      </c>
      <c r="W571" s="1" t="b">
        <v>0</v>
      </c>
      <c r="X571" s="1" t="b">
        <v>0</v>
      </c>
      <c r="Y571" s="1" t="b">
        <v>0</v>
      </c>
      <c r="Z571" s="1" t="b">
        <v>0</v>
      </c>
      <c r="AA571" s="1"/>
    </row>
    <row r="572" spans="1:27" x14ac:dyDescent="0.25">
      <c r="A572" s="1" t="s">
        <v>1536</v>
      </c>
      <c r="B572" s="2" t="s">
        <v>1604</v>
      </c>
      <c r="C572" s="2"/>
      <c r="D572" s="6">
        <f t="shared" si="14"/>
        <v>0</v>
      </c>
      <c r="E572" s="7">
        <f t="shared" si="15"/>
        <v>0</v>
      </c>
      <c r="F572" s="8" t="b">
        <f>IF(D572&lt;1,FALSE,ISERROR(MATCH(E572,'Ontology and concepts per UC'!$A$2:$A$62,0)))</f>
        <v>0</v>
      </c>
      <c r="G572" s="9" t="str">
        <f t="shared" si="16"/>
        <v/>
      </c>
      <c r="H572" s="9" t="str">
        <f t="shared" si="17"/>
        <v/>
      </c>
      <c r="I572" s="8" t="b">
        <f>IF(D572&lt;2,FALSE,ISERROR(MATCH(H572,'Ontology and concepts per UC'!$A$2:$A$62,0)))</f>
        <v>0</v>
      </c>
      <c r="J572" s="9" t="str">
        <f t="shared" si="18"/>
        <v/>
      </c>
      <c r="K572" s="8" t="b">
        <f>IF(D572&lt;3,FALSE,ISERROR(MATCH(J572,'Ontology and concepts per UC'!$A$2:$A$62,0)))</f>
        <v>0</v>
      </c>
      <c r="L572" s="2"/>
      <c r="M572" s="2"/>
      <c r="N572" s="2"/>
      <c r="O572" s="1" t="b">
        <v>1</v>
      </c>
      <c r="P572" s="1">
        <v>0</v>
      </c>
      <c r="Q572" s="1">
        <v>0</v>
      </c>
      <c r="R572" s="1" t="b">
        <f t="shared" si="19"/>
        <v>0</v>
      </c>
      <c r="S572" s="2" t="s">
        <v>367</v>
      </c>
      <c r="T572" s="1" t="str">
        <f>IF(S572="","",VLOOKUP(S572,'Ontology and concepts per UC'!$F$2:$J$46,5,FALSE))</f>
        <v>Parámetros de progresión</v>
      </c>
      <c r="U572" s="1" t="b">
        <f t="array" ref="U572">(INDEX('Ontology and concepts per UC'!$G$2:$I$46,MATCH($S572,'Ontology and concepts per UC'!$F$2:$F$46,0),MATCH(LEFT($A572,3),'Ontology and concepts per UC'!$G$1:$I$1,0))=0)</f>
        <v>0</v>
      </c>
      <c r="V572" s="1" t="b">
        <f t="shared" si="20"/>
        <v>1</v>
      </c>
      <c r="W572" s="1" t="b">
        <v>1</v>
      </c>
      <c r="X572" s="1" t="b">
        <v>0</v>
      </c>
      <c r="Y572" s="1" t="b">
        <v>0</v>
      </c>
      <c r="Z572" s="1" t="b">
        <v>0</v>
      </c>
      <c r="AA572" s="1" t="s">
        <v>188</v>
      </c>
    </row>
    <row r="573" spans="1:27" x14ac:dyDescent="0.25">
      <c r="A573" s="1" t="s">
        <v>1536</v>
      </c>
      <c r="B573" s="2" t="s">
        <v>1605</v>
      </c>
      <c r="C573" s="2"/>
      <c r="D573" s="6">
        <f t="shared" si="14"/>
        <v>0</v>
      </c>
      <c r="E573" s="7">
        <f t="shared" si="15"/>
        <v>0</v>
      </c>
      <c r="F573" s="8" t="b">
        <f>IF(D573&lt;1,FALSE,ISERROR(MATCH(E573,'Ontology and concepts per UC'!$A$2:$A$62,0)))</f>
        <v>0</v>
      </c>
      <c r="G573" s="9" t="str">
        <f t="shared" si="16"/>
        <v/>
      </c>
      <c r="H573" s="9" t="str">
        <f t="shared" si="17"/>
        <v/>
      </c>
      <c r="I573" s="8" t="b">
        <f>IF(D573&lt;2,FALSE,ISERROR(MATCH(H573,'Ontology and concepts per UC'!$A$2:$A$62,0)))</f>
        <v>0</v>
      </c>
      <c r="J573" s="9" t="str">
        <f t="shared" si="18"/>
        <v/>
      </c>
      <c r="K573" s="8" t="b">
        <f>IF(D573&lt;3,FALSE,ISERROR(MATCH(J573,'Ontology and concepts per UC'!$A$2:$A$62,0)))</f>
        <v>0</v>
      </c>
      <c r="L573" s="2"/>
      <c r="M573" s="2"/>
      <c r="N573" s="2"/>
      <c r="O573" s="1" t="b">
        <v>1</v>
      </c>
      <c r="P573" s="1">
        <v>0</v>
      </c>
      <c r="Q573" s="1">
        <v>0</v>
      </c>
      <c r="R573" s="1" t="b">
        <f t="shared" si="19"/>
        <v>0</v>
      </c>
      <c r="S573" s="2" t="s">
        <v>174</v>
      </c>
      <c r="T573" s="1" t="str">
        <f>IF(S573="","",VLOOKUP(S573,'Ontology and concepts per UC'!$F$2:$J$46,5,FALSE))</f>
        <v>Utilidad</v>
      </c>
      <c r="U573" s="1" t="b">
        <f t="array" ref="U573">(INDEX('Ontology and concepts per UC'!$G$2:$I$46,MATCH($S573,'Ontology and concepts per UC'!$F$2:$F$46,0),MATCH(LEFT($A573,3),'Ontology and concepts per UC'!$G$1:$I$1,0))=0)</f>
        <v>0</v>
      </c>
      <c r="V573" s="1" t="b">
        <f t="shared" si="20"/>
        <v>1</v>
      </c>
      <c r="W573" s="1" t="b">
        <v>1</v>
      </c>
      <c r="X573" s="1" t="b">
        <v>0</v>
      </c>
      <c r="Y573" s="1" t="b">
        <v>0</v>
      </c>
      <c r="Z573" s="1" t="b">
        <v>0</v>
      </c>
      <c r="AA573" s="1" t="s">
        <v>188</v>
      </c>
    </row>
    <row r="574" spans="1:27" x14ac:dyDescent="0.25">
      <c r="A574" s="1" t="s">
        <v>1536</v>
      </c>
      <c r="B574" s="2" t="s">
        <v>1606</v>
      </c>
      <c r="C574" s="2"/>
      <c r="D574" s="6">
        <f t="shared" si="14"/>
        <v>0</v>
      </c>
      <c r="E574" s="7">
        <f t="shared" si="15"/>
        <v>0</v>
      </c>
      <c r="F574" s="8" t="b">
        <f>IF(D574&lt;1,FALSE,ISERROR(MATCH(E574,'Ontology and concepts per UC'!$A$2:$A$62,0)))</f>
        <v>0</v>
      </c>
      <c r="G574" s="9" t="str">
        <f t="shared" si="16"/>
        <v/>
      </c>
      <c r="H574" s="9" t="str">
        <f t="shared" si="17"/>
        <v/>
      </c>
      <c r="I574" s="8" t="b">
        <f>IF(D574&lt;2,FALSE,ISERROR(MATCH(H574,'Ontology and concepts per UC'!$A$2:$A$62,0)))</f>
        <v>0</v>
      </c>
      <c r="J574" s="9" t="str">
        <f t="shared" si="18"/>
        <v/>
      </c>
      <c r="K574" s="8" t="b">
        <f>IF(D574&lt;3,FALSE,ISERROR(MATCH(J574,'Ontology and concepts per UC'!$A$2:$A$62,0)))</f>
        <v>0</v>
      </c>
      <c r="L574" s="2"/>
      <c r="M574" s="2"/>
      <c r="N574" s="2"/>
      <c r="O574" s="1" t="b">
        <v>1</v>
      </c>
      <c r="P574" s="1">
        <v>0</v>
      </c>
      <c r="Q574" s="1">
        <v>0</v>
      </c>
      <c r="R574" s="1" t="b">
        <f t="shared" si="19"/>
        <v>0</v>
      </c>
      <c r="S574" s="2" t="s">
        <v>367</v>
      </c>
      <c r="T574" s="1" t="str">
        <f>IF(S574="","",VLOOKUP(S574,'Ontology and concepts per UC'!$F$2:$J$46,5,FALSE))</f>
        <v>Parámetros de progresión</v>
      </c>
      <c r="U574" s="1" t="b">
        <f t="array" ref="U574">(INDEX('Ontology and concepts per UC'!$G$2:$I$46,MATCH($S574,'Ontology and concepts per UC'!$F$2:$F$46,0),MATCH(LEFT($A574,3),'Ontology and concepts per UC'!$G$1:$I$1,0))=0)</f>
        <v>0</v>
      </c>
      <c r="V574" s="1" t="b">
        <f t="shared" si="20"/>
        <v>1</v>
      </c>
      <c r="W574" s="1" t="b">
        <v>1</v>
      </c>
      <c r="X574" s="1" t="b">
        <v>0</v>
      </c>
      <c r="Y574" s="1" t="b">
        <v>0</v>
      </c>
      <c r="Z574" s="1" t="b">
        <v>0</v>
      </c>
      <c r="AA574" s="1" t="s">
        <v>188</v>
      </c>
    </row>
    <row r="575" spans="1:27" x14ac:dyDescent="0.25">
      <c r="A575" s="1" t="s">
        <v>1536</v>
      </c>
      <c r="B575" s="2" t="s">
        <v>1607</v>
      </c>
      <c r="C575" s="2"/>
      <c r="D575" s="6">
        <f t="shared" si="14"/>
        <v>0</v>
      </c>
      <c r="E575" s="7">
        <f t="shared" si="15"/>
        <v>0</v>
      </c>
      <c r="F575" s="8" t="b">
        <f>IF(D575&lt;1,FALSE,ISERROR(MATCH(E575,'Ontology and concepts per UC'!$A$2:$A$62,0)))</f>
        <v>0</v>
      </c>
      <c r="G575" s="9" t="str">
        <f t="shared" si="16"/>
        <v/>
      </c>
      <c r="H575" s="9" t="str">
        <f t="shared" si="17"/>
        <v/>
      </c>
      <c r="I575" s="8" t="b">
        <f>IF(D575&lt;2,FALSE,ISERROR(MATCH(H575,'Ontology and concepts per UC'!$A$2:$A$62,0)))</f>
        <v>0</v>
      </c>
      <c r="J575" s="9" t="str">
        <f t="shared" si="18"/>
        <v/>
      </c>
      <c r="K575" s="8" t="b">
        <f>IF(D575&lt;3,FALSE,ISERROR(MATCH(J575,'Ontology and concepts per UC'!$A$2:$A$62,0)))</f>
        <v>0</v>
      </c>
      <c r="L575" s="2"/>
      <c r="M575" s="2"/>
      <c r="N575" s="2"/>
      <c r="O575" s="1" t="b">
        <v>1</v>
      </c>
      <c r="P575" s="1">
        <v>0</v>
      </c>
      <c r="Q575" s="1">
        <v>0</v>
      </c>
      <c r="R575" s="1" t="b">
        <f t="shared" si="19"/>
        <v>0</v>
      </c>
      <c r="S575" s="2" t="s">
        <v>367</v>
      </c>
      <c r="T575" s="1" t="str">
        <f>IF(S575="","",VLOOKUP(S575,'Ontology and concepts per UC'!$F$2:$J$46,5,FALSE))</f>
        <v>Parámetros de progresión</v>
      </c>
      <c r="U575" s="1" t="b">
        <f t="array" ref="U575">(INDEX('Ontology and concepts per UC'!$G$2:$I$46,MATCH($S575,'Ontology and concepts per UC'!$F$2:$F$46,0),MATCH(LEFT($A575,3),'Ontology and concepts per UC'!$G$1:$I$1,0))=0)</f>
        <v>0</v>
      </c>
      <c r="V575" s="1" t="b">
        <f t="shared" si="20"/>
        <v>1</v>
      </c>
      <c r="W575" s="1" t="b">
        <v>1</v>
      </c>
      <c r="X575" s="1" t="b">
        <v>0</v>
      </c>
      <c r="Y575" s="1" t="b">
        <v>0</v>
      </c>
      <c r="Z575" s="1" t="b">
        <v>0</v>
      </c>
      <c r="AA575" s="1" t="s">
        <v>188</v>
      </c>
    </row>
    <row r="576" spans="1:27" x14ac:dyDescent="0.25">
      <c r="A576" s="1" t="s">
        <v>1536</v>
      </c>
      <c r="B576" s="2" t="s">
        <v>1608</v>
      </c>
      <c r="C576" s="2"/>
      <c r="D576" s="6">
        <f t="shared" si="14"/>
        <v>0</v>
      </c>
      <c r="E576" s="7">
        <f t="shared" si="15"/>
        <v>0</v>
      </c>
      <c r="F576" s="8" t="b">
        <f>IF(D576&lt;1,FALSE,ISERROR(MATCH(E576,'Ontology and concepts per UC'!$A$2:$A$62,0)))</f>
        <v>0</v>
      </c>
      <c r="G576" s="9" t="str">
        <f t="shared" si="16"/>
        <v/>
      </c>
      <c r="H576" s="9" t="str">
        <f t="shared" si="17"/>
        <v/>
      </c>
      <c r="I576" s="8" t="b">
        <f>IF(D576&lt;2,FALSE,ISERROR(MATCH(H576,'Ontology and concepts per UC'!$A$2:$A$62,0)))</f>
        <v>0</v>
      </c>
      <c r="J576" s="9" t="str">
        <f t="shared" si="18"/>
        <v/>
      </c>
      <c r="K576" s="8" t="b">
        <f>IF(D576&lt;3,FALSE,ISERROR(MATCH(J576,'Ontology and concepts per UC'!$A$2:$A$62,0)))</f>
        <v>0</v>
      </c>
      <c r="L576" s="2"/>
      <c r="M576" s="2"/>
      <c r="N576" s="2"/>
      <c r="O576" s="1" t="b">
        <v>1</v>
      </c>
      <c r="P576" s="1">
        <v>0</v>
      </c>
      <c r="Q576" s="1">
        <v>0</v>
      </c>
      <c r="R576" s="1" t="b">
        <f t="shared" si="19"/>
        <v>0</v>
      </c>
      <c r="S576" s="2" t="s">
        <v>174</v>
      </c>
      <c r="T576" s="1" t="str">
        <f>IF(S576="","",VLOOKUP(S576,'Ontology and concepts per UC'!$F$2:$J$46,5,FALSE))</f>
        <v>Utilidad</v>
      </c>
      <c r="U576" s="1" t="b">
        <f t="array" ref="U576">(INDEX('Ontology and concepts per UC'!$G$2:$I$46,MATCH($S576,'Ontology and concepts per UC'!$F$2:$F$46,0),MATCH(LEFT($A576,3),'Ontology and concepts per UC'!$G$1:$I$1,0))=0)</f>
        <v>0</v>
      </c>
      <c r="V576" s="1" t="b">
        <f t="shared" si="20"/>
        <v>1</v>
      </c>
      <c r="W576" s="1" t="b">
        <v>1</v>
      </c>
      <c r="X576" s="1" t="b">
        <v>0</v>
      </c>
      <c r="Y576" s="1" t="b">
        <v>0</v>
      </c>
      <c r="Z576" s="1" t="b">
        <v>0</v>
      </c>
      <c r="AA576" s="1" t="s">
        <v>188</v>
      </c>
    </row>
    <row r="577" spans="1:27" x14ac:dyDescent="0.25">
      <c r="A577" s="1" t="s">
        <v>1536</v>
      </c>
      <c r="B577" s="2" t="s">
        <v>1609</v>
      </c>
      <c r="C577" s="2"/>
      <c r="D577" s="6">
        <f t="shared" si="14"/>
        <v>0</v>
      </c>
      <c r="E577" s="7">
        <f t="shared" si="15"/>
        <v>0</v>
      </c>
      <c r="F577" s="8" t="b">
        <f>IF(D577&lt;1,FALSE,ISERROR(MATCH(E577,'Ontology and concepts per UC'!$A$2:$A$62,0)))</f>
        <v>0</v>
      </c>
      <c r="G577" s="9" t="str">
        <f t="shared" si="16"/>
        <v/>
      </c>
      <c r="H577" s="9" t="str">
        <f t="shared" si="17"/>
        <v/>
      </c>
      <c r="I577" s="8" t="b">
        <f>IF(D577&lt;2,FALSE,ISERROR(MATCH(H577,'Ontology and concepts per UC'!$A$2:$A$62,0)))</f>
        <v>0</v>
      </c>
      <c r="J577" s="9" t="str">
        <f t="shared" si="18"/>
        <v/>
      </c>
      <c r="K577" s="8" t="b">
        <f>IF(D577&lt;3,FALSE,ISERROR(MATCH(J577,'Ontology and concepts per UC'!$A$2:$A$62,0)))</f>
        <v>0</v>
      </c>
      <c r="L577" s="2"/>
      <c r="M577" s="2"/>
      <c r="N577" s="2"/>
      <c r="O577" s="1" t="b">
        <v>1</v>
      </c>
      <c r="P577" s="1">
        <v>0</v>
      </c>
      <c r="Q577" s="1">
        <v>0</v>
      </c>
      <c r="R577" s="1" t="b">
        <f t="shared" si="19"/>
        <v>0</v>
      </c>
      <c r="S577" s="2" t="s">
        <v>17</v>
      </c>
      <c r="T577" s="1" t="str">
        <f>IF(S577="","",VLOOKUP(S577,'Ontology and concepts per UC'!$F$2:$J$46,5,FALSE))</f>
        <v>Modelo Conceptual</v>
      </c>
      <c r="U577" s="1" t="b">
        <f t="array" ref="U577">(INDEX('Ontology and concepts per UC'!$G$2:$I$46,MATCH($S577,'Ontology and concepts per UC'!$F$2:$F$46,0),MATCH(LEFT($A577,3),'Ontology and concepts per UC'!$G$1:$I$1,0))=0)</f>
        <v>0</v>
      </c>
      <c r="V577" s="1" t="b">
        <f t="shared" si="20"/>
        <v>1</v>
      </c>
      <c r="W577" s="1" t="b">
        <v>1</v>
      </c>
      <c r="X577" s="1" t="b">
        <v>0</v>
      </c>
      <c r="Y577" s="1" t="b">
        <v>0</v>
      </c>
      <c r="Z577" s="1" t="b">
        <v>0</v>
      </c>
      <c r="AA577" s="1" t="s">
        <v>188</v>
      </c>
    </row>
    <row r="578" spans="1:27" x14ac:dyDescent="0.25">
      <c r="A578" s="1" t="s">
        <v>1536</v>
      </c>
      <c r="B578" s="2" t="s">
        <v>1610</v>
      </c>
      <c r="C578" s="2"/>
      <c r="D578" s="6">
        <f t="shared" si="14"/>
        <v>0</v>
      </c>
      <c r="E578" s="7">
        <f t="shared" si="15"/>
        <v>0</v>
      </c>
      <c r="F578" s="8" t="b">
        <f>IF(D578&lt;1,FALSE,ISERROR(MATCH(E578,'Ontology and concepts per UC'!$A$2:$A$62,0)))</f>
        <v>0</v>
      </c>
      <c r="G578" s="9" t="str">
        <f t="shared" si="16"/>
        <v/>
      </c>
      <c r="H578" s="9" t="str">
        <f t="shared" si="17"/>
        <v/>
      </c>
      <c r="I578" s="8" t="b">
        <f>IF(D578&lt;2,FALSE,ISERROR(MATCH(H578,'Ontology and concepts per UC'!$A$2:$A$62,0)))</f>
        <v>0</v>
      </c>
      <c r="J578" s="9" t="str">
        <f t="shared" si="18"/>
        <v/>
      </c>
      <c r="K578" s="8" t="b">
        <f>IF(D578&lt;3,FALSE,ISERROR(MATCH(J578,'Ontology and concepts per UC'!$A$2:$A$62,0)))</f>
        <v>0</v>
      </c>
      <c r="L578" s="2"/>
      <c r="M578" s="2"/>
      <c r="N578" s="2"/>
      <c r="O578" s="1" t="b">
        <v>1</v>
      </c>
      <c r="P578" s="1">
        <v>0</v>
      </c>
      <c r="Q578" s="1">
        <v>0</v>
      </c>
      <c r="R578" s="1" t="b">
        <f t="shared" si="19"/>
        <v>0</v>
      </c>
      <c r="S578" s="2" t="s">
        <v>367</v>
      </c>
      <c r="T578" s="1" t="str">
        <f>IF(S578="","",VLOOKUP(S578,'Ontology and concepts per UC'!$F$2:$J$46,5,FALSE))</f>
        <v>Parámetros de progresión</v>
      </c>
      <c r="U578" s="1" t="b">
        <f t="array" ref="U578">(INDEX('Ontology and concepts per UC'!$G$2:$I$46,MATCH($S578,'Ontology and concepts per UC'!$F$2:$F$46,0),MATCH(LEFT($A578,3),'Ontology and concepts per UC'!$G$1:$I$1,0))=0)</f>
        <v>0</v>
      </c>
      <c r="V578" s="1" t="b">
        <f t="shared" si="20"/>
        <v>1</v>
      </c>
      <c r="W578" s="1" t="b">
        <v>1</v>
      </c>
      <c r="X578" s="1" t="b">
        <v>0</v>
      </c>
      <c r="Y578" s="1" t="b">
        <v>0</v>
      </c>
      <c r="Z578" s="1" t="b">
        <v>0</v>
      </c>
      <c r="AA578" s="1" t="s">
        <v>188</v>
      </c>
    </row>
    <row r="579" spans="1:27" x14ac:dyDescent="0.25">
      <c r="A579" s="1" t="s">
        <v>1536</v>
      </c>
      <c r="B579" s="2" t="s">
        <v>1611</v>
      </c>
      <c r="C579" s="2"/>
      <c r="D579" s="6">
        <f t="shared" si="14"/>
        <v>0</v>
      </c>
      <c r="E579" s="7">
        <f t="shared" si="15"/>
        <v>0</v>
      </c>
      <c r="F579" s="8" t="b">
        <f>IF(D579&lt;1,FALSE,ISERROR(MATCH(E579,'Ontology and concepts per UC'!$A$2:$A$62,0)))</f>
        <v>0</v>
      </c>
      <c r="G579" s="9" t="str">
        <f t="shared" si="16"/>
        <v/>
      </c>
      <c r="H579" s="9" t="str">
        <f t="shared" si="17"/>
        <v/>
      </c>
      <c r="I579" s="8" t="b">
        <f>IF(D579&lt;2,FALSE,ISERROR(MATCH(H579,'Ontology and concepts per UC'!$A$2:$A$62,0)))</f>
        <v>0</v>
      </c>
      <c r="J579" s="9" t="str">
        <f t="shared" si="18"/>
        <v/>
      </c>
      <c r="K579" s="8" t="b">
        <f>IF(D579&lt;3,FALSE,ISERROR(MATCH(J579,'Ontology and concepts per UC'!$A$2:$A$62,0)))</f>
        <v>0</v>
      </c>
      <c r="L579" s="2"/>
      <c r="M579" s="2"/>
      <c r="N579" s="2"/>
      <c r="O579" s="1" t="b">
        <v>1</v>
      </c>
      <c r="P579" s="1">
        <v>0</v>
      </c>
      <c r="Q579" s="1">
        <v>0</v>
      </c>
      <c r="R579" s="1" t="b">
        <f t="shared" si="19"/>
        <v>0</v>
      </c>
      <c r="S579" s="2" t="s">
        <v>367</v>
      </c>
      <c r="T579" s="1" t="str">
        <f>IF(S579="","",VLOOKUP(S579,'Ontology and concepts per UC'!$F$2:$J$46,5,FALSE))</f>
        <v>Parámetros de progresión</v>
      </c>
      <c r="U579" s="1" t="b">
        <f t="array" ref="U579">(INDEX('Ontology and concepts per UC'!$G$2:$I$46,MATCH($S579,'Ontology and concepts per UC'!$F$2:$F$46,0),MATCH(LEFT($A579,3),'Ontology and concepts per UC'!$G$1:$I$1,0))=0)</f>
        <v>0</v>
      </c>
      <c r="V579" s="1" t="b">
        <f t="shared" si="20"/>
        <v>1</v>
      </c>
      <c r="W579" s="1" t="b">
        <v>1</v>
      </c>
      <c r="X579" s="1" t="b">
        <v>0</v>
      </c>
      <c r="Y579" s="1" t="b">
        <v>0</v>
      </c>
      <c r="Z579" s="1" t="b">
        <v>0</v>
      </c>
      <c r="AA579" s="1" t="s">
        <v>188</v>
      </c>
    </row>
    <row r="580" spans="1:27" x14ac:dyDescent="0.25">
      <c r="A580" s="1" t="s">
        <v>1536</v>
      </c>
      <c r="B580" s="2" t="s">
        <v>1612</v>
      </c>
      <c r="C580" s="2"/>
      <c r="D580" s="6">
        <f t="shared" si="14"/>
        <v>0</v>
      </c>
      <c r="E580" s="7">
        <f t="shared" si="15"/>
        <v>0</v>
      </c>
      <c r="F580" s="8" t="b">
        <f>IF(D580&lt;1,FALSE,ISERROR(MATCH(E580,'Ontology and concepts per UC'!$A$2:$A$62,0)))</f>
        <v>0</v>
      </c>
      <c r="G580" s="9" t="str">
        <f t="shared" si="16"/>
        <v/>
      </c>
      <c r="H580" s="9" t="str">
        <f t="shared" si="17"/>
        <v/>
      </c>
      <c r="I580" s="8" t="b">
        <f>IF(D580&lt;2,FALSE,ISERROR(MATCH(H580,'Ontology and concepts per UC'!$A$2:$A$62,0)))</f>
        <v>0</v>
      </c>
      <c r="J580" s="9" t="str">
        <f t="shared" si="18"/>
        <v/>
      </c>
      <c r="K580" s="8" t="b">
        <f>IF(D580&lt;3,FALSE,ISERROR(MATCH(J580,'Ontology and concepts per UC'!$A$2:$A$62,0)))</f>
        <v>0</v>
      </c>
      <c r="L580" s="2"/>
      <c r="M580" s="2"/>
      <c r="N580" s="2"/>
      <c r="O580" s="1" t="b">
        <v>1</v>
      </c>
      <c r="P580" s="1">
        <v>0</v>
      </c>
      <c r="Q580" s="1">
        <v>0</v>
      </c>
      <c r="R580" s="1" t="b">
        <f t="shared" si="19"/>
        <v>0</v>
      </c>
      <c r="S580" s="2" t="s">
        <v>174</v>
      </c>
      <c r="T580" s="1" t="str">
        <f>IF(S580="","",VLOOKUP(S580,'Ontology and concepts per UC'!$F$2:$J$46,5,FALSE))</f>
        <v>Utilidad</v>
      </c>
      <c r="U580" s="1" t="b">
        <f t="array" ref="U580">(INDEX('Ontology and concepts per UC'!$G$2:$I$46,MATCH($S580,'Ontology and concepts per UC'!$F$2:$F$46,0),MATCH(LEFT($A580,3),'Ontology and concepts per UC'!$G$1:$I$1,0))=0)</f>
        <v>0</v>
      </c>
      <c r="V580" s="1" t="b">
        <f t="shared" si="20"/>
        <v>1</v>
      </c>
      <c r="W580" s="1" t="b">
        <v>1</v>
      </c>
      <c r="X580" s="1" t="b">
        <v>0</v>
      </c>
      <c r="Y580" s="1" t="b">
        <v>0</v>
      </c>
      <c r="Z580" s="1" t="b">
        <v>0</v>
      </c>
      <c r="AA580" s="1" t="s">
        <v>188</v>
      </c>
    </row>
    <row r="581" spans="1:27" x14ac:dyDescent="0.25">
      <c r="A581" s="1" t="s">
        <v>1536</v>
      </c>
      <c r="B581" s="2" t="s">
        <v>1613</v>
      </c>
      <c r="C581" s="2"/>
      <c r="D581" s="6">
        <f t="shared" si="14"/>
        <v>0</v>
      </c>
      <c r="E581" s="7">
        <f t="shared" si="15"/>
        <v>0</v>
      </c>
      <c r="F581" s="8" t="b">
        <f>IF(D581&lt;1,FALSE,ISERROR(MATCH(E581,'Ontology and concepts per UC'!$A$2:$A$62,0)))</f>
        <v>0</v>
      </c>
      <c r="G581" s="9" t="str">
        <f t="shared" si="16"/>
        <v/>
      </c>
      <c r="H581" s="9" t="str">
        <f t="shared" si="17"/>
        <v/>
      </c>
      <c r="I581" s="8" t="b">
        <f>IF(D581&lt;2,FALSE,ISERROR(MATCH(H581,'Ontology and concepts per UC'!$A$2:$A$62,0)))</f>
        <v>0</v>
      </c>
      <c r="J581" s="9" t="str">
        <f t="shared" si="18"/>
        <v/>
      </c>
      <c r="K581" s="8" t="b">
        <f>IF(D581&lt;3,FALSE,ISERROR(MATCH(J581,'Ontology and concepts per UC'!$A$2:$A$62,0)))</f>
        <v>0</v>
      </c>
      <c r="L581" s="2"/>
      <c r="M581" s="2"/>
      <c r="N581" s="2"/>
      <c r="O581" s="1" t="b">
        <v>1</v>
      </c>
      <c r="P581" s="1">
        <v>0</v>
      </c>
      <c r="Q581" s="1">
        <v>0</v>
      </c>
      <c r="R581" s="1" t="b">
        <f t="shared" si="19"/>
        <v>0</v>
      </c>
      <c r="S581" s="2" t="s">
        <v>51</v>
      </c>
      <c r="T581" s="1" t="str">
        <f>IF(S581="","",VLOOKUP(S581,'Ontology and concepts per UC'!$F$2:$J$46,5,FALSE))</f>
        <v>Parámetros de progresión</v>
      </c>
      <c r="U581" s="1" t="b">
        <f t="array" ref="U581">(INDEX('Ontology and concepts per UC'!$G$2:$I$46,MATCH($S581,'Ontology and concepts per UC'!$F$2:$F$46,0),MATCH(LEFT($A581,3),'Ontology and concepts per UC'!$G$1:$I$1,0))=0)</f>
        <v>0</v>
      </c>
      <c r="V581" s="1" t="b">
        <f t="shared" si="20"/>
        <v>1</v>
      </c>
      <c r="W581" s="1" t="b">
        <v>1</v>
      </c>
      <c r="X581" s="1" t="b">
        <v>0</v>
      </c>
      <c r="Y581" s="1" t="b">
        <v>0</v>
      </c>
      <c r="Z581" s="1" t="b">
        <v>0</v>
      </c>
      <c r="AA581" s="1" t="s">
        <v>188</v>
      </c>
    </row>
    <row r="582" spans="1:27" x14ac:dyDescent="0.25">
      <c r="A582" s="1" t="s">
        <v>1536</v>
      </c>
      <c r="B582" s="2" t="s">
        <v>1614</v>
      </c>
      <c r="C582" s="2"/>
      <c r="D582" s="6">
        <f t="shared" si="14"/>
        <v>0</v>
      </c>
      <c r="E582" s="7">
        <f t="shared" si="15"/>
        <v>0</v>
      </c>
      <c r="F582" s="8" t="b">
        <f>IF(D582&lt;1,FALSE,ISERROR(MATCH(E582,'Ontology and concepts per UC'!$A$2:$A$62,0)))</f>
        <v>0</v>
      </c>
      <c r="G582" s="9" t="str">
        <f t="shared" si="16"/>
        <v/>
      </c>
      <c r="H582" s="9" t="str">
        <f t="shared" si="17"/>
        <v/>
      </c>
      <c r="I582" s="8" t="b">
        <f>IF(D582&lt;2,FALSE,ISERROR(MATCH(H582,'Ontology and concepts per UC'!$A$2:$A$62,0)))</f>
        <v>0</v>
      </c>
      <c r="J582" s="9" t="str">
        <f t="shared" si="18"/>
        <v/>
      </c>
      <c r="K582" s="8" t="b">
        <f>IF(D582&lt;3,FALSE,ISERROR(MATCH(J582,'Ontology and concepts per UC'!$A$2:$A$62,0)))</f>
        <v>0</v>
      </c>
      <c r="L582" s="2"/>
      <c r="M582" s="2"/>
      <c r="N582" s="2"/>
      <c r="O582" s="1" t="b">
        <v>1</v>
      </c>
      <c r="P582" s="1">
        <v>0</v>
      </c>
      <c r="Q582" s="1">
        <v>0</v>
      </c>
      <c r="R582" s="1" t="b">
        <f t="shared" si="19"/>
        <v>0</v>
      </c>
      <c r="S582" s="2" t="s">
        <v>66</v>
      </c>
      <c r="T582" s="1" t="str">
        <f>IF(S582="","",VLOOKUP(S582,'Ontology and concepts per UC'!$F$2:$J$46,5,FALSE))</f>
        <v>Utilidad</v>
      </c>
      <c r="U582" s="1" t="b">
        <f t="array" ref="U582">(INDEX('Ontology and concepts per UC'!$G$2:$I$46,MATCH($S582,'Ontology and concepts per UC'!$F$2:$F$46,0),MATCH(LEFT($A582,3),'Ontology and concepts per UC'!$G$1:$I$1,0))=0)</f>
        <v>0</v>
      </c>
      <c r="V582" s="1" t="b">
        <f t="shared" si="20"/>
        <v>1</v>
      </c>
      <c r="W582" s="1" t="b">
        <v>1</v>
      </c>
      <c r="X582" s="1" t="b">
        <v>0</v>
      </c>
      <c r="Y582" s="1" t="b">
        <v>0</v>
      </c>
      <c r="Z582" s="1" t="b">
        <v>0</v>
      </c>
      <c r="AA582" s="1" t="s">
        <v>188</v>
      </c>
    </row>
    <row r="583" spans="1:27" x14ac:dyDescent="0.25">
      <c r="A583" s="1" t="s">
        <v>1536</v>
      </c>
      <c r="B583" s="2" t="s">
        <v>1615</v>
      </c>
      <c r="C583" s="2"/>
      <c r="D583" s="6">
        <f t="shared" si="14"/>
        <v>0</v>
      </c>
      <c r="E583" s="7">
        <f t="shared" si="15"/>
        <v>0</v>
      </c>
      <c r="F583" s="8" t="b">
        <f>IF(D583&lt;1,FALSE,ISERROR(MATCH(E583,'Ontology and concepts per UC'!$A$2:$A$62,0)))</f>
        <v>0</v>
      </c>
      <c r="G583" s="9" t="str">
        <f t="shared" si="16"/>
        <v/>
      </c>
      <c r="H583" s="9" t="str">
        <f t="shared" si="17"/>
        <v/>
      </c>
      <c r="I583" s="8" t="b">
        <f>IF(D583&lt;2,FALSE,ISERROR(MATCH(H583,'Ontology and concepts per UC'!$A$2:$A$62,0)))</f>
        <v>0</v>
      </c>
      <c r="J583" s="9" t="str">
        <f t="shared" si="18"/>
        <v/>
      </c>
      <c r="K583" s="8" t="b">
        <f>IF(D583&lt;3,FALSE,ISERROR(MATCH(J583,'Ontology and concepts per UC'!$A$2:$A$62,0)))</f>
        <v>0</v>
      </c>
      <c r="L583" s="2"/>
      <c r="M583" s="2"/>
      <c r="N583" s="2"/>
      <c r="O583" s="1" t="b">
        <v>1</v>
      </c>
      <c r="P583" s="1">
        <v>0</v>
      </c>
      <c r="Q583" s="1">
        <v>0</v>
      </c>
      <c r="R583" s="1" t="b">
        <f t="shared" si="19"/>
        <v>0</v>
      </c>
      <c r="S583" s="2" t="s">
        <v>54</v>
      </c>
      <c r="T583" s="1" t="str">
        <f>IF(S583="","",VLOOKUP(S583,'Ontology and concepts per UC'!$F$2:$J$46,5,FALSE))</f>
        <v>Parámetros de progresión</v>
      </c>
      <c r="U583" s="1" t="b">
        <f t="array" ref="U583">(INDEX('Ontology and concepts per UC'!$G$2:$I$46,MATCH($S583,'Ontology and concepts per UC'!$F$2:$F$46,0),MATCH(LEFT($A583,3),'Ontology and concepts per UC'!$G$1:$I$1,0))=0)</f>
        <v>0</v>
      </c>
      <c r="V583" s="1" t="b">
        <f t="shared" si="20"/>
        <v>1</v>
      </c>
      <c r="W583" s="1" t="b">
        <v>1</v>
      </c>
      <c r="X583" s="1" t="b">
        <v>0</v>
      </c>
      <c r="Y583" s="1" t="b">
        <v>0</v>
      </c>
      <c r="Z583" s="1" t="b">
        <v>0</v>
      </c>
      <c r="AA583" s="1" t="s">
        <v>188</v>
      </c>
    </row>
    <row r="584" spans="1:27" x14ac:dyDescent="0.25">
      <c r="A584" s="1" t="s">
        <v>1536</v>
      </c>
      <c r="B584" s="2" t="s">
        <v>1616</v>
      </c>
      <c r="C584" s="2"/>
      <c r="D584" s="6">
        <f t="shared" si="14"/>
        <v>0</v>
      </c>
      <c r="E584" s="7">
        <f t="shared" si="15"/>
        <v>0</v>
      </c>
      <c r="F584" s="8" t="b">
        <f>IF(D584&lt;1,FALSE,ISERROR(MATCH(E584,'Ontology and concepts per UC'!$A$2:$A$62,0)))</f>
        <v>0</v>
      </c>
      <c r="G584" s="9" t="str">
        <f t="shared" si="16"/>
        <v/>
      </c>
      <c r="H584" s="9" t="str">
        <f t="shared" si="17"/>
        <v/>
      </c>
      <c r="I584" s="8" t="b">
        <f>IF(D584&lt;2,FALSE,ISERROR(MATCH(H584,'Ontology and concepts per UC'!$A$2:$A$62,0)))</f>
        <v>0</v>
      </c>
      <c r="J584" s="9" t="str">
        <f t="shared" si="18"/>
        <v/>
      </c>
      <c r="K584" s="8" t="b">
        <f>IF(D584&lt;3,FALSE,ISERROR(MATCH(J584,'Ontology and concepts per UC'!$A$2:$A$62,0)))</f>
        <v>0</v>
      </c>
      <c r="L584" s="2"/>
      <c r="M584" s="2"/>
      <c r="N584" s="2"/>
      <c r="O584" s="1" t="b">
        <v>1</v>
      </c>
      <c r="P584" s="1">
        <v>0</v>
      </c>
      <c r="Q584" s="1">
        <v>0</v>
      </c>
      <c r="R584" s="1" t="b">
        <f t="shared" si="19"/>
        <v>0</v>
      </c>
      <c r="S584" s="2" t="s">
        <v>69</v>
      </c>
      <c r="T584" s="1" t="str">
        <f>IF(S584="","",VLOOKUP(S584,'Ontology and concepts per UC'!$F$2:$J$46,5,FALSE))</f>
        <v>Utilidad</v>
      </c>
      <c r="U584" s="1" t="b">
        <f t="array" ref="U584">(INDEX('Ontology and concepts per UC'!$G$2:$I$46,MATCH($S584,'Ontology and concepts per UC'!$F$2:$F$46,0),MATCH(LEFT($A584,3),'Ontology and concepts per UC'!$G$1:$I$1,0))=0)</f>
        <v>0</v>
      </c>
      <c r="V584" s="1" t="b">
        <f t="shared" si="20"/>
        <v>1</v>
      </c>
      <c r="W584" s="1" t="b">
        <v>1</v>
      </c>
      <c r="X584" s="1" t="b">
        <v>0</v>
      </c>
      <c r="Y584" s="1" t="b">
        <v>0</v>
      </c>
      <c r="Z584" s="1" t="b">
        <v>0</v>
      </c>
      <c r="AA584" s="1" t="s">
        <v>188</v>
      </c>
    </row>
    <row r="585" spans="1:27" x14ac:dyDescent="0.25">
      <c r="A585" s="1" t="s">
        <v>1536</v>
      </c>
      <c r="B585" s="2" t="s">
        <v>1617</v>
      </c>
      <c r="C585" s="2"/>
      <c r="D585" s="6">
        <f t="shared" si="14"/>
        <v>0</v>
      </c>
      <c r="E585" s="7">
        <f t="shared" si="15"/>
        <v>0</v>
      </c>
      <c r="F585" s="8" t="b">
        <f>IF(D585&lt;1,FALSE,ISERROR(MATCH(E585,'Ontology and concepts per UC'!$A$2:$A$62,0)))</f>
        <v>0</v>
      </c>
      <c r="G585" s="9" t="str">
        <f t="shared" si="16"/>
        <v/>
      </c>
      <c r="H585" s="9" t="str">
        <f t="shared" si="17"/>
        <v/>
      </c>
      <c r="I585" s="8" t="b">
        <f>IF(D585&lt;2,FALSE,ISERROR(MATCH(H585,'Ontology and concepts per UC'!$A$2:$A$62,0)))</f>
        <v>0</v>
      </c>
      <c r="J585" s="9" t="str">
        <f t="shared" si="18"/>
        <v/>
      </c>
      <c r="K585" s="8" t="b">
        <f>IF(D585&lt;3,FALSE,ISERROR(MATCH(J585,'Ontology and concepts per UC'!$A$2:$A$62,0)))</f>
        <v>0</v>
      </c>
      <c r="L585" s="2"/>
      <c r="M585" s="2"/>
      <c r="N585" s="2"/>
      <c r="O585" s="1" t="b">
        <v>1</v>
      </c>
      <c r="P585" s="1">
        <v>0</v>
      </c>
      <c r="Q585" s="1">
        <v>0</v>
      </c>
      <c r="R585" s="1" t="b">
        <f t="shared" si="19"/>
        <v>0</v>
      </c>
      <c r="S585" s="2" t="s">
        <v>67</v>
      </c>
      <c r="T585" s="1" t="str">
        <f>IF(S585="","",VLOOKUP(S585,'Ontology and concepts per UC'!$F$2:$J$46,5,FALSE))</f>
        <v>Utilidad</v>
      </c>
      <c r="U585" s="1" t="b">
        <f t="array" ref="U585">(INDEX('Ontology and concepts per UC'!$G$2:$I$46,MATCH($S585,'Ontology and concepts per UC'!$F$2:$F$46,0),MATCH(LEFT($A585,3),'Ontology and concepts per UC'!$G$1:$I$1,0))=0)</f>
        <v>0</v>
      </c>
      <c r="V585" s="1" t="b">
        <f t="shared" si="20"/>
        <v>1</v>
      </c>
      <c r="W585" s="1" t="b">
        <v>1</v>
      </c>
      <c r="X585" s="1" t="b">
        <v>0</v>
      </c>
      <c r="Y585" s="1" t="b">
        <v>0</v>
      </c>
      <c r="Z585" s="1" t="b">
        <v>0</v>
      </c>
      <c r="AA585" s="1" t="s">
        <v>188</v>
      </c>
    </row>
    <row r="586" spans="1:27" x14ac:dyDescent="0.25">
      <c r="A586" s="1" t="s">
        <v>1536</v>
      </c>
      <c r="B586" s="2" t="s">
        <v>1618</v>
      </c>
      <c r="C586" s="2"/>
      <c r="D586" s="6">
        <f t="shared" si="14"/>
        <v>0</v>
      </c>
      <c r="E586" s="7">
        <f t="shared" si="15"/>
        <v>0</v>
      </c>
      <c r="F586" s="8" t="b">
        <f>IF(D586&lt;1,FALSE,ISERROR(MATCH(E586,'Ontology and concepts per UC'!$A$2:$A$62,0)))</f>
        <v>0</v>
      </c>
      <c r="G586" s="9" t="str">
        <f t="shared" si="16"/>
        <v/>
      </c>
      <c r="H586" s="9" t="str">
        <f t="shared" si="17"/>
        <v/>
      </c>
      <c r="I586" s="8" t="b">
        <f>IF(D586&lt;2,FALSE,ISERROR(MATCH(H586,'Ontology and concepts per UC'!$A$2:$A$62,0)))</f>
        <v>0</v>
      </c>
      <c r="J586" s="9" t="str">
        <f t="shared" si="18"/>
        <v/>
      </c>
      <c r="K586" s="8" t="b">
        <f>IF(D586&lt;3,FALSE,ISERROR(MATCH(J586,'Ontology and concepts per UC'!$A$2:$A$62,0)))</f>
        <v>0</v>
      </c>
      <c r="L586" s="2"/>
      <c r="M586" s="2"/>
      <c r="N586" s="2"/>
      <c r="O586" s="1" t="b">
        <v>1</v>
      </c>
      <c r="P586" s="1">
        <v>0</v>
      </c>
      <c r="Q586" s="1">
        <v>0</v>
      </c>
      <c r="R586" s="1" t="b">
        <f t="shared" si="19"/>
        <v>0</v>
      </c>
      <c r="S586" s="2" t="s">
        <v>70</v>
      </c>
      <c r="T586" s="1" t="str">
        <f>IF(S586="","",VLOOKUP(S586,'Ontology and concepts per UC'!$F$2:$J$46,5,FALSE))</f>
        <v>Utilidad</v>
      </c>
      <c r="U586" s="1" t="b">
        <f t="array" ref="U586">(INDEX('Ontology and concepts per UC'!$G$2:$I$46,MATCH($S586,'Ontology and concepts per UC'!$F$2:$F$46,0),MATCH(LEFT($A586,3),'Ontology and concepts per UC'!$G$1:$I$1,0))=0)</f>
        <v>0</v>
      </c>
      <c r="V586" s="1" t="b">
        <f t="shared" si="20"/>
        <v>1</v>
      </c>
      <c r="W586" s="1" t="b">
        <v>1</v>
      </c>
      <c r="X586" s="1" t="b">
        <v>0</v>
      </c>
      <c r="Y586" s="1" t="b">
        <v>0</v>
      </c>
      <c r="Z586" s="1" t="b">
        <v>0</v>
      </c>
      <c r="AA586" s="1" t="s">
        <v>188</v>
      </c>
    </row>
    <row r="587" spans="1:27" x14ac:dyDescent="0.25">
      <c r="A587" s="1" t="s">
        <v>1619</v>
      </c>
      <c r="B587" s="2" t="s">
        <v>1620</v>
      </c>
      <c r="C587" s="2" t="s">
        <v>27</v>
      </c>
      <c r="D587" s="6">
        <f t="shared" si="14"/>
        <v>1</v>
      </c>
      <c r="E587" s="7" t="str">
        <f t="shared" si="15"/>
        <v>ChronicManifestation</v>
      </c>
      <c r="F587" s="8" t="b">
        <f>IF(D587&lt;1,FALSE,ISERROR(MATCH(E587,'Ontology and concepts per UC'!$A$2:$A$62,0)))</f>
        <v>0</v>
      </c>
      <c r="G587" s="9" t="str">
        <f t="shared" si="16"/>
        <v/>
      </c>
      <c r="H587" s="9" t="str">
        <f t="shared" si="17"/>
        <v/>
      </c>
      <c r="I587" s="8" t="b">
        <f>IF(D587&lt;2,FALSE,ISERROR(MATCH(H587,'Ontology and concepts per UC'!$A$2:$A$62,0)))</f>
        <v>0</v>
      </c>
      <c r="J587" s="9" t="str">
        <f t="shared" si="18"/>
        <v/>
      </c>
      <c r="K587" s="8" t="b">
        <f>IF(D587&lt;3,FALSE,ISERROR(MATCH(J587,'Ontology and concepts per UC'!$A$2:$A$62,0)))</f>
        <v>0</v>
      </c>
      <c r="L587" s="2" t="s">
        <v>1621</v>
      </c>
      <c r="M587" s="2" t="s">
        <v>1622</v>
      </c>
      <c r="N587" s="2"/>
      <c r="O587" s="1" t="b">
        <v>0</v>
      </c>
      <c r="P587" s="1">
        <v>0</v>
      </c>
      <c r="Q587" s="1">
        <v>0</v>
      </c>
      <c r="R587" s="1" t="b">
        <f t="shared" si="19"/>
        <v>0</v>
      </c>
      <c r="S587" s="2" t="s">
        <v>26</v>
      </c>
      <c r="T587" s="1" t="str">
        <f>IF(S587="","",VLOOKUP(S587,'Ontology and concepts per UC'!$F$2:$J$46,5,FALSE))</f>
        <v>Modelo Conceptual</v>
      </c>
      <c r="U587" s="1" t="b">
        <f t="array" ref="U587">(INDEX('Ontology and concepts per UC'!$G$2:$I$46,MATCH($S587,'Ontology and concepts per UC'!$F$2:$F$46,0),MATCH(LEFT($A587,3),'Ontology and concepts per UC'!$G$1:$I$1,0))=0)</f>
        <v>0</v>
      </c>
      <c r="V587" s="1" t="b">
        <f t="shared" si="20"/>
        <v>0</v>
      </c>
      <c r="W587" s="1" t="b">
        <v>0</v>
      </c>
      <c r="X587" s="1" t="b">
        <v>0</v>
      </c>
      <c r="Y587" s="1" t="b">
        <v>0</v>
      </c>
      <c r="Z587" s="1" t="b">
        <v>0</v>
      </c>
    </row>
    <row r="588" spans="1:27" x14ac:dyDescent="0.25">
      <c r="A588" s="1" t="s">
        <v>1619</v>
      </c>
      <c r="B588" s="2" t="s">
        <v>1623</v>
      </c>
      <c r="C588" s="2" t="s">
        <v>27</v>
      </c>
      <c r="D588" s="6">
        <f t="shared" si="14"/>
        <v>1</v>
      </c>
      <c r="E588" s="7" t="str">
        <f t="shared" si="15"/>
        <v>ChronicManifestation</v>
      </c>
      <c r="F588" s="8" t="b">
        <f>IF(D588&lt;1,FALSE,ISERROR(MATCH(E588,'Ontology and concepts per UC'!$A$2:$A$62,0)))</f>
        <v>0</v>
      </c>
      <c r="G588" s="9" t="str">
        <f t="shared" si="16"/>
        <v/>
      </c>
      <c r="H588" s="9" t="str">
        <f t="shared" si="17"/>
        <v/>
      </c>
      <c r="I588" s="8" t="b">
        <f>IF(D588&lt;2,FALSE,ISERROR(MATCH(H588,'Ontology and concepts per UC'!$A$2:$A$62,0)))</f>
        <v>0</v>
      </c>
      <c r="J588" s="9" t="str">
        <f t="shared" si="18"/>
        <v/>
      </c>
      <c r="K588" s="8" t="b">
        <f>IF(D588&lt;3,FALSE,ISERROR(MATCH(J588,'Ontology and concepts per UC'!$A$2:$A$62,0)))</f>
        <v>0</v>
      </c>
      <c r="L588" s="2"/>
      <c r="M588" s="2" t="s">
        <v>1624</v>
      </c>
      <c r="N588" s="2"/>
      <c r="O588" s="1" t="b">
        <v>0</v>
      </c>
      <c r="P588" s="1">
        <v>0</v>
      </c>
      <c r="Q588" s="1">
        <v>0</v>
      </c>
      <c r="R588" s="1" t="b">
        <f t="shared" si="19"/>
        <v>0</v>
      </c>
      <c r="S588" s="2" t="s">
        <v>31</v>
      </c>
      <c r="T588" s="1" t="str">
        <f>IF(S588="","",VLOOKUP(S588,'Ontology and concepts per UC'!$F$2:$J$46,5,FALSE))</f>
        <v>Modelo Conceptual</v>
      </c>
      <c r="U588" s="1" t="b">
        <f t="array" ref="U588">(INDEX('Ontology and concepts per UC'!$G$2:$I$46,MATCH($S588,'Ontology and concepts per UC'!$F$2:$F$46,0),MATCH(LEFT($A588,3),'Ontology and concepts per UC'!$G$1:$I$1,0))=0)</f>
        <v>0</v>
      </c>
      <c r="V588" s="1" t="b">
        <f t="shared" si="20"/>
        <v>0</v>
      </c>
      <c r="W588" s="1" t="b">
        <v>0</v>
      </c>
      <c r="X588" s="1" t="b">
        <v>0</v>
      </c>
      <c r="Y588" s="1" t="b">
        <v>0</v>
      </c>
      <c r="Z588" s="1" t="b">
        <v>0</v>
      </c>
      <c r="AA588" s="1"/>
    </row>
    <row r="589" spans="1:27" x14ac:dyDescent="0.25">
      <c r="A589" s="1" t="s">
        <v>1619</v>
      </c>
      <c r="B589" s="2" t="s">
        <v>1625</v>
      </c>
      <c r="C589" s="2" t="s">
        <v>27</v>
      </c>
      <c r="D589" s="6">
        <f t="shared" si="14"/>
        <v>1</v>
      </c>
      <c r="E589" s="7" t="str">
        <f t="shared" si="15"/>
        <v>ChronicManifestation</v>
      </c>
      <c r="F589" s="8" t="b">
        <f>IF(D589&lt;1,FALSE,ISERROR(MATCH(E589,'Ontology and concepts per UC'!$A$2:$A$62,0)))</f>
        <v>0</v>
      </c>
      <c r="G589" s="9" t="str">
        <f t="shared" si="16"/>
        <v/>
      </c>
      <c r="H589" s="9" t="str">
        <f t="shared" si="17"/>
        <v/>
      </c>
      <c r="I589" s="8" t="b">
        <f>IF(D589&lt;2,FALSE,ISERROR(MATCH(H589,'Ontology and concepts per UC'!$A$2:$A$62,0)))</f>
        <v>0</v>
      </c>
      <c r="J589" s="9" t="str">
        <f t="shared" si="18"/>
        <v/>
      </c>
      <c r="K589" s="8" t="b">
        <f>IF(D589&lt;3,FALSE,ISERROR(MATCH(J589,'Ontology and concepts per UC'!$A$2:$A$62,0)))</f>
        <v>0</v>
      </c>
      <c r="L589" s="2" t="s">
        <v>1626</v>
      </c>
      <c r="M589" s="2" t="s">
        <v>1627</v>
      </c>
      <c r="N589" s="2"/>
      <c r="O589" s="1" t="b">
        <v>0</v>
      </c>
      <c r="P589" s="1">
        <v>0</v>
      </c>
      <c r="Q589" s="1">
        <v>0</v>
      </c>
      <c r="R589" s="1" t="b">
        <f t="shared" si="19"/>
        <v>0</v>
      </c>
      <c r="S589" s="2" t="s">
        <v>28</v>
      </c>
      <c r="T589" s="1" t="str">
        <f>IF(S589="","",VLOOKUP(S589,'Ontology and concepts per UC'!$F$2:$J$46,5,FALSE))</f>
        <v>Modelo Conceptual</v>
      </c>
      <c r="U589" s="1" t="b">
        <f t="array" ref="U589">(INDEX('Ontology and concepts per UC'!$G$2:$I$46,MATCH($S589,'Ontology and concepts per UC'!$F$2:$F$46,0),MATCH(LEFT($A589,3),'Ontology and concepts per UC'!$G$1:$I$1,0))=0)</f>
        <v>0</v>
      </c>
      <c r="V589" s="1" t="b">
        <f t="shared" si="20"/>
        <v>0</v>
      </c>
      <c r="W589" s="1" t="b">
        <v>0</v>
      </c>
      <c r="X589" s="1" t="b">
        <v>0</v>
      </c>
      <c r="Y589" s="1" t="b">
        <v>0</v>
      </c>
      <c r="Z589" s="1" t="b">
        <v>0</v>
      </c>
      <c r="AA589" s="1"/>
    </row>
    <row r="590" spans="1:27" x14ac:dyDescent="0.25">
      <c r="A590" s="1" t="s">
        <v>1619</v>
      </c>
      <c r="B590" s="2" t="s">
        <v>1628</v>
      </c>
      <c r="C590" s="2" t="s">
        <v>27</v>
      </c>
      <c r="D590" s="6">
        <f t="shared" si="14"/>
        <v>1</v>
      </c>
      <c r="E590" s="7" t="str">
        <f t="shared" si="15"/>
        <v>ChronicManifestation</v>
      </c>
      <c r="F590" s="8" t="b">
        <f>IF(D590&lt;1,FALSE,ISERROR(MATCH(E590,'Ontology and concepts per UC'!$A$2:$A$62,0)))</f>
        <v>0</v>
      </c>
      <c r="G590" s="9" t="str">
        <f t="shared" si="16"/>
        <v/>
      </c>
      <c r="H590" s="9" t="str">
        <f t="shared" si="17"/>
        <v/>
      </c>
      <c r="I590" s="8" t="b">
        <f>IF(D590&lt;2,FALSE,ISERROR(MATCH(H590,'Ontology and concepts per UC'!$A$2:$A$62,0)))</f>
        <v>0</v>
      </c>
      <c r="J590" s="9" t="str">
        <f t="shared" si="18"/>
        <v/>
      </c>
      <c r="K590" s="8" t="b">
        <f>IF(D590&lt;3,FALSE,ISERROR(MATCH(J590,'Ontology and concepts per UC'!$A$2:$A$62,0)))</f>
        <v>0</v>
      </c>
      <c r="L590" s="2"/>
      <c r="M590" s="2" t="s">
        <v>1629</v>
      </c>
      <c r="N590" s="2"/>
      <c r="O590" s="1" t="b">
        <v>0</v>
      </c>
      <c r="P590" s="1">
        <v>0</v>
      </c>
      <c r="Q590" s="1">
        <v>0</v>
      </c>
      <c r="R590" s="1" t="b">
        <f t="shared" si="19"/>
        <v>0</v>
      </c>
      <c r="S590" s="2" t="s">
        <v>32</v>
      </c>
      <c r="T590" s="1" t="str">
        <f>IF(S590="","",VLOOKUP(S590,'Ontology and concepts per UC'!$F$2:$J$46,5,FALSE))</f>
        <v>Modelo Conceptual</v>
      </c>
      <c r="U590" s="1" t="b">
        <f t="array" ref="U590">(INDEX('Ontology and concepts per UC'!$G$2:$I$46,MATCH($S590,'Ontology and concepts per UC'!$F$2:$F$46,0),MATCH(LEFT($A590,3),'Ontology and concepts per UC'!$G$1:$I$1,0))=0)</f>
        <v>0</v>
      </c>
      <c r="V590" s="1" t="b">
        <f t="shared" si="20"/>
        <v>0</v>
      </c>
      <c r="W590" s="1" t="b">
        <v>0</v>
      </c>
      <c r="X590" s="1" t="b">
        <v>0</v>
      </c>
      <c r="Y590" s="1" t="b">
        <v>0</v>
      </c>
      <c r="Z590" s="1" t="b">
        <v>0</v>
      </c>
      <c r="AA590" s="1"/>
    </row>
    <row r="591" spans="1:27" x14ac:dyDescent="0.25">
      <c r="A591" s="1" t="s">
        <v>1619</v>
      </c>
      <c r="B591" s="2" t="s">
        <v>1630</v>
      </c>
      <c r="C591" s="2" t="s">
        <v>201</v>
      </c>
      <c r="D591" s="6">
        <f t="shared" si="14"/>
        <v>1</v>
      </c>
      <c r="E591" s="7" t="str">
        <f t="shared" si="15"/>
        <v>DeterministicParameter</v>
      </c>
      <c r="F591" s="8" t="b">
        <f>IF(D591&lt;1,FALSE,ISERROR(MATCH(E591,'Ontology and concepts per UC'!$A$2:$A$62,0)))</f>
        <v>0</v>
      </c>
      <c r="G591" s="9" t="str">
        <f t="shared" si="16"/>
        <v/>
      </c>
      <c r="H591" s="9" t="str">
        <f t="shared" si="17"/>
        <v/>
      </c>
      <c r="I591" s="8" t="b">
        <f>IF(D591&lt;2,FALSE,ISERROR(MATCH(H591,'Ontology and concepts per UC'!$A$2:$A$62,0)))</f>
        <v>0</v>
      </c>
      <c r="J591" s="9" t="str">
        <f t="shared" si="18"/>
        <v/>
      </c>
      <c r="K591" s="8" t="b">
        <f>IF(D591&lt;3,FALSE,ISERROR(MATCH(J591,'Ontology and concepts per UC'!$A$2:$A$62,0)))</f>
        <v>0</v>
      </c>
      <c r="L591" s="2" t="s">
        <v>1568</v>
      </c>
      <c r="M591" s="2" t="s">
        <v>1631</v>
      </c>
      <c r="N591" s="2"/>
      <c r="O591" s="1" t="b">
        <v>0</v>
      </c>
      <c r="P591" s="1">
        <v>0</v>
      </c>
      <c r="Q591" s="1">
        <v>0</v>
      </c>
      <c r="R591" s="1" t="b">
        <f t="shared" si="19"/>
        <v>1</v>
      </c>
      <c r="S591" s="2" t="s">
        <v>47</v>
      </c>
      <c r="T591" s="1" t="str">
        <f>IF(S591="","",VLOOKUP(S591,'Ontology and concepts per UC'!$F$2:$J$46,5,FALSE))</f>
        <v>Parámetros de intervención</v>
      </c>
      <c r="U591" s="1" t="b">
        <f t="array" ref="U591">(INDEX('Ontology and concepts per UC'!$G$2:$I$46,MATCH($S591,'Ontology and concepts per UC'!$F$2:$F$46,0),MATCH(LEFT($A591,3),'Ontology and concepts per UC'!$G$1:$I$1,0))=0)</f>
        <v>0</v>
      </c>
      <c r="V591" s="1" t="b">
        <f t="shared" si="20"/>
        <v>0</v>
      </c>
      <c r="W591" s="1" t="b">
        <v>0</v>
      </c>
      <c r="X591" s="1" t="b">
        <v>0</v>
      </c>
      <c r="Y591" s="1" t="b">
        <v>0</v>
      </c>
      <c r="Z591" s="1" t="b">
        <v>0</v>
      </c>
      <c r="AA591" s="1" t="s">
        <v>205</v>
      </c>
    </row>
    <row r="592" spans="1:27" x14ac:dyDescent="0.25">
      <c r="A592" s="1" t="s">
        <v>1619</v>
      </c>
      <c r="B592" s="2" t="s">
        <v>1632</v>
      </c>
      <c r="C592" s="2" t="s">
        <v>201</v>
      </c>
      <c r="D592" s="6">
        <f t="shared" si="14"/>
        <v>1</v>
      </c>
      <c r="E592" s="7" t="str">
        <f t="shared" si="15"/>
        <v>DeterministicParameter</v>
      </c>
      <c r="F592" s="8" t="b">
        <f>IF(D592&lt;1,FALSE,ISERROR(MATCH(E592,'Ontology and concepts per UC'!$A$2:$A$62,0)))</f>
        <v>0</v>
      </c>
      <c r="G592" s="9" t="str">
        <f t="shared" si="16"/>
        <v/>
      </c>
      <c r="H592" s="9" t="str">
        <f t="shared" si="17"/>
        <v/>
      </c>
      <c r="I592" s="8" t="b">
        <f>IF(D592&lt;2,FALSE,ISERROR(MATCH(H592,'Ontology and concepts per UC'!$A$2:$A$62,0)))</f>
        <v>0</v>
      </c>
      <c r="J592" s="9" t="str">
        <f t="shared" si="18"/>
        <v/>
      </c>
      <c r="K592" s="8" t="b">
        <f>IF(D592&lt;3,FALSE,ISERROR(MATCH(J592,'Ontology and concepts per UC'!$A$2:$A$62,0)))</f>
        <v>0</v>
      </c>
      <c r="L592" s="2" t="s">
        <v>1571</v>
      </c>
      <c r="M592" s="2" t="s">
        <v>1633</v>
      </c>
      <c r="N592" s="2"/>
      <c r="O592" s="1" t="b">
        <v>0</v>
      </c>
      <c r="P592" s="1">
        <v>0</v>
      </c>
      <c r="Q592" s="1">
        <v>0</v>
      </c>
      <c r="R592" s="1" t="b">
        <f t="shared" si="19"/>
        <v>1</v>
      </c>
      <c r="S592" s="2" t="s">
        <v>46</v>
      </c>
      <c r="T592" s="1" t="str">
        <f>IF(S592="","",VLOOKUP(S592,'Ontology and concepts per UC'!$F$2:$J$46,5,FALSE))</f>
        <v>Parámetros de intervención</v>
      </c>
      <c r="U592" s="1" t="b">
        <f t="array" ref="U592">(INDEX('Ontology and concepts per UC'!$G$2:$I$46,MATCH($S592,'Ontology and concepts per UC'!$F$2:$F$46,0),MATCH(LEFT($A592,3),'Ontology and concepts per UC'!$G$1:$I$1,0))=0)</f>
        <v>0</v>
      </c>
      <c r="V592" s="1" t="b">
        <f t="shared" si="20"/>
        <v>0</v>
      </c>
      <c r="W592" s="1" t="b">
        <v>0</v>
      </c>
      <c r="X592" s="1" t="b">
        <v>0</v>
      </c>
      <c r="Y592" s="1" t="b">
        <v>0</v>
      </c>
      <c r="Z592" s="1" t="b">
        <v>0</v>
      </c>
      <c r="AA592" s="1" t="s">
        <v>205</v>
      </c>
    </row>
    <row r="593" spans="1:27" x14ac:dyDescent="0.25">
      <c r="A593" s="1" t="s">
        <v>1619</v>
      </c>
      <c r="B593" s="2" t="s">
        <v>1634</v>
      </c>
      <c r="C593" s="2" t="s">
        <v>201</v>
      </c>
      <c r="D593" s="6">
        <f t="shared" si="14"/>
        <v>1</v>
      </c>
      <c r="E593" s="7" t="str">
        <f t="shared" si="15"/>
        <v>DeterministicParameter</v>
      </c>
      <c r="F593" s="8" t="b">
        <f>IF(D593&lt;1,FALSE,ISERROR(MATCH(E593,'Ontology and concepts per UC'!$A$2:$A$62,0)))</f>
        <v>0</v>
      </c>
      <c r="G593" s="9" t="str">
        <f t="shared" si="16"/>
        <v/>
      </c>
      <c r="H593" s="9" t="str">
        <f t="shared" si="17"/>
        <v/>
      </c>
      <c r="I593" s="8" t="b">
        <f>IF(D593&lt;2,FALSE,ISERROR(MATCH(H593,'Ontology and concepts per UC'!$A$2:$A$62,0)))</f>
        <v>0</v>
      </c>
      <c r="J593" s="9" t="str">
        <f t="shared" si="18"/>
        <v/>
      </c>
      <c r="K593" s="8" t="b">
        <f>IF(D593&lt;3,FALSE,ISERROR(MATCH(J593,'Ontology and concepts per UC'!$A$2:$A$62,0)))</f>
        <v>0</v>
      </c>
      <c r="L593" s="2" t="s">
        <v>1635</v>
      </c>
      <c r="M593" s="2" t="s">
        <v>1636</v>
      </c>
      <c r="N593" s="2"/>
      <c r="O593" s="1" t="b">
        <v>0</v>
      </c>
      <c r="P593" s="1">
        <v>0</v>
      </c>
      <c r="Q593" s="1">
        <v>0</v>
      </c>
      <c r="R593" s="1" t="b">
        <f t="shared" si="19"/>
        <v>0</v>
      </c>
      <c r="S593" s="2" t="s">
        <v>15</v>
      </c>
      <c r="T593" s="1" t="str">
        <f>IF(S593="","",VLOOKUP(S593,'Ontology and concepts per UC'!$F$2:$J$46,5,FALSE))</f>
        <v>Modelo Conceptual</v>
      </c>
      <c r="U593" s="1" t="b">
        <f t="array" ref="U593">(INDEX('Ontology and concepts per UC'!$G$2:$I$46,MATCH($S593,'Ontology and concepts per UC'!$F$2:$F$46,0),MATCH(LEFT($A593,3),'Ontology and concepts per UC'!$G$1:$I$1,0))=0)</f>
        <v>0</v>
      </c>
      <c r="V593" s="1" t="b">
        <f t="shared" si="20"/>
        <v>0</v>
      </c>
      <c r="W593" s="1" t="b">
        <v>0</v>
      </c>
      <c r="X593" s="1" t="b">
        <v>0</v>
      </c>
      <c r="Y593" s="1" t="b">
        <v>0</v>
      </c>
      <c r="Z593" s="1" t="b">
        <v>0</v>
      </c>
      <c r="AA593" s="1"/>
    </row>
    <row r="594" spans="1:27" x14ac:dyDescent="0.25">
      <c r="A594" s="1" t="s">
        <v>1619</v>
      </c>
      <c r="B594" s="2" t="s">
        <v>1637</v>
      </c>
      <c r="C594" s="2" t="s">
        <v>201</v>
      </c>
      <c r="D594" s="6">
        <f t="shared" si="14"/>
        <v>1</v>
      </c>
      <c r="E594" s="7" t="str">
        <f t="shared" si="15"/>
        <v>DeterministicParameter</v>
      </c>
      <c r="F594" s="8" t="b">
        <f>IF(D594&lt;1,FALSE,ISERROR(MATCH(E594,'Ontology and concepts per UC'!$A$2:$A$62,0)))</f>
        <v>0</v>
      </c>
      <c r="G594" s="9" t="str">
        <f t="shared" si="16"/>
        <v/>
      </c>
      <c r="H594" s="9" t="str">
        <f t="shared" si="17"/>
        <v/>
      </c>
      <c r="I594" s="8" t="b">
        <f>IF(D594&lt;2,FALSE,ISERROR(MATCH(H594,'Ontology and concepts per UC'!$A$2:$A$62,0)))</f>
        <v>0</v>
      </c>
      <c r="J594" s="9" t="str">
        <f t="shared" si="18"/>
        <v/>
      </c>
      <c r="K594" s="8" t="b">
        <f>IF(D594&lt;3,FALSE,ISERROR(MATCH(J594,'Ontology and concepts per UC'!$A$2:$A$62,0)))</f>
        <v>0</v>
      </c>
      <c r="L594" s="2" t="s">
        <v>1638</v>
      </c>
      <c r="M594" s="2" t="s">
        <v>1639</v>
      </c>
      <c r="N594" s="2"/>
      <c r="O594" s="1" t="b">
        <v>0</v>
      </c>
      <c r="P594" s="1">
        <v>0</v>
      </c>
      <c r="Q594" s="1">
        <v>0</v>
      </c>
      <c r="R594" s="1" t="b">
        <f t="shared" si="19"/>
        <v>0</v>
      </c>
      <c r="S594" s="2" t="s">
        <v>16</v>
      </c>
      <c r="T594" s="1" t="str">
        <f>IF(S594="","",VLOOKUP(S594,'Ontology and concepts per UC'!$F$2:$J$46,5,FALSE))</f>
        <v>Modelo Conceptual</v>
      </c>
      <c r="U594" s="1" t="b">
        <f t="array" ref="U594">(INDEX('Ontology and concepts per UC'!$G$2:$I$46,MATCH($S594,'Ontology and concepts per UC'!$F$2:$F$46,0),MATCH(LEFT($A594,3),'Ontology and concepts per UC'!$G$1:$I$1,0))=0)</f>
        <v>0</v>
      </c>
      <c r="V594" s="1" t="b">
        <f t="shared" si="20"/>
        <v>0</v>
      </c>
      <c r="W594" s="1" t="b">
        <v>0</v>
      </c>
      <c r="X594" s="1" t="b">
        <v>0</v>
      </c>
      <c r="Y594" s="1" t="b">
        <v>0</v>
      </c>
      <c r="Z594" s="1" t="b">
        <v>0</v>
      </c>
      <c r="AA594" s="1"/>
    </row>
    <row r="595" spans="1:27" x14ac:dyDescent="0.25">
      <c r="A595" s="1" t="s">
        <v>1619</v>
      </c>
      <c r="B595" s="2" t="s">
        <v>1640</v>
      </c>
      <c r="C595" s="2" t="s">
        <v>929</v>
      </c>
      <c r="D595" s="6">
        <f t="shared" si="14"/>
        <v>2</v>
      </c>
      <c r="E595" s="7" t="str">
        <f t="shared" si="15"/>
        <v>DeterministicParameter</v>
      </c>
      <c r="F595" s="8" t="b">
        <f>IF(D595&lt;1,FALSE,ISERROR(MATCH(E595,'Ontology and concepts per UC'!$A$2:$A$62,0)))</f>
        <v>0</v>
      </c>
      <c r="G595" s="9" t="str">
        <f t="shared" si="16"/>
        <v>EpidemiologicalParameter</v>
      </c>
      <c r="H595" s="9" t="str">
        <f t="shared" si="17"/>
        <v>EpidemiologicalParameter</v>
      </c>
      <c r="I595" s="8" t="b">
        <f>IF(D595&lt;2,FALSE,ISERROR(MATCH(H595,'Ontology and concepts per UC'!$A$2:$A$62,0)))</f>
        <v>0</v>
      </c>
      <c r="J595" s="9" t="str">
        <f t="shared" si="18"/>
        <v/>
      </c>
      <c r="K595" s="8" t="b">
        <f>IF(D595&lt;3,FALSE,ISERROR(MATCH(J595,'Ontology and concepts per UC'!$A$2:$A$62,0)))</f>
        <v>0</v>
      </c>
      <c r="L595" s="2" t="s">
        <v>1641</v>
      </c>
      <c r="M595" s="2" t="s">
        <v>1642</v>
      </c>
      <c r="N595" s="2"/>
      <c r="O595" s="1" t="b">
        <v>0</v>
      </c>
      <c r="P595" s="1">
        <v>0</v>
      </c>
      <c r="Q595" s="1">
        <v>0</v>
      </c>
      <c r="R595" s="1" t="b">
        <f t="shared" si="19"/>
        <v>1</v>
      </c>
      <c r="S595" s="2" t="s">
        <v>50</v>
      </c>
      <c r="T595" s="1" t="str">
        <f>IF(S595="","",VLOOKUP(S595,'Ontology and concepts per UC'!$F$2:$J$46,5,FALSE))</f>
        <v>Parámetros de progresión</v>
      </c>
      <c r="U595" s="1" t="b">
        <f t="array" ref="U595">(INDEX('Ontology and concepts per UC'!$G$2:$I$46,MATCH($S595,'Ontology and concepts per UC'!$F$2:$F$46,0),MATCH(LEFT($A595,3),'Ontology and concepts per UC'!$G$1:$I$1,0))=0)</f>
        <v>0</v>
      </c>
      <c r="V595" s="1" t="b">
        <f t="shared" si="20"/>
        <v>0</v>
      </c>
      <c r="W595" s="1" t="b">
        <v>0</v>
      </c>
      <c r="X595" s="1" t="b">
        <v>0</v>
      </c>
      <c r="Y595" s="1" t="b">
        <v>0</v>
      </c>
      <c r="Z595" s="1" t="b">
        <v>0</v>
      </c>
    </row>
    <row r="596" spans="1:27" x14ac:dyDescent="0.25">
      <c r="A596" s="1" t="s">
        <v>1619</v>
      </c>
      <c r="B596" s="2" t="s">
        <v>1643</v>
      </c>
      <c r="C596" s="2" t="s">
        <v>929</v>
      </c>
      <c r="D596" s="6">
        <f t="shared" si="14"/>
        <v>2</v>
      </c>
      <c r="E596" s="7" t="str">
        <f t="shared" si="15"/>
        <v>DeterministicParameter</v>
      </c>
      <c r="F596" s="8" t="b">
        <f>IF(D596&lt;1,FALSE,ISERROR(MATCH(E596,'Ontology and concepts per UC'!$A$2:$A$62,0)))</f>
        <v>0</v>
      </c>
      <c r="G596" s="9" t="str">
        <f t="shared" si="16"/>
        <v>EpidemiologicalParameter</v>
      </c>
      <c r="H596" s="9" t="str">
        <f t="shared" si="17"/>
        <v>EpidemiologicalParameter</v>
      </c>
      <c r="I596" s="8" t="b">
        <f>IF(D596&lt;2,FALSE,ISERROR(MATCH(H596,'Ontology and concepts per UC'!$A$2:$A$62,0)))</f>
        <v>0</v>
      </c>
      <c r="J596" s="9" t="str">
        <f t="shared" si="18"/>
        <v/>
      </c>
      <c r="K596" s="8" t="b">
        <f>IF(D596&lt;3,FALSE,ISERROR(MATCH(J596,'Ontology and concepts per UC'!$A$2:$A$62,0)))</f>
        <v>0</v>
      </c>
      <c r="L596" s="2" t="s">
        <v>1641</v>
      </c>
      <c r="M596" s="2" t="s">
        <v>1644</v>
      </c>
      <c r="N596" s="2"/>
      <c r="O596" s="1" t="b">
        <v>0</v>
      </c>
      <c r="P596" s="1">
        <v>0</v>
      </c>
      <c r="Q596" s="1">
        <v>0</v>
      </c>
      <c r="R596" s="1" t="b">
        <f t="shared" si="19"/>
        <v>1</v>
      </c>
      <c r="S596" s="2" t="s">
        <v>51</v>
      </c>
      <c r="T596" s="1" t="str">
        <f>IF(S596="","",VLOOKUP(S596,'Ontology and concepts per UC'!$F$2:$J$46,5,FALSE))</f>
        <v>Parámetros de progresión</v>
      </c>
      <c r="U596" s="1" t="b">
        <f t="array" ref="U596">(INDEX('Ontology and concepts per UC'!$G$2:$I$46,MATCH($S596,'Ontology and concepts per UC'!$F$2:$F$46,0),MATCH(LEFT($A596,3),'Ontology and concepts per UC'!$G$1:$I$1,0))=0)</f>
        <v>0</v>
      </c>
      <c r="V596" s="1" t="b">
        <f t="shared" si="20"/>
        <v>0</v>
      </c>
      <c r="W596" s="1" t="b">
        <v>0</v>
      </c>
      <c r="X596" s="1" t="b">
        <v>0</v>
      </c>
      <c r="Y596" s="1" t="b">
        <v>0</v>
      </c>
      <c r="Z596" s="1" t="b">
        <v>0</v>
      </c>
      <c r="AA596" s="1" t="s">
        <v>205</v>
      </c>
    </row>
    <row r="597" spans="1:27" x14ac:dyDescent="0.25">
      <c r="A597" s="1" t="s">
        <v>1619</v>
      </c>
      <c r="B597" s="2" t="s">
        <v>1645</v>
      </c>
      <c r="C597" s="2" t="s">
        <v>23</v>
      </c>
      <c r="D597" s="6">
        <f t="shared" si="14"/>
        <v>1</v>
      </c>
      <c r="E597" s="7" t="str">
        <f t="shared" si="15"/>
        <v>DiagnosisIntervention</v>
      </c>
      <c r="F597" s="8" t="b">
        <f>IF(D597&lt;1,FALSE,ISERROR(MATCH(E597,'Ontology and concepts per UC'!$A$2:$A$62,0)))</f>
        <v>0</v>
      </c>
      <c r="G597" s="9" t="str">
        <f t="shared" si="16"/>
        <v/>
      </c>
      <c r="H597" s="9" t="str">
        <f t="shared" si="17"/>
        <v/>
      </c>
      <c r="I597" s="8" t="b">
        <f>IF(D597&lt;2,FALSE,ISERROR(MATCH(H597,'Ontology and concepts per UC'!$A$2:$A$62,0)))</f>
        <v>0</v>
      </c>
      <c r="J597" s="9" t="str">
        <f t="shared" si="18"/>
        <v/>
      </c>
      <c r="K597" s="8" t="b">
        <f>IF(D597&lt;3,FALSE,ISERROR(MATCH(J597,'Ontology and concepts per UC'!$A$2:$A$62,0)))</f>
        <v>0</v>
      </c>
      <c r="L597" s="2"/>
      <c r="M597" s="2" t="s">
        <v>1646</v>
      </c>
      <c r="N597" s="2"/>
      <c r="O597" s="1" t="b">
        <v>0</v>
      </c>
      <c r="P597" s="1">
        <v>0</v>
      </c>
      <c r="Q597" s="1">
        <v>0</v>
      </c>
      <c r="R597" s="1" t="b">
        <f t="shared" si="19"/>
        <v>0</v>
      </c>
      <c r="S597" s="2" t="s">
        <v>22</v>
      </c>
      <c r="T597" s="1" t="str">
        <f>IF(S597="","",VLOOKUP(S597,'Ontology and concepts per UC'!$F$2:$J$46,5,FALSE))</f>
        <v>Modelo Conceptual</v>
      </c>
      <c r="U597" s="1" t="b">
        <f t="array" ref="U597">(INDEX('Ontology and concepts per UC'!$G$2:$I$46,MATCH($S597,'Ontology and concepts per UC'!$F$2:$F$46,0),MATCH(LEFT($A597,3),'Ontology and concepts per UC'!$G$1:$I$1,0))=0)</f>
        <v>0</v>
      </c>
      <c r="V597" s="1" t="b">
        <f t="shared" si="20"/>
        <v>0</v>
      </c>
      <c r="W597" s="1" t="b">
        <v>0</v>
      </c>
      <c r="X597" s="1" t="b">
        <v>0</v>
      </c>
      <c r="Y597" s="1" t="b">
        <v>0</v>
      </c>
      <c r="Z597" s="1" t="b">
        <v>0</v>
      </c>
      <c r="AA597" s="1"/>
    </row>
    <row r="598" spans="1:27" x14ac:dyDescent="0.25">
      <c r="A598" s="1" t="s">
        <v>1619</v>
      </c>
      <c r="B598" s="2" t="s">
        <v>1647</v>
      </c>
      <c r="C598" s="2" t="s">
        <v>1437</v>
      </c>
      <c r="D598" s="6">
        <f t="shared" si="14"/>
        <v>2</v>
      </c>
      <c r="E598" s="7" t="str">
        <f t="shared" si="15"/>
        <v>EpidemiologicalParameter</v>
      </c>
      <c r="F598" s="8" t="b">
        <f>IF(D598&lt;1,FALSE,ISERROR(MATCH(E598,'Ontology and concepts per UC'!$A$2:$A$62,0)))</f>
        <v>0</v>
      </c>
      <c r="G598" s="9" t="str">
        <f t="shared" si="16"/>
        <v>DeterministicParameter</v>
      </c>
      <c r="H598" s="9" t="str">
        <f t="shared" si="17"/>
        <v>DeterministicParameter</v>
      </c>
      <c r="I598" s="8" t="b">
        <f>IF(D598&lt;2,FALSE,ISERROR(MATCH(H598,'Ontology and concepts per UC'!$A$2:$A$62,0)))</f>
        <v>0</v>
      </c>
      <c r="J598" s="9" t="str">
        <f t="shared" si="18"/>
        <v/>
      </c>
      <c r="K598" s="8" t="b">
        <f>IF(D598&lt;3,FALSE,ISERROR(MATCH(J598,'Ontology and concepts per UC'!$A$2:$A$62,0)))</f>
        <v>0</v>
      </c>
      <c r="L598" s="2" t="s">
        <v>1648</v>
      </c>
      <c r="M598" s="2" t="s">
        <v>1649</v>
      </c>
      <c r="N598" s="2"/>
      <c r="O598" s="1" t="b">
        <v>0</v>
      </c>
      <c r="P598" s="1">
        <v>0</v>
      </c>
      <c r="Q598" s="1">
        <v>0</v>
      </c>
      <c r="R598" s="1" t="b">
        <f t="shared" si="19"/>
        <v>1</v>
      </c>
      <c r="S598" s="2" t="s">
        <v>38</v>
      </c>
      <c r="T598" s="1" t="str">
        <f>IF(S598="","",VLOOKUP(S598,'Ontology and concepts per UC'!$F$2:$J$46,5,FALSE))</f>
        <v>Parámetro epidemiológico</v>
      </c>
      <c r="U598" s="1" t="b">
        <f t="array" ref="U598">(INDEX('Ontology and concepts per UC'!$G$2:$I$46,MATCH($S598,'Ontology and concepts per UC'!$F$2:$F$46,0),MATCH(LEFT($A598,3),'Ontology and concepts per UC'!$G$1:$I$1,0))=0)</f>
        <v>0</v>
      </c>
      <c r="V598" s="1" t="b">
        <f t="shared" si="20"/>
        <v>0</v>
      </c>
      <c r="W598" s="1" t="b">
        <v>0</v>
      </c>
      <c r="X598" s="1" t="b">
        <v>0</v>
      </c>
      <c r="Y598" s="1" t="b">
        <v>0</v>
      </c>
      <c r="Z598" s="1" t="b">
        <v>0</v>
      </c>
    </row>
    <row r="599" spans="1:27" x14ac:dyDescent="0.25">
      <c r="A599" s="1" t="s">
        <v>1619</v>
      </c>
      <c r="B599" s="2" t="s">
        <v>1650</v>
      </c>
      <c r="C599" s="2" t="s">
        <v>1437</v>
      </c>
      <c r="D599" s="6">
        <f t="shared" si="14"/>
        <v>2</v>
      </c>
      <c r="E599" s="7" t="str">
        <f t="shared" si="15"/>
        <v>EpidemiologicalParameter</v>
      </c>
      <c r="F599" s="8" t="b">
        <f>IF(D599&lt;1,FALSE,ISERROR(MATCH(E599,'Ontology and concepts per UC'!$A$2:$A$62,0)))</f>
        <v>0</v>
      </c>
      <c r="G599" s="9" t="str">
        <f t="shared" si="16"/>
        <v>DeterministicParameter</v>
      </c>
      <c r="H599" s="9" t="str">
        <f t="shared" si="17"/>
        <v>DeterministicParameter</v>
      </c>
      <c r="I599" s="8" t="b">
        <f>IF(D599&lt;2,FALSE,ISERROR(MATCH(H599,'Ontology and concepts per UC'!$A$2:$A$62,0)))</f>
        <v>0</v>
      </c>
      <c r="J599" s="9" t="str">
        <f t="shared" si="18"/>
        <v/>
      </c>
      <c r="K599" s="8" t="b">
        <f>IF(D599&lt;3,FALSE,ISERROR(MATCH(J599,'Ontology and concepts per UC'!$A$2:$A$62,0)))</f>
        <v>0</v>
      </c>
      <c r="L599" s="2" t="s">
        <v>1641</v>
      </c>
      <c r="M599" s="2" t="s">
        <v>1651</v>
      </c>
      <c r="N599" s="2"/>
      <c r="O599" s="1" t="b">
        <v>0</v>
      </c>
      <c r="P599" s="1">
        <v>0</v>
      </c>
      <c r="Q599" s="1">
        <v>0</v>
      </c>
      <c r="R599" s="1" t="b">
        <f t="shared" si="19"/>
        <v>1</v>
      </c>
      <c r="S599" s="2" t="s">
        <v>17</v>
      </c>
      <c r="T599" s="1" t="str">
        <f>IF(S599="","",VLOOKUP(S599,'Ontology and concepts per UC'!$F$2:$J$46,5,FALSE))</f>
        <v>Modelo Conceptual</v>
      </c>
      <c r="U599" s="1" t="b">
        <f t="array" ref="U599">(INDEX('Ontology and concepts per UC'!$G$2:$I$46,MATCH($S599,'Ontology and concepts per UC'!$F$2:$F$46,0),MATCH(LEFT($A599,3),'Ontology and concepts per UC'!$G$1:$I$1,0))=0)</f>
        <v>0</v>
      </c>
      <c r="V599" s="1" t="b">
        <f t="shared" si="20"/>
        <v>0</v>
      </c>
      <c r="W599" s="1" t="b">
        <v>0</v>
      </c>
      <c r="X599" s="1" t="b">
        <v>0</v>
      </c>
      <c r="Y599" s="1" t="b">
        <v>0</v>
      </c>
      <c r="Z599" s="1" t="b">
        <v>0</v>
      </c>
      <c r="AA599" s="1" t="s">
        <v>205</v>
      </c>
    </row>
    <row r="600" spans="1:27" x14ac:dyDescent="0.25">
      <c r="A600" s="1" t="s">
        <v>1619</v>
      </c>
      <c r="B600" s="2" t="s">
        <v>1652</v>
      </c>
      <c r="C600" s="2" t="s">
        <v>125</v>
      </c>
      <c r="D600" s="6">
        <f t="shared" si="14"/>
        <v>1</v>
      </c>
      <c r="E600" s="7" t="str">
        <f t="shared" si="15"/>
        <v>Manifestation</v>
      </c>
      <c r="F600" s="8" t="b">
        <f>IF(D600&lt;1,FALSE,ISERROR(MATCH(E600,'Ontology and concepts per UC'!$A$2:$A$62,0)))</f>
        <v>0</v>
      </c>
      <c r="G600" s="9" t="str">
        <f t="shared" si="16"/>
        <v/>
      </c>
      <c r="H600" s="9" t="str">
        <f t="shared" si="17"/>
        <v/>
      </c>
      <c r="I600" s="8" t="b">
        <f>IF(D600&lt;2,FALSE,ISERROR(MATCH(H600,'Ontology and concepts per UC'!$A$2:$A$62,0)))</f>
        <v>0</v>
      </c>
      <c r="J600" s="9" t="str">
        <f t="shared" si="18"/>
        <v/>
      </c>
      <c r="K600" s="8" t="b">
        <f>IF(D600&lt;3,FALSE,ISERROR(MATCH(J600,'Ontology and concepts per UC'!$A$2:$A$62,0)))</f>
        <v>0</v>
      </c>
      <c r="L600" s="2" t="s">
        <v>1653</v>
      </c>
      <c r="M600" s="2" t="s">
        <v>1654</v>
      </c>
      <c r="N600" s="2"/>
      <c r="O600" s="1" t="b">
        <v>0</v>
      </c>
      <c r="P600" s="1">
        <v>0</v>
      </c>
      <c r="Q600" s="1">
        <v>0</v>
      </c>
      <c r="R600" s="1" t="b">
        <f t="shared" si="19"/>
        <v>0</v>
      </c>
      <c r="S600" s="2" t="s">
        <v>17</v>
      </c>
      <c r="T600" s="1" t="str">
        <f>IF(S600="","",VLOOKUP(S600,'Ontology and concepts per UC'!$F$2:$J$46,5,FALSE))</f>
        <v>Modelo Conceptual</v>
      </c>
      <c r="U600" s="1" t="b">
        <f t="array" ref="U600">(INDEX('Ontology and concepts per UC'!$G$2:$I$46,MATCH($S600,'Ontology and concepts per UC'!$F$2:$F$46,0),MATCH(LEFT($A600,3),'Ontology and concepts per UC'!$G$1:$I$1,0))=0)</f>
        <v>0</v>
      </c>
      <c r="V600" s="1" t="b">
        <f t="shared" si="20"/>
        <v>0</v>
      </c>
      <c r="W600" s="1" t="b">
        <v>0</v>
      </c>
      <c r="X600" s="1" t="b">
        <v>0</v>
      </c>
      <c r="Y600" s="1" t="b">
        <v>0</v>
      </c>
      <c r="Z600" s="1" t="b">
        <v>0</v>
      </c>
      <c r="AA600" s="1"/>
    </row>
    <row r="601" spans="1:27" x14ac:dyDescent="0.25">
      <c r="A601" s="1" t="s">
        <v>1619</v>
      </c>
      <c r="B601" s="2" t="s">
        <v>1655</v>
      </c>
      <c r="C601" s="2" t="s">
        <v>14</v>
      </c>
      <c r="D601" s="6">
        <f t="shared" si="14"/>
        <v>1</v>
      </c>
      <c r="E601" s="7" t="str">
        <f t="shared" si="15"/>
        <v>Population</v>
      </c>
      <c r="F601" s="8" t="b">
        <f>IF(D601&lt;1,FALSE,ISERROR(MATCH(E601,'Ontology and concepts per UC'!$A$2:$A$62,0)))</f>
        <v>0</v>
      </c>
      <c r="G601" s="9" t="str">
        <f t="shared" si="16"/>
        <v/>
      </c>
      <c r="H601" s="9" t="str">
        <f t="shared" si="17"/>
        <v/>
      </c>
      <c r="I601" s="8" t="b">
        <f>IF(D601&lt;2,FALSE,ISERROR(MATCH(H601,'Ontology and concepts per UC'!$A$2:$A$62,0)))</f>
        <v>0</v>
      </c>
      <c r="J601" s="9" t="str">
        <f t="shared" si="18"/>
        <v/>
      </c>
      <c r="K601" s="8" t="b">
        <f>IF(D601&lt;3,FALSE,ISERROR(MATCH(J601,'Ontology and concepts per UC'!$A$2:$A$62,0)))</f>
        <v>0</v>
      </c>
      <c r="L601" s="2" t="s">
        <v>1656</v>
      </c>
      <c r="M601" s="2" t="s">
        <v>1657</v>
      </c>
      <c r="N601" s="2"/>
      <c r="O601" s="1" t="b">
        <v>0</v>
      </c>
      <c r="P601" s="1">
        <v>0</v>
      </c>
      <c r="Q601" s="1">
        <v>0</v>
      </c>
      <c r="R601" s="1" t="b">
        <f t="shared" si="19"/>
        <v>0</v>
      </c>
      <c r="S601" s="2" t="s">
        <v>13</v>
      </c>
      <c r="T601" s="1" t="str">
        <f>IF(S601="","",VLOOKUP(S601,'Ontology and concepts per UC'!$F$2:$J$46,5,FALSE))</f>
        <v>Modelo Conceptual</v>
      </c>
      <c r="U601" s="1" t="b">
        <f t="array" ref="U601">(INDEX('Ontology and concepts per UC'!$G$2:$I$46,MATCH($S601,'Ontology and concepts per UC'!$F$2:$F$46,0),MATCH(LEFT($A601,3),'Ontology and concepts per UC'!$G$1:$I$1,0))=0)</f>
        <v>0</v>
      </c>
      <c r="V601" s="1" t="b">
        <f t="shared" si="20"/>
        <v>0</v>
      </c>
      <c r="W601" s="1" t="b">
        <v>0</v>
      </c>
      <c r="X601" s="1" t="b">
        <v>0</v>
      </c>
      <c r="Y601" s="1" t="b">
        <v>0</v>
      </c>
      <c r="Z601" s="1" t="b">
        <v>0</v>
      </c>
      <c r="AA601" s="1"/>
    </row>
    <row r="602" spans="1:27" x14ac:dyDescent="0.25">
      <c r="A602" s="1" t="s">
        <v>1619</v>
      </c>
      <c r="B602" s="2" t="s">
        <v>1658</v>
      </c>
      <c r="C602" s="2" t="s">
        <v>36</v>
      </c>
      <c r="D602" s="6">
        <f t="shared" si="14"/>
        <v>1</v>
      </c>
      <c r="E602" s="7" t="str">
        <f t="shared" si="15"/>
        <v>RareDisease</v>
      </c>
      <c r="F602" s="8" t="b">
        <f>IF(D602&lt;1,FALSE,ISERROR(MATCH(E602,'Ontology and concepts per UC'!$A$2:$A$62,0)))</f>
        <v>0</v>
      </c>
      <c r="G602" s="9" t="str">
        <f t="shared" si="16"/>
        <v/>
      </c>
      <c r="H602" s="9" t="str">
        <f t="shared" si="17"/>
        <v/>
      </c>
      <c r="I602" s="8" t="b">
        <f>IF(D602&lt;2,FALSE,ISERROR(MATCH(H602,'Ontology and concepts per UC'!$A$2:$A$62,0)))</f>
        <v>0</v>
      </c>
      <c r="J602" s="9" t="str">
        <f t="shared" si="18"/>
        <v/>
      </c>
      <c r="K602" s="8" t="b">
        <f>IF(D602&lt;3,FALSE,ISERROR(MATCH(J602,'Ontology and concepts per UC'!$A$2:$A$62,0)))</f>
        <v>0</v>
      </c>
      <c r="L602" s="2" t="s">
        <v>1659</v>
      </c>
      <c r="M602" s="2" t="s">
        <v>1660</v>
      </c>
      <c r="N602" s="2"/>
      <c r="O602" s="1" t="b">
        <v>0</v>
      </c>
      <c r="P602" s="1">
        <v>0</v>
      </c>
      <c r="Q602" s="1">
        <v>0</v>
      </c>
      <c r="R602" s="1" t="b">
        <f t="shared" si="19"/>
        <v>0</v>
      </c>
      <c r="S602" s="2" t="s">
        <v>35</v>
      </c>
      <c r="T602" s="1" t="str">
        <f>IF(S602="","",VLOOKUP(S602,'Ontology and concepts per UC'!$F$2:$J$46,5,FALSE))</f>
        <v>Modelo Conceptual</v>
      </c>
      <c r="U602" s="1" t="b">
        <f t="array" ref="U602">(INDEX('Ontology and concepts per UC'!$G$2:$I$46,MATCH($S602,'Ontology and concepts per UC'!$F$2:$F$46,0),MATCH(LEFT($A602,3),'Ontology and concepts per UC'!$G$1:$I$1,0))=0)</f>
        <v>0</v>
      </c>
      <c r="V602" s="1" t="b">
        <f t="shared" si="20"/>
        <v>1</v>
      </c>
      <c r="W602" s="1" t="b">
        <v>0</v>
      </c>
      <c r="X602" s="1" t="b">
        <v>0</v>
      </c>
      <c r="Y602" s="1" t="b">
        <v>0</v>
      </c>
      <c r="Z602" s="1" t="b">
        <v>1</v>
      </c>
      <c r="AA602" s="1" t="s">
        <v>197</v>
      </c>
    </row>
    <row r="603" spans="1:27" x14ac:dyDescent="0.25">
      <c r="A603" s="1" t="s">
        <v>1619</v>
      </c>
      <c r="B603" s="2" t="s">
        <v>1661</v>
      </c>
      <c r="C603" s="2" t="s">
        <v>25</v>
      </c>
      <c r="D603" s="6">
        <f t="shared" si="14"/>
        <v>1</v>
      </c>
      <c r="E603" s="7" t="str">
        <f t="shared" si="15"/>
        <v>ScreeningIntervention</v>
      </c>
      <c r="F603" s="8" t="b">
        <f>IF(D603&lt;1,FALSE,ISERROR(MATCH(E603,'Ontology and concepts per UC'!$A$2:$A$62,0)))</f>
        <v>0</v>
      </c>
      <c r="G603" s="9" t="str">
        <f t="shared" si="16"/>
        <v/>
      </c>
      <c r="H603" s="9" t="str">
        <f t="shared" si="17"/>
        <v/>
      </c>
      <c r="I603" s="8" t="b">
        <f>IF(D603&lt;2,FALSE,ISERROR(MATCH(H603,'Ontology and concepts per UC'!$A$2:$A$62,0)))</f>
        <v>0</v>
      </c>
      <c r="J603" s="9" t="str">
        <f t="shared" si="18"/>
        <v/>
      </c>
      <c r="K603" s="8" t="b">
        <f>IF(D603&lt;3,FALSE,ISERROR(MATCH(J603,'Ontology and concepts per UC'!$A$2:$A$62,0)))</f>
        <v>0</v>
      </c>
      <c r="L603" s="2" t="s">
        <v>1662</v>
      </c>
      <c r="M603" s="2" t="s">
        <v>1663</v>
      </c>
      <c r="N603" s="2"/>
      <c r="O603" s="1" t="b">
        <v>0</v>
      </c>
      <c r="P603" s="1">
        <v>0</v>
      </c>
      <c r="Q603" s="1">
        <v>0</v>
      </c>
      <c r="R603" s="1" t="b">
        <f t="shared" si="19"/>
        <v>0</v>
      </c>
      <c r="S603" s="2" t="s">
        <v>24</v>
      </c>
      <c r="T603" s="1" t="str">
        <f>IF(S603="","",VLOOKUP(S603,'Ontology and concepts per UC'!$F$2:$J$46,5,FALSE))</f>
        <v>Modelo Conceptual</v>
      </c>
      <c r="U603" s="1" t="b">
        <f t="array" ref="U603">(INDEX('Ontology and concepts per UC'!$G$2:$I$46,MATCH($S603,'Ontology and concepts per UC'!$F$2:$F$46,0),MATCH(LEFT($A603,3),'Ontology and concepts per UC'!$G$1:$I$1,0))=0)</f>
        <v>0</v>
      </c>
      <c r="V603" s="1" t="b">
        <f t="shared" si="20"/>
        <v>0</v>
      </c>
      <c r="W603" s="1" t="b">
        <v>0</v>
      </c>
      <c r="X603" s="1" t="b">
        <v>0</v>
      </c>
      <c r="Y603" s="1" t="b">
        <v>0</v>
      </c>
      <c r="Z603" s="1" t="b">
        <v>0</v>
      </c>
      <c r="AA603" s="1"/>
    </row>
    <row r="604" spans="1:27" x14ac:dyDescent="0.25">
      <c r="A604" s="1" t="s">
        <v>1619</v>
      </c>
      <c r="B604" s="2" t="s">
        <v>1664</v>
      </c>
      <c r="C604" s="2" t="s">
        <v>219</v>
      </c>
      <c r="D604" s="6">
        <f t="shared" si="14"/>
        <v>1</v>
      </c>
      <c r="E604" s="7" t="str">
        <f t="shared" si="15"/>
        <v>Utility</v>
      </c>
      <c r="F604" s="8" t="b">
        <f>IF(D604&lt;1,FALSE,ISERROR(MATCH(E604,'Ontology and concepts per UC'!$A$2:$A$62,0)))</f>
        <v>0</v>
      </c>
      <c r="G604" s="9" t="str">
        <f t="shared" si="16"/>
        <v/>
      </c>
      <c r="H604" s="9" t="str">
        <f t="shared" si="17"/>
        <v/>
      </c>
      <c r="I604" s="8" t="b">
        <f>IF(D604&lt;2,FALSE,ISERROR(MATCH(H604,'Ontology and concepts per UC'!$A$2:$A$62,0)))</f>
        <v>0</v>
      </c>
      <c r="J604" s="9" t="str">
        <f t="shared" si="18"/>
        <v/>
      </c>
      <c r="K604" s="8" t="b">
        <f>IF(D604&lt;3,FALSE,ISERROR(MATCH(J604,'Ontology and concepts per UC'!$A$2:$A$62,0)))</f>
        <v>0</v>
      </c>
      <c r="L604" s="2" t="s">
        <v>1154</v>
      </c>
      <c r="M604" s="2" t="s">
        <v>1665</v>
      </c>
      <c r="N604" s="2"/>
      <c r="O604" s="1" t="b">
        <v>0</v>
      </c>
      <c r="P604" s="1">
        <v>0</v>
      </c>
      <c r="Q604" s="1">
        <v>0</v>
      </c>
      <c r="R604" s="1" t="b">
        <f t="shared" si="19"/>
        <v>1</v>
      </c>
      <c r="S604" s="2" t="s">
        <v>65</v>
      </c>
      <c r="T604" s="1" t="str">
        <f>IF(S604="","",VLOOKUP(S604,'Ontology and concepts per UC'!$F$2:$J$46,5,FALSE))</f>
        <v>Utilidad</v>
      </c>
      <c r="U604" s="1" t="b">
        <f t="array" ref="U604">(INDEX('Ontology and concepts per UC'!$G$2:$I$46,MATCH($S604,'Ontology and concepts per UC'!$F$2:$F$46,0),MATCH(LEFT($A604,3),'Ontology and concepts per UC'!$G$1:$I$1,0))=0)</f>
        <v>0</v>
      </c>
      <c r="V604" s="1" t="b">
        <f t="shared" si="20"/>
        <v>0</v>
      </c>
      <c r="W604" s="1" t="b">
        <v>0</v>
      </c>
      <c r="X604" s="1" t="b">
        <v>0</v>
      </c>
      <c r="Y604" s="1" t="b">
        <v>0</v>
      </c>
      <c r="Z604" s="1" t="b">
        <v>0</v>
      </c>
    </row>
    <row r="605" spans="1:27" x14ac:dyDescent="0.25">
      <c r="A605" s="1" t="s">
        <v>1619</v>
      </c>
      <c r="B605" s="2" t="s">
        <v>1666</v>
      </c>
      <c r="C605" s="2" t="s">
        <v>219</v>
      </c>
      <c r="D605" s="6">
        <f t="shared" si="14"/>
        <v>1</v>
      </c>
      <c r="E605" s="7" t="str">
        <f t="shared" si="15"/>
        <v>Utility</v>
      </c>
      <c r="F605" s="8" t="b">
        <f>IF(D605&lt;1,FALSE,ISERROR(MATCH(E605,'Ontology and concepts per UC'!$A$2:$A$62,0)))</f>
        <v>0</v>
      </c>
      <c r="G605" s="9" t="str">
        <f t="shared" si="16"/>
        <v/>
      </c>
      <c r="H605" s="9" t="str">
        <f t="shared" si="17"/>
        <v/>
      </c>
      <c r="I605" s="8" t="b">
        <f>IF(D605&lt;2,FALSE,ISERROR(MATCH(H605,'Ontology and concepts per UC'!$A$2:$A$62,0)))</f>
        <v>0</v>
      </c>
      <c r="J605" s="9" t="str">
        <f t="shared" si="18"/>
        <v/>
      </c>
      <c r="K605" s="8" t="b">
        <f>IF(D605&lt;3,FALSE,ISERROR(MATCH(J605,'Ontology and concepts per UC'!$A$2:$A$62,0)))</f>
        <v>0</v>
      </c>
      <c r="L605" s="2" t="s">
        <v>1154</v>
      </c>
      <c r="M605" s="2" t="s">
        <v>1667</v>
      </c>
      <c r="N605" s="2"/>
      <c r="O605" s="1" t="b">
        <v>0</v>
      </c>
      <c r="P605" s="1">
        <v>0</v>
      </c>
      <c r="Q605" s="1">
        <v>0</v>
      </c>
      <c r="R605" s="1" t="b">
        <f t="shared" si="19"/>
        <v>1</v>
      </c>
      <c r="S605" s="2" t="s">
        <v>187</v>
      </c>
      <c r="T605" s="1" t="str">
        <f>IF(S605="","",VLOOKUP(S605,'Ontology and concepts per UC'!$F$2:$J$46,5,FALSE))</f>
        <v>Otros</v>
      </c>
      <c r="U605" s="1" t="b">
        <f t="array" ref="U605">(INDEX('Ontology and concepts per UC'!$G$2:$I$46,MATCH($S605,'Ontology and concepts per UC'!$F$2:$F$46,0),MATCH(LEFT($A605,3),'Ontology and concepts per UC'!$G$1:$I$1,0))=0)</f>
        <v>1</v>
      </c>
      <c r="V605" s="1" t="b">
        <f t="shared" si="20"/>
        <v>1</v>
      </c>
      <c r="W605" s="1" t="b">
        <v>0</v>
      </c>
      <c r="X605" s="1" t="b">
        <v>0</v>
      </c>
      <c r="Y605" s="1" t="b">
        <v>0</v>
      </c>
      <c r="Z605" s="1" t="b">
        <v>1</v>
      </c>
      <c r="AA605" s="1" t="s">
        <v>1111</v>
      </c>
    </row>
    <row r="606" spans="1:27" x14ac:dyDescent="0.25">
      <c r="A606" s="1" t="s">
        <v>1619</v>
      </c>
      <c r="B606" s="2" t="s">
        <v>1668</v>
      </c>
      <c r="C606" s="2" t="s">
        <v>219</v>
      </c>
      <c r="D606" s="6">
        <f t="shared" si="14"/>
        <v>1</v>
      </c>
      <c r="E606" s="7" t="str">
        <f t="shared" si="15"/>
        <v>Utility</v>
      </c>
      <c r="F606" s="8" t="b">
        <f>IF(D606&lt;1,FALSE,ISERROR(MATCH(E606,'Ontology and concepts per UC'!$A$2:$A$62,0)))</f>
        <v>0</v>
      </c>
      <c r="G606" s="9" t="str">
        <f t="shared" si="16"/>
        <v/>
      </c>
      <c r="H606" s="9" t="str">
        <f t="shared" si="17"/>
        <v/>
      </c>
      <c r="I606" s="8" t="b">
        <f>IF(D606&lt;2,FALSE,ISERROR(MATCH(H606,'Ontology and concepts per UC'!$A$2:$A$62,0)))</f>
        <v>0</v>
      </c>
      <c r="J606" s="9" t="str">
        <f t="shared" si="18"/>
        <v/>
      </c>
      <c r="K606" s="8" t="b">
        <f>IF(D606&lt;3,FALSE,ISERROR(MATCH(J606,'Ontology and concepts per UC'!$A$2:$A$62,0)))</f>
        <v>0</v>
      </c>
      <c r="L606" s="2" t="s">
        <v>1154</v>
      </c>
      <c r="M606" s="2" t="s">
        <v>1669</v>
      </c>
      <c r="N606" s="2"/>
      <c r="O606" s="1" t="b">
        <v>0</v>
      </c>
      <c r="P606" s="1">
        <v>0</v>
      </c>
      <c r="Q606" s="1">
        <v>0</v>
      </c>
      <c r="R606" s="1" t="b">
        <f t="shared" si="19"/>
        <v>1</v>
      </c>
      <c r="S606" s="2" t="s">
        <v>70</v>
      </c>
      <c r="T606" s="1" t="str">
        <f>IF(S606="","",VLOOKUP(S606,'Ontology and concepts per UC'!$F$2:$J$46,5,FALSE))</f>
        <v>Utilidad</v>
      </c>
      <c r="U606" s="1" t="b">
        <f t="array" ref="U606">(INDEX('Ontology and concepts per UC'!$G$2:$I$46,MATCH($S606,'Ontology and concepts per UC'!$F$2:$F$46,0),MATCH(LEFT($A606,3),'Ontology and concepts per UC'!$G$1:$I$1,0))=0)</f>
        <v>0</v>
      </c>
      <c r="V606" s="1" t="b">
        <f t="shared" si="20"/>
        <v>0</v>
      </c>
      <c r="W606" s="1" t="b">
        <v>0</v>
      </c>
      <c r="X606" s="1" t="b">
        <v>0</v>
      </c>
      <c r="Y606" s="1" t="b">
        <v>0</v>
      </c>
      <c r="Z606" s="1" t="b">
        <v>0</v>
      </c>
    </row>
    <row r="607" spans="1:27" x14ac:dyDescent="0.25">
      <c r="A607" s="1" t="s">
        <v>1619</v>
      </c>
      <c r="B607" s="2" t="s">
        <v>1670</v>
      </c>
      <c r="C607" s="2" t="s">
        <v>219</v>
      </c>
      <c r="D607" s="6">
        <f t="shared" si="14"/>
        <v>1</v>
      </c>
      <c r="E607" s="7" t="str">
        <f t="shared" si="15"/>
        <v>Utility</v>
      </c>
      <c r="F607" s="8" t="b">
        <f>IF(D607&lt;1,FALSE,ISERROR(MATCH(E607,'Ontology and concepts per UC'!$A$2:$A$62,0)))</f>
        <v>0</v>
      </c>
      <c r="G607" s="9" t="str">
        <f t="shared" si="16"/>
        <v/>
      </c>
      <c r="H607" s="9" t="str">
        <f t="shared" si="17"/>
        <v/>
      </c>
      <c r="I607" s="8" t="b">
        <f>IF(D607&lt;2,FALSE,ISERROR(MATCH(H607,'Ontology and concepts per UC'!$A$2:$A$62,0)))</f>
        <v>0</v>
      </c>
      <c r="J607" s="9" t="str">
        <f t="shared" si="18"/>
        <v/>
      </c>
      <c r="K607" s="8" t="b">
        <f>IF(D607&lt;3,FALSE,ISERROR(MATCH(J607,'Ontology and concepts per UC'!$A$2:$A$62,0)))</f>
        <v>0</v>
      </c>
      <c r="L607" s="2" t="s">
        <v>1420</v>
      </c>
      <c r="M607" s="2" t="s">
        <v>1671</v>
      </c>
      <c r="N607" s="2"/>
      <c r="O607" s="1" t="b">
        <v>0</v>
      </c>
      <c r="P607" s="1">
        <v>0</v>
      </c>
      <c r="Q607" s="1">
        <v>0</v>
      </c>
      <c r="R607" s="1" t="b">
        <f t="shared" si="19"/>
        <v>1</v>
      </c>
      <c r="S607" s="2" t="s">
        <v>20</v>
      </c>
      <c r="T607" s="1" t="str">
        <f>IF(S607="","",VLOOKUP(S607,'Ontology and concepts per UC'!$F$2:$J$46,5,FALSE))</f>
        <v>Modelo Conceptual</v>
      </c>
      <c r="U607" s="1" t="b">
        <f t="array" ref="U607">(INDEX('Ontology and concepts per UC'!$G$2:$I$46,MATCH($S607,'Ontology and concepts per UC'!$F$2:$F$46,0),MATCH(LEFT($A607,3),'Ontology and concepts per UC'!$G$1:$I$1,0))=0)</f>
        <v>0</v>
      </c>
      <c r="V607" s="1" t="b">
        <f t="shared" si="20"/>
        <v>0</v>
      </c>
      <c r="W607" s="1" t="b">
        <v>0</v>
      </c>
      <c r="X607" s="1" t="b">
        <v>0</v>
      </c>
      <c r="Y607" s="1" t="b">
        <v>0</v>
      </c>
      <c r="Z607" s="1" t="b">
        <v>0</v>
      </c>
    </row>
    <row r="608" spans="1:27" x14ac:dyDescent="0.25">
      <c r="A608" s="1" t="s">
        <v>1672</v>
      </c>
      <c r="B608" s="2" t="s">
        <v>1673</v>
      </c>
      <c r="C608" s="2" t="s">
        <v>192</v>
      </c>
      <c r="D608" s="6">
        <f t="shared" si="14"/>
        <v>1</v>
      </c>
      <c r="E608" s="7" t="str">
        <f t="shared" si="15"/>
        <v>AcuteManifestation</v>
      </c>
      <c r="F608" s="8" t="b">
        <f>IF(D608&lt;1,FALSE,ISERROR(MATCH(E608,'Ontology and concepts per UC'!$A$2:$A$62,0)))</f>
        <v>0</v>
      </c>
      <c r="G608" s="9" t="str">
        <f t="shared" si="16"/>
        <v/>
      </c>
      <c r="H608" s="9" t="str">
        <f t="shared" si="17"/>
        <v/>
      </c>
      <c r="I608" s="8" t="b">
        <f>IF(D608&lt;2,FALSE,ISERROR(MATCH(H608,'Ontology and concepts per UC'!$A$2:$A$62,0)))</f>
        <v>0</v>
      </c>
      <c r="J608" s="9" t="str">
        <f t="shared" si="18"/>
        <v/>
      </c>
      <c r="K608" s="8" t="b">
        <f>IF(D608&lt;3,FALSE,ISERROR(MATCH(J608,'Ontology and concepts per UC'!$A$2:$A$62,0)))</f>
        <v>0</v>
      </c>
      <c r="L608" s="2" t="s">
        <v>1674</v>
      </c>
      <c r="M608" s="2" t="s">
        <v>1675</v>
      </c>
      <c r="N608" s="2"/>
      <c r="O608" s="1" t="b">
        <v>0</v>
      </c>
      <c r="P608" s="1">
        <v>0</v>
      </c>
      <c r="Q608" s="1">
        <v>0</v>
      </c>
      <c r="R608" s="1" t="b">
        <f t="shared" si="19"/>
        <v>1</v>
      </c>
      <c r="S608" s="2" t="s">
        <v>325</v>
      </c>
      <c r="T608" s="1" t="str">
        <f>IF(S608="","",VLOOKUP(S608,'Ontology and concepts per UC'!$F$2:$J$46,5,FALSE))</f>
        <v>Modelo Conceptual</v>
      </c>
      <c r="U608" s="1" t="b">
        <f t="array" ref="U608">(INDEX('Ontology and concepts per UC'!$G$2:$I$46,MATCH($S608,'Ontology and concepts per UC'!$F$2:$F$46,0),MATCH(LEFT($A608,3),'Ontology and concepts per UC'!$G$1:$I$1,0))=0)</f>
        <v>0</v>
      </c>
      <c r="V608" s="1" t="b">
        <f t="shared" si="20"/>
        <v>0</v>
      </c>
      <c r="W608" s="1" t="b">
        <v>0</v>
      </c>
      <c r="X608" s="1" t="b">
        <v>0</v>
      </c>
      <c r="Y608" s="1" t="b">
        <v>0</v>
      </c>
      <c r="Z608" s="1" t="b">
        <v>0</v>
      </c>
      <c r="AA608" s="1"/>
    </row>
    <row r="609" spans="1:27" x14ac:dyDescent="0.25">
      <c r="A609" s="1" t="s">
        <v>1672</v>
      </c>
      <c r="B609" s="2" t="s">
        <v>1676</v>
      </c>
      <c r="C609" s="2" t="s">
        <v>192</v>
      </c>
      <c r="D609" s="6">
        <f t="shared" si="14"/>
        <v>1</v>
      </c>
      <c r="E609" s="7" t="str">
        <f t="shared" si="15"/>
        <v>AcuteManifestation</v>
      </c>
      <c r="F609" s="8" t="b">
        <f>IF(D609&lt;1,FALSE,ISERROR(MATCH(E609,'Ontology and concepts per UC'!$A$2:$A$62,0)))</f>
        <v>0</v>
      </c>
      <c r="G609" s="9" t="str">
        <f t="shared" si="16"/>
        <v/>
      </c>
      <c r="H609" s="9" t="str">
        <f t="shared" si="17"/>
        <v/>
      </c>
      <c r="I609" s="8" t="b">
        <f>IF(D609&lt;2,FALSE,ISERROR(MATCH(H609,'Ontology and concepts per UC'!$A$2:$A$62,0)))</f>
        <v>0</v>
      </c>
      <c r="J609" s="9" t="str">
        <f t="shared" si="18"/>
        <v/>
      </c>
      <c r="K609" s="8" t="b">
        <f>IF(D609&lt;3,FALSE,ISERROR(MATCH(J609,'Ontology and concepts per UC'!$A$2:$A$62,0)))</f>
        <v>0</v>
      </c>
      <c r="L609" s="2" t="s">
        <v>1677</v>
      </c>
      <c r="M609" s="2" t="s">
        <v>1678</v>
      </c>
      <c r="N609" s="2"/>
      <c r="O609" s="1" t="b">
        <v>0</v>
      </c>
      <c r="P609" s="1">
        <v>0</v>
      </c>
      <c r="Q609" s="1">
        <v>0</v>
      </c>
      <c r="R609" s="1" t="b">
        <f t="shared" si="19"/>
        <v>0</v>
      </c>
      <c r="S609" s="2" t="s">
        <v>31</v>
      </c>
      <c r="T609" s="1" t="str">
        <f>IF(S609="","",VLOOKUP(S609,'Ontology and concepts per UC'!$F$2:$J$46,5,FALSE))</f>
        <v>Modelo Conceptual</v>
      </c>
      <c r="U609" s="1" t="b">
        <f t="array" ref="U609">(INDEX('Ontology and concepts per UC'!$G$2:$I$46,MATCH($S609,'Ontology and concepts per UC'!$F$2:$F$46,0),MATCH(LEFT($A609,3),'Ontology and concepts per UC'!$G$1:$I$1,0))=0)</f>
        <v>0</v>
      </c>
      <c r="V609" s="1" t="b">
        <f t="shared" si="20"/>
        <v>0</v>
      </c>
      <c r="W609" s="1" t="b">
        <v>0</v>
      </c>
      <c r="X609" s="1" t="b">
        <v>0</v>
      </c>
      <c r="Y609" s="1" t="b">
        <v>0</v>
      </c>
      <c r="Z609" s="1" t="b">
        <v>0</v>
      </c>
      <c r="AA609" s="1"/>
    </row>
    <row r="610" spans="1:27" x14ac:dyDescent="0.25">
      <c r="A610" s="1" t="s">
        <v>1672</v>
      </c>
      <c r="B610" s="2" t="s">
        <v>1679</v>
      </c>
      <c r="C610" s="2" t="s">
        <v>192</v>
      </c>
      <c r="D610" s="6">
        <f t="shared" si="14"/>
        <v>1</v>
      </c>
      <c r="E610" s="7" t="str">
        <f t="shared" si="15"/>
        <v>AcuteManifestation</v>
      </c>
      <c r="F610" s="8" t="b">
        <f>IF(D610&lt;1,FALSE,ISERROR(MATCH(E610,'Ontology and concepts per UC'!$A$2:$A$62,0)))</f>
        <v>0</v>
      </c>
      <c r="G610" s="9" t="str">
        <f t="shared" si="16"/>
        <v/>
      </c>
      <c r="H610" s="9" t="str">
        <f t="shared" si="17"/>
        <v/>
      </c>
      <c r="I610" s="8" t="b">
        <f>IF(D610&lt;2,FALSE,ISERROR(MATCH(H610,'Ontology and concepts per UC'!$A$2:$A$62,0)))</f>
        <v>0</v>
      </c>
      <c r="J610" s="9" t="str">
        <f t="shared" si="18"/>
        <v/>
      </c>
      <c r="K610" s="8" t="b">
        <f>IF(D610&lt;3,FALSE,ISERROR(MATCH(J610,'Ontology and concepts per UC'!$A$2:$A$62,0)))</f>
        <v>0</v>
      </c>
      <c r="L610" s="2" t="s">
        <v>1680</v>
      </c>
      <c r="M610" s="2" t="s">
        <v>1681</v>
      </c>
      <c r="N610" s="2"/>
      <c r="O610" s="1" t="b">
        <v>0</v>
      </c>
      <c r="P610" s="1">
        <v>0</v>
      </c>
      <c r="Q610" s="1">
        <v>0</v>
      </c>
      <c r="R610" s="1" t="b">
        <f t="shared" si="19"/>
        <v>1</v>
      </c>
      <c r="S610" s="2" t="s">
        <v>31</v>
      </c>
      <c r="T610" s="1" t="str">
        <f>IF(S610="","",VLOOKUP(S610,'Ontology and concepts per UC'!$F$2:$J$46,5,FALSE))</f>
        <v>Modelo Conceptual</v>
      </c>
      <c r="U610" s="1" t="b">
        <f t="array" ref="U610">(INDEX('Ontology and concepts per UC'!$G$2:$I$46,MATCH($S610,'Ontology and concepts per UC'!$F$2:$F$46,0),MATCH(LEFT($A610,3),'Ontology and concepts per UC'!$G$1:$I$1,0))=0)</f>
        <v>0</v>
      </c>
      <c r="V610" s="1" t="b">
        <f t="shared" si="20"/>
        <v>0</v>
      </c>
      <c r="W610" s="1" t="b">
        <v>0</v>
      </c>
      <c r="X610" s="1" t="b">
        <v>0</v>
      </c>
      <c r="Y610" s="1" t="b">
        <v>0</v>
      </c>
      <c r="Z610" s="1" t="b">
        <v>0</v>
      </c>
      <c r="AA610" s="1"/>
    </row>
    <row r="611" spans="1:27" x14ac:dyDescent="0.25">
      <c r="A611" s="1" t="s">
        <v>1672</v>
      </c>
      <c r="B611" s="2" t="s">
        <v>1682</v>
      </c>
      <c r="C611" s="2" t="s">
        <v>192</v>
      </c>
      <c r="D611" s="6">
        <f t="shared" si="14"/>
        <v>1</v>
      </c>
      <c r="E611" s="7" t="str">
        <f t="shared" si="15"/>
        <v>AcuteManifestation</v>
      </c>
      <c r="F611" s="8" t="b">
        <f>IF(D611&lt;1,FALSE,ISERROR(MATCH(E611,'Ontology and concepts per UC'!$A$2:$A$62,0)))</f>
        <v>0</v>
      </c>
      <c r="G611" s="9" t="str">
        <f t="shared" si="16"/>
        <v/>
      </c>
      <c r="H611" s="9" t="str">
        <f t="shared" si="17"/>
        <v/>
      </c>
      <c r="I611" s="8" t="b">
        <f>IF(D611&lt;2,FALSE,ISERROR(MATCH(H611,'Ontology and concepts per UC'!$A$2:$A$62,0)))</f>
        <v>0</v>
      </c>
      <c r="J611" s="9" t="str">
        <f t="shared" si="18"/>
        <v/>
      </c>
      <c r="K611" s="8" t="b">
        <f>IF(D611&lt;3,FALSE,ISERROR(MATCH(J611,'Ontology and concepts per UC'!$A$2:$A$62,0)))</f>
        <v>0</v>
      </c>
      <c r="L611" s="2" t="s">
        <v>1683</v>
      </c>
      <c r="M611" s="2" t="s">
        <v>1684</v>
      </c>
      <c r="N611" s="2"/>
      <c r="O611" s="1" t="b">
        <v>0</v>
      </c>
      <c r="P611" s="1">
        <v>0</v>
      </c>
      <c r="Q611" s="1">
        <v>0</v>
      </c>
      <c r="R611" s="1" t="b">
        <f t="shared" si="19"/>
        <v>0</v>
      </c>
      <c r="S611" s="2" t="s">
        <v>325</v>
      </c>
      <c r="T611" s="1" t="str">
        <f>IF(S611="","",VLOOKUP(S611,'Ontology and concepts per UC'!$F$2:$J$46,5,FALSE))</f>
        <v>Modelo Conceptual</v>
      </c>
      <c r="U611" s="1" t="b">
        <f t="array" ref="U611">(INDEX('Ontology and concepts per UC'!$G$2:$I$46,MATCH($S611,'Ontology and concepts per UC'!$F$2:$F$46,0),MATCH(LEFT($A611,3),'Ontology and concepts per UC'!$G$1:$I$1,0))=0)</f>
        <v>0</v>
      </c>
      <c r="V611" s="1" t="b">
        <f t="shared" si="20"/>
        <v>0</v>
      </c>
      <c r="W611" s="1" t="b">
        <v>0</v>
      </c>
      <c r="X611" s="1" t="b">
        <v>0</v>
      </c>
      <c r="Y611" s="1" t="b">
        <v>0</v>
      </c>
      <c r="Z611" s="1" t="b">
        <v>0</v>
      </c>
      <c r="AA611" s="1"/>
    </row>
    <row r="612" spans="1:27" x14ac:dyDescent="0.25">
      <c r="A612" s="1" t="s">
        <v>1672</v>
      </c>
      <c r="B612" s="2" t="s">
        <v>1685</v>
      </c>
      <c r="C612" s="2" t="s">
        <v>192</v>
      </c>
      <c r="D612" s="6">
        <f t="shared" si="14"/>
        <v>1</v>
      </c>
      <c r="E612" s="7" t="str">
        <f t="shared" si="15"/>
        <v>AcuteManifestation</v>
      </c>
      <c r="F612" s="8" t="b">
        <f>IF(D612&lt;1,FALSE,ISERROR(MATCH(E612,'Ontology and concepts per UC'!$A$2:$A$62,0)))</f>
        <v>0</v>
      </c>
      <c r="G612" s="9" t="str">
        <f t="shared" si="16"/>
        <v/>
      </c>
      <c r="H612" s="9" t="str">
        <f t="shared" si="17"/>
        <v/>
      </c>
      <c r="I612" s="8" t="b">
        <f>IF(D612&lt;2,FALSE,ISERROR(MATCH(H612,'Ontology and concepts per UC'!$A$2:$A$62,0)))</f>
        <v>0</v>
      </c>
      <c r="J612" s="9" t="str">
        <f t="shared" si="18"/>
        <v/>
      </c>
      <c r="K612" s="8" t="b">
        <f>IF(D612&lt;3,FALSE,ISERROR(MATCH(J612,'Ontology and concepts per UC'!$A$2:$A$62,0)))</f>
        <v>0</v>
      </c>
      <c r="L612" s="2" t="s">
        <v>1686</v>
      </c>
      <c r="M612" s="2" t="s">
        <v>1687</v>
      </c>
      <c r="N612" s="2"/>
      <c r="O612" s="1" t="b">
        <v>0</v>
      </c>
      <c r="P612" s="1">
        <v>0</v>
      </c>
      <c r="Q612" s="1">
        <v>0</v>
      </c>
      <c r="R612" s="1" t="b">
        <f t="shared" si="19"/>
        <v>1</v>
      </c>
      <c r="S612" s="2" t="s">
        <v>325</v>
      </c>
      <c r="T612" s="1" t="str">
        <f>IF(S612="","",VLOOKUP(S612,'Ontology and concepts per UC'!$F$2:$J$46,5,FALSE))</f>
        <v>Modelo Conceptual</v>
      </c>
      <c r="U612" s="1" t="b">
        <f t="array" ref="U612">(INDEX('Ontology and concepts per UC'!$G$2:$I$46,MATCH($S612,'Ontology and concepts per UC'!$F$2:$F$46,0),MATCH(LEFT($A612,3),'Ontology and concepts per UC'!$G$1:$I$1,0))=0)</f>
        <v>0</v>
      </c>
      <c r="V612" s="1" t="b">
        <f t="shared" si="20"/>
        <v>0</v>
      </c>
      <c r="W612" s="1" t="b">
        <v>0</v>
      </c>
      <c r="X612" s="1" t="b">
        <v>0</v>
      </c>
      <c r="Y612" s="1" t="b">
        <v>0</v>
      </c>
      <c r="Z612" s="1" t="b">
        <v>0</v>
      </c>
      <c r="AA612" s="1"/>
    </row>
    <row r="613" spans="1:27" x14ac:dyDescent="0.25">
      <c r="A613" s="1" t="s">
        <v>1672</v>
      </c>
      <c r="B613" s="2" t="s">
        <v>1688</v>
      </c>
      <c r="C613" s="2" t="s">
        <v>192</v>
      </c>
      <c r="D613" s="6">
        <f t="shared" si="14"/>
        <v>1</v>
      </c>
      <c r="E613" s="7" t="str">
        <f t="shared" si="15"/>
        <v>AcuteManifestation</v>
      </c>
      <c r="F613" s="8" t="b">
        <f>IF(D613&lt;1,FALSE,ISERROR(MATCH(E613,'Ontology and concepts per UC'!$A$2:$A$62,0)))</f>
        <v>0</v>
      </c>
      <c r="G613" s="9" t="str">
        <f t="shared" si="16"/>
        <v/>
      </c>
      <c r="H613" s="9" t="str">
        <f t="shared" si="17"/>
        <v/>
      </c>
      <c r="I613" s="8" t="b">
        <f>IF(D613&lt;2,FALSE,ISERROR(MATCH(H613,'Ontology and concepts per UC'!$A$2:$A$62,0)))</f>
        <v>0</v>
      </c>
      <c r="J613" s="9" t="str">
        <f t="shared" si="18"/>
        <v/>
      </c>
      <c r="K613" s="8" t="b">
        <f>IF(D613&lt;3,FALSE,ISERROR(MATCH(J613,'Ontology and concepts per UC'!$A$2:$A$62,0)))</f>
        <v>0</v>
      </c>
      <c r="L613" s="2" t="s">
        <v>1689</v>
      </c>
      <c r="M613" s="2" t="s">
        <v>1690</v>
      </c>
      <c r="N613" s="2"/>
      <c r="O613" s="1" t="b">
        <v>0</v>
      </c>
      <c r="P613" s="1">
        <v>0</v>
      </c>
      <c r="Q613" s="1">
        <v>0</v>
      </c>
      <c r="R613" s="1" t="b">
        <f t="shared" si="19"/>
        <v>0</v>
      </c>
      <c r="S613" s="2" t="s">
        <v>325</v>
      </c>
      <c r="T613" s="1" t="str">
        <f>IF(S613="","",VLOOKUP(S613,'Ontology and concepts per UC'!$F$2:$J$46,5,FALSE))</f>
        <v>Modelo Conceptual</v>
      </c>
      <c r="U613" s="1" t="b">
        <f t="array" ref="U613">(INDEX('Ontology and concepts per UC'!$G$2:$I$46,MATCH($S613,'Ontology and concepts per UC'!$F$2:$F$46,0),MATCH(LEFT($A613,3),'Ontology and concepts per UC'!$G$1:$I$1,0))=0)</f>
        <v>0</v>
      </c>
      <c r="V613" s="1" t="b">
        <f t="shared" si="20"/>
        <v>0</v>
      </c>
      <c r="W613" s="1" t="b">
        <v>0</v>
      </c>
      <c r="X613" s="1" t="b">
        <v>0</v>
      </c>
      <c r="Y613" s="1" t="b">
        <v>0</v>
      </c>
      <c r="Z613" s="1" t="b">
        <v>0</v>
      </c>
      <c r="AA613" s="1"/>
    </row>
    <row r="614" spans="1:27" x14ac:dyDescent="0.25">
      <c r="A614" s="1" t="s">
        <v>1672</v>
      </c>
      <c r="B614" s="2" t="s">
        <v>1691</v>
      </c>
      <c r="C614" s="2" t="s">
        <v>192</v>
      </c>
      <c r="D614" s="6">
        <f t="shared" si="14"/>
        <v>1</v>
      </c>
      <c r="E614" s="7" t="str">
        <f t="shared" si="15"/>
        <v>AcuteManifestation</v>
      </c>
      <c r="F614" s="8" t="b">
        <f>IF(D614&lt;1,FALSE,ISERROR(MATCH(E614,'Ontology and concepts per UC'!$A$2:$A$62,0)))</f>
        <v>0</v>
      </c>
      <c r="G614" s="9" t="str">
        <f t="shared" si="16"/>
        <v/>
      </c>
      <c r="H614" s="9" t="str">
        <f t="shared" si="17"/>
        <v/>
      </c>
      <c r="I614" s="8" t="b">
        <f>IF(D614&lt;2,FALSE,ISERROR(MATCH(H614,'Ontology and concepts per UC'!$A$2:$A$62,0)))</f>
        <v>0</v>
      </c>
      <c r="J614" s="9" t="str">
        <f t="shared" si="18"/>
        <v/>
      </c>
      <c r="K614" s="8" t="b">
        <f>IF(D614&lt;3,FALSE,ISERROR(MATCH(J614,'Ontology and concepts per UC'!$A$2:$A$62,0)))</f>
        <v>0</v>
      </c>
      <c r="L614" s="2" t="s">
        <v>1692</v>
      </c>
      <c r="M614" s="2" t="s">
        <v>1693</v>
      </c>
      <c r="N614" s="2"/>
      <c r="O614" s="1" t="b">
        <v>0</v>
      </c>
      <c r="P614" s="1">
        <v>0</v>
      </c>
      <c r="Q614" s="1">
        <v>0</v>
      </c>
      <c r="R614" s="1" t="b">
        <f t="shared" si="19"/>
        <v>1</v>
      </c>
      <c r="S614" s="2" t="s">
        <v>325</v>
      </c>
      <c r="T614" s="1" t="str">
        <f>IF(S614="","",VLOOKUP(S614,'Ontology and concepts per UC'!$F$2:$J$46,5,FALSE))</f>
        <v>Modelo Conceptual</v>
      </c>
      <c r="U614" s="1" t="b">
        <f t="array" ref="U614">(INDEX('Ontology and concepts per UC'!$G$2:$I$46,MATCH($S614,'Ontology and concepts per UC'!$F$2:$F$46,0),MATCH(LEFT($A614,3),'Ontology and concepts per UC'!$G$1:$I$1,0))=0)</f>
        <v>0</v>
      </c>
      <c r="V614" s="1" t="b">
        <f t="shared" si="20"/>
        <v>0</v>
      </c>
      <c r="W614" s="1" t="b">
        <v>0</v>
      </c>
      <c r="X614" s="1" t="b">
        <v>0</v>
      </c>
      <c r="Y614" s="1" t="b">
        <v>0</v>
      </c>
      <c r="Z614" s="1" t="b">
        <v>0</v>
      </c>
      <c r="AA614" s="1"/>
    </row>
    <row r="615" spans="1:27" x14ac:dyDescent="0.25">
      <c r="A615" s="1" t="s">
        <v>1672</v>
      </c>
      <c r="B615" s="2" t="s">
        <v>1694</v>
      </c>
      <c r="C615" s="2" t="s">
        <v>192</v>
      </c>
      <c r="D615" s="6">
        <f t="shared" si="14"/>
        <v>1</v>
      </c>
      <c r="E615" s="7" t="str">
        <f t="shared" si="15"/>
        <v>AcuteManifestation</v>
      </c>
      <c r="F615" s="8" t="b">
        <f>IF(D615&lt;1,FALSE,ISERROR(MATCH(E615,'Ontology and concepts per UC'!$A$2:$A$62,0)))</f>
        <v>0</v>
      </c>
      <c r="G615" s="9" t="str">
        <f t="shared" si="16"/>
        <v/>
      </c>
      <c r="H615" s="9" t="str">
        <f t="shared" si="17"/>
        <v/>
      </c>
      <c r="I615" s="8" t="b">
        <f>IF(D615&lt;2,FALSE,ISERROR(MATCH(H615,'Ontology and concepts per UC'!$A$2:$A$62,0)))</f>
        <v>0</v>
      </c>
      <c r="J615" s="9" t="str">
        <f t="shared" si="18"/>
        <v/>
      </c>
      <c r="K615" s="8" t="b">
        <f>IF(D615&lt;3,FALSE,ISERROR(MATCH(J615,'Ontology and concepts per UC'!$A$2:$A$62,0)))</f>
        <v>0</v>
      </c>
      <c r="L615" s="2" t="s">
        <v>1695</v>
      </c>
      <c r="M615" s="2" t="s">
        <v>1696</v>
      </c>
      <c r="N615" s="2"/>
      <c r="O615" s="1" t="b">
        <v>0</v>
      </c>
      <c r="P615" s="1">
        <v>0</v>
      </c>
      <c r="Q615" s="1">
        <v>0</v>
      </c>
      <c r="R615" s="1" t="b">
        <f t="shared" si="19"/>
        <v>0</v>
      </c>
      <c r="S615" s="2" t="s">
        <v>325</v>
      </c>
      <c r="T615" s="1" t="str">
        <f>IF(S615="","",VLOOKUP(S615,'Ontology and concepts per UC'!$F$2:$J$46,5,FALSE))</f>
        <v>Modelo Conceptual</v>
      </c>
      <c r="U615" s="1" t="b">
        <f t="array" ref="U615">(INDEX('Ontology and concepts per UC'!$G$2:$I$46,MATCH($S615,'Ontology and concepts per UC'!$F$2:$F$46,0),MATCH(LEFT($A615,3),'Ontology and concepts per UC'!$G$1:$I$1,0))=0)</f>
        <v>0</v>
      </c>
      <c r="V615" s="1" t="b">
        <f t="shared" si="20"/>
        <v>0</v>
      </c>
      <c r="W615" s="1" t="b">
        <v>0</v>
      </c>
      <c r="X615" s="1" t="b">
        <v>0</v>
      </c>
      <c r="Y615" s="1" t="b">
        <v>0</v>
      </c>
      <c r="Z615" s="1" t="b">
        <v>0</v>
      </c>
      <c r="AA615" s="1"/>
    </row>
    <row r="616" spans="1:27" x14ac:dyDescent="0.25">
      <c r="A616" s="1" t="s">
        <v>1672</v>
      </c>
      <c r="B616" s="2" t="s">
        <v>1697</v>
      </c>
      <c r="C616" s="2" t="s">
        <v>192</v>
      </c>
      <c r="D616" s="6">
        <f t="shared" si="14"/>
        <v>1</v>
      </c>
      <c r="E616" s="7" t="str">
        <f t="shared" si="15"/>
        <v>AcuteManifestation</v>
      </c>
      <c r="F616" s="8" t="b">
        <f>IF(D616&lt;1,FALSE,ISERROR(MATCH(E616,'Ontology and concepts per UC'!$A$2:$A$62,0)))</f>
        <v>0</v>
      </c>
      <c r="G616" s="9" t="str">
        <f t="shared" si="16"/>
        <v/>
      </c>
      <c r="H616" s="9" t="str">
        <f t="shared" si="17"/>
        <v/>
      </c>
      <c r="I616" s="8" t="b">
        <f>IF(D616&lt;2,FALSE,ISERROR(MATCH(H616,'Ontology and concepts per UC'!$A$2:$A$62,0)))</f>
        <v>0</v>
      </c>
      <c r="J616" s="9" t="str">
        <f t="shared" si="18"/>
        <v/>
      </c>
      <c r="K616" s="8" t="b">
        <f>IF(D616&lt;3,FALSE,ISERROR(MATCH(J616,'Ontology and concepts per UC'!$A$2:$A$62,0)))</f>
        <v>0</v>
      </c>
      <c r="L616" s="2" t="s">
        <v>1698</v>
      </c>
      <c r="M616" s="2" t="s">
        <v>1699</v>
      </c>
      <c r="N616" s="2"/>
      <c r="O616" s="1" t="b">
        <v>0</v>
      </c>
      <c r="P616" s="1">
        <v>0</v>
      </c>
      <c r="Q616" s="1">
        <v>0</v>
      </c>
      <c r="R616" s="1" t="b">
        <f t="shared" si="19"/>
        <v>1</v>
      </c>
      <c r="S616" s="2" t="s">
        <v>325</v>
      </c>
      <c r="T616" s="1" t="str">
        <f>IF(S616="","",VLOOKUP(S616,'Ontology and concepts per UC'!$F$2:$J$46,5,FALSE))</f>
        <v>Modelo Conceptual</v>
      </c>
      <c r="U616" s="1" t="b">
        <f t="array" ref="U616">(INDEX('Ontology and concepts per UC'!$G$2:$I$46,MATCH($S616,'Ontology and concepts per UC'!$F$2:$F$46,0),MATCH(LEFT($A616,3),'Ontology and concepts per UC'!$G$1:$I$1,0))=0)</f>
        <v>0</v>
      </c>
      <c r="V616" s="1" t="b">
        <f t="shared" si="20"/>
        <v>0</v>
      </c>
      <c r="W616" s="1" t="b">
        <v>0</v>
      </c>
      <c r="X616" s="1" t="b">
        <v>0</v>
      </c>
      <c r="Y616" s="1" t="b">
        <v>0</v>
      </c>
      <c r="Z616" s="1" t="b">
        <v>0</v>
      </c>
      <c r="AA616" s="1"/>
    </row>
    <row r="617" spans="1:27" x14ac:dyDescent="0.25">
      <c r="A617" s="1" t="s">
        <v>1672</v>
      </c>
      <c r="B617" s="2" t="s">
        <v>1700</v>
      </c>
      <c r="C617" s="2" t="s">
        <v>192</v>
      </c>
      <c r="D617" s="6">
        <f t="shared" si="14"/>
        <v>1</v>
      </c>
      <c r="E617" s="7" t="str">
        <f t="shared" si="15"/>
        <v>AcuteManifestation</v>
      </c>
      <c r="F617" s="8" t="b">
        <f>IF(D617&lt;1,FALSE,ISERROR(MATCH(E617,'Ontology and concepts per UC'!$A$2:$A$62,0)))</f>
        <v>0</v>
      </c>
      <c r="G617" s="9" t="str">
        <f t="shared" si="16"/>
        <v/>
      </c>
      <c r="H617" s="9" t="str">
        <f t="shared" si="17"/>
        <v/>
      </c>
      <c r="I617" s="8" t="b">
        <f>IF(D617&lt;2,FALSE,ISERROR(MATCH(H617,'Ontology and concepts per UC'!$A$2:$A$62,0)))</f>
        <v>0</v>
      </c>
      <c r="J617" s="9" t="str">
        <f t="shared" si="18"/>
        <v/>
      </c>
      <c r="K617" s="8" t="b">
        <f>IF(D617&lt;3,FALSE,ISERROR(MATCH(J617,'Ontology and concepts per UC'!$A$2:$A$62,0)))</f>
        <v>0</v>
      </c>
      <c r="L617" s="2" t="s">
        <v>1701</v>
      </c>
      <c r="M617" s="2" t="s">
        <v>1702</v>
      </c>
      <c r="N617" s="2"/>
      <c r="O617" s="1" t="b">
        <v>0</v>
      </c>
      <c r="P617" s="1">
        <v>0</v>
      </c>
      <c r="Q617" s="1">
        <v>0</v>
      </c>
      <c r="R617" s="1" t="b">
        <f t="shared" si="19"/>
        <v>0</v>
      </c>
      <c r="S617" s="2" t="s">
        <v>30</v>
      </c>
      <c r="T617" s="1" t="str">
        <f>IF(S617="","",VLOOKUP(S617,'Ontology and concepts per UC'!$F$2:$J$46,5,FALSE))</f>
        <v>Modelo Conceptual</v>
      </c>
      <c r="U617" s="1" t="b">
        <f t="array" ref="U617">(INDEX('Ontology and concepts per UC'!$G$2:$I$46,MATCH($S617,'Ontology and concepts per UC'!$F$2:$F$46,0),MATCH(LEFT($A617,3),'Ontology and concepts per UC'!$G$1:$I$1,0))=0)</f>
        <v>0</v>
      </c>
      <c r="V617" s="1" t="b">
        <f t="shared" si="20"/>
        <v>0</v>
      </c>
      <c r="W617" s="1" t="b">
        <v>0</v>
      </c>
      <c r="X617" s="1" t="b">
        <v>0</v>
      </c>
      <c r="Y617" s="1" t="b">
        <v>0</v>
      </c>
      <c r="Z617" s="1" t="b">
        <v>0</v>
      </c>
      <c r="AA617" s="1"/>
    </row>
    <row r="618" spans="1:27" x14ac:dyDescent="0.25">
      <c r="A618" s="1" t="s">
        <v>1672</v>
      </c>
      <c r="B618" s="2" t="s">
        <v>1703</v>
      </c>
      <c r="C618" s="2" t="s">
        <v>192</v>
      </c>
      <c r="D618" s="6">
        <f t="shared" si="14"/>
        <v>1</v>
      </c>
      <c r="E618" s="7" t="str">
        <f t="shared" si="15"/>
        <v>AcuteManifestation</v>
      </c>
      <c r="F618" s="8" t="b">
        <f>IF(D618&lt;1,FALSE,ISERROR(MATCH(E618,'Ontology and concepts per UC'!$A$2:$A$62,0)))</f>
        <v>0</v>
      </c>
      <c r="G618" s="9" t="str">
        <f t="shared" si="16"/>
        <v/>
      </c>
      <c r="H618" s="9" t="str">
        <f t="shared" si="17"/>
        <v/>
      </c>
      <c r="I618" s="8" t="b">
        <f>IF(D618&lt;2,FALSE,ISERROR(MATCH(H618,'Ontology and concepts per UC'!$A$2:$A$62,0)))</f>
        <v>0</v>
      </c>
      <c r="J618" s="9" t="str">
        <f t="shared" si="18"/>
        <v/>
      </c>
      <c r="K618" s="8" t="b">
        <f>IF(D618&lt;3,FALSE,ISERROR(MATCH(J618,'Ontology and concepts per UC'!$A$2:$A$62,0)))</f>
        <v>0</v>
      </c>
      <c r="L618" s="2" t="s">
        <v>1704</v>
      </c>
      <c r="M618" s="2" t="s">
        <v>1705</v>
      </c>
      <c r="N618" s="2"/>
      <c r="O618" s="1" t="b">
        <v>0</v>
      </c>
      <c r="P618" s="1">
        <v>0</v>
      </c>
      <c r="Q618" s="1">
        <v>0</v>
      </c>
      <c r="R618" s="1" t="b">
        <f t="shared" si="19"/>
        <v>1</v>
      </c>
      <c r="S618" s="2" t="s">
        <v>30</v>
      </c>
      <c r="T618" s="1" t="str">
        <f>IF(S618="","",VLOOKUP(S618,'Ontology and concepts per UC'!$F$2:$J$46,5,FALSE))</f>
        <v>Modelo Conceptual</v>
      </c>
      <c r="U618" s="1" t="b">
        <f t="array" ref="U618">(INDEX('Ontology and concepts per UC'!$G$2:$I$46,MATCH($S618,'Ontology and concepts per UC'!$F$2:$F$46,0),MATCH(LEFT($A618,3),'Ontology and concepts per UC'!$G$1:$I$1,0))=0)</f>
        <v>0</v>
      </c>
      <c r="V618" s="1" t="b">
        <f t="shared" si="20"/>
        <v>0</v>
      </c>
      <c r="W618" s="1" t="b">
        <v>0</v>
      </c>
      <c r="X618" s="1" t="b">
        <v>0</v>
      </c>
      <c r="Y618" s="1" t="b">
        <v>0</v>
      </c>
      <c r="Z618" s="1" t="b">
        <v>0</v>
      </c>
      <c r="AA618" s="1"/>
    </row>
    <row r="619" spans="1:27" x14ac:dyDescent="0.25">
      <c r="A619" s="1" t="s">
        <v>1672</v>
      </c>
      <c r="B619" s="2" t="s">
        <v>1706</v>
      </c>
      <c r="C619" s="2" t="s">
        <v>27</v>
      </c>
      <c r="D619" s="6">
        <f t="shared" si="14"/>
        <v>1</v>
      </c>
      <c r="E619" s="7" t="str">
        <f t="shared" si="15"/>
        <v>ChronicManifestation</v>
      </c>
      <c r="F619" s="8" t="b">
        <f>IF(D619&lt;1,FALSE,ISERROR(MATCH(E619,'Ontology and concepts per UC'!$A$2:$A$62,0)))</f>
        <v>0</v>
      </c>
      <c r="G619" s="9" t="str">
        <f t="shared" si="16"/>
        <v/>
      </c>
      <c r="H619" s="9" t="str">
        <f t="shared" si="17"/>
        <v/>
      </c>
      <c r="I619" s="8" t="b">
        <f>IF(D619&lt;2,FALSE,ISERROR(MATCH(H619,'Ontology and concepts per UC'!$A$2:$A$62,0)))</f>
        <v>0</v>
      </c>
      <c r="J619" s="9" t="str">
        <f t="shared" si="18"/>
        <v/>
      </c>
      <c r="K619" s="8" t="b">
        <f>IF(D619&lt;3,FALSE,ISERROR(MATCH(J619,'Ontology and concepts per UC'!$A$2:$A$62,0)))</f>
        <v>0</v>
      </c>
      <c r="L619" s="2" t="s">
        <v>1707</v>
      </c>
      <c r="M619" s="2" t="s">
        <v>1708</v>
      </c>
      <c r="N619" s="2"/>
      <c r="O619" s="1" t="b">
        <v>0</v>
      </c>
      <c r="P619" s="1">
        <v>0</v>
      </c>
      <c r="Q619" s="1">
        <v>0</v>
      </c>
      <c r="R619" s="1" t="b">
        <f t="shared" si="19"/>
        <v>0</v>
      </c>
      <c r="S619" s="2" t="s">
        <v>325</v>
      </c>
      <c r="T619" s="1" t="str">
        <f>IF(S619="","",VLOOKUP(S619,'Ontology and concepts per UC'!$F$2:$J$46,5,FALSE))</f>
        <v>Modelo Conceptual</v>
      </c>
      <c r="U619" s="1" t="b">
        <f t="array" ref="U619">(INDEX('Ontology and concepts per UC'!$G$2:$I$46,MATCH($S619,'Ontology and concepts per UC'!$F$2:$F$46,0),MATCH(LEFT($A619,3),'Ontology and concepts per UC'!$G$1:$I$1,0))=0)</f>
        <v>0</v>
      </c>
      <c r="V619" s="1" t="b">
        <f t="shared" si="20"/>
        <v>0</v>
      </c>
      <c r="W619" s="1" t="b">
        <v>0</v>
      </c>
      <c r="X619" s="1" t="b">
        <v>0</v>
      </c>
      <c r="Y619" s="1" t="b">
        <v>0</v>
      </c>
      <c r="Z619" s="1" t="b">
        <v>0</v>
      </c>
      <c r="AA619" s="1"/>
    </row>
    <row r="620" spans="1:27" x14ac:dyDescent="0.25">
      <c r="A620" s="1" t="s">
        <v>1672</v>
      </c>
      <c r="B620" s="2" t="s">
        <v>1709</v>
      </c>
      <c r="C620" s="2" t="s">
        <v>27</v>
      </c>
      <c r="D620" s="6">
        <f t="shared" si="14"/>
        <v>1</v>
      </c>
      <c r="E620" s="7" t="str">
        <f t="shared" si="15"/>
        <v>ChronicManifestation</v>
      </c>
      <c r="F620" s="8" t="b">
        <f>IF(D620&lt;1,FALSE,ISERROR(MATCH(E620,'Ontology and concepts per UC'!$A$2:$A$62,0)))</f>
        <v>0</v>
      </c>
      <c r="G620" s="9" t="str">
        <f t="shared" si="16"/>
        <v/>
      </c>
      <c r="H620" s="9" t="str">
        <f t="shared" si="17"/>
        <v/>
      </c>
      <c r="I620" s="8" t="b">
        <f>IF(D620&lt;2,FALSE,ISERROR(MATCH(H620,'Ontology and concepts per UC'!$A$2:$A$62,0)))</f>
        <v>0</v>
      </c>
      <c r="J620" s="9" t="str">
        <f t="shared" si="18"/>
        <v/>
      </c>
      <c r="K620" s="8" t="b">
        <f>IF(D620&lt;3,FALSE,ISERROR(MATCH(J620,'Ontology and concepts per UC'!$A$2:$A$62,0)))</f>
        <v>0</v>
      </c>
      <c r="L620" s="2" t="s">
        <v>1710</v>
      </c>
      <c r="M620" s="2" t="s">
        <v>1711</v>
      </c>
      <c r="N620" s="2"/>
      <c r="O620" s="1" t="b">
        <v>0</v>
      </c>
      <c r="P620" s="1">
        <v>0</v>
      </c>
      <c r="Q620" s="1">
        <v>0</v>
      </c>
      <c r="R620" s="1" t="b">
        <f t="shared" si="19"/>
        <v>1</v>
      </c>
      <c r="S620" s="2" t="s">
        <v>325</v>
      </c>
      <c r="T620" s="1" t="str">
        <f>IF(S620="","",VLOOKUP(S620,'Ontology and concepts per UC'!$F$2:$J$46,5,FALSE))</f>
        <v>Modelo Conceptual</v>
      </c>
      <c r="U620" s="1" t="b">
        <f t="array" ref="U620">(INDEX('Ontology and concepts per UC'!$G$2:$I$46,MATCH($S620,'Ontology and concepts per UC'!$F$2:$F$46,0),MATCH(LEFT($A620,3),'Ontology and concepts per UC'!$G$1:$I$1,0))=0)</f>
        <v>0</v>
      </c>
      <c r="V620" s="1" t="b">
        <f t="shared" si="20"/>
        <v>0</v>
      </c>
      <c r="W620" s="1" t="b">
        <v>0</v>
      </c>
      <c r="X620" s="1" t="b">
        <v>0</v>
      </c>
      <c r="Y620" s="1" t="b">
        <v>0</v>
      </c>
      <c r="Z620" s="1" t="b">
        <v>0</v>
      </c>
      <c r="AA620" s="1"/>
    </row>
    <row r="621" spans="1:27" x14ac:dyDescent="0.25">
      <c r="A621" s="1" t="s">
        <v>1672</v>
      </c>
      <c r="B621" s="2" t="s">
        <v>1712</v>
      </c>
      <c r="C621" s="2" t="s">
        <v>27</v>
      </c>
      <c r="D621" s="6">
        <f t="shared" si="14"/>
        <v>1</v>
      </c>
      <c r="E621" s="7" t="str">
        <f t="shared" si="15"/>
        <v>ChronicManifestation</v>
      </c>
      <c r="F621" s="8" t="b">
        <f>IF(D621&lt;1,FALSE,ISERROR(MATCH(E621,'Ontology and concepts per UC'!$A$2:$A$62,0)))</f>
        <v>0</v>
      </c>
      <c r="G621" s="9" t="str">
        <f t="shared" si="16"/>
        <v/>
      </c>
      <c r="H621" s="9" t="str">
        <f t="shared" si="17"/>
        <v/>
      </c>
      <c r="I621" s="8" t="b">
        <f>IF(D621&lt;2,FALSE,ISERROR(MATCH(H621,'Ontology and concepts per UC'!$A$2:$A$62,0)))</f>
        <v>0</v>
      </c>
      <c r="J621" s="9" t="str">
        <f t="shared" si="18"/>
        <v/>
      </c>
      <c r="K621" s="8" t="b">
        <f>IF(D621&lt;3,FALSE,ISERROR(MATCH(J621,'Ontology and concepts per UC'!$A$2:$A$62,0)))</f>
        <v>0</v>
      </c>
      <c r="L621" s="2" t="s">
        <v>1713</v>
      </c>
      <c r="M621" s="2" t="s">
        <v>1714</v>
      </c>
      <c r="N621" s="2"/>
      <c r="O621" s="1" t="b">
        <v>0</v>
      </c>
      <c r="P621" s="1">
        <v>0</v>
      </c>
      <c r="Q621" s="1">
        <v>0</v>
      </c>
      <c r="R621" s="1" t="b">
        <f t="shared" si="19"/>
        <v>1</v>
      </c>
      <c r="S621" s="2" t="s">
        <v>325</v>
      </c>
      <c r="T621" s="1" t="str">
        <f>IF(S621="","",VLOOKUP(S621,'Ontology and concepts per UC'!$F$2:$J$46,5,FALSE))</f>
        <v>Modelo Conceptual</v>
      </c>
      <c r="U621" s="1" t="b">
        <f t="array" ref="U621">(INDEX('Ontology and concepts per UC'!$G$2:$I$46,MATCH($S621,'Ontology and concepts per UC'!$F$2:$F$46,0),MATCH(LEFT($A621,3),'Ontology and concepts per UC'!$G$1:$I$1,0))=0)</f>
        <v>0</v>
      </c>
      <c r="V621" s="1" t="b">
        <f t="shared" si="20"/>
        <v>0</v>
      </c>
      <c r="W621" s="1" t="b">
        <v>0</v>
      </c>
      <c r="X621" s="1" t="b">
        <v>0</v>
      </c>
      <c r="Y621" s="1" t="b">
        <v>0</v>
      </c>
      <c r="Z621" s="1" t="b">
        <v>0</v>
      </c>
      <c r="AA621" s="1"/>
    </row>
    <row r="622" spans="1:27" x14ac:dyDescent="0.25">
      <c r="A622" s="1" t="s">
        <v>1672</v>
      </c>
      <c r="B622" s="2" t="s">
        <v>1715</v>
      </c>
      <c r="C622" s="2" t="s">
        <v>27</v>
      </c>
      <c r="D622" s="6">
        <f t="shared" si="14"/>
        <v>1</v>
      </c>
      <c r="E622" s="7" t="str">
        <f t="shared" si="15"/>
        <v>ChronicManifestation</v>
      </c>
      <c r="F622" s="8" t="b">
        <f>IF(D622&lt;1,FALSE,ISERROR(MATCH(E622,'Ontology and concepts per UC'!$A$2:$A$62,0)))</f>
        <v>0</v>
      </c>
      <c r="G622" s="9" t="str">
        <f t="shared" si="16"/>
        <v/>
      </c>
      <c r="H622" s="9" t="str">
        <f t="shared" si="17"/>
        <v/>
      </c>
      <c r="I622" s="8" t="b">
        <f>IF(D622&lt;2,FALSE,ISERROR(MATCH(H622,'Ontology and concepts per UC'!$A$2:$A$62,0)))</f>
        <v>0</v>
      </c>
      <c r="J622" s="9" t="str">
        <f t="shared" si="18"/>
        <v/>
      </c>
      <c r="K622" s="8" t="b">
        <f>IF(D622&lt;3,FALSE,ISERROR(MATCH(J622,'Ontology and concepts per UC'!$A$2:$A$62,0)))</f>
        <v>0</v>
      </c>
      <c r="L622" s="2" t="s">
        <v>1716</v>
      </c>
      <c r="M622" s="2" t="s">
        <v>1717</v>
      </c>
      <c r="N622" s="2"/>
      <c r="O622" s="1" t="b">
        <v>0</v>
      </c>
      <c r="P622" s="1">
        <v>0</v>
      </c>
      <c r="Q622" s="1">
        <v>0</v>
      </c>
      <c r="R622" s="1" t="b">
        <f t="shared" si="19"/>
        <v>0</v>
      </c>
      <c r="S622" s="2" t="s">
        <v>29</v>
      </c>
      <c r="T622" s="1" t="str">
        <f>IF(S622="","",VLOOKUP(S622,'Ontology and concepts per UC'!$F$2:$J$46,5,FALSE))</f>
        <v>Modelo Conceptual</v>
      </c>
      <c r="U622" s="1" t="b">
        <f t="array" ref="U622">(INDEX('Ontology and concepts per UC'!$G$2:$I$46,MATCH($S622,'Ontology and concepts per UC'!$F$2:$F$46,0),MATCH(LEFT($A622,3),'Ontology and concepts per UC'!$G$1:$I$1,0))=0)</f>
        <v>0</v>
      </c>
      <c r="V622" s="1" t="b">
        <f t="shared" si="20"/>
        <v>0</v>
      </c>
      <c r="W622" s="1" t="b">
        <v>0</v>
      </c>
      <c r="X622" s="1" t="b">
        <v>0</v>
      </c>
      <c r="Y622" s="1" t="b">
        <v>0</v>
      </c>
      <c r="Z622" s="1" t="b">
        <v>0</v>
      </c>
      <c r="AA622" s="1"/>
    </row>
    <row r="623" spans="1:27" x14ac:dyDescent="0.25">
      <c r="A623" s="1" t="s">
        <v>1672</v>
      </c>
      <c r="B623" s="2" t="s">
        <v>1718</v>
      </c>
      <c r="C623" s="2" t="s">
        <v>27</v>
      </c>
      <c r="D623" s="6">
        <f t="shared" si="14"/>
        <v>1</v>
      </c>
      <c r="E623" s="7" t="str">
        <f t="shared" si="15"/>
        <v>ChronicManifestation</v>
      </c>
      <c r="F623" s="8" t="b">
        <f>IF(D623&lt;1,FALSE,ISERROR(MATCH(E623,'Ontology and concepts per UC'!$A$2:$A$62,0)))</f>
        <v>0</v>
      </c>
      <c r="G623" s="9" t="str">
        <f t="shared" si="16"/>
        <v/>
      </c>
      <c r="H623" s="9" t="str">
        <f t="shared" si="17"/>
        <v/>
      </c>
      <c r="I623" s="8" t="b">
        <f>IF(D623&lt;2,FALSE,ISERROR(MATCH(H623,'Ontology and concepts per UC'!$A$2:$A$62,0)))</f>
        <v>0</v>
      </c>
      <c r="J623" s="9" t="str">
        <f t="shared" si="18"/>
        <v/>
      </c>
      <c r="K623" s="8" t="b">
        <f>IF(D623&lt;3,FALSE,ISERROR(MATCH(J623,'Ontology and concepts per UC'!$A$2:$A$62,0)))</f>
        <v>0</v>
      </c>
      <c r="L623" s="2" t="s">
        <v>1719</v>
      </c>
      <c r="M623" s="2" t="s">
        <v>1720</v>
      </c>
      <c r="N623" s="2"/>
      <c r="O623" s="1" t="b">
        <v>0</v>
      </c>
      <c r="P623" s="1">
        <v>0</v>
      </c>
      <c r="Q623" s="1">
        <v>0</v>
      </c>
      <c r="R623" s="1" t="b">
        <f t="shared" si="19"/>
        <v>1</v>
      </c>
      <c r="S623" s="2" t="s">
        <v>29</v>
      </c>
      <c r="T623" s="1" t="str">
        <f>IF(S623="","",VLOOKUP(S623,'Ontology and concepts per UC'!$F$2:$J$46,5,FALSE))</f>
        <v>Modelo Conceptual</v>
      </c>
      <c r="U623" s="1" t="b">
        <f t="array" ref="U623">(INDEX('Ontology and concepts per UC'!$G$2:$I$46,MATCH($S623,'Ontology and concepts per UC'!$F$2:$F$46,0),MATCH(LEFT($A623,3),'Ontology and concepts per UC'!$G$1:$I$1,0))=0)</f>
        <v>0</v>
      </c>
      <c r="V623" s="1" t="b">
        <f t="shared" si="20"/>
        <v>0</v>
      </c>
      <c r="W623" s="1" t="b">
        <v>0</v>
      </c>
      <c r="X623" s="1" t="b">
        <v>0</v>
      </c>
      <c r="Y623" s="1" t="b">
        <v>0</v>
      </c>
      <c r="Z623" s="1" t="b">
        <v>0</v>
      </c>
      <c r="AA623" s="1"/>
    </row>
    <row r="624" spans="1:27" x14ac:dyDescent="0.25">
      <c r="A624" s="1" t="s">
        <v>1672</v>
      </c>
      <c r="B624" s="2" t="s">
        <v>1721</v>
      </c>
      <c r="C624" s="2" t="s">
        <v>27</v>
      </c>
      <c r="D624" s="6">
        <f t="shared" si="14"/>
        <v>1</v>
      </c>
      <c r="E624" s="7" t="str">
        <f t="shared" si="15"/>
        <v>ChronicManifestation</v>
      </c>
      <c r="F624" s="8" t="b">
        <f>IF(D624&lt;1,FALSE,ISERROR(MATCH(E624,'Ontology and concepts per UC'!$A$2:$A$62,0)))</f>
        <v>0</v>
      </c>
      <c r="G624" s="9" t="str">
        <f t="shared" si="16"/>
        <v/>
      </c>
      <c r="H624" s="9" t="str">
        <f t="shared" si="17"/>
        <v/>
      </c>
      <c r="I624" s="8" t="b">
        <f>IF(D624&lt;2,FALSE,ISERROR(MATCH(H624,'Ontology and concepts per UC'!$A$2:$A$62,0)))</f>
        <v>0</v>
      </c>
      <c r="J624" s="9" t="str">
        <f t="shared" si="18"/>
        <v/>
      </c>
      <c r="K624" s="8" t="b">
        <f>IF(D624&lt;3,FALSE,ISERROR(MATCH(J624,'Ontology and concepts per UC'!$A$2:$A$62,0)))</f>
        <v>0</v>
      </c>
      <c r="L624" s="2" t="s">
        <v>1722</v>
      </c>
      <c r="M624" s="2" t="s">
        <v>1723</v>
      </c>
      <c r="N624" s="2"/>
      <c r="O624" s="1" t="b">
        <v>0</v>
      </c>
      <c r="P624" s="1">
        <v>0</v>
      </c>
      <c r="Q624" s="1">
        <v>0</v>
      </c>
      <c r="R624" s="1" t="b">
        <f t="shared" si="19"/>
        <v>0</v>
      </c>
      <c r="S624" s="2" t="s">
        <v>325</v>
      </c>
      <c r="T624" s="1" t="str">
        <f>IF(S624="","",VLOOKUP(S624,'Ontology and concepts per UC'!$F$2:$J$46,5,FALSE))</f>
        <v>Modelo Conceptual</v>
      </c>
      <c r="U624" s="1" t="b">
        <f t="array" ref="U624">(INDEX('Ontology and concepts per UC'!$G$2:$I$46,MATCH($S624,'Ontology and concepts per UC'!$F$2:$F$46,0),MATCH(LEFT($A624,3),'Ontology and concepts per UC'!$G$1:$I$1,0))=0)</f>
        <v>0</v>
      </c>
      <c r="V624" s="1" t="b">
        <f t="shared" si="20"/>
        <v>0</v>
      </c>
      <c r="W624" s="1" t="b">
        <v>0</v>
      </c>
      <c r="X624" s="1" t="b">
        <v>0</v>
      </c>
      <c r="Y624" s="1" t="b">
        <v>0</v>
      </c>
      <c r="Z624" s="1" t="b">
        <v>0</v>
      </c>
      <c r="AA624" s="1"/>
    </row>
    <row r="625" spans="1:27" x14ac:dyDescent="0.25">
      <c r="A625" s="1" t="s">
        <v>1672</v>
      </c>
      <c r="B625" s="2" t="s">
        <v>1724</v>
      </c>
      <c r="C625" s="2" t="s">
        <v>27</v>
      </c>
      <c r="D625" s="6">
        <f t="shared" si="14"/>
        <v>1</v>
      </c>
      <c r="E625" s="7" t="str">
        <f t="shared" si="15"/>
        <v>ChronicManifestation</v>
      </c>
      <c r="F625" s="8" t="b">
        <f>IF(D625&lt;1,FALSE,ISERROR(MATCH(E625,'Ontology and concepts per UC'!$A$2:$A$62,0)))</f>
        <v>0</v>
      </c>
      <c r="G625" s="9" t="str">
        <f t="shared" si="16"/>
        <v/>
      </c>
      <c r="H625" s="9" t="str">
        <f t="shared" si="17"/>
        <v/>
      </c>
      <c r="I625" s="8" t="b">
        <f>IF(D625&lt;2,FALSE,ISERROR(MATCH(H625,'Ontology and concepts per UC'!$A$2:$A$62,0)))</f>
        <v>0</v>
      </c>
      <c r="J625" s="9" t="str">
        <f t="shared" si="18"/>
        <v/>
      </c>
      <c r="K625" s="8" t="b">
        <f>IF(D625&lt;3,FALSE,ISERROR(MATCH(J625,'Ontology and concepts per UC'!$A$2:$A$62,0)))</f>
        <v>0</v>
      </c>
      <c r="L625" s="2" t="s">
        <v>1725</v>
      </c>
      <c r="M625" s="2" t="s">
        <v>1726</v>
      </c>
      <c r="N625" s="2"/>
      <c r="O625" s="1" t="b">
        <v>0</v>
      </c>
      <c r="P625" s="1">
        <v>0</v>
      </c>
      <c r="Q625" s="1">
        <v>0</v>
      </c>
      <c r="R625" s="1" t="b">
        <f t="shared" si="19"/>
        <v>1</v>
      </c>
      <c r="S625" s="2" t="s">
        <v>325</v>
      </c>
      <c r="T625" s="1" t="str">
        <f>IF(S625="","",VLOOKUP(S625,'Ontology and concepts per UC'!$F$2:$J$46,5,FALSE))</f>
        <v>Modelo Conceptual</v>
      </c>
      <c r="U625" s="1" t="b">
        <f t="array" ref="U625">(INDEX('Ontology and concepts per UC'!$G$2:$I$46,MATCH($S625,'Ontology and concepts per UC'!$F$2:$F$46,0),MATCH(LEFT($A625,3),'Ontology and concepts per UC'!$G$1:$I$1,0))=0)</f>
        <v>0</v>
      </c>
      <c r="V625" s="1" t="b">
        <f t="shared" si="20"/>
        <v>0</v>
      </c>
      <c r="W625" s="1" t="b">
        <v>0</v>
      </c>
      <c r="X625" s="1" t="b">
        <v>0</v>
      </c>
      <c r="Y625" s="1" t="b">
        <v>0</v>
      </c>
      <c r="Z625" s="1" t="b">
        <v>0</v>
      </c>
      <c r="AA625" s="1"/>
    </row>
    <row r="626" spans="1:27" x14ac:dyDescent="0.25">
      <c r="A626" s="1" t="s">
        <v>1672</v>
      </c>
      <c r="B626" s="2" t="s">
        <v>1727</v>
      </c>
      <c r="C626" s="2" t="s">
        <v>27</v>
      </c>
      <c r="D626" s="6">
        <f t="shared" si="14"/>
        <v>1</v>
      </c>
      <c r="E626" s="7" t="str">
        <f t="shared" si="15"/>
        <v>ChronicManifestation</v>
      </c>
      <c r="F626" s="8" t="b">
        <f>IF(D626&lt;1,FALSE,ISERROR(MATCH(E626,'Ontology and concepts per UC'!$A$2:$A$62,0)))</f>
        <v>0</v>
      </c>
      <c r="G626" s="9" t="str">
        <f t="shared" si="16"/>
        <v/>
      </c>
      <c r="H626" s="9" t="str">
        <f t="shared" si="17"/>
        <v/>
      </c>
      <c r="I626" s="8" t="b">
        <f>IF(D626&lt;2,FALSE,ISERROR(MATCH(H626,'Ontology and concepts per UC'!$A$2:$A$62,0)))</f>
        <v>0</v>
      </c>
      <c r="J626" s="9" t="str">
        <f t="shared" si="18"/>
        <v/>
      </c>
      <c r="K626" s="8" t="b">
        <f>IF(D626&lt;3,FALSE,ISERROR(MATCH(J626,'Ontology and concepts per UC'!$A$2:$A$62,0)))</f>
        <v>0</v>
      </c>
      <c r="L626" s="2" t="s">
        <v>1728</v>
      </c>
      <c r="M626" s="2" t="s">
        <v>1729</v>
      </c>
      <c r="N626" s="2"/>
      <c r="O626" s="1" t="b">
        <v>0</v>
      </c>
      <c r="P626" s="1">
        <v>0</v>
      </c>
      <c r="Q626" s="1">
        <v>0</v>
      </c>
      <c r="R626" s="1" t="b">
        <f t="shared" si="19"/>
        <v>0</v>
      </c>
      <c r="S626" s="2" t="s">
        <v>26</v>
      </c>
      <c r="T626" s="1" t="str">
        <f>IF(S626="","",VLOOKUP(S626,'Ontology and concepts per UC'!$F$2:$J$46,5,FALSE))</f>
        <v>Modelo Conceptual</v>
      </c>
      <c r="U626" s="1" t="b">
        <f t="array" ref="U626">(INDEX('Ontology and concepts per UC'!$G$2:$I$46,MATCH($S626,'Ontology and concepts per UC'!$F$2:$F$46,0),MATCH(LEFT($A626,3),'Ontology and concepts per UC'!$G$1:$I$1,0))=0)</f>
        <v>0</v>
      </c>
      <c r="V626" s="1" t="b">
        <f t="shared" si="20"/>
        <v>0</v>
      </c>
      <c r="W626" s="1" t="b">
        <v>0</v>
      </c>
      <c r="X626" s="1" t="b">
        <v>0</v>
      </c>
      <c r="Y626" s="1" t="b">
        <v>0</v>
      </c>
      <c r="Z626" s="1" t="b">
        <v>0</v>
      </c>
      <c r="AA626" s="1"/>
    </row>
    <row r="627" spans="1:27" x14ac:dyDescent="0.25">
      <c r="A627" s="1" t="s">
        <v>1672</v>
      </c>
      <c r="B627" s="2" t="s">
        <v>1730</v>
      </c>
      <c r="C627" s="2" t="s">
        <v>27</v>
      </c>
      <c r="D627" s="6">
        <f t="shared" si="14"/>
        <v>1</v>
      </c>
      <c r="E627" s="7" t="str">
        <f t="shared" si="15"/>
        <v>ChronicManifestation</v>
      </c>
      <c r="F627" s="8" t="b">
        <f>IF(D627&lt;1,FALSE,ISERROR(MATCH(E627,'Ontology and concepts per UC'!$A$2:$A$62,0)))</f>
        <v>0</v>
      </c>
      <c r="G627" s="9" t="str">
        <f t="shared" si="16"/>
        <v/>
      </c>
      <c r="H627" s="9" t="str">
        <f t="shared" si="17"/>
        <v/>
      </c>
      <c r="I627" s="8" t="b">
        <f>IF(D627&lt;2,FALSE,ISERROR(MATCH(H627,'Ontology and concepts per UC'!$A$2:$A$62,0)))</f>
        <v>0</v>
      </c>
      <c r="J627" s="9" t="str">
        <f t="shared" si="18"/>
        <v/>
      </c>
      <c r="K627" s="8" t="b">
        <f>IF(D627&lt;3,FALSE,ISERROR(MATCH(J627,'Ontology and concepts per UC'!$A$2:$A$62,0)))</f>
        <v>0</v>
      </c>
      <c r="L627" s="2" t="s">
        <v>1731</v>
      </c>
      <c r="M627" s="2" t="s">
        <v>1732</v>
      </c>
      <c r="N627" s="2"/>
      <c r="O627" s="1" t="b">
        <v>0</v>
      </c>
      <c r="P627" s="1">
        <v>0</v>
      </c>
      <c r="Q627" s="1">
        <v>0</v>
      </c>
      <c r="R627" s="1" t="b">
        <f t="shared" si="19"/>
        <v>1</v>
      </c>
      <c r="S627" s="2" t="s">
        <v>26</v>
      </c>
      <c r="T627" s="1" t="str">
        <f>IF(S627="","",VLOOKUP(S627,'Ontology and concepts per UC'!$F$2:$J$46,5,FALSE))</f>
        <v>Modelo Conceptual</v>
      </c>
      <c r="U627" s="1" t="b">
        <f t="array" ref="U627">(INDEX('Ontology and concepts per UC'!$G$2:$I$46,MATCH($S627,'Ontology and concepts per UC'!$F$2:$F$46,0),MATCH(LEFT($A627,3),'Ontology and concepts per UC'!$G$1:$I$1,0))=0)</f>
        <v>0</v>
      </c>
      <c r="V627" s="1" t="b">
        <f t="shared" si="20"/>
        <v>0</v>
      </c>
      <c r="W627" s="1" t="b">
        <v>0</v>
      </c>
      <c r="X627" s="1" t="b">
        <v>0</v>
      </c>
      <c r="Y627" s="1" t="b">
        <v>0</v>
      </c>
      <c r="Z627" s="1" t="b">
        <v>0</v>
      </c>
      <c r="AA627" s="1"/>
    </row>
    <row r="628" spans="1:27" x14ac:dyDescent="0.25">
      <c r="A628" s="1" t="s">
        <v>1672</v>
      </c>
      <c r="B628" s="2" t="s">
        <v>1733</v>
      </c>
      <c r="C628" s="2" t="s">
        <v>27</v>
      </c>
      <c r="D628" s="6">
        <f t="shared" si="14"/>
        <v>1</v>
      </c>
      <c r="E628" s="7" t="str">
        <f t="shared" si="15"/>
        <v>ChronicManifestation</v>
      </c>
      <c r="F628" s="8" t="b">
        <f>IF(D628&lt;1,FALSE,ISERROR(MATCH(E628,'Ontology and concepts per UC'!$A$2:$A$62,0)))</f>
        <v>0</v>
      </c>
      <c r="G628" s="9" t="str">
        <f t="shared" si="16"/>
        <v/>
      </c>
      <c r="H628" s="9" t="str">
        <f t="shared" si="17"/>
        <v/>
      </c>
      <c r="I628" s="8" t="b">
        <f>IF(D628&lt;2,FALSE,ISERROR(MATCH(H628,'Ontology and concepts per UC'!$A$2:$A$62,0)))</f>
        <v>0</v>
      </c>
      <c r="J628" s="9" t="str">
        <f t="shared" si="18"/>
        <v/>
      </c>
      <c r="K628" s="8" t="b">
        <f>IF(D628&lt;3,FALSE,ISERROR(MATCH(J628,'Ontology and concepts per UC'!$A$2:$A$62,0)))</f>
        <v>0</v>
      </c>
      <c r="L628" s="2" t="s">
        <v>1734</v>
      </c>
      <c r="M628" s="2" t="s">
        <v>1735</v>
      </c>
      <c r="N628" s="2"/>
      <c r="O628" s="1" t="b">
        <v>0</v>
      </c>
      <c r="P628" s="1">
        <v>0</v>
      </c>
      <c r="Q628" s="1">
        <v>0</v>
      </c>
      <c r="R628" s="1" t="b">
        <f t="shared" si="19"/>
        <v>1</v>
      </c>
      <c r="S628" s="2" t="s">
        <v>28</v>
      </c>
      <c r="T628" s="1" t="str">
        <f>IF(S628="","",VLOOKUP(S628,'Ontology and concepts per UC'!$F$2:$J$46,5,FALSE))</f>
        <v>Modelo Conceptual</v>
      </c>
      <c r="U628" s="1" t="b">
        <f t="array" ref="U628">(INDEX('Ontology and concepts per UC'!$G$2:$I$46,MATCH($S628,'Ontology and concepts per UC'!$F$2:$F$46,0),MATCH(LEFT($A628,3),'Ontology and concepts per UC'!$G$1:$I$1,0))=0)</f>
        <v>0</v>
      </c>
      <c r="V628" s="1" t="b">
        <f t="shared" si="20"/>
        <v>0</v>
      </c>
      <c r="W628" s="1" t="b">
        <v>0</v>
      </c>
      <c r="X628" s="1" t="b">
        <v>0</v>
      </c>
      <c r="Y628" s="1" t="b">
        <v>0</v>
      </c>
      <c r="Z628" s="1" t="b">
        <v>0</v>
      </c>
      <c r="AA628" s="1"/>
    </row>
    <row r="629" spans="1:27" x14ac:dyDescent="0.25">
      <c r="A629" s="1" t="s">
        <v>1672</v>
      </c>
      <c r="B629" s="2" t="s">
        <v>1736</v>
      </c>
      <c r="C629" s="2" t="s">
        <v>27</v>
      </c>
      <c r="D629" s="6">
        <f t="shared" si="14"/>
        <v>1</v>
      </c>
      <c r="E629" s="7" t="str">
        <f t="shared" si="15"/>
        <v>ChronicManifestation</v>
      </c>
      <c r="F629" s="8" t="b">
        <f>IF(D629&lt;1,FALSE,ISERROR(MATCH(E629,'Ontology and concepts per UC'!$A$2:$A$62,0)))</f>
        <v>0</v>
      </c>
      <c r="G629" s="9" t="str">
        <f t="shared" si="16"/>
        <v/>
      </c>
      <c r="H629" s="9" t="str">
        <f t="shared" si="17"/>
        <v/>
      </c>
      <c r="I629" s="8" t="b">
        <f>IF(D629&lt;2,FALSE,ISERROR(MATCH(H629,'Ontology and concepts per UC'!$A$2:$A$62,0)))</f>
        <v>0</v>
      </c>
      <c r="J629" s="9" t="str">
        <f t="shared" si="18"/>
        <v/>
      </c>
      <c r="K629" s="8" t="b">
        <f>IF(D629&lt;3,FALSE,ISERROR(MATCH(J629,'Ontology and concepts per UC'!$A$2:$A$62,0)))</f>
        <v>0</v>
      </c>
      <c r="L629" s="2" t="s">
        <v>1737</v>
      </c>
      <c r="M629" s="2" t="s">
        <v>1738</v>
      </c>
      <c r="N629" s="2"/>
      <c r="O629" s="1" t="b">
        <v>0</v>
      </c>
      <c r="P629" s="1">
        <v>0</v>
      </c>
      <c r="Q629" s="1">
        <v>0</v>
      </c>
      <c r="R629" s="1" t="b">
        <f t="shared" si="19"/>
        <v>0</v>
      </c>
      <c r="S629" s="2" t="s">
        <v>32</v>
      </c>
      <c r="T629" s="1" t="str">
        <f>IF(S629="","",VLOOKUP(S629,'Ontology and concepts per UC'!$F$2:$J$46,5,FALSE))</f>
        <v>Modelo Conceptual</v>
      </c>
      <c r="U629" s="1" t="b">
        <f t="array" ref="U629">(INDEX('Ontology and concepts per UC'!$G$2:$I$46,MATCH($S629,'Ontology and concepts per UC'!$F$2:$F$46,0),MATCH(LEFT($A629,3),'Ontology and concepts per UC'!$G$1:$I$1,0))=0)</f>
        <v>0</v>
      </c>
      <c r="V629" s="1" t="b">
        <f t="shared" si="20"/>
        <v>0</v>
      </c>
      <c r="W629" s="1" t="b">
        <v>0</v>
      </c>
      <c r="X629" s="1" t="b">
        <v>0</v>
      </c>
      <c r="Y629" s="1" t="b">
        <v>0</v>
      </c>
      <c r="Z629" s="1" t="b">
        <v>0</v>
      </c>
      <c r="AA629" s="1"/>
    </row>
    <row r="630" spans="1:27" x14ac:dyDescent="0.25">
      <c r="A630" s="1" t="s">
        <v>1672</v>
      </c>
      <c r="B630" s="2" t="s">
        <v>1739</v>
      </c>
      <c r="C630" s="2" t="s">
        <v>27</v>
      </c>
      <c r="D630" s="6">
        <f t="shared" si="14"/>
        <v>1</v>
      </c>
      <c r="E630" s="7" t="str">
        <f t="shared" si="15"/>
        <v>ChronicManifestation</v>
      </c>
      <c r="F630" s="8" t="b">
        <f>IF(D630&lt;1,FALSE,ISERROR(MATCH(E630,'Ontology and concepts per UC'!$A$2:$A$62,0)))</f>
        <v>0</v>
      </c>
      <c r="G630" s="9" t="str">
        <f t="shared" si="16"/>
        <v/>
      </c>
      <c r="H630" s="9" t="str">
        <f t="shared" si="17"/>
        <v/>
      </c>
      <c r="I630" s="8" t="b">
        <f>IF(D630&lt;2,FALSE,ISERROR(MATCH(H630,'Ontology and concepts per UC'!$A$2:$A$62,0)))</f>
        <v>0</v>
      </c>
      <c r="J630" s="9" t="str">
        <f t="shared" si="18"/>
        <v/>
      </c>
      <c r="K630" s="8" t="b">
        <f>IF(D630&lt;3,FALSE,ISERROR(MATCH(J630,'Ontology and concepts per UC'!$A$2:$A$62,0)))</f>
        <v>0</v>
      </c>
      <c r="L630" s="2" t="s">
        <v>1740</v>
      </c>
      <c r="M630" s="2" t="s">
        <v>1741</v>
      </c>
      <c r="N630" s="2"/>
      <c r="O630" s="1" t="b">
        <v>0</v>
      </c>
      <c r="P630" s="1">
        <v>0</v>
      </c>
      <c r="Q630" s="1">
        <v>0</v>
      </c>
      <c r="R630" s="1" t="b">
        <f t="shared" si="19"/>
        <v>1</v>
      </c>
      <c r="S630" s="2" t="s">
        <v>32</v>
      </c>
      <c r="T630" s="1" t="str">
        <f>IF(S630="","",VLOOKUP(S630,'Ontology and concepts per UC'!$F$2:$J$46,5,FALSE))</f>
        <v>Modelo Conceptual</v>
      </c>
      <c r="U630" s="1" t="b">
        <f t="array" ref="U630">(INDEX('Ontology and concepts per UC'!$G$2:$I$46,MATCH($S630,'Ontology and concepts per UC'!$F$2:$F$46,0),MATCH(LEFT($A630,3),'Ontology and concepts per UC'!$G$1:$I$1,0))=0)</f>
        <v>0</v>
      </c>
      <c r="V630" s="1" t="b">
        <f t="shared" si="20"/>
        <v>0</v>
      </c>
      <c r="W630" s="1" t="b">
        <v>0</v>
      </c>
      <c r="X630" s="1" t="b">
        <v>0</v>
      </c>
      <c r="Y630" s="1" t="b">
        <v>0</v>
      </c>
      <c r="Z630" s="1" t="b">
        <v>0</v>
      </c>
      <c r="AA630" s="1"/>
    </row>
    <row r="631" spans="1:27" x14ac:dyDescent="0.25">
      <c r="A631" s="1" t="s">
        <v>1672</v>
      </c>
      <c r="B631" s="2" t="s">
        <v>1742</v>
      </c>
      <c r="C631" s="2" t="s">
        <v>195</v>
      </c>
      <c r="D631" s="6">
        <f t="shared" si="14"/>
        <v>1</v>
      </c>
      <c r="E631" s="7" t="str">
        <f t="shared" si="15"/>
        <v>Cost</v>
      </c>
      <c r="F631" s="8" t="b">
        <f>IF(D631&lt;1,FALSE,ISERROR(MATCH(E631,'Ontology and concepts per UC'!$A$2:$A$62,0)))</f>
        <v>0</v>
      </c>
      <c r="G631" s="9" t="str">
        <f t="shared" si="16"/>
        <v/>
      </c>
      <c r="H631" s="9" t="str">
        <f t="shared" si="17"/>
        <v/>
      </c>
      <c r="I631" s="8" t="b">
        <f>IF(D631&lt;2,FALSE,ISERROR(MATCH(H631,'Ontology and concepts per UC'!$A$2:$A$62,0)))</f>
        <v>0</v>
      </c>
      <c r="J631" s="9" t="str">
        <f t="shared" si="18"/>
        <v/>
      </c>
      <c r="K631" s="8" t="b">
        <f>IF(D631&lt;3,FALSE,ISERROR(MATCH(J631,'Ontology and concepts per UC'!$A$2:$A$62,0)))</f>
        <v>0</v>
      </c>
      <c r="L631" s="2"/>
      <c r="M631" s="2" t="s">
        <v>1743</v>
      </c>
      <c r="N631" s="2"/>
      <c r="O631" s="1" t="b">
        <v>0</v>
      </c>
      <c r="P631" s="1">
        <v>0</v>
      </c>
      <c r="Q631" s="1">
        <v>0</v>
      </c>
      <c r="R631" s="1" t="b">
        <f t="shared" si="19"/>
        <v>1</v>
      </c>
      <c r="S631" s="2" t="s">
        <v>11</v>
      </c>
      <c r="T631" s="1" t="str">
        <f>IF(S631="","",VLOOKUP(S631,'Ontology and concepts per UC'!$F$2:$J$46,5,FALSE))</f>
        <v>Coste</v>
      </c>
      <c r="U631" s="1" t="b">
        <f t="array" ref="U631">(INDEX('Ontology and concepts per UC'!$G$2:$I$46,MATCH($S631,'Ontology and concepts per UC'!$F$2:$F$46,0),MATCH(LEFT($A631,3),'Ontology and concepts per UC'!$G$1:$I$1,0))=0)</f>
        <v>0</v>
      </c>
      <c r="V631" s="1" t="b">
        <f t="shared" si="20"/>
        <v>0</v>
      </c>
      <c r="W631" s="1" t="b">
        <v>0</v>
      </c>
      <c r="X631" s="1" t="b">
        <v>0</v>
      </c>
      <c r="Y631" s="1" t="b">
        <v>0</v>
      </c>
      <c r="Z631" s="1" t="b">
        <v>0</v>
      </c>
      <c r="AA631" s="1"/>
    </row>
    <row r="632" spans="1:27" x14ac:dyDescent="0.25">
      <c r="A632" s="1" t="s">
        <v>1672</v>
      </c>
      <c r="B632" s="2" t="s">
        <v>1744</v>
      </c>
      <c r="C632" s="2" t="s">
        <v>195</v>
      </c>
      <c r="D632" s="6">
        <f t="shared" si="14"/>
        <v>1</v>
      </c>
      <c r="E632" s="7" t="str">
        <f t="shared" si="15"/>
        <v>Cost</v>
      </c>
      <c r="F632" s="8" t="b">
        <f>IF(D632&lt;1,FALSE,ISERROR(MATCH(E632,'Ontology and concepts per UC'!$A$2:$A$62,0)))</f>
        <v>0</v>
      </c>
      <c r="G632" s="9" t="str">
        <f t="shared" si="16"/>
        <v/>
      </c>
      <c r="H632" s="9" t="str">
        <f t="shared" si="17"/>
        <v/>
      </c>
      <c r="I632" s="8" t="b">
        <f>IF(D632&lt;2,FALSE,ISERROR(MATCH(H632,'Ontology and concepts per UC'!$A$2:$A$62,0)))</f>
        <v>0</v>
      </c>
      <c r="J632" s="9" t="str">
        <f t="shared" si="18"/>
        <v/>
      </c>
      <c r="K632" s="8" t="b">
        <f>IF(D632&lt;3,FALSE,ISERROR(MATCH(J632,'Ontology and concepts per UC'!$A$2:$A$62,0)))</f>
        <v>0</v>
      </c>
      <c r="L632" s="2"/>
      <c r="M632" s="2" t="s">
        <v>1745</v>
      </c>
      <c r="N632" s="2"/>
      <c r="O632" s="1" t="b">
        <v>0</v>
      </c>
      <c r="P632" s="1">
        <v>0</v>
      </c>
      <c r="Q632" s="1">
        <v>0</v>
      </c>
      <c r="R632" s="1" t="b">
        <f t="shared" si="19"/>
        <v>1</v>
      </c>
      <c r="S632" s="2" t="s">
        <v>42</v>
      </c>
      <c r="T632" s="1" t="str">
        <f>IF(S632="","",VLOOKUP(S632,'Ontology and concepts per UC'!$F$2:$J$46,5,FALSE))</f>
        <v>Parámetros de intervención</v>
      </c>
      <c r="U632" s="1" t="b">
        <f t="array" ref="U632">(INDEX('Ontology and concepts per UC'!$G$2:$I$46,MATCH($S632,'Ontology and concepts per UC'!$F$2:$F$46,0),MATCH(LEFT($A632,3),'Ontology and concepts per UC'!$G$1:$I$1,0))=0)</f>
        <v>0</v>
      </c>
      <c r="V632" s="1" t="b">
        <f t="shared" si="20"/>
        <v>0</v>
      </c>
      <c r="W632" s="1" t="b">
        <v>0</v>
      </c>
      <c r="X632" s="1" t="b">
        <v>0</v>
      </c>
      <c r="Y632" s="1" t="b">
        <v>0</v>
      </c>
      <c r="Z632" s="1" t="b">
        <v>0</v>
      </c>
      <c r="AA632" s="1"/>
    </row>
    <row r="633" spans="1:27" x14ac:dyDescent="0.25">
      <c r="A633" s="1" t="s">
        <v>1672</v>
      </c>
      <c r="B633" s="2" t="s">
        <v>1746</v>
      </c>
      <c r="C633" s="2" t="s">
        <v>195</v>
      </c>
      <c r="D633" s="6">
        <f t="shared" si="14"/>
        <v>1</v>
      </c>
      <c r="E633" s="7" t="str">
        <f t="shared" si="15"/>
        <v>Cost</v>
      </c>
      <c r="F633" s="8" t="b">
        <f>IF(D633&lt;1,FALSE,ISERROR(MATCH(E633,'Ontology and concepts per UC'!$A$2:$A$62,0)))</f>
        <v>0</v>
      </c>
      <c r="G633" s="9" t="str">
        <f t="shared" si="16"/>
        <v/>
      </c>
      <c r="H633" s="9" t="str">
        <f t="shared" si="17"/>
        <v/>
      </c>
      <c r="I633" s="8" t="b">
        <f>IF(D633&lt;2,FALSE,ISERROR(MATCH(H633,'Ontology and concepts per UC'!$A$2:$A$62,0)))</f>
        <v>0</v>
      </c>
      <c r="J633" s="9" t="str">
        <f t="shared" si="18"/>
        <v/>
      </c>
      <c r="K633" s="8" t="b">
        <f>IF(D633&lt;3,FALSE,ISERROR(MATCH(J633,'Ontology and concepts per UC'!$A$2:$A$62,0)))</f>
        <v>0</v>
      </c>
      <c r="L633" s="2"/>
      <c r="M633" s="2" t="s">
        <v>1747</v>
      </c>
      <c r="N633" s="2"/>
      <c r="O633" s="1" t="b">
        <v>0</v>
      </c>
      <c r="P633" s="1">
        <v>0</v>
      </c>
      <c r="Q633" s="1">
        <v>0</v>
      </c>
      <c r="R633" s="1" t="b">
        <f t="shared" si="19"/>
        <v>1</v>
      </c>
      <c r="S633" s="2" t="s">
        <v>10</v>
      </c>
      <c r="T633" s="1" t="str">
        <f>IF(S633="","",VLOOKUP(S633,'Ontology and concepts per UC'!$F$2:$J$46,5,FALSE))</f>
        <v>Coste</v>
      </c>
      <c r="U633" s="1" t="b">
        <f t="array" ref="U633">(INDEX('Ontology and concepts per UC'!$G$2:$I$46,MATCH($S633,'Ontology and concepts per UC'!$F$2:$F$46,0),MATCH(LEFT($A633,3),'Ontology and concepts per UC'!$G$1:$I$1,0))=0)</f>
        <v>0</v>
      </c>
      <c r="V633" s="1" t="b">
        <f t="shared" si="20"/>
        <v>0</v>
      </c>
      <c r="W633" s="1" t="b">
        <v>0</v>
      </c>
      <c r="X633" s="1" t="b">
        <v>0</v>
      </c>
      <c r="Y633" s="1" t="b">
        <v>0</v>
      </c>
      <c r="Z633" s="1" t="b">
        <v>0</v>
      </c>
      <c r="AA633" s="1"/>
    </row>
    <row r="634" spans="1:27" x14ac:dyDescent="0.25">
      <c r="A634" s="1" t="s">
        <v>1672</v>
      </c>
      <c r="B634" s="2" t="s">
        <v>1748</v>
      </c>
      <c r="C634" s="2" t="s">
        <v>195</v>
      </c>
      <c r="D634" s="6">
        <f t="shared" si="14"/>
        <v>1</v>
      </c>
      <c r="E634" s="7" t="str">
        <f t="shared" si="15"/>
        <v>Cost</v>
      </c>
      <c r="F634" s="8" t="b">
        <f>IF(D634&lt;1,FALSE,ISERROR(MATCH(E634,'Ontology and concepts per UC'!$A$2:$A$62,0)))</f>
        <v>0</v>
      </c>
      <c r="G634" s="9" t="str">
        <f t="shared" si="16"/>
        <v/>
      </c>
      <c r="H634" s="9" t="str">
        <f t="shared" si="17"/>
        <v/>
      </c>
      <c r="I634" s="8" t="b">
        <f>IF(D634&lt;2,FALSE,ISERROR(MATCH(H634,'Ontology and concepts per UC'!$A$2:$A$62,0)))</f>
        <v>0</v>
      </c>
      <c r="J634" s="9" t="str">
        <f t="shared" si="18"/>
        <v/>
      </c>
      <c r="K634" s="8" t="b">
        <f>IF(D634&lt;3,FALSE,ISERROR(MATCH(J634,'Ontology and concepts per UC'!$A$2:$A$62,0)))</f>
        <v>0</v>
      </c>
      <c r="L634" s="2"/>
      <c r="M634" s="2" t="s">
        <v>1749</v>
      </c>
      <c r="N634" s="2"/>
      <c r="O634" s="1" t="b">
        <v>0</v>
      </c>
      <c r="P634" s="1">
        <v>0</v>
      </c>
      <c r="Q634" s="1">
        <v>0</v>
      </c>
      <c r="R634" s="1" t="b">
        <f t="shared" si="19"/>
        <v>1</v>
      </c>
      <c r="S634" s="2" t="s">
        <v>107</v>
      </c>
      <c r="T634" s="1" t="str">
        <f>IF(S634="","",VLOOKUP(S634,'Ontology and concepts per UC'!$F$2:$J$46,5,FALSE))</f>
        <v>Parcial</v>
      </c>
      <c r="U634" s="1" t="b">
        <f t="array" ref="U634">(INDEX('Ontology and concepts per UC'!$G$2:$I$46,MATCH($S634,'Ontology and concepts per UC'!$F$2:$F$46,0),MATCH(LEFT($A634,3),'Ontology and concepts per UC'!$G$1:$I$1,0))=0)</f>
        <v>0</v>
      </c>
      <c r="V634" s="1" t="b">
        <f t="shared" si="20"/>
        <v>0</v>
      </c>
      <c r="W634" s="1" t="b">
        <v>0</v>
      </c>
      <c r="X634" s="1" t="b">
        <v>0</v>
      </c>
      <c r="Y634" s="1" t="b">
        <v>0</v>
      </c>
      <c r="Z634" s="1" t="b">
        <v>0</v>
      </c>
      <c r="AA634" s="1"/>
    </row>
    <row r="635" spans="1:27" x14ac:dyDescent="0.25">
      <c r="A635" s="1" t="s">
        <v>1672</v>
      </c>
      <c r="B635" s="2" t="s">
        <v>1750</v>
      </c>
      <c r="C635" s="2" t="s">
        <v>195</v>
      </c>
      <c r="D635" s="6">
        <f t="shared" si="14"/>
        <v>1</v>
      </c>
      <c r="E635" s="7" t="str">
        <f t="shared" si="15"/>
        <v>Cost</v>
      </c>
      <c r="F635" s="8" t="b">
        <f>IF(D635&lt;1,FALSE,ISERROR(MATCH(E635,'Ontology and concepts per UC'!$A$2:$A$62,0)))</f>
        <v>0</v>
      </c>
      <c r="G635" s="9" t="str">
        <f t="shared" si="16"/>
        <v/>
      </c>
      <c r="H635" s="9" t="str">
        <f t="shared" si="17"/>
        <v/>
      </c>
      <c r="I635" s="8" t="b">
        <f>IF(D635&lt;2,FALSE,ISERROR(MATCH(H635,'Ontology and concepts per UC'!$A$2:$A$62,0)))</f>
        <v>0</v>
      </c>
      <c r="J635" s="9" t="str">
        <f t="shared" si="18"/>
        <v/>
      </c>
      <c r="K635" s="8" t="b">
        <f>IF(D635&lt;3,FALSE,ISERROR(MATCH(J635,'Ontology and concepts per UC'!$A$2:$A$62,0)))</f>
        <v>0</v>
      </c>
      <c r="L635" s="2"/>
      <c r="M635" s="2" t="s">
        <v>1751</v>
      </c>
      <c r="N635" s="2"/>
      <c r="O635" s="1" t="b">
        <v>0</v>
      </c>
      <c r="P635" s="1">
        <v>0</v>
      </c>
      <c r="Q635" s="1">
        <v>0</v>
      </c>
      <c r="R635" s="1" t="b">
        <f t="shared" si="19"/>
        <v>1</v>
      </c>
      <c r="S635" s="2" t="s">
        <v>107</v>
      </c>
      <c r="T635" s="1" t="str">
        <f>IF(S635="","",VLOOKUP(S635,'Ontology and concepts per UC'!$F$2:$J$46,5,FALSE))</f>
        <v>Parcial</v>
      </c>
      <c r="U635" s="1" t="b">
        <f t="array" ref="U635">(INDEX('Ontology and concepts per UC'!$G$2:$I$46,MATCH($S635,'Ontology and concepts per UC'!$F$2:$F$46,0),MATCH(LEFT($A635,3),'Ontology and concepts per UC'!$G$1:$I$1,0))=0)</f>
        <v>0</v>
      </c>
      <c r="V635" s="1" t="b">
        <f t="shared" si="20"/>
        <v>0</v>
      </c>
      <c r="W635" s="1" t="b">
        <v>0</v>
      </c>
      <c r="X635" s="1" t="b">
        <v>0</v>
      </c>
      <c r="Y635" s="1" t="b">
        <v>0</v>
      </c>
      <c r="Z635" s="1" t="b">
        <v>0</v>
      </c>
      <c r="AA635" s="1"/>
    </row>
    <row r="636" spans="1:27" x14ac:dyDescent="0.25">
      <c r="A636" s="1" t="s">
        <v>1672</v>
      </c>
      <c r="B636" s="2" t="s">
        <v>1752</v>
      </c>
      <c r="C636" s="2" t="s">
        <v>195</v>
      </c>
      <c r="D636" s="6">
        <f t="shared" si="14"/>
        <v>1</v>
      </c>
      <c r="E636" s="7" t="str">
        <f t="shared" si="15"/>
        <v>Cost</v>
      </c>
      <c r="F636" s="8" t="b">
        <f>IF(D636&lt;1,FALSE,ISERROR(MATCH(E636,'Ontology and concepts per UC'!$A$2:$A$62,0)))</f>
        <v>0</v>
      </c>
      <c r="G636" s="9" t="str">
        <f t="shared" si="16"/>
        <v/>
      </c>
      <c r="H636" s="9" t="str">
        <f t="shared" si="17"/>
        <v/>
      </c>
      <c r="I636" s="8" t="b">
        <f>IF(D636&lt;2,FALSE,ISERROR(MATCH(H636,'Ontology and concepts per UC'!$A$2:$A$62,0)))</f>
        <v>0</v>
      </c>
      <c r="J636" s="9" t="str">
        <f t="shared" si="18"/>
        <v/>
      </c>
      <c r="K636" s="8" t="b">
        <f>IF(D636&lt;3,FALSE,ISERROR(MATCH(J636,'Ontology and concepts per UC'!$A$2:$A$62,0)))</f>
        <v>0</v>
      </c>
      <c r="L636" s="2"/>
      <c r="M636" s="2" t="s">
        <v>1753</v>
      </c>
      <c r="N636" s="2"/>
      <c r="O636" s="1" t="b">
        <v>0</v>
      </c>
      <c r="P636" s="1">
        <v>0</v>
      </c>
      <c r="Q636" s="1">
        <v>0</v>
      </c>
      <c r="R636" s="1" t="b">
        <f t="shared" si="19"/>
        <v>1</v>
      </c>
      <c r="S636" s="2" t="s">
        <v>11</v>
      </c>
      <c r="T636" s="1" t="str">
        <f>IF(S636="","",VLOOKUP(S636,'Ontology and concepts per UC'!$F$2:$J$46,5,FALSE))</f>
        <v>Coste</v>
      </c>
      <c r="U636" s="1" t="b">
        <f t="array" ref="U636">(INDEX('Ontology and concepts per UC'!$G$2:$I$46,MATCH($S636,'Ontology and concepts per UC'!$F$2:$F$46,0),MATCH(LEFT($A636,3),'Ontology and concepts per UC'!$G$1:$I$1,0))=0)</f>
        <v>0</v>
      </c>
      <c r="V636" s="1" t="b">
        <f t="shared" si="20"/>
        <v>0</v>
      </c>
      <c r="W636" s="1" t="b">
        <v>0</v>
      </c>
      <c r="X636" s="1" t="b">
        <v>0</v>
      </c>
      <c r="Y636" s="1" t="b">
        <v>0</v>
      </c>
      <c r="Z636" s="1" t="b">
        <v>0</v>
      </c>
      <c r="AA636" s="1"/>
    </row>
    <row r="637" spans="1:27" x14ac:dyDescent="0.25">
      <c r="A637" s="1" t="s">
        <v>1672</v>
      </c>
      <c r="B637" s="2" t="s">
        <v>1754</v>
      </c>
      <c r="C637" s="2" t="s">
        <v>195</v>
      </c>
      <c r="D637" s="6">
        <f t="shared" si="14"/>
        <v>1</v>
      </c>
      <c r="E637" s="7" t="str">
        <f t="shared" si="15"/>
        <v>Cost</v>
      </c>
      <c r="F637" s="8" t="b">
        <f>IF(D637&lt;1,FALSE,ISERROR(MATCH(E637,'Ontology and concepts per UC'!$A$2:$A$62,0)))</f>
        <v>0</v>
      </c>
      <c r="G637" s="9" t="str">
        <f t="shared" si="16"/>
        <v/>
      </c>
      <c r="H637" s="9" t="str">
        <f t="shared" si="17"/>
        <v/>
      </c>
      <c r="I637" s="8" t="b">
        <f>IF(D637&lt;2,FALSE,ISERROR(MATCH(H637,'Ontology and concepts per UC'!$A$2:$A$62,0)))</f>
        <v>0</v>
      </c>
      <c r="J637" s="9" t="str">
        <f t="shared" si="18"/>
        <v/>
      </c>
      <c r="K637" s="8" t="b">
        <f>IF(D637&lt;3,FALSE,ISERROR(MATCH(J637,'Ontology and concepts per UC'!$A$2:$A$62,0)))</f>
        <v>0</v>
      </c>
      <c r="L637" s="2"/>
      <c r="M637" s="2" t="s">
        <v>1755</v>
      </c>
      <c r="N637" s="2"/>
      <c r="O637" s="1" t="b">
        <v>0</v>
      </c>
      <c r="P637" s="1">
        <v>0</v>
      </c>
      <c r="Q637" s="1">
        <v>0</v>
      </c>
      <c r="R637" s="1" t="b">
        <f t="shared" si="19"/>
        <v>1</v>
      </c>
      <c r="S637" s="2" t="s">
        <v>8</v>
      </c>
      <c r="T637" s="1" t="str">
        <f>IF(S637="","",VLOOKUP(S637,'Ontology and concepts per UC'!$F$2:$J$46,5,FALSE))</f>
        <v>Coste</v>
      </c>
      <c r="U637" s="1" t="b">
        <f t="array" ref="U637">(INDEX('Ontology and concepts per UC'!$G$2:$I$46,MATCH($S637,'Ontology and concepts per UC'!$F$2:$F$46,0),MATCH(LEFT($A637,3),'Ontology and concepts per UC'!$G$1:$I$1,0))=0)</f>
        <v>0</v>
      </c>
      <c r="V637" s="1" t="b">
        <f t="shared" si="20"/>
        <v>0</v>
      </c>
      <c r="W637" s="1" t="b">
        <v>0</v>
      </c>
      <c r="X637" s="1" t="b">
        <v>0</v>
      </c>
      <c r="Y637" s="1" t="b">
        <v>0</v>
      </c>
      <c r="Z637" s="1" t="b">
        <v>0</v>
      </c>
      <c r="AA637" s="1"/>
    </row>
    <row r="638" spans="1:27" x14ac:dyDescent="0.25">
      <c r="A638" s="1" t="s">
        <v>1672</v>
      </c>
      <c r="B638" s="2" t="s">
        <v>1756</v>
      </c>
      <c r="C638" s="2" t="s">
        <v>195</v>
      </c>
      <c r="D638" s="6">
        <f t="shared" si="14"/>
        <v>1</v>
      </c>
      <c r="E638" s="7" t="str">
        <f t="shared" si="15"/>
        <v>Cost</v>
      </c>
      <c r="F638" s="8" t="b">
        <f>IF(D638&lt;1,FALSE,ISERROR(MATCH(E638,'Ontology and concepts per UC'!$A$2:$A$62,0)))</f>
        <v>0</v>
      </c>
      <c r="G638" s="9" t="str">
        <f t="shared" si="16"/>
        <v/>
      </c>
      <c r="H638" s="9" t="str">
        <f t="shared" si="17"/>
        <v/>
      </c>
      <c r="I638" s="8" t="b">
        <f>IF(D638&lt;2,FALSE,ISERROR(MATCH(H638,'Ontology and concepts per UC'!$A$2:$A$62,0)))</f>
        <v>0</v>
      </c>
      <c r="J638" s="9" t="str">
        <f t="shared" si="18"/>
        <v/>
      </c>
      <c r="K638" s="8" t="b">
        <f>IF(D638&lt;3,FALSE,ISERROR(MATCH(J638,'Ontology and concepts per UC'!$A$2:$A$62,0)))</f>
        <v>0</v>
      </c>
      <c r="L638" s="2"/>
      <c r="M638" s="2" t="s">
        <v>1757</v>
      </c>
      <c r="N638" s="2"/>
      <c r="O638" s="1" t="b">
        <v>0</v>
      </c>
      <c r="P638" s="1">
        <v>0</v>
      </c>
      <c r="Q638" s="1">
        <v>0</v>
      </c>
      <c r="R638" s="1" t="b">
        <f t="shared" si="19"/>
        <v>1</v>
      </c>
      <c r="S638" s="2" t="s">
        <v>11</v>
      </c>
      <c r="T638" s="1" t="str">
        <f>IF(S638="","",VLOOKUP(S638,'Ontology and concepts per UC'!$F$2:$J$46,5,FALSE))</f>
        <v>Coste</v>
      </c>
      <c r="U638" s="1" t="b">
        <f t="array" ref="U638">(INDEX('Ontology and concepts per UC'!$G$2:$I$46,MATCH($S638,'Ontology and concepts per UC'!$F$2:$F$46,0),MATCH(LEFT($A638,3),'Ontology and concepts per UC'!$G$1:$I$1,0))=0)</f>
        <v>0</v>
      </c>
      <c r="V638" s="1" t="b">
        <f t="shared" si="20"/>
        <v>0</v>
      </c>
      <c r="W638" s="1" t="b">
        <v>0</v>
      </c>
      <c r="X638" s="1" t="b">
        <v>0</v>
      </c>
      <c r="Y638" s="1" t="b">
        <v>0</v>
      </c>
      <c r="Z638" s="1" t="b">
        <v>0</v>
      </c>
      <c r="AA638" s="1"/>
    </row>
    <row r="639" spans="1:27" x14ac:dyDescent="0.25">
      <c r="A639" s="1" t="s">
        <v>1672</v>
      </c>
      <c r="B639" s="2" t="s">
        <v>1758</v>
      </c>
      <c r="C639" s="2" t="s">
        <v>195</v>
      </c>
      <c r="D639" s="6">
        <f t="shared" si="14"/>
        <v>1</v>
      </c>
      <c r="E639" s="7" t="str">
        <f t="shared" si="15"/>
        <v>Cost</v>
      </c>
      <c r="F639" s="8" t="b">
        <f>IF(D639&lt;1,FALSE,ISERROR(MATCH(E639,'Ontology and concepts per UC'!$A$2:$A$62,0)))</f>
        <v>0</v>
      </c>
      <c r="G639" s="9" t="str">
        <f t="shared" si="16"/>
        <v/>
      </c>
      <c r="H639" s="9" t="str">
        <f t="shared" si="17"/>
        <v/>
      </c>
      <c r="I639" s="8" t="b">
        <f>IF(D639&lt;2,FALSE,ISERROR(MATCH(H639,'Ontology and concepts per UC'!$A$2:$A$62,0)))</f>
        <v>0</v>
      </c>
      <c r="J639" s="9" t="str">
        <f t="shared" si="18"/>
        <v/>
      </c>
      <c r="K639" s="8" t="b">
        <f>IF(D639&lt;3,FALSE,ISERROR(MATCH(J639,'Ontology and concepts per UC'!$A$2:$A$62,0)))</f>
        <v>0</v>
      </c>
      <c r="L639" s="2"/>
      <c r="M639" s="2" t="s">
        <v>1759</v>
      </c>
      <c r="N639" s="2"/>
      <c r="O639" s="1" t="b">
        <v>0</v>
      </c>
      <c r="P639" s="1">
        <v>0</v>
      </c>
      <c r="Q639" s="1">
        <v>0</v>
      </c>
      <c r="R639" s="1" t="b">
        <f t="shared" si="19"/>
        <v>1</v>
      </c>
      <c r="S639" s="2" t="s">
        <v>11</v>
      </c>
      <c r="T639" s="1" t="str">
        <f>IF(S639="","",VLOOKUP(S639,'Ontology and concepts per UC'!$F$2:$J$46,5,FALSE))</f>
        <v>Coste</v>
      </c>
      <c r="U639" s="1" t="b">
        <f t="array" ref="U639">(INDEX('Ontology and concepts per UC'!$G$2:$I$46,MATCH($S639,'Ontology and concepts per UC'!$F$2:$F$46,0),MATCH(LEFT($A639,3),'Ontology and concepts per UC'!$G$1:$I$1,0))=0)</f>
        <v>0</v>
      </c>
      <c r="V639" s="1" t="b">
        <f t="shared" si="20"/>
        <v>0</v>
      </c>
      <c r="W639" s="1" t="b">
        <v>0</v>
      </c>
      <c r="X639" s="1" t="b">
        <v>0</v>
      </c>
      <c r="Y639" s="1" t="b">
        <v>0</v>
      </c>
      <c r="Z639" s="1" t="b">
        <v>0</v>
      </c>
      <c r="AA639" s="1"/>
    </row>
    <row r="640" spans="1:27" x14ac:dyDescent="0.25">
      <c r="A640" s="1" t="s">
        <v>1672</v>
      </c>
      <c r="B640" s="2" t="s">
        <v>1760</v>
      </c>
      <c r="C640" s="2" t="s">
        <v>201</v>
      </c>
      <c r="D640" s="6">
        <f t="shared" si="14"/>
        <v>1</v>
      </c>
      <c r="E640" s="7" t="str">
        <f t="shared" si="15"/>
        <v>DeterministicParameter</v>
      </c>
      <c r="F640" s="8" t="b">
        <f>IF(D640&lt;1,FALSE,ISERROR(MATCH(E640,'Ontology and concepts per UC'!$A$2:$A$62,0)))</f>
        <v>0</v>
      </c>
      <c r="G640" s="9" t="str">
        <f t="shared" si="16"/>
        <v/>
      </c>
      <c r="H640" s="9" t="str">
        <f t="shared" si="17"/>
        <v/>
      </c>
      <c r="I640" s="8" t="b">
        <f>IF(D640&lt;2,FALSE,ISERROR(MATCH(H640,'Ontology and concepts per UC'!$A$2:$A$62,0)))</f>
        <v>0</v>
      </c>
      <c r="J640" s="9" t="str">
        <f t="shared" si="18"/>
        <v/>
      </c>
      <c r="K640" s="8" t="b">
        <f>IF(D640&lt;3,FALSE,ISERROR(MATCH(J640,'Ontology and concepts per UC'!$A$2:$A$62,0)))</f>
        <v>0</v>
      </c>
      <c r="L640" s="2" t="s">
        <v>1761</v>
      </c>
      <c r="M640" s="2" t="s">
        <v>1762</v>
      </c>
      <c r="N640" s="2"/>
      <c r="O640" s="1" t="b">
        <v>0</v>
      </c>
      <c r="P640" s="1">
        <v>0</v>
      </c>
      <c r="Q640" s="1">
        <v>0</v>
      </c>
      <c r="R640" s="1" t="b">
        <f t="shared" si="19"/>
        <v>1</v>
      </c>
      <c r="S640" s="2" t="s">
        <v>367</v>
      </c>
      <c r="T640" s="1" t="str">
        <f>IF(S640="","",VLOOKUP(S640,'Ontology and concepts per UC'!$F$2:$J$46,5,FALSE))</f>
        <v>Parámetros de progresión</v>
      </c>
      <c r="U640" s="1" t="b">
        <f t="array" ref="U640">(INDEX('Ontology and concepts per UC'!$G$2:$I$46,MATCH($S640,'Ontology and concepts per UC'!$F$2:$F$46,0),MATCH(LEFT($A640,3),'Ontology and concepts per UC'!$G$1:$I$1,0))=0)</f>
        <v>0</v>
      </c>
      <c r="V640" s="1" t="b">
        <f t="shared" si="20"/>
        <v>0</v>
      </c>
      <c r="W640" s="1" t="b">
        <v>0</v>
      </c>
      <c r="X640" s="1" t="b">
        <v>0</v>
      </c>
      <c r="Y640" s="1" t="b">
        <v>0</v>
      </c>
      <c r="Z640" s="1" t="b">
        <v>0</v>
      </c>
      <c r="AA640" s="1"/>
    </row>
    <row r="641" spans="1:27" x14ac:dyDescent="0.25">
      <c r="A641" s="1" t="s">
        <v>1672</v>
      </c>
      <c r="B641" s="2" t="s">
        <v>1763</v>
      </c>
      <c r="C641" s="2" t="s">
        <v>201</v>
      </c>
      <c r="D641" s="6">
        <f t="shared" si="14"/>
        <v>1</v>
      </c>
      <c r="E641" s="7" t="str">
        <f t="shared" si="15"/>
        <v>DeterministicParameter</v>
      </c>
      <c r="F641" s="8" t="b">
        <f>IF(D641&lt;1,FALSE,ISERROR(MATCH(E641,'Ontology and concepts per UC'!$A$2:$A$62,0)))</f>
        <v>0</v>
      </c>
      <c r="G641" s="9" t="str">
        <f t="shared" si="16"/>
        <v/>
      </c>
      <c r="H641" s="9" t="str">
        <f t="shared" si="17"/>
        <v/>
      </c>
      <c r="I641" s="8" t="b">
        <f>IF(D641&lt;2,FALSE,ISERROR(MATCH(H641,'Ontology and concepts per UC'!$A$2:$A$62,0)))</f>
        <v>0</v>
      </c>
      <c r="J641" s="9" t="str">
        <f t="shared" si="18"/>
        <v/>
      </c>
      <c r="K641" s="8" t="b">
        <f>IF(D641&lt;3,FALSE,ISERROR(MATCH(J641,'Ontology and concepts per UC'!$A$2:$A$62,0)))</f>
        <v>0</v>
      </c>
      <c r="L641" s="2" t="s">
        <v>1761</v>
      </c>
      <c r="M641" s="2" t="s">
        <v>1764</v>
      </c>
      <c r="N641" s="2"/>
      <c r="O641" s="1" t="b">
        <v>0</v>
      </c>
      <c r="P641" s="1">
        <v>0</v>
      </c>
      <c r="Q641" s="1">
        <v>0</v>
      </c>
      <c r="R641" s="1" t="b">
        <f t="shared" si="19"/>
        <v>1</v>
      </c>
      <c r="S641" s="2" t="s">
        <v>367</v>
      </c>
      <c r="T641" s="1" t="str">
        <f>IF(S641="","",VLOOKUP(S641,'Ontology and concepts per UC'!$F$2:$J$46,5,FALSE))</f>
        <v>Parámetros de progresión</v>
      </c>
      <c r="U641" s="1" t="b">
        <f t="array" ref="U641">(INDEX('Ontology and concepts per UC'!$G$2:$I$46,MATCH($S641,'Ontology and concepts per UC'!$F$2:$F$46,0),MATCH(LEFT($A641,3),'Ontology and concepts per UC'!$G$1:$I$1,0))=0)</f>
        <v>0</v>
      </c>
      <c r="V641" s="1" t="b">
        <f t="shared" si="20"/>
        <v>0</v>
      </c>
      <c r="W641" s="1" t="b">
        <v>0</v>
      </c>
      <c r="X641" s="1" t="b">
        <v>0</v>
      </c>
      <c r="Y641" s="1" t="b">
        <v>0</v>
      </c>
      <c r="Z641" s="1" t="b">
        <v>0</v>
      </c>
      <c r="AA641" s="1"/>
    </row>
    <row r="642" spans="1:27" x14ac:dyDescent="0.25">
      <c r="A642" s="1" t="s">
        <v>1672</v>
      </c>
      <c r="B642" s="2" t="s">
        <v>1765</v>
      </c>
      <c r="C642" s="2" t="s">
        <v>201</v>
      </c>
      <c r="D642" s="6">
        <f t="shared" si="14"/>
        <v>1</v>
      </c>
      <c r="E642" s="7" t="str">
        <f t="shared" si="15"/>
        <v>DeterministicParameter</v>
      </c>
      <c r="F642" s="8" t="b">
        <f>IF(D642&lt;1,FALSE,ISERROR(MATCH(E642,'Ontology and concepts per UC'!$A$2:$A$62,0)))</f>
        <v>0</v>
      </c>
      <c r="G642" s="9" t="str">
        <f t="shared" si="16"/>
        <v/>
      </c>
      <c r="H642" s="9" t="str">
        <f t="shared" si="17"/>
        <v/>
      </c>
      <c r="I642" s="8" t="b">
        <f>IF(D642&lt;2,FALSE,ISERROR(MATCH(H642,'Ontology and concepts per UC'!$A$2:$A$62,0)))</f>
        <v>0</v>
      </c>
      <c r="J642" s="9" t="str">
        <f t="shared" si="18"/>
        <v/>
      </c>
      <c r="K642" s="8" t="b">
        <f>IF(D642&lt;3,FALSE,ISERROR(MATCH(J642,'Ontology and concepts per UC'!$A$2:$A$62,0)))</f>
        <v>0</v>
      </c>
      <c r="L642" s="2" t="s">
        <v>1761</v>
      </c>
      <c r="M642" s="2" t="s">
        <v>1766</v>
      </c>
      <c r="N642" s="2"/>
      <c r="O642" s="1" t="b">
        <v>0</v>
      </c>
      <c r="P642" s="1">
        <v>0</v>
      </c>
      <c r="Q642" s="1">
        <v>0</v>
      </c>
      <c r="R642" s="1" t="b">
        <f t="shared" si="19"/>
        <v>1</v>
      </c>
      <c r="S642" s="2" t="s">
        <v>367</v>
      </c>
      <c r="T642" s="1" t="str">
        <f>IF(S642="","",VLOOKUP(S642,'Ontology and concepts per UC'!$F$2:$J$46,5,FALSE))</f>
        <v>Parámetros de progresión</v>
      </c>
      <c r="U642" s="1" t="b">
        <f t="array" ref="U642">(INDEX('Ontology and concepts per UC'!$G$2:$I$46,MATCH($S642,'Ontology and concepts per UC'!$F$2:$F$46,0),MATCH(LEFT($A642,3),'Ontology and concepts per UC'!$G$1:$I$1,0))=0)</f>
        <v>0</v>
      </c>
      <c r="V642" s="1" t="b">
        <f t="shared" si="20"/>
        <v>0</v>
      </c>
      <c r="W642" s="1" t="b">
        <v>0</v>
      </c>
      <c r="X642" s="1" t="b">
        <v>0</v>
      </c>
      <c r="Y642" s="1" t="b">
        <v>0</v>
      </c>
      <c r="Z642" s="1" t="b">
        <v>0</v>
      </c>
      <c r="AA642" s="1"/>
    </row>
    <row r="643" spans="1:27" x14ac:dyDescent="0.25">
      <c r="A643" s="1" t="s">
        <v>1672</v>
      </c>
      <c r="B643" s="2" t="s">
        <v>1767</v>
      </c>
      <c r="C643" s="2" t="s">
        <v>201</v>
      </c>
      <c r="D643" s="6">
        <f t="shared" si="14"/>
        <v>1</v>
      </c>
      <c r="E643" s="7" t="str">
        <f t="shared" si="15"/>
        <v>DeterministicParameter</v>
      </c>
      <c r="F643" s="8" t="b">
        <f>IF(D643&lt;1,FALSE,ISERROR(MATCH(E643,'Ontology and concepts per UC'!$A$2:$A$62,0)))</f>
        <v>0</v>
      </c>
      <c r="G643" s="9" t="str">
        <f t="shared" si="16"/>
        <v/>
      </c>
      <c r="H643" s="9" t="str">
        <f t="shared" si="17"/>
        <v/>
      </c>
      <c r="I643" s="8" t="b">
        <f>IF(D643&lt;2,FALSE,ISERROR(MATCH(H643,'Ontology and concepts per UC'!$A$2:$A$62,0)))</f>
        <v>0</v>
      </c>
      <c r="J643" s="9" t="str">
        <f t="shared" si="18"/>
        <v/>
      </c>
      <c r="K643" s="8" t="b">
        <f>IF(D643&lt;3,FALSE,ISERROR(MATCH(J643,'Ontology and concepts per UC'!$A$2:$A$62,0)))</f>
        <v>0</v>
      </c>
      <c r="L643" s="2" t="s">
        <v>1761</v>
      </c>
      <c r="M643" s="2" t="s">
        <v>1768</v>
      </c>
      <c r="N643" s="2"/>
      <c r="O643" s="1" t="b">
        <v>0</v>
      </c>
      <c r="P643" s="1">
        <v>0</v>
      </c>
      <c r="Q643" s="1">
        <v>0</v>
      </c>
      <c r="R643" s="1" t="b">
        <f t="shared" si="19"/>
        <v>1</v>
      </c>
      <c r="S643" s="2" t="s">
        <v>56</v>
      </c>
      <c r="T643" s="1" t="str">
        <f>IF(S643="","",VLOOKUP(S643,'Ontology and concepts per UC'!$F$2:$J$46,5,FALSE))</f>
        <v>Parámetros de progresión</v>
      </c>
      <c r="U643" s="1" t="b">
        <f t="array" ref="U643">(INDEX('Ontology and concepts per UC'!$G$2:$I$46,MATCH($S643,'Ontology and concepts per UC'!$F$2:$F$46,0),MATCH(LEFT($A643,3),'Ontology and concepts per UC'!$G$1:$I$1,0))=0)</f>
        <v>0</v>
      </c>
      <c r="V643" s="1" t="b">
        <f t="shared" si="20"/>
        <v>0</v>
      </c>
      <c r="W643" s="1" t="b">
        <v>0</v>
      </c>
      <c r="X643" s="1" t="b">
        <v>0</v>
      </c>
      <c r="Y643" s="1" t="b">
        <v>0</v>
      </c>
      <c r="Z643" s="1" t="b">
        <v>0</v>
      </c>
      <c r="AA643" s="1"/>
    </row>
    <row r="644" spans="1:27" x14ac:dyDescent="0.25">
      <c r="A644" s="1" t="s">
        <v>1672</v>
      </c>
      <c r="B644" s="2" t="s">
        <v>1769</v>
      </c>
      <c r="C644" s="2" t="s">
        <v>201</v>
      </c>
      <c r="D644" s="6">
        <f t="shared" si="14"/>
        <v>1</v>
      </c>
      <c r="E644" s="7" t="str">
        <f t="shared" si="15"/>
        <v>DeterministicParameter</v>
      </c>
      <c r="F644" s="8" t="b">
        <f>IF(D644&lt;1,FALSE,ISERROR(MATCH(E644,'Ontology and concepts per UC'!$A$2:$A$62,0)))</f>
        <v>0</v>
      </c>
      <c r="G644" s="9" t="str">
        <f t="shared" si="16"/>
        <v/>
      </c>
      <c r="H644" s="9" t="str">
        <f t="shared" si="17"/>
        <v/>
      </c>
      <c r="I644" s="8" t="b">
        <f>IF(D644&lt;2,FALSE,ISERROR(MATCH(H644,'Ontology and concepts per UC'!$A$2:$A$62,0)))</f>
        <v>0</v>
      </c>
      <c r="J644" s="9" t="str">
        <f t="shared" si="18"/>
        <v/>
      </c>
      <c r="K644" s="8" t="b">
        <f>IF(D644&lt;3,FALSE,ISERROR(MATCH(J644,'Ontology and concepts per UC'!$A$2:$A$62,0)))</f>
        <v>0</v>
      </c>
      <c r="L644" s="2" t="s">
        <v>1761</v>
      </c>
      <c r="M644" s="2" t="s">
        <v>1770</v>
      </c>
      <c r="N644" s="2"/>
      <c r="O644" s="1" t="b">
        <v>0</v>
      </c>
      <c r="P644" s="1">
        <v>0</v>
      </c>
      <c r="Q644" s="1">
        <v>0</v>
      </c>
      <c r="R644" s="1" t="b">
        <f t="shared" si="19"/>
        <v>1</v>
      </c>
      <c r="S644" s="2" t="s">
        <v>54</v>
      </c>
      <c r="T644" s="1" t="str">
        <f>IF(S644="","",VLOOKUP(S644,'Ontology and concepts per UC'!$F$2:$J$46,5,FALSE))</f>
        <v>Parámetros de progresión</v>
      </c>
      <c r="U644" s="1" t="b">
        <f t="array" ref="U644">(INDEX('Ontology and concepts per UC'!$G$2:$I$46,MATCH($S644,'Ontology and concepts per UC'!$F$2:$F$46,0),MATCH(LEFT($A644,3),'Ontology and concepts per UC'!$G$1:$I$1,0))=0)</f>
        <v>0</v>
      </c>
      <c r="V644" s="1" t="b">
        <f t="shared" si="20"/>
        <v>0</v>
      </c>
      <c r="W644" s="1" t="b">
        <v>0</v>
      </c>
      <c r="X644" s="1" t="b">
        <v>0</v>
      </c>
      <c r="Y644" s="1" t="b">
        <v>0</v>
      </c>
      <c r="Z644" s="1" t="b">
        <v>0</v>
      </c>
      <c r="AA644" s="1"/>
    </row>
    <row r="645" spans="1:27" x14ac:dyDescent="0.25">
      <c r="A645" s="1" t="s">
        <v>1672</v>
      </c>
      <c r="B645" s="2" t="s">
        <v>1771</v>
      </c>
      <c r="C645" s="2" t="s">
        <v>201</v>
      </c>
      <c r="D645" s="6">
        <f t="shared" si="14"/>
        <v>1</v>
      </c>
      <c r="E645" s="7" t="str">
        <f t="shared" si="15"/>
        <v>DeterministicParameter</v>
      </c>
      <c r="F645" s="8" t="b">
        <f>IF(D645&lt;1,FALSE,ISERROR(MATCH(E645,'Ontology and concepts per UC'!$A$2:$A$62,0)))</f>
        <v>0</v>
      </c>
      <c r="G645" s="9" t="str">
        <f t="shared" si="16"/>
        <v/>
      </c>
      <c r="H645" s="9" t="str">
        <f t="shared" si="17"/>
        <v/>
      </c>
      <c r="I645" s="8" t="b">
        <f>IF(D645&lt;2,FALSE,ISERROR(MATCH(H645,'Ontology and concepts per UC'!$A$2:$A$62,0)))</f>
        <v>0</v>
      </c>
      <c r="J645" s="9" t="str">
        <f t="shared" si="18"/>
        <v/>
      </c>
      <c r="K645" s="8" t="b">
        <f>IF(D645&lt;3,FALSE,ISERROR(MATCH(J645,'Ontology and concepts per UC'!$A$2:$A$62,0)))</f>
        <v>0</v>
      </c>
      <c r="L645" s="2" t="s">
        <v>1761</v>
      </c>
      <c r="M645" s="2" t="s">
        <v>1772</v>
      </c>
      <c r="N645" s="2"/>
      <c r="O645" s="1" t="b">
        <v>0</v>
      </c>
      <c r="P645" s="1">
        <v>0</v>
      </c>
      <c r="Q645" s="1">
        <v>0</v>
      </c>
      <c r="R645" s="1" t="b">
        <f t="shared" si="19"/>
        <v>1</v>
      </c>
      <c r="S645" s="2" t="s">
        <v>367</v>
      </c>
      <c r="T645" s="1" t="str">
        <f>IF(S645="","",VLOOKUP(S645,'Ontology and concepts per UC'!$F$2:$J$46,5,FALSE))</f>
        <v>Parámetros de progresión</v>
      </c>
      <c r="U645" s="1" t="b">
        <f t="array" ref="U645">(INDEX('Ontology and concepts per UC'!$G$2:$I$46,MATCH($S645,'Ontology and concepts per UC'!$F$2:$F$46,0),MATCH(LEFT($A645,3),'Ontology and concepts per UC'!$G$1:$I$1,0))=0)</f>
        <v>0</v>
      </c>
      <c r="V645" s="1" t="b">
        <f t="shared" si="20"/>
        <v>0</v>
      </c>
      <c r="W645" s="1" t="b">
        <v>0</v>
      </c>
      <c r="X645" s="1" t="b">
        <v>0</v>
      </c>
      <c r="Y645" s="1" t="b">
        <v>0</v>
      </c>
      <c r="Z645" s="1" t="b">
        <v>0</v>
      </c>
      <c r="AA645" s="1"/>
    </row>
    <row r="646" spans="1:27" x14ac:dyDescent="0.25">
      <c r="A646" s="1" t="s">
        <v>1672</v>
      </c>
      <c r="B646" s="2" t="s">
        <v>1773</v>
      </c>
      <c r="C646" s="2" t="s">
        <v>201</v>
      </c>
      <c r="D646" s="6">
        <f t="shared" si="14"/>
        <v>1</v>
      </c>
      <c r="E646" s="7" t="str">
        <f t="shared" si="15"/>
        <v>DeterministicParameter</v>
      </c>
      <c r="F646" s="8" t="b">
        <f>IF(D646&lt;1,FALSE,ISERROR(MATCH(E646,'Ontology and concepts per UC'!$A$2:$A$62,0)))</f>
        <v>0</v>
      </c>
      <c r="G646" s="9" t="str">
        <f t="shared" si="16"/>
        <v/>
      </c>
      <c r="H646" s="9" t="str">
        <f t="shared" si="17"/>
        <v/>
      </c>
      <c r="I646" s="8" t="b">
        <f>IF(D646&lt;2,FALSE,ISERROR(MATCH(H646,'Ontology and concepts per UC'!$A$2:$A$62,0)))</f>
        <v>0</v>
      </c>
      <c r="J646" s="9" t="str">
        <f t="shared" si="18"/>
        <v/>
      </c>
      <c r="K646" s="8" t="b">
        <f>IF(D646&lt;3,FALSE,ISERROR(MATCH(J646,'Ontology and concepts per UC'!$A$2:$A$62,0)))</f>
        <v>0</v>
      </c>
      <c r="L646" s="2" t="s">
        <v>1761</v>
      </c>
      <c r="M646" s="2" t="s">
        <v>1774</v>
      </c>
      <c r="N646" s="2"/>
      <c r="O646" s="1" t="b">
        <v>0</v>
      </c>
      <c r="P646" s="1">
        <v>0</v>
      </c>
      <c r="Q646" s="1">
        <v>0</v>
      </c>
      <c r="R646" s="1" t="b">
        <f t="shared" si="19"/>
        <v>1</v>
      </c>
      <c r="S646" s="2" t="s">
        <v>367</v>
      </c>
      <c r="T646" s="1" t="str">
        <f>IF(S646="","",VLOOKUP(S646,'Ontology and concepts per UC'!$F$2:$J$46,5,FALSE))</f>
        <v>Parámetros de progresión</v>
      </c>
      <c r="U646" s="1" t="b">
        <f t="array" ref="U646">(INDEX('Ontology and concepts per UC'!$G$2:$I$46,MATCH($S646,'Ontology and concepts per UC'!$F$2:$F$46,0),MATCH(LEFT($A646,3),'Ontology and concepts per UC'!$G$1:$I$1,0))=0)</f>
        <v>0</v>
      </c>
      <c r="V646" s="1" t="b">
        <f t="shared" si="20"/>
        <v>0</v>
      </c>
      <c r="W646" s="1" t="b">
        <v>0</v>
      </c>
      <c r="X646" s="1" t="b">
        <v>0</v>
      </c>
      <c r="Y646" s="1" t="b">
        <v>0</v>
      </c>
      <c r="Z646" s="1" t="b">
        <v>0</v>
      </c>
      <c r="AA646" s="1"/>
    </row>
    <row r="647" spans="1:27" x14ac:dyDescent="0.25">
      <c r="A647" s="1" t="s">
        <v>1672</v>
      </c>
      <c r="B647" s="2" t="s">
        <v>1775</v>
      </c>
      <c r="C647" s="2" t="s">
        <v>201</v>
      </c>
      <c r="D647" s="6">
        <f t="shared" si="14"/>
        <v>1</v>
      </c>
      <c r="E647" s="7" t="str">
        <f t="shared" si="15"/>
        <v>DeterministicParameter</v>
      </c>
      <c r="F647" s="8" t="b">
        <f>IF(D647&lt;1,FALSE,ISERROR(MATCH(E647,'Ontology and concepts per UC'!$A$2:$A$62,0)))</f>
        <v>0</v>
      </c>
      <c r="G647" s="9" t="str">
        <f t="shared" si="16"/>
        <v/>
      </c>
      <c r="H647" s="9" t="str">
        <f t="shared" si="17"/>
        <v/>
      </c>
      <c r="I647" s="8" t="b">
        <f>IF(D647&lt;2,FALSE,ISERROR(MATCH(H647,'Ontology and concepts per UC'!$A$2:$A$62,0)))</f>
        <v>0</v>
      </c>
      <c r="J647" s="9" t="str">
        <f t="shared" si="18"/>
        <v/>
      </c>
      <c r="K647" s="8" t="b">
        <f>IF(D647&lt;3,FALSE,ISERROR(MATCH(J647,'Ontology and concepts per UC'!$A$2:$A$62,0)))</f>
        <v>0</v>
      </c>
      <c r="L647" s="2" t="s">
        <v>1761</v>
      </c>
      <c r="M647" s="2" t="s">
        <v>1776</v>
      </c>
      <c r="N647" s="2"/>
      <c r="O647" s="1" t="b">
        <v>0</v>
      </c>
      <c r="P647" s="1">
        <v>0</v>
      </c>
      <c r="Q647" s="1">
        <v>0</v>
      </c>
      <c r="R647" s="1" t="b">
        <f t="shared" si="19"/>
        <v>1</v>
      </c>
      <c r="S647" s="2" t="s">
        <v>50</v>
      </c>
      <c r="T647" s="1" t="str">
        <f>IF(S647="","",VLOOKUP(S647,'Ontology and concepts per UC'!$F$2:$J$46,5,FALSE))</f>
        <v>Parámetros de progresión</v>
      </c>
      <c r="U647" s="1" t="b">
        <f t="array" ref="U647">(INDEX('Ontology and concepts per UC'!$G$2:$I$46,MATCH($S647,'Ontology and concepts per UC'!$F$2:$F$46,0),MATCH(LEFT($A647,3),'Ontology and concepts per UC'!$G$1:$I$1,0))=0)</f>
        <v>0</v>
      </c>
      <c r="V647" s="1" t="b">
        <f t="shared" si="20"/>
        <v>0</v>
      </c>
      <c r="W647" s="1" t="b">
        <v>0</v>
      </c>
      <c r="X647" s="1" t="b">
        <v>0</v>
      </c>
      <c r="Y647" s="1" t="b">
        <v>0</v>
      </c>
      <c r="Z647" s="1" t="b">
        <v>0</v>
      </c>
      <c r="AA647" s="1"/>
    </row>
    <row r="648" spans="1:27" x14ac:dyDescent="0.25">
      <c r="A648" s="1" t="s">
        <v>1672</v>
      </c>
      <c r="B648" s="2" t="s">
        <v>1777</v>
      </c>
      <c r="C648" s="2" t="s">
        <v>201</v>
      </c>
      <c r="D648" s="6">
        <f t="shared" si="14"/>
        <v>1</v>
      </c>
      <c r="E648" s="7" t="str">
        <f t="shared" si="15"/>
        <v>DeterministicParameter</v>
      </c>
      <c r="F648" s="8" t="b">
        <f>IF(D648&lt;1,FALSE,ISERROR(MATCH(E648,'Ontology and concepts per UC'!$A$2:$A$62,0)))</f>
        <v>0</v>
      </c>
      <c r="G648" s="9" t="str">
        <f t="shared" si="16"/>
        <v/>
      </c>
      <c r="H648" s="9" t="str">
        <f t="shared" si="17"/>
        <v/>
      </c>
      <c r="I648" s="8" t="b">
        <f>IF(D648&lt;2,FALSE,ISERROR(MATCH(H648,'Ontology and concepts per UC'!$A$2:$A$62,0)))</f>
        <v>0</v>
      </c>
      <c r="J648" s="9" t="str">
        <f t="shared" si="18"/>
        <v/>
      </c>
      <c r="K648" s="8" t="b">
        <f>IF(D648&lt;3,FALSE,ISERROR(MATCH(J648,'Ontology and concepts per UC'!$A$2:$A$62,0)))</f>
        <v>0</v>
      </c>
      <c r="L648" s="2" t="s">
        <v>1761</v>
      </c>
      <c r="M648" s="2" t="s">
        <v>1778</v>
      </c>
      <c r="N648" s="2"/>
      <c r="O648" s="1" t="b">
        <v>0</v>
      </c>
      <c r="P648" s="1">
        <v>0</v>
      </c>
      <c r="Q648" s="1">
        <v>0</v>
      </c>
      <c r="R648" s="1" t="b">
        <f t="shared" si="19"/>
        <v>1</v>
      </c>
      <c r="S648" s="2" t="s">
        <v>367</v>
      </c>
      <c r="T648" s="1" t="str">
        <f>IF(S648="","",VLOOKUP(S648,'Ontology and concepts per UC'!$F$2:$J$46,5,FALSE))</f>
        <v>Parámetros de progresión</v>
      </c>
      <c r="U648" s="1" t="b">
        <f t="array" ref="U648">(INDEX('Ontology and concepts per UC'!$G$2:$I$46,MATCH($S648,'Ontology and concepts per UC'!$F$2:$F$46,0),MATCH(LEFT($A648,3),'Ontology and concepts per UC'!$G$1:$I$1,0))=0)</f>
        <v>0</v>
      </c>
      <c r="V648" s="1" t="b">
        <f t="shared" si="20"/>
        <v>0</v>
      </c>
      <c r="W648" s="1" t="b">
        <v>0</v>
      </c>
      <c r="X648" s="1" t="b">
        <v>0</v>
      </c>
      <c r="Y648" s="1" t="b">
        <v>0</v>
      </c>
      <c r="Z648" s="1" t="b">
        <v>0</v>
      </c>
      <c r="AA648" s="1"/>
    </row>
    <row r="649" spans="1:27" x14ac:dyDescent="0.25">
      <c r="A649" s="1" t="s">
        <v>1672</v>
      </c>
      <c r="B649" s="2" t="s">
        <v>1779</v>
      </c>
      <c r="C649" s="2" t="s">
        <v>201</v>
      </c>
      <c r="D649" s="6">
        <f t="shared" si="14"/>
        <v>1</v>
      </c>
      <c r="E649" s="7" t="str">
        <f t="shared" si="15"/>
        <v>DeterministicParameter</v>
      </c>
      <c r="F649" s="8" t="b">
        <f>IF(D649&lt;1,FALSE,ISERROR(MATCH(E649,'Ontology and concepts per UC'!$A$2:$A$62,0)))</f>
        <v>0</v>
      </c>
      <c r="G649" s="9" t="str">
        <f t="shared" si="16"/>
        <v/>
      </c>
      <c r="H649" s="9" t="str">
        <f t="shared" si="17"/>
        <v/>
      </c>
      <c r="I649" s="8" t="b">
        <f>IF(D649&lt;2,FALSE,ISERROR(MATCH(H649,'Ontology and concepts per UC'!$A$2:$A$62,0)))</f>
        <v>0</v>
      </c>
      <c r="J649" s="9" t="str">
        <f t="shared" si="18"/>
        <v/>
      </c>
      <c r="K649" s="8" t="b">
        <f>IF(D649&lt;3,FALSE,ISERROR(MATCH(J649,'Ontology and concepts per UC'!$A$2:$A$62,0)))</f>
        <v>0</v>
      </c>
      <c r="L649" s="2" t="s">
        <v>1761</v>
      </c>
      <c r="M649" s="2" t="s">
        <v>1780</v>
      </c>
      <c r="N649" s="2"/>
      <c r="O649" s="1" t="b">
        <v>0</v>
      </c>
      <c r="P649" s="1">
        <v>0</v>
      </c>
      <c r="Q649" s="1">
        <v>0</v>
      </c>
      <c r="R649" s="1" t="b">
        <f t="shared" si="19"/>
        <v>1</v>
      </c>
      <c r="S649" s="2" t="s">
        <v>367</v>
      </c>
      <c r="T649" s="1" t="str">
        <f>IF(S649="","",VLOOKUP(S649,'Ontology and concepts per UC'!$F$2:$J$46,5,FALSE))</f>
        <v>Parámetros de progresión</v>
      </c>
      <c r="U649" s="1" t="b">
        <f t="array" ref="U649">(INDEX('Ontology and concepts per UC'!$G$2:$I$46,MATCH($S649,'Ontology and concepts per UC'!$F$2:$F$46,0),MATCH(LEFT($A649,3),'Ontology and concepts per UC'!$G$1:$I$1,0))=0)</f>
        <v>0</v>
      </c>
      <c r="V649" s="1" t="b">
        <f t="shared" si="20"/>
        <v>0</v>
      </c>
      <c r="W649" s="1" t="b">
        <v>0</v>
      </c>
      <c r="X649" s="1" t="b">
        <v>0</v>
      </c>
      <c r="Y649" s="1" t="b">
        <v>0</v>
      </c>
      <c r="Z649" s="1" t="b">
        <v>0</v>
      </c>
      <c r="AA649" s="1"/>
    </row>
    <row r="650" spans="1:27" x14ac:dyDescent="0.25">
      <c r="A650" s="1" t="s">
        <v>1672</v>
      </c>
      <c r="B650" s="2" t="s">
        <v>1781</v>
      </c>
      <c r="C650" s="2" t="s">
        <v>201</v>
      </c>
      <c r="D650" s="6">
        <f t="shared" si="14"/>
        <v>1</v>
      </c>
      <c r="E650" s="7" t="str">
        <f t="shared" si="15"/>
        <v>DeterministicParameter</v>
      </c>
      <c r="F650" s="8" t="b">
        <f>IF(D650&lt;1,FALSE,ISERROR(MATCH(E650,'Ontology and concepts per UC'!$A$2:$A$62,0)))</f>
        <v>0</v>
      </c>
      <c r="G650" s="9" t="str">
        <f t="shared" si="16"/>
        <v/>
      </c>
      <c r="H650" s="9" t="str">
        <f t="shared" si="17"/>
        <v/>
      </c>
      <c r="I650" s="8" t="b">
        <f>IF(D650&lt;2,FALSE,ISERROR(MATCH(H650,'Ontology and concepts per UC'!$A$2:$A$62,0)))</f>
        <v>0</v>
      </c>
      <c r="J650" s="9" t="str">
        <f t="shared" si="18"/>
        <v/>
      </c>
      <c r="K650" s="8" t="b">
        <f>IF(D650&lt;3,FALSE,ISERROR(MATCH(J650,'Ontology and concepts per UC'!$A$2:$A$62,0)))</f>
        <v>0</v>
      </c>
      <c r="L650" s="2" t="s">
        <v>1761</v>
      </c>
      <c r="M650" s="2" t="s">
        <v>1782</v>
      </c>
      <c r="N650" s="2"/>
      <c r="O650" s="1" t="b">
        <v>0</v>
      </c>
      <c r="P650" s="1">
        <v>0</v>
      </c>
      <c r="Q650" s="1">
        <v>0</v>
      </c>
      <c r="R650" s="1" t="b">
        <f t="shared" si="19"/>
        <v>1</v>
      </c>
      <c r="S650" s="2" t="s">
        <v>58</v>
      </c>
      <c r="T650" s="1" t="str">
        <f>IF(S650="","",VLOOKUP(S650,'Ontology and concepts per UC'!$F$2:$J$46,5,FALSE))</f>
        <v>Parámetros de progresión</v>
      </c>
      <c r="U650" s="1" t="b">
        <f t="array" ref="U650">(INDEX('Ontology and concepts per UC'!$G$2:$I$46,MATCH($S650,'Ontology and concepts per UC'!$F$2:$F$46,0),MATCH(LEFT($A650,3),'Ontology and concepts per UC'!$G$1:$I$1,0))=0)</f>
        <v>0</v>
      </c>
      <c r="V650" s="1" t="b">
        <f t="shared" si="20"/>
        <v>0</v>
      </c>
      <c r="W650" s="1" t="b">
        <v>0</v>
      </c>
      <c r="X650" s="1" t="b">
        <v>0</v>
      </c>
      <c r="Y650" s="1" t="b">
        <v>0</v>
      </c>
      <c r="Z650" s="1" t="b">
        <v>0</v>
      </c>
      <c r="AA650" s="1"/>
    </row>
    <row r="651" spans="1:27" x14ac:dyDescent="0.25">
      <c r="A651" s="1" t="s">
        <v>1672</v>
      </c>
      <c r="B651" s="2" t="s">
        <v>1783</v>
      </c>
      <c r="C651" s="2" t="s">
        <v>201</v>
      </c>
      <c r="D651" s="6">
        <f t="shared" si="14"/>
        <v>1</v>
      </c>
      <c r="E651" s="7" t="str">
        <f t="shared" si="15"/>
        <v>DeterministicParameter</v>
      </c>
      <c r="F651" s="8" t="b">
        <f>IF(D651&lt;1,FALSE,ISERROR(MATCH(E651,'Ontology and concepts per UC'!$A$2:$A$62,0)))</f>
        <v>0</v>
      </c>
      <c r="G651" s="9" t="str">
        <f t="shared" si="16"/>
        <v/>
      </c>
      <c r="H651" s="9" t="str">
        <f t="shared" si="17"/>
        <v/>
      </c>
      <c r="I651" s="8" t="b">
        <f>IF(D651&lt;2,FALSE,ISERROR(MATCH(H651,'Ontology and concepts per UC'!$A$2:$A$62,0)))</f>
        <v>0</v>
      </c>
      <c r="J651" s="9" t="str">
        <f t="shared" si="18"/>
        <v/>
      </c>
      <c r="K651" s="8" t="b">
        <f>IF(D651&lt;3,FALSE,ISERROR(MATCH(J651,'Ontology and concepts per UC'!$A$2:$A$62,0)))</f>
        <v>0</v>
      </c>
      <c r="L651" s="2" t="s">
        <v>1761</v>
      </c>
      <c r="M651" s="2" t="s">
        <v>1784</v>
      </c>
      <c r="N651" s="2"/>
      <c r="O651" s="1" t="b">
        <v>0</v>
      </c>
      <c r="P651" s="1">
        <v>0</v>
      </c>
      <c r="Q651" s="1">
        <v>0</v>
      </c>
      <c r="R651" s="1" t="b">
        <f t="shared" si="19"/>
        <v>1</v>
      </c>
      <c r="S651" s="2" t="s">
        <v>367</v>
      </c>
      <c r="T651" s="1" t="str">
        <f>IF(S651="","",VLOOKUP(S651,'Ontology and concepts per UC'!$F$2:$J$46,5,FALSE))</f>
        <v>Parámetros de progresión</v>
      </c>
      <c r="U651" s="1" t="b">
        <f t="array" ref="U651">(INDEX('Ontology and concepts per UC'!$G$2:$I$46,MATCH($S651,'Ontology and concepts per UC'!$F$2:$F$46,0),MATCH(LEFT($A651,3),'Ontology and concepts per UC'!$G$1:$I$1,0))=0)</f>
        <v>0</v>
      </c>
      <c r="V651" s="1" t="b">
        <f t="shared" si="20"/>
        <v>0</v>
      </c>
      <c r="W651" s="1" t="b">
        <v>0</v>
      </c>
      <c r="X651" s="1" t="b">
        <v>0</v>
      </c>
      <c r="Y651" s="1" t="b">
        <v>0</v>
      </c>
      <c r="Z651" s="1" t="b">
        <v>0</v>
      </c>
      <c r="AA651" s="1"/>
    </row>
    <row r="652" spans="1:27" x14ac:dyDescent="0.25">
      <c r="A652" s="1" t="s">
        <v>1672</v>
      </c>
      <c r="B652" s="2" t="s">
        <v>1785</v>
      </c>
      <c r="C652" s="2" t="s">
        <v>201</v>
      </c>
      <c r="D652" s="6">
        <f t="shared" si="14"/>
        <v>1</v>
      </c>
      <c r="E652" s="7" t="str">
        <f t="shared" si="15"/>
        <v>DeterministicParameter</v>
      </c>
      <c r="F652" s="8" t="b">
        <f>IF(D652&lt;1,FALSE,ISERROR(MATCH(E652,'Ontology and concepts per UC'!$A$2:$A$62,0)))</f>
        <v>0</v>
      </c>
      <c r="G652" s="9" t="str">
        <f t="shared" si="16"/>
        <v/>
      </c>
      <c r="H652" s="9" t="str">
        <f t="shared" si="17"/>
        <v/>
      </c>
      <c r="I652" s="8" t="b">
        <f>IF(D652&lt;2,FALSE,ISERROR(MATCH(H652,'Ontology and concepts per UC'!$A$2:$A$62,0)))</f>
        <v>0</v>
      </c>
      <c r="J652" s="9" t="str">
        <f t="shared" si="18"/>
        <v/>
      </c>
      <c r="K652" s="8" t="b">
        <f>IF(D652&lt;3,FALSE,ISERROR(MATCH(J652,'Ontology and concepts per UC'!$A$2:$A$62,0)))</f>
        <v>0</v>
      </c>
      <c r="L652" s="2" t="s">
        <v>1761</v>
      </c>
      <c r="M652" s="2" t="s">
        <v>1786</v>
      </c>
      <c r="N652" s="2"/>
      <c r="O652" s="1" t="b">
        <v>0</v>
      </c>
      <c r="P652" s="1">
        <v>0</v>
      </c>
      <c r="Q652" s="1">
        <v>0</v>
      </c>
      <c r="R652" s="1" t="b">
        <f t="shared" si="19"/>
        <v>1</v>
      </c>
      <c r="S652" s="2" t="s">
        <v>55</v>
      </c>
      <c r="T652" s="1" t="str">
        <f>IF(S652="","",VLOOKUP(S652,'Ontology and concepts per UC'!$F$2:$J$46,5,FALSE))</f>
        <v>Parámetros de progresión</v>
      </c>
      <c r="U652" s="1" t="b">
        <f t="array" ref="U652">(INDEX('Ontology and concepts per UC'!$G$2:$I$46,MATCH($S652,'Ontology and concepts per UC'!$F$2:$F$46,0),MATCH(LEFT($A652,3),'Ontology and concepts per UC'!$G$1:$I$1,0))=0)</f>
        <v>0</v>
      </c>
      <c r="V652" s="1" t="b">
        <f t="shared" si="20"/>
        <v>0</v>
      </c>
      <c r="W652" s="1" t="b">
        <v>0</v>
      </c>
      <c r="X652" s="1" t="b">
        <v>0</v>
      </c>
      <c r="Y652" s="1" t="b">
        <v>0</v>
      </c>
      <c r="Z652" s="1" t="b">
        <v>0</v>
      </c>
      <c r="AA652" s="1"/>
    </row>
    <row r="653" spans="1:27" x14ac:dyDescent="0.25">
      <c r="A653" s="1" t="s">
        <v>1672</v>
      </c>
      <c r="B653" s="2" t="s">
        <v>1787</v>
      </c>
      <c r="C653" s="2" t="s">
        <v>201</v>
      </c>
      <c r="D653" s="6">
        <f t="shared" si="14"/>
        <v>1</v>
      </c>
      <c r="E653" s="7" t="str">
        <f t="shared" si="15"/>
        <v>DeterministicParameter</v>
      </c>
      <c r="F653" s="8" t="b">
        <f>IF(D653&lt;1,FALSE,ISERROR(MATCH(E653,'Ontology and concepts per UC'!$A$2:$A$62,0)))</f>
        <v>0</v>
      </c>
      <c r="G653" s="9" t="str">
        <f t="shared" si="16"/>
        <v/>
      </c>
      <c r="H653" s="9" t="str">
        <f t="shared" si="17"/>
        <v/>
      </c>
      <c r="I653" s="8" t="b">
        <f>IF(D653&lt;2,FALSE,ISERROR(MATCH(H653,'Ontology and concepts per UC'!$A$2:$A$62,0)))</f>
        <v>0</v>
      </c>
      <c r="J653" s="9" t="str">
        <f t="shared" si="18"/>
        <v/>
      </c>
      <c r="K653" s="8" t="b">
        <f>IF(D653&lt;3,FALSE,ISERROR(MATCH(J653,'Ontology and concepts per UC'!$A$2:$A$62,0)))</f>
        <v>0</v>
      </c>
      <c r="L653" s="2" t="s">
        <v>1568</v>
      </c>
      <c r="M653" s="2" t="s">
        <v>1788</v>
      </c>
      <c r="N653" s="2"/>
      <c r="O653" s="1" t="b">
        <v>0</v>
      </c>
      <c r="P653" s="1">
        <v>0</v>
      </c>
      <c r="Q653" s="1">
        <v>0</v>
      </c>
      <c r="R653" s="1" t="b">
        <f t="shared" si="19"/>
        <v>1</v>
      </c>
      <c r="S653" s="2" t="s">
        <v>47</v>
      </c>
      <c r="T653" s="1" t="str">
        <f>IF(S653="","",VLOOKUP(S653,'Ontology and concepts per UC'!$F$2:$J$46,5,FALSE))</f>
        <v>Parámetros de intervención</v>
      </c>
      <c r="U653" s="1" t="b">
        <f t="array" ref="U653">(INDEX('Ontology and concepts per UC'!$G$2:$I$46,MATCH($S653,'Ontology and concepts per UC'!$F$2:$F$46,0),MATCH(LEFT($A653,3),'Ontology and concepts per UC'!$G$1:$I$1,0))=0)</f>
        <v>0</v>
      </c>
      <c r="V653" s="1" t="b">
        <f t="shared" si="20"/>
        <v>0</v>
      </c>
      <c r="W653" s="1" t="b">
        <v>0</v>
      </c>
      <c r="X653" s="1" t="b">
        <v>0</v>
      </c>
      <c r="Y653" s="1" t="b">
        <v>0</v>
      </c>
      <c r="Z653" s="1" t="b">
        <v>0</v>
      </c>
      <c r="AA653" s="1"/>
    </row>
    <row r="654" spans="1:27" x14ac:dyDescent="0.25">
      <c r="A654" s="1" t="s">
        <v>1672</v>
      </c>
      <c r="B654" s="2" t="s">
        <v>1789</v>
      </c>
      <c r="C654" s="2" t="s">
        <v>201</v>
      </c>
      <c r="D654" s="6">
        <f t="shared" si="14"/>
        <v>1</v>
      </c>
      <c r="E654" s="7" t="str">
        <f t="shared" si="15"/>
        <v>DeterministicParameter</v>
      </c>
      <c r="F654" s="8" t="b">
        <f>IF(D654&lt;1,FALSE,ISERROR(MATCH(E654,'Ontology and concepts per UC'!$A$2:$A$62,0)))</f>
        <v>0</v>
      </c>
      <c r="G654" s="9" t="str">
        <f t="shared" si="16"/>
        <v/>
      </c>
      <c r="H654" s="9" t="str">
        <f t="shared" si="17"/>
        <v/>
      </c>
      <c r="I654" s="8" t="b">
        <f>IF(D654&lt;2,FALSE,ISERROR(MATCH(H654,'Ontology and concepts per UC'!$A$2:$A$62,0)))</f>
        <v>0</v>
      </c>
      <c r="J654" s="9" t="str">
        <f t="shared" si="18"/>
        <v/>
      </c>
      <c r="K654" s="8" t="b">
        <f>IF(D654&lt;3,FALSE,ISERROR(MATCH(J654,'Ontology and concepts per UC'!$A$2:$A$62,0)))</f>
        <v>0</v>
      </c>
      <c r="L654" s="2" t="s">
        <v>1571</v>
      </c>
      <c r="M654" s="2" t="s">
        <v>1790</v>
      </c>
      <c r="N654" s="2"/>
      <c r="O654" s="1" t="b">
        <v>0</v>
      </c>
      <c r="P654" s="1">
        <v>0</v>
      </c>
      <c r="Q654" s="1">
        <v>0</v>
      </c>
      <c r="R654" s="1" t="b">
        <f t="shared" si="19"/>
        <v>1</v>
      </c>
      <c r="S654" s="2" t="s">
        <v>46</v>
      </c>
      <c r="T654" s="1" t="str">
        <f>IF(S654="","",VLOOKUP(S654,'Ontology and concepts per UC'!$F$2:$J$46,5,FALSE))</f>
        <v>Parámetros de intervención</v>
      </c>
      <c r="U654" s="1" t="b">
        <f t="array" ref="U654">(INDEX('Ontology and concepts per UC'!$G$2:$I$46,MATCH($S654,'Ontology and concepts per UC'!$F$2:$F$46,0),MATCH(LEFT($A654,3),'Ontology and concepts per UC'!$G$1:$I$1,0))=0)</f>
        <v>0</v>
      </c>
      <c r="V654" s="1" t="b">
        <f t="shared" si="20"/>
        <v>0</v>
      </c>
      <c r="W654" s="1" t="b">
        <v>0</v>
      </c>
      <c r="X654" s="1" t="b">
        <v>0</v>
      </c>
      <c r="Y654" s="1" t="b">
        <v>0</v>
      </c>
      <c r="Z654" s="1" t="b">
        <v>0</v>
      </c>
      <c r="AA654" s="1"/>
    </row>
    <row r="655" spans="1:27" x14ac:dyDescent="0.25">
      <c r="A655" s="1" t="s">
        <v>1672</v>
      </c>
      <c r="B655" s="2" t="s">
        <v>1791</v>
      </c>
      <c r="C655" s="2" t="s">
        <v>201</v>
      </c>
      <c r="D655" s="6">
        <f t="shared" si="14"/>
        <v>1</v>
      </c>
      <c r="E655" s="7" t="str">
        <f t="shared" si="15"/>
        <v>DeterministicParameter</v>
      </c>
      <c r="F655" s="8" t="b">
        <f>IF(D655&lt;1,FALSE,ISERROR(MATCH(E655,'Ontology and concepts per UC'!$A$2:$A$62,0)))</f>
        <v>0</v>
      </c>
      <c r="G655" s="9" t="str">
        <f t="shared" si="16"/>
        <v/>
      </c>
      <c r="H655" s="9" t="str">
        <f t="shared" si="17"/>
        <v/>
      </c>
      <c r="I655" s="8" t="b">
        <f>IF(D655&lt;2,FALSE,ISERROR(MATCH(H655,'Ontology and concepts per UC'!$A$2:$A$62,0)))</f>
        <v>0</v>
      </c>
      <c r="J655" s="9" t="str">
        <f t="shared" si="18"/>
        <v/>
      </c>
      <c r="K655" s="8" t="b">
        <f>IF(D655&lt;3,FALSE,ISERROR(MATCH(J655,'Ontology and concepts per UC'!$A$2:$A$62,0)))</f>
        <v>0</v>
      </c>
      <c r="L655" s="2" t="s">
        <v>1792</v>
      </c>
      <c r="M655" s="2" t="s">
        <v>1793</v>
      </c>
      <c r="N655" s="2"/>
      <c r="O655" s="1" t="b">
        <v>0</v>
      </c>
      <c r="P655" s="1">
        <v>0</v>
      </c>
      <c r="Q655" s="1">
        <v>0</v>
      </c>
      <c r="R655" s="1" t="b">
        <f t="shared" si="19"/>
        <v>1</v>
      </c>
      <c r="S655" s="2" t="s">
        <v>107</v>
      </c>
      <c r="T655" s="1" t="str">
        <f>IF(S655="","",VLOOKUP(S655,'Ontology and concepts per UC'!$F$2:$J$46,5,FALSE))</f>
        <v>Parcial</v>
      </c>
      <c r="U655" s="1" t="b">
        <f t="array" ref="U655">(INDEX('Ontology and concepts per UC'!$G$2:$I$46,MATCH($S655,'Ontology and concepts per UC'!$F$2:$F$46,0),MATCH(LEFT($A655,3),'Ontology and concepts per UC'!$G$1:$I$1,0))=0)</f>
        <v>0</v>
      </c>
      <c r="V655" s="1" t="b">
        <f t="shared" si="20"/>
        <v>0</v>
      </c>
      <c r="W655" s="1" t="b">
        <v>0</v>
      </c>
      <c r="X655" s="1" t="b">
        <v>0</v>
      </c>
      <c r="Y655" s="1" t="b">
        <v>0</v>
      </c>
      <c r="Z655" s="1" t="b">
        <v>0</v>
      </c>
      <c r="AA655" s="1"/>
    </row>
    <row r="656" spans="1:27" x14ac:dyDescent="0.25">
      <c r="A656" s="1" t="s">
        <v>1672</v>
      </c>
      <c r="B656" s="2" t="s">
        <v>1794</v>
      </c>
      <c r="C656" s="2" t="s">
        <v>201</v>
      </c>
      <c r="D656" s="6">
        <f t="shared" si="14"/>
        <v>1</v>
      </c>
      <c r="E656" s="7" t="str">
        <f t="shared" si="15"/>
        <v>DeterministicParameter</v>
      </c>
      <c r="F656" s="8" t="b">
        <f>IF(D656&lt;1,FALSE,ISERROR(MATCH(E656,'Ontology and concepts per UC'!$A$2:$A$62,0)))</f>
        <v>0</v>
      </c>
      <c r="G656" s="9" t="str">
        <f t="shared" si="16"/>
        <v/>
      </c>
      <c r="H656" s="9" t="str">
        <f t="shared" si="17"/>
        <v/>
      </c>
      <c r="I656" s="8" t="b">
        <f>IF(D656&lt;2,FALSE,ISERROR(MATCH(H656,'Ontology and concepts per UC'!$A$2:$A$62,0)))</f>
        <v>0</v>
      </c>
      <c r="J656" s="9" t="str">
        <f t="shared" si="18"/>
        <v/>
      </c>
      <c r="K656" s="8" t="b">
        <f>IF(D656&lt;3,FALSE,ISERROR(MATCH(J656,'Ontology and concepts per UC'!$A$2:$A$62,0)))</f>
        <v>0</v>
      </c>
      <c r="L656" s="2" t="s">
        <v>1795</v>
      </c>
      <c r="M656" s="2" t="s">
        <v>1796</v>
      </c>
      <c r="N656" s="2"/>
      <c r="O656" s="1" t="b">
        <v>0</v>
      </c>
      <c r="P656" s="1">
        <v>0</v>
      </c>
      <c r="Q656" s="1">
        <v>0</v>
      </c>
      <c r="R656" s="1" t="b">
        <f t="shared" si="19"/>
        <v>1</v>
      </c>
      <c r="S656" s="2" t="s">
        <v>107</v>
      </c>
      <c r="T656" s="1" t="str">
        <f>IF(S656="","",VLOOKUP(S656,'Ontology and concepts per UC'!$F$2:$J$46,5,FALSE))</f>
        <v>Parcial</v>
      </c>
      <c r="U656" s="1" t="b">
        <f t="array" ref="U656">(INDEX('Ontology and concepts per UC'!$G$2:$I$46,MATCH($S656,'Ontology and concepts per UC'!$F$2:$F$46,0),MATCH(LEFT($A656,3),'Ontology and concepts per UC'!$G$1:$I$1,0))=0)</f>
        <v>0</v>
      </c>
      <c r="V656" s="1" t="b">
        <f t="shared" si="20"/>
        <v>0</v>
      </c>
      <c r="W656" s="1" t="b">
        <v>0</v>
      </c>
      <c r="X656" s="1" t="b">
        <v>0</v>
      </c>
      <c r="Y656" s="1" t="b">
        <v>0</v>
      </c>
      <c r="Z656" s="1" t="b">
        <v>0</v>
      </c>
      <c r="AA656" s="1"/>
    </row>
    <row r="657" spans="1:27" x14ac:dyDescent="0.25">
      <c r="A657" s="1" t="s">
        <v>1672</v>
      </c>
      <c r="B657" s="2" t="s">
        <v>1797</v>
      </c>
      <c r="C657" s="2" t="s">
        <v>201</v>
      </c>
      <c r="D657" s="6">
        <f t="shared" si="14"/>
        <v>1</v>
      </c>
      <c r="E657" s="7" t="str">
        <f t="shared" si="15"/>
        <v>DeterministicParameter</v>
      </c>
      <c r="F657" s="8" t="b">
        <f>IF(D657&lt;1,FALSE,ISERROR(MATCH(E657,'Ontology and concepts per UC'!$A$2:$A$62,0)))</f>
        <v>0</v>
      </c>
      <c r="G657" s="9" t="str">
        <f t="shared" si="16"/>
        <v/>
      </c>
      <c r="H657" s="9" t="str">
        <f t="shared" si="17"/>
        <v/>
      </c>
      <c r="I657" s="8" t="b">
        <f>IF(D657&lt;2,FALSE,ISERROR(MATCH(H657,'Ontology and concepts per UC'!$A$2:$A$62,0)))</f>
        <v>0</v>
      </c>
      <c r="J657" s="9" t="str">
        <f t="shared" si="18"/>
        <v/>
      </c>
      <c r="K657" s="8" t="b">
        <f>IF(D657&lt;3,FALSE,ISERROR(MATCH(J657,'Ontology and concepts per UC'!$A$2:$A$62,0)))</f>
        <v>0</v>
      </c>
      <c r="L657" s="2" t="s">
        <v>1795</v>
      </c>
      <c r="M657" s="2" t="s">
        <v>1798</v>
      </c>
      <c r="N657" s="2"/>
      <c r="O657" s="1" t="b">
        <v>0</v>
      </c>
      <c r="P657" s="1">
        <v>0</v>
      </c>
      <c r="Q657" s="1">
        <v>0</v>
      </c>
      <c r="R657" s="1" t="b">
        <f t="shared" si="19"/>
        <v>1</v>
      </c>
      <c r="S657" s="2" t="s">
        <v>11</v>
      </c>
      <c r="T657" s="1" t="str">
        <f>IF(S657="","",VLOOKUP(S657,'Ontology and concepts per UC'!$F$2:$J$46,5,FALSE))</f>
        <v>Coste</v>
      </c>
      <c r="U657" s="1" t="b">
        <f t="array" ref="U657">(INDEX('Ontology and concepts per UC'!$G$2:$I$46,MATCH($S657,'Ontology and concepts per UC'!$F$2:$F$46,0),MATCH(LEFT($A657,3),'Ontology and concepts per UC'!$G$1:$I$1,0))=0)</f>
        <v>0</v>
      </c>
      <c r="V657" s="1" t="b">
        <f t="shared" si="20"/>
        <v>0</v>
      </c>
      <c r="W657" s="1" t="b">
        <v>0</v>
      </c>
      <c r="X657" s="1" t="b">
        <v>0</v>
      </c>
      <c r="Y657" s="1" t="b">
        <v>0</v>
      </c>
      <c r="Z657" s="1" t="b">
        <v>0</v>
      </c>
      <c r="AA657" s="1"/>
    </row>
    <row r="658" spans="1:27" x14ac:dyDescent="0.25">
      <c r="A658" s="1" t="s">
        <v>1672</v>
      </c>
      <c r="B658" s="2" t="s">
        <v>1799</v>
      </c>
      <c r="C658" s="2" t="s">
        <v>201</v>
      </c>
      <c r="D658" s="6">
        <f t="shared" si="14"/>
        <v>1</v>
      </c>
      <c r="E658" s="7" t="str">
        <f t="shared" si="15"/>
        <v>DeterministicParameter</v>
      </c>
      <c r="F658" s="8" t="b">
        <f>IF(D658&lt;1,FALSE,ISERROR(MATCH(E658,'Ontology and concepts per UC'!$A$2:$A$62,0)))</f>
        <v>0</v>
      </c>
      <c r="G658" s="9" t="str">
        <f t="shared" si="16"/>
        <v/>
      </c>
      <c r="H658" s="9" t="str">
        <f t="shared" si="17"/>
        <v/>
      </c>
      <c r="I658" s="8" t="b">
        <f>IF(D658&lt;2,FALSE,ISERROR(MATCH(H658,'Ontology and concepts per UC'!$A$2:$A$62,0)))</f>
        <v>0</v>
      </c>
      <c r="J658" s="9" t="str">
        <f t="shared" si="18"/>
        <v/>
      </c>
      <c r="K658" s="8" t="b">
        <f>IF(D658&lt;3,FALSE,ISERROR(MATCH(J658,'Ontology and concepts per UC'!$A$2:$A$62,0)))</f>
        <v>0</v>
      </c>
      <c r="L658" s="2" t="s">
        <v>1792</v>
      </c>
      <c r="M658" s="2" t="s">
        <v>1800</v>
      </c>
      <c r="N658" s="2"/>
      <c r="O658" s="1" t="b">
        <v>0</v>
      </c>
      <c r="P658" s="1">
        <v>0</v>
      </c>
      <c r="Q658" s="1">
        <v>0</v>
      </c>
      <c r="R658" s="1" t="b">
        <f t="shared" si="19"/>
        <v>1</v>
      </c>
      <c r="S658" s="2" t="s">
        <v>8</v>
      </c>
      <c r="T658" s="1" t="str">
        <f>IF(S658="","",VLOOKUP(S658,'Ontology and concepts per UC'!$F$2:$J$46,5,FALSE))</f>
        <v>Coste</v>
      </c>
      <c r="U658" s="1" t="b">
        <f t="array" ref="U658">(INDEX('Ontology and concepts per UC'!$G$2:$I$46,MATCH($S658,'Ontology and concepts per UC'!$F$2:$F$46,0),MATCH(LEFT($A658,3),'Ontology and concepts per UC'!$G$1:$I$1,0))=0)</f>
        <v>0</v>
      </c>
      <c r="V658" s="1" t="b">
        <f t="shared" si="20"/>
        <v>0</v>
      </c>
      <c r="W658" s="1" t="b">
        <v>0</v>
      </c>
      <c r="X658" s="1" t="b">
        <v>0</v>
      </c>
      <c r="Y658" s="1" t="b">
        <v>0</v>
      </c>
      <c r="Z658" s="1" t="b">
        <v>0</v>
      </c>
      <c r="AA658" s="1"/>
    </row>
    <row r="659" spans="1:27" x14ac:dyDescent="0.25">
      <c r="A659" s="1" t="s">
        <v>1672</v>
      </c>
      <c r="B659" s="2" t="s">
        <v>1801</v>
      </c>
      <c r="C659" s="2" t="s">
        <v>201</v>
      </c>
      <c r="D659" s="6">
        <f t="shared" si="14"/>
        <v>1</v>
      </c>
      <c r="E659" s="7" t="str">
        <f t="shared" si="15"/>
        <v>DeterministicParameter</v>
      </c>
      <c r="F659" s="8" t="b">
        <f>IF(D659&lt;1,FALSE,ISERROR(MATCH(E659,'Ontology and concepts per UC'!$A$2:$A$62,0)))</f>
        <v>0</v>
      </c>
      <c r="G659" s="9" t="str">
        <f t="shared" si="16"/>
        <v/>
      </c>
      <c r="H659" s="9" t="str">
        <f t="shared" si="17"/>
        <v/>
      </c>
      <c r="I659" s="8" t="b">
        <f>IF(D659&lt;2,FALSE,ISERROR(MATCH(H659,'Ontology and concepts per UC'!$A$2:$A$62,0)))</f>
        <v>0</v>
      </c>
      <c r="J659" s="9" t="str">
        <f t="shared" si="18"/>
        <v/>
      </c>
      <c r="K659" s="8" t="b">
        <f>IF(D659&lt;3,FALSE,ISERROR(MATCH(J659,'Ontology and concepts per UC'!$A$2:$A$62,0)))</f>
        <v>0</v>
      </c>
      <c r="L659" s="2" t="s">
        <v>1795</v>
      </c>
      <c r="M659" s="2" t="s">
        <v>1802</v>
      </c>
      <c r="N659" s="2"/>
      <c r="O659" s="1" t="b">
        <v>0</v>
      </c>
      <c r="P659" s="1">
        <v>0</v>
      </c>
      <c r="Q659" s="1">
        <v>0</v>
      </c>
      <c r="R659" s="1" t="b">
        <f t="shared" si="19"/>
        <v>1</v>
      </c>
      <c r="S659" s="2" t="s">
        <v>11</v>
      </c>
      <c r="T659" s="1" t="str">
        <f>IF(S659="","",VLOOKUP(S659,'Ontology and concepts per UC'!$F$2:$J$46,5,FALSE))</f>
        <v>Coste</v>
      </c>
      <c r="U659" s="1" t="b">
        <f t="array" ref="U659">(INDEX('Ontology and concepts per UC'!$G$2:$I$46,MATCH($S659,'Ontology and concepts per UC'!$F$2:$F$46,0),MATCH(LEFT($A659,3),'Ontology and concepts per UC'!$G$1:$I$1,0))=0)</f>
        <v>0</v>
      </c>
      <c r="V659" s="1" t="b">
        <f t="shared" si="20"/>
        <v>0</v>
      </c>
      <c r="W659" s="1" t="b">
        <v>0</v>
      </c>
      <c r="X659" s="1" t="b">
        <v>0</v>
      </c>
      <c r="Y659" s="1" t="b">
        <v>0</v>
      </c>
      <c r="Z659" s="1" t="b">
        <v>0</v>
      </c>
      <c r="AA659" s="1"/>
    </row>
    <row r="660" spans="1:27" x14ac:dyDescent="0.25">
      <c r="A660" s="1" t="s">
        <v>1672</v>
      </c>
      <c r="B660" s="2" t="s">
        <v>1803</v>
      </c>
      <c r="C660" s="2" t="s">
        <v>23</v>
      </c>
      <c r="D660" s="6">
        <f t="shared" si="14"/>
        <v>1</v>
      </c>
      <c r="E660" s="7" t="str">
        <f t="shared" si="15"/>
        <v>DiagnosisIntervention</v>
      </c>
      <c r="F660" s="8" t="b">
        <f>IF(D660&lt;1,FALSE,ISERROR(MATCH(E660,'Ontology and concepts per UC'!$A$2:$A$62,0)))</f>
        <v>0</v>
      </c>
      <c r="G660" s="9" t="str">
        <f t="shared" si="16"/>
        <v/>
      </c>
      <c r="H660" s="9" t="str">
        <f t="shared" si="17"/>
        <v/>
      </c>
      <c r="I660" s="8" t="b">
        <f>IF(D660&lt;2,FALSE,ISERROR(MATCH(H660,'Ontology and concepts per UC'!$A$2:$A$62,0)))</f>
        <v>0</v>
      </c>
      <c r="J660" s="9" t="str">
        <f t="shared" si="18"/>
        <v/>
      </c>
      <c r="K660" s="8" t="b">
        <f>IF(D660&lt;3,FALSE,ISERROR(MATCH(J660,'Ontology and concepts per UC'!$A$2:$A$62,0)))</f>
        <v>0</v>
      </c>
      <c r="L660" s="2" t="s">
        <v>1804</v>
      </c>
      <c r="M660" s="2" t="s">
        <v>1805</v>
      </c>
      <c r="N660" s="2"/>
      <c r="O660" s="1" t="b">
        <v>0</v>
      </c>
      <c r="P660" s="1">
        <v>0</v>
      </c>
      <c r="Q660" s="1">
        <v>0</v>
      </c>
      <c r="R660" s="1" t="b">
        <f t="shared" si="19"/>
        <v>1</v>
      </c>
      <c r="S660" s="2" t="s">
        <v>22</v>
      </c>
      <c r="T660" s="1" t="str">
        <f>IF(S660="","",VLOOKUP(S660,'Ontology and concepts per UC'!$F$2:$J$46,5,FALSE))</f>
        <v>Modelo Conceptual</v>
      </c>
      <c r="U660" s="1" t="b">
        <f t="array" ref="U660">(INDEX('Ontology and concepts per UC'!$G$2:$I$46,MATCH($S660,'Ontology and concepts per UC'!$F$2:$F$46,0),MATCH(LEFT($A660,3),'Ontology and concepts per UC'!$G$1:$I$1,0))=0)</f>
        <v>0</v>
      </c>
      <c r="V660" s="1" t="b">
        <f t="shared" si="20"/>
        <v>0</v>
      </c>
      <c r="W660" s="1" t="b">
        <v>0</v>
      </c>
      <c r="X660" s="1" t="b">
        <v>0</v>
      </c>
      <c r="Y660" s="1" t="b">
        <v>0</v>
      </c>
      <c r="Z660" s="1" t="b">
        <v>0</v>
      </c>
      <c r="AA660" s="1"/>
    </row>
    <row r="661" spans="1:27" x14ac:dyDescent="0.25">
      <c r="A661" s="1" t="s">
        <v>1672</v>
      </c>
      <c r="B661" s="2" t="s">
        <v>1806</v>
      </c>
      <c r="C661" s="2" t="s">
        <v>104</v>
      </c>
      <c r="D661" s="6">
        <f t="shared" si="14"/>
        <v>1</v>
      </c>
      <c r="E661" s="7" t="str">
        <f t="shared" si="15"/>
        <v>Disease</v>
      </c>
      <c r="F661" s="8" t="b">
        <f>IF(D661&lt;1,FALSE,ISERROR(MATCH(E661,'Ontology and concepts per UC'!$A$2:$A$62,0)))</f>
        <v>0</v>
      </c>
      <c r="G661" s="9" t="str">
        <f t="shared" si="16"/>
        <v/>
      </c>
      <c r="H661" s="9" t="str">
        <f t="shared" si="17"/>
        <v/>
      </c>
      <c r="I661" s="8" t="b">
        <f>IF(D661&lt;2,FALSE,ISERROR(MATCH(H661,'Ontology and concepts per UC'!$A$2:$A$62,0)))</f>
        <v>0</v>
      </c>
      <c r="J661" s="9" t="str">
        <f t="shared" si="18"/>
        <v/>
      </c>
      <c r="K661" s="8" t="b">
        <f>IF(D661&lt;3,FALSE,ISERROR(MATCH(J661,'Ontology and concepts per UC'!$A$2:$A$62,0)))</f>
        <v>0</v>
      </c>
      <c r="L661" s="2" t="s">
        <v>1807</v>
      </c>
      <c r="M661" s="2" t="s">
        <v>1808</v>
      </c>
      <c r="N661" s="2"/>
      <c r="O661" s="1" t="b">
        <v>0</v>
      </c>
      <c r="P661" s="1">
        <v>0</v>
      </c>
      <c r="Q661" s="1">
        <v>0</v>
      </c>
      <c r="R661" s="1" t="b">
        <f t="shared" si="19"/>
        <v>0</v>
      </c>
      <c r="S661" s="2" t="s">
        <v>35</v>
      </c>
      <c r="T661" s="1" t="str">
        <f>IF(S661="","",VLOOKUP(S661,'Ontology and concepts per UC'!$F$2:$J$46,5,FALSE))</f>
        <v>Modelo Conceptual</v>
      </c>
      <c r="U661" s="1" t="b">
        <f t="array" ref="U661">(INDEX('Ontology and concepts per UC'!$G$2:$I$46,MATCH($S661,'Ontology and concepts per UC'!$F$2:$F$46,0),MATCH(LEFT($A661,3),'Ontology and concepts per UC'!$G$1:$I$1,0))=0)</f>
        <v>0</v>
      </c>
      <c r="V661" s="1" t="b">
        <f t="shared" si="20"/>
        <v>1</v>
      </c>
      <c r="W661" s="1" t="b">
        <v>0</v>
      </c>
      <c r="X661" s="1" t="b">
        <v>0</v>
      </c>
      <c r="Y661" s="1" t="b">
        <v>0</v>
      </c>
      <c r="Z661" s="1" t="b">
        <v>1</v>
      </c>
      <c r="AA661" s="1" t="s">
        <v>197</v>
      </c>
    </row>
    <row r="662" spans="1:27" x14ac:dyDescent="0.25">
      <c r="A662" s="1" t="s">
        <v>1672</v>
      </c>
      <c r="B662" s="2" t="s">
        <v>1809</v>
      </c>
      <c r="C662" s="2" t="s">
        <v>1583</v>
      </c>
      <c r="D662" s="6">
        <f t="shared" si="14"/>
        <v>1</v>
      </c>
      <c r="E662" s="7" t="str">
        <f t="shared" si="15"/>
        <v>Drug</v>
      </c>
      <c r="F662" s="8" t="b">
        <f>IF(D662&lt;1,FALSE,ISERROR(MATCH(E662,'Ontology and concepts per UC'!$A$2:$A$62,0)))</f>
        <v>0</v>
      </c>
      <c r="G662" s="9" t="str">
        <f t="shared" si="16"/>
        <v/>
      </c>
      <c r="H662" s="9" t="str">
        <f t="shared" si="17"/>
        <v/>
      </c>
      <c r="I662" s="8" t="b">
        <f>IF(D662&lt;2,FALSE,ISERROR(MATCH(H662,'Ontology and concepts per UC'!$A$2:$A$62,0)))</f>
        <v>0</v>
      </c>
      <c r="J662" s="9" t="str">
        <f t="shared" si="18"/>
        <v/>
      </c>
      <c r="K662" s="8" t="b">
        <f>IF(D662&lt;3,FALSE,ISERROR(MATCH(J662,'Ontology and concepts per UC'!$A$2:$A$62,0)))</f>
        <v>0</v>
      </c>
      <c r="L662" s="2" t="s">
        <v>1810</v>
      </c>
      <c r="M662" s="2" t="s">
        <v>1811</v>
      </c>
      <c r="N662" s="2"/>
      <c r="O662" s="1" t="b">
        <v>0</v>
      </c>
      <c r="P662" s="1">
        <v>0</v>
      </c>
      <c r="Q662" s="1">
        <v>0</v>
      </c>
      <c r="R662" s="1" t="b">
        <f t="shared" si="19"/>
        <v>1</v>
      </c>
      <c r="S662" s="2" t="s">
        <v>107</v>
      </c>
      <c r="T662" s="1" t="str">
        <f>IF(S662="","",VLOOKUP(S662,'Ontology and concepts per UC'!$F$2:$J$46,5,FALSE))</f>
        <v>Parcial</v>
      </c>
      <c r="U662" s="1" t="b">
        <f t="array" ref="U662">(INDEX('Ontology and concepts per UC'!$G$2:$I$46,MATCH($S662,'Ontology and concepts per UC'!$F$2:$F$46,0),MATCH(LEFT($A662,3),'Ontology and concepts per UC'!$G$1:$I$1,0))=0)</f>
        <v>0</v>
      </c>
      <c r="V662" s="1" t="b">
        <f t="shared" si="20"/>
        <v>0</v>
      </c>
      <c r="W662" s="1" t="b">
        <v>0</v>
      </c>
      <c r="X662" s="1" t="b">
        <v>0</v>
      </c>
      <c r="Y662" s="1" t="b">
        <v>0</v>
      </c>
      <c r="Z662" s="1" t="b">
        <v>0</v>
      </c>
      <c r="AA662" s="1"/>
    </row>
    <row r="663" spans="1:27" x14ac:dyDescent="0.25">
      <c r="A663" s="1" t="s">
        <v>1672</v>
      </c>
      <c r="B663" s="2" t="s">
        <v>1812</v>
      </c>
      <c r="C663" s="2" t="s">
        <v>1583</v>
      </c>
      <c r="D663" s="6">
        <f t="shared" si="14"/>
        <v>1</v>
      </c>
      <c r="E663" s="7" t="str">
        <f t="shared" si="15"/>
        <v>Drug</v>
      </c>
      <c r="F663" s="8" t="b">
        <f>IF(D663&lt;1,FALSE,ISERROR(MATCH(E663,'Ontology and concepts per UC'!$A$2:$A$62,0)))</f>
        <v>0</v>
      </c>
      <c r="G663" s="9" t="str">
        <f t="shared" si="16"/>
        <v/>
      </c>
      <c r="H663" s="9" t="str">
        <f t="shared" si="17"/>
        <v/>
      </c>
      <c r="I663" s="8" t="b">
        <f>IF(D663&lt;2,FALSE,ISERROR(MATCH(H663,'Ontology and concepts per UC'!$A$2:$A$62,0)))</f>
        <v>0</v>
      </c>
      <c r="J663" s="9" t="str">
        <f t="shared" si="18"/>
        <v/>
      </c>
      <c r="K663" s="8" t="b">
        <f>IF(D663&lt;3,FALSE,ISERROR(MATCH(J663,'Ontology and concepts per UC'!$A$2:$A$62,0)))</f>
        <v>0</v>
      </c>
      <c r="L663" s="2" t="s">
        <v>1813</v>
      </c>
      <c r="M663" s="2" t="s">
        <v>1814</v>
      </c>
      <c r="N663" s="2"/>
      <c r="O663" s="1" t="b">
        <v>0</v>
      </c>
      <c r="P663" s="1">
        <v>0</v>
      </c>
      <c r="Q663" s="1">
        <v>0</v>
      </c>
      <c r="R663" s="1" t="b">
        <f t="shared" si="19"/>
        <v>1</v>
      </c>
      <c r="S663" s="2" t="s">
        <v>62</v>
      </c>
      <c r="T663" s="1" t="str">
        <f>IF(S663="","",VLOOKUP(S663,'Ontology and concepts per UC'!$F$2:$J$46,5,FALSE))</f>
        <v>Tratamiento/seguimiento</v>
      </c>
      <c r="U663" s="1" t="b">
        <f t="array" ref="U663">(INDEX('Ontology and concepts per UC'!$G$2:$I$46,MATCH($S663,'Ontology and concepts per UC'!$F$2:$F$46,0),MATCH(LEFT($A663,3),'Ontology and concepts per UC'!$G$1:$I$1,0))=0)</f>
        <v>0</v>
      </c>
      <c r="V663" s="1" t="b">
        <f t="shared" si="20"/>
        <v>0</v>
      </c>
      <c r="W663" s="1" t="b">
        <v>0</v>
      </c>
      <c r="X663" s="1" t="b">
        <v>0</v>
      </c>
      <c r="Y663" s="1" t="b">
        <v>0</v>
      </c>
      <c r="Z663" s="1" t="b">
        <v>0</v>
      </c>
      <c r="AA663" s="1"/>
    </row>
    <row r="664" spans="1:27" x14ac:dyDescent="0.25">
      <c r="A664" s="1" t="s">
        <v>1672</v>
      </c>
      <c r="B664" s="2" t="s">
        <v>1815</v>
      </c>
      <c r="C664" s="2" t="s">
        <v>208</v>
      </c>
      <c r="D664" s="6">
        <f t="shared" si="14"/>
        <v>1</v>
      </c>
      <c r="E664" s="7" t="str">
        <f t="shared" si="15"/>
        <v>EpidemiologicalParameter</v>
      </c>
      <c r="F664" s="8" t="b">
        <f>IF(D664&lt;1,FALSE,ISERROR(MATCH(E664,'Ontology and concepts per UC'!$A$2:$A$62,0)))</f>
        <v>0</v>
      </c>
      <c r="G664" s="9" t="str">
        <f t="shared" si="16"/>
        <v/>
      </c>
      <c r="H664" s="9" t="str">
        <f t="shared" si="17"/>
        <v/>
      </c>
      <c r="I664" s="8" t="b">
        <f>IF(D664&lt;2,FALSE,ISERROR(MATCH(H664,'Ontology and concepts per UC'!$A$2:$A$62,0)))</f>
        <v>0</v>
      </c>
      <c r="J664" s="9" t="str">
        <f t="shared" si="18"/>
        <v/>
      </c>
      <c r="K664" s="8" t="b">
        <f>IF(D664&lt;3,FALSE,ISERROR(MATCH(J664,'Ontology and concepts per UC'!$A$2:$A$62,0)))</f>
        <v>0</v>
      </c>
      <c r="L664" s="2" t="s">
        <v>1816</v>
      </c>
      <c r="M664" s="2" t="s">
        <v>1817</v>
      </c>
      <c r="N664" s="2"/>
      <c r="O664" s="1" t="b">
        <v>0</v>
      </c>
      <c r="P664" s="1">
        <v>0</v>
      </c>
      <c r="Q664" s="1">
        <v>0</v>
      </c>
      <c r="R664" s="1" t="b">
        <f t="shared" si="19"/>
        <v>1</v>
      </c>
      <c r="S664" s="2" t="s">
        <v>367</v>
      </c>
      <c r="T664" s="1" t="str">
        <f>IF(S664="","",VLOOKUP(S664,'Ontology and concepts per UC'!$F$2:$J$46,5,FALSE))</f>
        <v>Parámetros de progresión</v>
      </c>
      <c r="U664" s="1" t="b">
        <f t="array" ref="U664">(INDEX('Ontology and concepts per UC'!$G$2:$I$46,MATCH($S664,'Ontology and concepts per UC'!$F$2:$F$46,0),MATCH(LEFT($A664,3),'Ontology and concepts per UC'!$G$1:$I$1,0))=0)</f>
        <v>0</v>
      </c>
      <c r="V664" s="1" t="b">
        <f t="shared" si="20"/>
        <v>0</v>
      </c>
      <c r="W664" s="1" t="b">
        <v>0</v>
      </c>
      <c r="X664" s="1" t="b">
        <v>0</v>
      </c>
      <c r="Y664" s="1" t="b">
        <v>0</v>
      </c>
      <c r="Z664" s="1" t="b">
        <v>0</v>
      </c>
      <c r="AA664" s="1"/>
    </row>
    <row r="665" spans="1:27" x14ac:dyDescent="0.25">
      <c r="A665" s="1" t="s">
        <v>1672</v>
      </c>
      <c r="B665" s="2" t="s">
        <v>1818</v>
      </c>
      <c r="C665" s="2" t="s">
        <v>208</v>
      </c>
      <c r="D665" s="6">
        <f t="shared" si="14"/>
        <v>1</v>
      </c>
      <c r="E665" s="7" t="str">
        <f t="shared" si="15"/>
        <v>EpidemiologicalParameter</v>
      </c>
      <c r="F665" s="8" t="b">
        <f>IF(D665&lt;1,FALSE,ISERROR(MATCH(E665,'Ontology and concepts per UC'!$A$2:$A$62,0)))</f>
        <v>0</v>
      </c>
      <c r="G665" s="9" t="str">
        <f t="shared" si="16"/>
        <v/>
      </c>
      <c r="H665" s="9" t="str">
        <f t="shared" si="17"/>
        <v/>
      </c>
      <c r="I665" s="8" t="b">
        <f>IF(D665&lt;2,FALSE,ISERROR(MATCH(H665,'Ontology and concepts per UC'!$A$2:$A$62,0)))</f>
        <v>0</v>
      </c>
      <c r="J665" s="9" t="str">
        <f t="shared" si="18"/>
        <v/>
      </c>
      <c r="K665" s="8" t="b">
        <f>IF(D665&lt;3,FALSE,ISERROR(MATCH(J665,'Ontology and concepts per UC'!$A$2:$A$62,0)))</f>
        <v>0</v>
      </c>
      <c r="L665" s="2" t="s">
        <v>1819</v>
      </c>
      <c r="M665" s="2" t="s">
        <v>1820</v>
      </c>
      <c r="N665" s="2"/>
      <c r="O665" s="1" t="b">
        <v>0</v>
      </c>
      <c r="P665" s="1">
        <v>0</v>
      </c>
      <c r="Q665" s="1">
        <v>0</v>
      </c>
      <c r="R665" s="1" t="b">
        <f t="shared" si="19"/>
        <v>1</v>
      </c>
      <c r="S665" s="2" t="s">
        <v>107</v>
      </c>
      <c r="T665" s="1" t="str">
        <f>IF(S665="","",VLOOKUP(S665,'Ontology and concepts per UC'!$F$2:$J$46,5,FALSE))</f>
        <v>Parcial</v>
      </c>
      <c r="U665" s="1" t="b">
        <f t="array" ref="U665">(INDEX('Ontology and concepts per UC'!$G$2:$I$46,MATCH($S665,'Ontology and concepts per UC'!$F$2:$F$46,0),MATCH(LEFT($A665,3),'Ontology and concepts per UC'!$G$1:$I$1,0))=0)</f>
        <v>0</v>
      </c>
      <c r="V665" s="1" t="b">
        <f t="shared" si="20"/>
        <v>0</v>
      </c>
      <c r="W665" s="1" t="b">
        <v>0</v>
      </c>
      <c r="X665" s="1" t="b">
        <v>0</v>
      </c>
      <c r="Y665" s="1" t="b">
        <v>0</v>
      </c>
      <c r="Z665" s="1" t="b">
        <v>0</v>
      </c>
      <c r="AA665" s="1"/>
    </row>
    <row r="666" spans="1:27" x14ac:dyDescent="0.25">
      <c r="A666" s="1" t="s">
        <v>1672</v>
      </c>
      <c r="B666" s="2" t="s">
        <v>1821</v>
      </c>
      <c r="C666" s="2" t="s">
        <v>208</v>
      </c>
      <c r="D666" s="6">
        <f t="shared" si="14"/>
        <v>1</v>
      </c>
      <c r="E666" s="7" t="str">
        <f t="shared" si="15"/>
        <v>EpidemiologicalParameter</v>
      </c>
      <c r="F666" s="8" t="b">
        <f>IF(D666&lt;1,FALSE,ISERROR(MATCH(E666,'Ontology and concepts per UC'!$A$2:$A$62,0)))</f>
        <v>0</v>
      </c>
      <c r="G666" s="9" t="str">
        <f t="shared" si="16"/>
        <v/>
      </c>
      <c r="H666" s="9" t="str">
        <f t="shared" si="17"/>
        <v/>
      </c>
      <c r="I666" s="8" t="b">
        <f>IF(D666&lt;2,FALSE,ISERROR(MATCH(H666,'Ontology and concepts per UC'!$A$2:$A$62,0)))</f>
        <v>0</v>
      </c>
      <c r="J666" s="9" t="str">
        <f t="shared" si="18"/>
        <v/>
      </c>
      <c r="K666" s="8" t="b">
        <f>IF(D666&lt;3,FALSE,ISERROR(MATCH(J666,'Ontology and concepts per UC'!$A$2:$A$62,0)))</f>
        <v>0</v>
      </c>
      <c r="L666" s="2" t="s">
        <v>1822</v>
      </c>
      <c r="M666" s="2" t="s">
        <v>1823</v>
      </c>
      <c r="N666" s="2"/>
      <c r="O666" s="1" t="b">
        <v>0</v>
      </c>
      <c r="P666" s="1">
        <v>0</v>
      </c>
      <c r="Q666" s="1">
        <v>0</v>
      </c>
      <c r="R666" s="1" t="b">
        <f t="shared" si="19"/>
        <v>1</v>
      </c>
      <c r="S666" s="2" t="s">
        <v>367</v>
      </c>
      <c r="T666" s="1" t="str">
        <f>IF(S666="","",VLOOKUP(S666,'Ontology and concepts per UC'!$F$2:$J$46,5,FALSE))</f>
        <v>Parámetros de progresión</v>
      </c>
      <c r="U666" s="1" t="b">
        <f t="array" ref="U666">(INDEX('Ontology and concepts per UC'!$G$2:$I$46,MATCH($S666,'Ontology and concepts per UC'!$F$2:$F$46,0),MATCH(LEFT($A666,3),'Ontology and concepts per UC'!$G$1:$I$1,0))=0)</f>
        <v>0</v>
      </c>
      <c r="V666" s="1" t="b">
        <f t="shared" si="20"/>
        <v>0</v>
      </c>
      <c r="W666" s="1" t="b">
        <v>0</v>
      </c>
      <c r="X666" s="1" t="b">
        <v>0</v>
      </c>
      <c r="Y666" s="1" t="b">
        <v>0</v>
      </c>
      <c r="Z666" s="1" t="b">
        <v>0</v>
      </c>
      <c r="AA666" s="1"/>
    </row>
    <row r="667" spans="1:27" x14ac:dyDescent="0.25">
      <c r="A667" s="1" t="s">
        <v>1672</v>
      </c>
      <c r="B667" s="2" t="s">
        <v>1824</v>
      </c>
      <c r="C667" s="2" t="s">
        <v>208</v>
      </c>
      <c r="D667" s="6">
        <f t="shared" si="14"/>
        <v>1</v>
      </c>
      <c r="E667" s="7" t="str">
        <f t="shared" si="15"/>
        <v>EpidemiologicalParameter</v>
      </c>
      <c r="F667" s="8" t="b">
        <f>IF(D667&lt;1,FALSE,ISERROR(MATCH(E667,'Ontology and concepts per UC'!$A$2:$A$62,0)))</f>
        <v>0</v>
      </c>
      <c r="G667" s="9" t="str">
        <f t="shared" si="16"/>
        <v/>
      </c>
      <c r="H667" s="9" t="str">
        <f t="shared" si="17"/>
        <v/>
      </c>
      <c r="I667" s="8" t="b">
        <f>IF(D667&lt;2,FALSE,ISERROR(MATCH(H667,'Ontology and concepts per UC'!$A$2:$A$62,0)))</f>
        <v>0</v>
      </c>
      <c r="J667" s="9" t="str">
        <f t="shared" si="18"/>
        <v/>
      </c>
      <c r="K667" s="8" t="b">
        <f>IF(D667&lt;3,FALSE,ISERROR(MATCH(J667,'Ontology and concepts per UC'!$A$2:$A$62,0)))</f>
        <v>0</v>
      </c>
      <c r="L667" s="2" t="s">
        <v>1825</v>
      </c>
      <c r="M667" s="2" t="s">
        <v>1826</v>
      </c>
      <c r="N667" s="2"/>
      <c r="O667" s="1" t="b">
        <v>0</v>
      </c>
      <c r="P667" s="1">
        <v>0</v>
      </c>
      <c r="Q667" s="1">
        <v>0</v>
      </c>
      <c r="R667" s="1" t="b">
        <f t="shared" si="19"/>
        <v>1</v>
      </c>
      <c r="S667" s="2" t="s">
        <v>367</v>
      </c>
      <c r="T667" s="1" t="str">
        <f>IF(S667="","",VLOOKUP(S667,'Ontology and concepts per UC'!$F$2:$J$46,5,FALSE))</f>
        <v>Parámetros de progresión</v>
      </c>
      <c r="U667" s="1" t="b">
        <f t="array" ref="U667">(INDEX('Ontology and concepts per UC'!$G$2:$I$46,MATCH($S667,'Ontology and concepts per UC'!$F$2:$F$46,0),MATCH(LEFT($A667,3),'Ontology and concepts per UC'!$G$1:$I$1,0))=0)</f>
        <v>0</v>
      </c>
      <c r="V667" s="1" t="b">
        <f t="shared" si="20"/>
        <v>0</v>
      </c>
      <c r="W667" s="1" t="b">
        <v>0</v>
      </c>
      <c r="X667" s="1" t="b">
        <v>0</v>
      </c>
      <c r="Y667" s="1" t="b">
        <v>0</v>
      </c>
      <c r="Z667" s="1" t="b">
        <v>0</v>
      </c>
      <c r="AA667" s="1"/>
    </row>
    <row r="668" spans="1:27" x14ac:dyDescent="0.25">
      <c r="A668" s="1" t="s">
        <v>1672</v>
      </c>
      <c r="B668" s="2" t="s">
        <v>1827</v>
      </c>
      <c r="C668" s="2" t="s">
        <v>208</v>
      </c>
      <c r="D668" s="6">
        <f t="shared" si="14"/>
        <v>1</v>
      </c>
      <c r="E668" s="7" t="str">
        <f t="shared" si="15"/>
        <v>EpidemiologicalParameter</v>
      </c>
      <c r="F668" s="8" t="b">
        <f>IF(D668&lt;1,FALSE,ISERROR(MATCH(E668,'Ontology and concepts per UC'!$A$2:$A$62,0)))</f>
        <v>0</v>
      </c>
      <c r="G668" s="9" t="str">
        <f t="shared" si="16"/>
        <v/>
      </c>
      <c r="H668" s="9" t="str">
        <f t="shared" si="17"/>
        <v/>
      </c>
      <c r="I668" s="8" t="b">
        <f>IF(D668&lt;2,FALSE,ISERROR(MATCH(H668,'Ontology and concepts per UC'!$A$2:$A$62,0)))</f>
        <v>0</v>
      </c>
      <c r="J668" s="9" t="str">
        <f t="shared" si="18"/>
        <v/>
      </c>
      <c r="K668" s="8" t="b">
        <f>IF(D668&lt;3,FALSE,ISERROR(MATCH(J668,'Ontology and concepts per UC'!$A$2:$A$62,0)))</f>
        <v>0</v>
      </c>
      <c r="L668" s="2" t="s">
        <v>1828</v>
      </c>
      <c r="M668" s="2" t="s">
        <v>1829</v>
      </c>
      <c r="N668" s="2"/>
      <c r="O668" s="1" t="b">
        <v>0</v>
      </c>
      <c r="P668" s="1">
        <v>0</v>
      </c>
      <c r="Q668" s="1">
        <v>0</v>
      </c>
      <c r="R668" s="1" t="b">
        <f t="shared" si="19"/>
        <v>1</v>
      </c>
      <c r="S668" s="2" t="s">
        <v>107</v>
      </c>
      <c r="T668" s="1" t="str">
        <f>IF(S668="","",VLOOKUP(S668,'Ontology and concepts per UC'!$F$2:$J$46,5,FALSE))</f>
        <v>Parcial</v>
      </c>
      <c r="U668" s="1" t="b">
        <f t="array" ref="U668">(INDEX('Ontology and concepts per UC'!$G$2:$I$46,MATCH($S668,'Ontology and concepts per UC'!$F$2:$F$46,0),MATCH(LEFT($A668,3),'Ontology and concepts per UC'!$G$1:$I$1,0))=0)</f>
        <v>0</v>
      </c>
      <c r="V668" s="1" t="b">
        <f t="shared" si="20"/>
        <v>0</v>
      </c>
      <c r="W668" s="1" t="b">
        <v>0</v>
      </c>
      <c r="X668" s="1" t="b">
        <v>0</v>
      </c>
      <c r="Y668" s="1" t="b">
        <v>0</v>
      </c>
      <c r="Z668" s="1" t="b">
        <v>0</v>
      </c>
      <c r="AA668" s="1"/>
    </row>
    <row r="669" spans="1:27" x14ac:dyDescent="0.25">
      <c r="A669" s="1" t="s">
        <v>1672</v>
      </c>
      <c r="B669" s="2" t="s">
        <v>1830</v>
      </c>
      <c r="C669" s="2" t="s">
        <v>208</v>
      </c>
      <c r="D669" s="6">
        <f t="shared" si="14"/>
        <v>1</v>
      </c>
      <c r="E669" s="7" t="str">
        <f t="shared" si="15"/>
        <v>EpidemiologicalParameter</v>
      </c>
      <c r="F669" s="8" t="b">
        <f>IF(D669&lt;1,FALSE,ISERROR(MATCH(E669,'Ontology and concepts per UC'!$A$2:$A$62,0)))</f>
        <v>0</v>
      </c>
      <c r="G669" s="9" t="str">
        <f t="shared" si="16"/>
        <v/>
      </c>
      <c r="H669" s="9" t="str">
        <f t="shared" si="17"/>
        <v/>
      </c>
      <c r="I669" s="8" t="b">
        <f>IF(D669&lt;2,FALSE,ISERROR(MATCH(H669,'Ontology and concepts per UC'!$A$2:$A$62,0)))</f>
        <v>0</v>
      </c>
      <c r="J669" s="9" t="str">
        <f t="shared" si="18"/>
        <v/>
      </c>
      <c r="K669" s="8" t="b">
        <f>IF(D669&lt;3,FALSE,ISERROR(MATCH(J669,'Ontology and concepts per UC'!$A$2:$A$62,0)))</f>
        <v>0</v>
      </c>
      <c r="L669" s="2" t="s">
        <v>1831</v>
      </c>
      <c r="M669" s="2" t="s">
        <v>1832</v>
      </c>
      <c r="N669" s="2"/>
      <c r="O669" s="1" t="b">
        <v>0</v>
      </c>
      <c r="P669" s="1">
        <v>0</v>
      </c>
      <c r="Q669" s="1">
        <v>0</v>
      </c>
      <c r="R669" s="1" t="b">
        <f t="shared" si="19"/>
        <v>1</v>
      </c>
      <c r="S669" s="2" t="s">
        <v>367</v>
      </c>
      <c r="T669" s="1" t="str">
        <f>IF(S669="","",VLOOKUP(S669,'Ontology and concepts per UC'!$F$2:$J$46,5,FALSE))</f>
        <v>Parámetros de progresión</v>
      </c>
      <c r="U669" s="1" t="b">
        <f t="array" ref="U669">(INDEX('Ontology and concepts per UC'!$G$2:$I$46,MATCH($S669,'Ontology and concepts per UC'!$F$2:$F$46,0),MATCH(LEFT($A669,3),'Ontology and concepts per UC'!$G$1:$I$1,0))=0)</f>
        <v>0</v>
      </c>
      <c r="V669" s="1" t="b">
        <f t="shared" si="20"/>
        <v>0</v>
      </c>
      <c r="W669" s="1" t="b">
        <v>0</v>
      </c>
      <c r="X669" s="1" t="b">
        <v>0</v>
      </c>
      <c r="Y669" s="1" t="b">
        <v>0</v>
      </c>
      <c r="Z669" s="1" t="b">
        <v>0</v>
      </c>
      <c r="AA669" s="1"/>
    </row>
    <row r="670" spans="1:27" x14ac:dyDescent="0.25">
      <c r="A670" s="1" t="s">
        <v>1672</v>
      </c>
      <c r="B670" s="2" t="s">
        <v>1833</v>
      </c>
      <c r="C670" s="2" t="s">
        <v>208</v>
      </c>
      <c r="D670" s="6">
        <f t="shared" si="14"/>
        <v>1</v>
      </c>
      <c r="E670" s="7" t="str">
        <f t="shared" si="15"/>
        <v>EpidemiologicalParameter</v>
      </c>
      <c r="F670" s="8" t="b">
        <f>IF(D670&lt;1,FALSE,ISERROR(MATCH(E670,'Ontology and concepts per UC'!$A$2:$A$62,0)))</f>
        <v>0</v>
      </c>
      <c r="G670" s="9" t="str">
        <f t="shared" si="16"/>
        <v/>
      </c>
      <c r="H670" s="9" t="str">
        <f t="shared" si="17"/>
        <v/>
      </c>
      <c r="I670" s="8" t="b">
        <f>IF(D670&lt;2,FALSE,ISERROR(MATCH(H670,'Ontology and concepts per UC'!$A$2:$A$62,0)))</f>
        <v>0</v>
      </c>
      <c r="J670" s="9" t="str">
        <f t="shared" si="18"/>
        <v/>
      </c>
      <c r="K670" s="8" t="b">
        <f>IF(D670&lt;3,FALSE,ISERROR(MATCH(J670,'Ontology and concepts per UC'!$A$2:$A$62,0)))</f>
        <v>0</v>
      </c>
      <c r="L670" s="2" t="s">
        <v>1834</v>
      </c>
      <c r="M670" s="2" t="s">
        <v>1835</v>
      </c>
      <c r="N670" s="2"/>
      <c r="O670" s="1" t="b">
        <v>0</v>
      </c>
      <c r="P670" s="1">
        <v>0</v>
      </c>
      <c r="Q670" s="1">
        <v>0</v>
      </c>
      <c r="R670" s="1" t="b">
        <f t="shared" si="19"/>
        <v>1</v>
      </c>
      <c r="S670" s="2" t="s">
        <v>107</v>
      </c>
      <c r="T670" s="1" t="str">
        <f>IF(S670="","",VLOOKUP(S670,'Ontology and concepts per UC'!$F$2:$J$46,5,FALSE))</f>
        <v>Parcial</v>
      </c>
      <c r="U670" s="1" t="b">
        <f t="array" ref="U670">(INDEX('Ontology and concepts per UC'!$G$2:$I$46,MATCH($S670,'Ontology and concepts per UC'!$F$2:$F$46,0),MATCH(LEFT($A670,3),'Ontology and concepts per UC'!$G$1:$I$1,0))=0)</f>
        <v>0</v>
      </c>
      <c r="V670" s="1" t="b">
        <f t="shared" si="20"/>
        <v>0</v>
      </c>
      <c r="W670" s="1" t="b">
        <v>0</v>
      </c>
      <c r="X670" s="1" t="b">
        <v>0</v>
      </c>
      <c r="Y670" s="1" t="b">
        <v>0</v>
      </c>
      <c r="Z670" s="1" t="b">
        <v>0</v>
      </c>
      <c r="AA670" s="1"/>
    </row>
    <row r="671" spans="1:27" x14ac:dyDescent="0.25">
      <c r="A671" s="1" t="s">
        <v>1672</v>
      </c>
      <c r="B671" s="2" t="s">
        <v>1836</v>
      </c>
      <c r="C671" s="2" t="s">
        <v>208</v>
      </c>
      <c r="D671" s="6">
        <f t="shared" si="14"/>
        <v>1</v>
      </c>
      <c r="E671" s="7" t="str">
        <f t="shared" si="15"/>
        <v>EpidemiologicalParameter</v>
      </c>
      <c r="F671" s="8" t="b">
        <f>IF(D671&lt;1,FALSE,ISERROR(MATCH(E671,'Ontology and concepts per UC'!$A$2:$A$62,0)))</f>
        <v>0</v>
      </c>
      <c r="G671" s="9" t="str">
        <f t="shared" si="16"/>
        <v/>
      </c>
      <c r="H671" s="9" t="str">
        <f t="shared" si="17"/>
        <v/>
      </c>
      <c r="I671" s="8" t="b">
        <f>IF(D671&lt;2,FALSE,ISERROR(MATCH(H671,'Ontology and concepts per UC'!$A$2:$A$62,0)))</f>
        <v>0</v>
      </c>
      <c r="J671" s="9" t="str">
        <f t="shared" si="18"/>
        <v/>
      </c>
      <c r="K671" s="8" t="b">
        <f>IF(D671&lt;3,FALSE,ISERROR(MATCH(J671,'Ontology and concepts per UC'!$A$2:$A$62,0)))</f>
        <v>0</v>
      </c>
      <c r="L671" s="2" t="s">
        <v>1837</v>
      </c>
      <c r="M671" s="2" t="s">
        <v>1838</v>
      </c>
      <c r="N671" s="2"/>
      <c r="O671" s="1" t="b">
        <v>0</v>
      </c>
      <c r="P671" s="1">
        <v>0</v>
      </c>
      <c r="Q671" s="1">
        <v>0</v>
      </c>
      <c r="R671" s="1" t="b">
        <f t="shared" si="19"/>
        <v>1</v>
      </c>
      <c r="S671" s="2" t="s">
        <v>56</v>
      </c>
      <c r="T671" s="1" t="str">
        <f>IF(S671="","",VLOOKUP(S671,'Ontology and concepts per UC'!$F$2:$J$46,5,FALSE))</f>
        <v>Parámetros de progresión</v>
      </c>
      <c r="U671" s="1" t="b">
        <f t="array" ref="U671">(INDEX('Ontology and concepts per UC'!$G$2:$I$46,MATCH($S671,'Ontology and concepts per UC'!$F$2:$F$46,0),MATCH(LEFT($A671,3),'Ontology and concepts per UC'!$G$1:$I$1,0))=0)</f>
        <v>0</v>
      </c>
      <c r="V671" s="1" t="b">
        <f t="shared" si="20"/>
        <v>1</v>
      </c>
      <c r="W671" s="1" t="b">
        <v>0</v>
      </c>
      <c r="X671" s="1" t="b">
        <v>0</v>
      </c>
      <c r="Y671" s="1" t="b">
        <v>0</v>
      </c>
      <c r="Z671" s="1" t="b">
        <v>1</v>
      </c>
      <c r="AA671" s="1" t="s">
        <v>1111</v>
      </c>
    </row>
    <row r="672" spans="1:27" x14ac:dyDescent="0.25">
      <c r="A672" s="1" t="s">
        <v>1672</v>
      </c>
      <c r="B672" s="2" t="s">
        <v>1839</v>
      </c>
      <c r="C672" s="2" t="s">
        <v>208</v>
      </c>
      <c r="D672" s="6">
        <f t="shared" si="14"/>
        <v>1</v>
      </c>
      <c r="E672" s="7" t="str">
        <f t="shared" si="15"/>
        <v>EpidemiologicalParameter</v>
      </c>
      <c r="F672" s="8" t="b">
        <f>IF(D672&lt;1,FALSE,ISERROR(MATCH(E672,'Ontology and concepts per UC'!$A$2:$A$62,0)))</f>
        <v>0</v>
      </c>
      <c r="G672" s="9" t="str">
        <f t="shared" si="16"/>
        <v/>
      </c>
      <c r="H672" s="9" t="str">
        <f t="shared" si="17"/>
        <v/>
      </c>
      <c r="I672" s="8" t="b">
        <f>IF(D672&lt;2,FALSE,ISERROR(MATCH(H672,'Ontology and concepts per UC'!$A$2:$A$62,0)))</f>
        <v>0</v>
      </c>
      <c r="J672" s="9" t="str">
        <f t="shared" si="18"/>
        <v/>
      </c>
      <c r="K672" s="8" t="b">
        <f>IF(D672&lt;3,FALSE,ISERROR(MATCH(J672,'Ontology and concepts per UC'!$A$2:$A$62,0)))</f>
        <v>0</v>
      </c>
      <c r="L672" s="2" t="s">
        <v>1840</v>
      </c>
      <c r="M672" s="2" t="s">
        <v>1841</v>
      </c>
      <c r="N672" s="2"/>
      <c r="O672" s="1" t="b">
        <v>0</v>
      </c>
      <c r="P672" s="1">
        <v>0</v>
      </c>
      <c r="Q672" s="1">
        <v>0</v>
      </c>
      <c r="R672" s="1" t="b">
        <f t="shared" si="19"/>
        <v>1</v>
      </c>
      <c r="S672" s="2" t="s">
        <v>56</v>
      </c>
      <c r="T672" s="1" t="str">
        <f>IF(S672="","",VLOOKUP(S672,'Ontology and concepts per UC'!$F$2:$J$46,5,FALSE))</f>
        <v>Parámetros de progresión</v>
      </c>
      <c r="U672" s="1" t="b">
        <f t="array" ref="U672">(INDEX('Ontology and concepts per UC'!$G$2:$I$46,MATCH($S672,'Ontology and concepts per UC'!$F$2:$F$46,0),MATCH(LEFT($A672,3),'Ontology and concepts per UC'!$G$1:$I$1,0))=0)</f>
        <v>0</v>
      </c>
      <c r="V672" s="1" t="b">
        <f t="shared" si="20"/>
        <v>0</v>
      </c>
      <c r="W672" s="1" t="b">
        <v>0</v>
      </c>
      <c r="X672" s="1" t="b">
        <v>0</v>
      </c>
      <c r="Y672" s="1" t="b">
        <v>0</v>
      </c>
      <c r="Z672" s="1" t="b">
        <v>0</v>
      </c>
      <c r="AA672" s="1"/>
    </row>
    <row r="673" spans="1:27" x14ac:dyDescent="0.25">
      <c r="A673" s="1" t="s">
        <v>1672</v>
      </c>
      <c r="B673" s="2" t="s">
        <v>1842</v>
      </c>
      <c r="C673" s="2" t="s">
        <v>208</v>
      </c>
      <c r="D673" s="6">
        <f t="shared" si="14"/>
        <v>1</v>
      </c>
      <c r="E673" s="7" t="str">
        <f t="shared" si="15"/>
        <v>EpidemiologicalParameter</v>
      </c>
      <c r="F673" s="8" t="b">
        <f>IF(D673&lt;1,FALSE,ISERROR(MATCH(E673,'Ontology and concepts per UC'!$A$2:$A$62,0)))</f>
        <v>0</v>
      </c>
      <c r="G673" s="9" t="str">
        <f t="shared" si="16"/>
        <v/>
      </c>
      <c r="H673" s="9" t="str">
        <f t="shared" si="17"/>
        <v/>
      </c>
      <c r="I673" s="8" t="b">
        <f>IF(D673&lt;2,FALSE,ISERROR(MATCH(H673,'Ontology and concepts per UC'!$A$2:$A$62,0)))</f>
        <v>0</v>
      </c>
      <c r="J673" s="9" t="str">
        <f t="shared" si="18"/>
        <v/>
      </c>
      <c r="K673" s="8" t="b">
        <f>IF(D673&lt;3,FALSE,ISERROR(MATCH(J673,'Ontology and concepts per UC'!$A$2:$A$62,0)))</f>
        <v>0</v>
      </c>
      <c r="L673" s="2" t="s">
        <v>1843</v>
      </c>
      <c r="M673" s="2" t="s">
        <v>1844</v>
      </c>
      <c r="N673" s="2"/>
      <c r="O673" s="1" t="b">
        <v>0</v>
      </c>
      <c r="P673" s="1">
        <v>0</v>
      </c>
      <c r="Q673" s="1">
        <v>0</v>
      </c>
      <c r="R673" s="1" t="b">
        <f t="shared" si="19"/>
        <v>1</v>
      </c>
      <c r="S673" s="2" t="s">
        <v>107</v>
      </c>
      <c r="T673" s="1" t="str">
        <f>IF(S673="","",VLOOKUP(S673,'Ontology and concepts per UC'!$F$2:$J$46,5,FALSE))</f>
        <v>Parcial</v>
      </c>
      <c r="U673" s="1" t="b">
        <f t="array" ref="U673">(INDEX('Ontology and concepts per UC'!$G$2:$I$46,MATCH($S673,'Ontology and concepts per UC'!$F$2:$F$46,0),MATCH(LEFT($A673,3),'Ontology and concepts per UC'!$G$1:$I$1,0))=0)</f>
        <v>0</v>
      </c>
      <c r="V673" s="1" t="b">
        <f t="shared" si="20"/>
        <v>0</v>
      </c>
      <c r="W673" s="1" t="b">
        <v>0</v>
      </c>
      <c r="X673" s="1" t="b">
        <v>0</v>
      </c>
      <c r="Y673" s="1" t="b">
        <v>0</v>
      </c>
      <c r="Z673" s="1" t="b">
        <v>0</v>
      </c>
      <c r="AA673" s="1"/>
    </row>
    <row r="674" spans="1:27" x14ac:dyDescent="0.25">
      <c r="A674" s="1" t="s">
        <v>1672</v>
      </c>
      <c r="B674" s="2" t="s">
        <v>1845</v>
      </c>
      <c r="C674" s="2" t="s">
        <v>208</v>
      </c>
      <c r="D674" s="6">
        <f t="shared" si="14"/>
        <v>1</v>
      </c>
      <c r="E674" s="7" t="str">
        <f t="shared" si="15"/>
        <v>EpidemiologicalParameter</v>
      </c>
      <c r="F674" s="8" t="b">
        <f>IF(D674&lt;1,FALSE,ISERROR(MATCH(E674,'Ontology and concepts per UC'!$A$2:$A$62,0)))</f>
        <v>0</v>
      </c>
      <c r="G674" s="9" t="str">
        <f t="shared" si="16"/>
        <v/>
      </c>
      <c r="H674" s="9" t="str">
        <f t="shared" si="17"/>
        <v/>
      </c>
      <c r="I674" s="8" t="b">
        <f>IF(D674&lt;2,FALSE,ISERROR(MATCH(H674,'Ontology and concepts per UC'!$A$2:$A$62,0)))</f>
        <v>0</v>
      </c>
      <c r="J674" s="9" t="str">
        <f t="shared" si="18"/>
        <v/>
      </c>
      <c r="K674" s="8" t="b">
        <f>IF(D674&lt;3,FALSE,ISERROR(MATCH(J674,'Ontology and concepts per UC'!$A$2:$A$62,0)))</f>
        <v>0</v>
      </c>
      <c r="L674" s="2" t="s">
        <v>1846</v>
      </c>
      <c r="M674" s="2" t="s">
        <v>1847</v>
      </c>
      <c r="N674" s="2"/>
      <c r="O674" s="1" t="b">
        <v>0</v>
      </c>
      <c r="P674" s="1">
        <v>0</v>
      </c>
      <c r="Q674" s="1">
        <v>0</v>
      </c>
      <c r="R674" s="1" t="b">
        <f t="shared" si="19"/>
        <v>1</v>
      </c>
      <c r="S674" s="2" t="s">
        <v>54</v>
      </c>
      <c r="T674" s="1" t="str">
        <f>IF(S674="","",VLOOKUP(S674,'Ontology and concepts per UC'!$F$2:$J$46,5,FALSE))</f>
        <v>Parámetros de progresión</v>
      </c>
      <c r="U674" s="1" t="b">
        <f t="array" ref="U674">(INDEX('Ontology and concepts per UC'!$G$2:$I$46,MATCH($S674,'Ontology and concepts per UC'!$F$2:$F$46,0),MATCH(LEFT($A674,3),'Ontology and concepts per UC'!$G$1:$I$1,0))=0)</f>
        <v>0</v>
      </c>
      <c r="V674" s="1" t="b">
        <f t="shared" si="20"/>
        <v>0</v>
      </c>
      <c r="W674" s="1" t="b">
        <v>0</v>
      </c>
      <c r="X674" s="1" t="b">
        <v>0</v>
      </c>
      <c r="Y674" s="1" t="b">
        <v>0</v>
      </c>
      <c r="Z674" s="1" t="b">
        <v>0</v>
      </c>
      <c r="AA674" s="1"/>
    </row>
    <row r="675" spans="1:27" x14ac:dyDescent="0.25">
      <c r="A675" s="1" t="s">
        <v>1672</v>
      </c>
      <c r="B675" s="2" t="s">
        <v>1848</v>
      </c>
      <c r="C675" s="2" t="s">
        <v>208</v>
      </c>
      <c r="D675" s="6">
        <f t="shared" si="14"/>
        <v>1</v>
      </c>
      <c r="E675" s="7" t="str">
        <f t="shared" si="15"/>
        <v>EpidemiologicalParameter</v>
      </c>
      <c r="F675" s="8" t="b">
        <f>IF(D675&lt;1,FALSE,ISERROR(MATCH(E675,'Ontology and concepts per UC'!$A$2:$A$62,0)))</f>
        <v>0</v>
      </c>
      <c r="G675" s="9" t="str">
        <f t="shared" si="16"/>
        <v/>
      </c>
      <c r="H675" s="9" t="str">
        <f t="shared" si="17"/>
        <v/>
      </c>
      <c r="I675" s="8" t="b">
        <f>IF(D675&lt;2,FALSE,ISERROR(MATCH(H675,'Ontology and concepts per UC'!$A$2:$A$62,0)))</f>
        <v>0</v>
      </c>
      <c r="J675" s="9" t="str">
        <f t="shared" si="18"/>
        <v/>
      </c>
      <c r="K675" s="8" t="b">
        <f>IF(D675&lt;3,FALSE,ISERROR(MATCH(J675,'Ontology and concepts per UC'!$A$2:$A$62,0)))</f>
        <v>0</v>
      </c>
      <c r="L675" s="2" t="s">
        <v>1849</v>
      </c>
      <c r="M675" s="2" t="s">
        <v>1850</v>
      </c>
      <c r="N675" s="2"/>
      <c r="O675" s="1" t="b">
        <v>0</v>
      </c>
      <c r="P675" s="1">
        <v>0</v>
      </c>
      <c r="Q675" s="1">
        <v>0</v>
      </c>
      <c r="R675" s="1" t="b">
        <f t="shared" si="19"/>
        <v>1</v>
      </c>
      <c r="S675" s="2" t="s">
        <v>54</v>
      </c>
      <c r="T675" s="1" t="str">
        <f>IF(S675="","",VLOOKUP(S675,'Ontology and concepts per UC'!$F$2:$J$46,5,FALSE))</f>
        <v>Parámetros de progresión</v>
      </c>
      <c r="U675" s="1" t="b">
        <f t="array" ref="U675">(INDEX('Ontology and concepts per UC'!$G$2:$I$46,MATCH($S675,'Ontology and concepts per UC'!$F$2:$F$46,0),MATCH(LEFT($A675,3),'Ontology and concepts per UC'!$G$1:$I$1,0))=0)</f>
        <v>0</v>
      </c>
      <c r="V675" s="1" t="b">
        <f t="shared" si="20"/>
        <v>0</v>
      </c>
      <c r="W675" s="1" t="b">
        <v>0</v>
      </c>
      <c r="X675" s="1" t="b">
        <v>0</v>
      </c>
      <c r="Y675" s="1" t="b">
        <v>0</v>
      </c>
      <c r="Z675" s="1" t="b">
        <v>0</v>
      </c>
      <c r="AA675" s="1"/>
    </row>
    <row r="676" spans="1:27" x14ac:dyDescent="0.25">
      <c r="A676" s="1" t="s">
        <v>1672</v>
      </c>
      <c r="B676" s="2" t="s">
        <v>1851</v>
      </c>
      <c r="C676" s="2" t="s">
        <v>208</v>
      </c>
      <c r="D676" s="6">
        <f t="shared" si="14"/>
        <v>1</v>
      </c>
      <c r="E676" s="7" t="str">
        <f t="shared" si="15"/>
        <v>EpidemiologicalParameter</v>
      </c>
      <c r="F676" s="8" t="b">
        <f>IF(D676&lt;1,FALSE,ISERROR(MATCH(E676,'Ontology and concepts per UC'!$A$2:$A$62,0)))</f>
        <v>0</v>
      </c>
      <c r="G676" s="9" t="str">
        <f t="shared" si="16"/>
        <v/>
      </c>
      <c r="H676" s="9" t="str">
        <f t="shared" si="17"/>
        <v/>
      </c>
      <c r="I676" s="8" t="b">
        <f>IF(D676&lt;2,FALSE,ISERROR(MATCH(H676,'Ontology and concepts per UC'!$A$2:$A$62,0)))</f>
        <v>0</v>
      </c>
      <c r="J676" s="9" t="str">
        <f t="shared" si="18"/>
        <v/>
      </c>
      <c r="K676" s="8" t="b">
        <f>IF(D676&lt;3,FALSE,ISERROR(MATCH(J676,'Ontology and concepts per UC'!$A$2:$A$62,0)))</f>
        <v>0</v>
      </c>
      <c r="L676" s="2" t="s">
        <v>1852</v>
      </c>
      <c r="M676" s="2" t="s">
        <v>1853</v>
      </c>
      <c r="N676" s="2"/>
      <c r="O676" s="1" t="b">
        <v>0</v>
      </c>
      <c r="P676" s="1">
        <v>0</v>
      </c>
      <c r="Q676" s="1">
        <v>0</v>
      </c>
      <c r="R676" s="1" t="b">
        <f t="shared" si="19"/>
        <v>1</v>
      </c>
      <c r="S676" s="2" t="s">
        <v>107</v>
      </c>
      <c r="T676" s="1" t="str">
        <f>IF(S676="","",VLOOKUP(S676,'Ontology and concepts per UC'!$F$2:$J$46,5,FALSE))</f>
        <v>Parcial</v>
      </c>
      <c r="U676" s="1" t="b">
        <f t="array" ref="U676">(INDEX('Ontology and concepts per UC'!$G$2:$I$46,MATCH($S676,'Ontology and concepts per UC'!$F$2:$F$46,0),MATCH(LEFT($A676,3),'Ontology and concepts per UC'!$G$1:$I$1,0))=0)</f>
        <v>0</v>
      </c>
      <c r="V676" s="1" t="b">
        <f t="shared" si="20"/>
        <v>0</v>
      </c>
      <c r="W676" s="1" t="b">
        <v>0</v>
      </c>
      <c r="X676" s="1" t="b">
        <v>0</v>
      </c>
      <c r="Y676" s="1" t="b">
        <v>0</v>
      </c>
      <c r="Z676" s="1" t="b">
        <v>0</v>
      </c>
      <c r="AA676" s="1"/>
    </row>
    <row r="677" spans="1:27" x14ac:dyDescent="0.25">
      <c r="A677" s="1" t="s">
        <v>1672</v>
      </c>
      <c r="B677" s="2" t="s">
        <v>1854</v>
      </c>
      <c r="C677" s="2" t="s">
        <v>208</v>
      </c>
      <c r="D677" s="6">
        <f t="shared" si="14"/>
        <v>1</v>
      </c>
      <c r="E677" s="7" t="str">
        <f t="shared" si="15"/>
        <v>EpidemiologicalParameter</v>
      </c>
      <c r="F677" s="8" t="b">
        <f>IF(D677&lt;1,FALSE,ISERROR(MATCH(E677,'Ontology and concepts per UC'!$A$2:$A$62,0)))</f>
        <v>0</v>
      </c>
      <c r="G677" s="9" t="str">
        <f t="shared" si="16"/>
        <v/>
      </c>
      <c r="H677" s="9" t="str">
        <f t="shared" si="17"/>
        <v/>
      </c>
      <c r="I677" s="8" t="b">
        <f>IF(D677&lt;2,FALSE,ISERROR(MATCH(H677,'Ontology and concepts per UC'!$A$2:$A$62,0)))</f>
        <v>0</v>
      </c>
      <c r="J677" s="9" t="str">
        <f t="shared" si="18"/>
        <v/>
      </c>
      <c r="K677" s="8" t="b">
        <f>IF(D677&lt;3,FALSE,ISERROR(MATCH(J677,'Ontology and concepts per UC'!$A$2:$A$62,0)))</f>
        <v>0</v>
      </c>
      <c r="L677" s="2" t="s">
        <v>1855</v>
      </c>
      <c r="M677" s="2" t="s">
        <v>1856</v>
      </c>
      <c r="N677" s="2"/>
      <c r="O677" s="1" t="b">
        <v>0</v>
      </c>
      <c r="P677" s="1">
        <v>0</v>
      </c>
      <c r="Q677" s="1">
        <v>0</v>
      </c>
      <c r="R677" s="1" t="b">
        <f t="shared" si="19"/>
        <v>1</v>
      </c>
      <c r="S677" s="2" t="s">
        <v>367</v>
      </c>
      <c r="T677" s="1" t="str">
        <f>IF(S677="","",VLOOKUP(S677,'Ontology and concepts per UC'!$F$2:$J$46,5,FALSE))</f>
        <v>Parámetros de progresión</v>
      </c>
      <c r="U677" s="1" t="b">
        <f t="array" ref="U677">(INDEX('Ontology and concepts per UC'!$G$2:$I$46,MATCH($S677,'Ontology and concepts per UC'!$F$2:$F$46,0),MATCH(LEFT($A677,3),'Ontology and concepts per UC'!$G$1:$I$1,0))=0)</f>
        <v>0</v>
      </c>
      <c r="V677" s="1" t="b">
        <f t="shared" si="20"/>
        <v>0</v>
      </c>
      <c r="W677" s="1" t="b">
        <v>0</v>
      </c>
      <c r="X677" s="1" t="b">
        <v>0</v>
      </c>
      <c r="Y677" s="1" t="b">
        <v>0</v>
      </c>
      <c r="Z677" s="1" t="b">
        <v>0</v>
      </c>
      <c r="AA677" s="1"/>
    </row>
    <row r="678" spans="1:27" x14ac:dyDescent="0.25">
      <c r="A678" s="1" t="s">
        <v>1672</v>
      </c>
      <c r="B678" s="2" t="s">
        <v>1857</v>
      </c>
      <c r="C678" s="2" t="s">
        <v>208</v>
      </c>
      <c r="D678" s="6">
        <f t="shared" si="14"/>
        <v>1</v>
      </c>
      <c r="E678" s="7" t="str">
        <f t="shared" si="15"/>
        <v>EpidemiologicalParameter</v>
      </c>
      <c r="F678" s="8" t="b">
        <f>IF(D678&lt;1,FALSE,ISERROR(MATCH(E678,'Ontology and concepts per UC'!$A$2:$A$62,0)))</f>
        <v>0</v>
      </c>
      <c r="G678" s="9" t="str">
        <f t="shared" si="16"/>
        <v/>
      </c>
      <c r="H678" s="9" t="str">
        <f t="shared" si="17"/>
        <v/>
      </c>
      <c r="I678" s="8" t="b">
        <f>IF(D678&lt;2,FALSE,ISERROR(MATCH(H678,'Ontology and concepts per UC'!$A$2:$A$62,0)))</f>
        <v>0</v>
      </c>
      <c r="J678" s="9" t="str">
        <f t="shared" si="18"/>
        <v/>
      </c>
      <c r="K678" s="8" t="b">
        <f>IF(D678&lt;3,FALSE,ISERROR(MATCH(J678,'Ontology and concepts per UC'!$A$2:$A$62,0)))</f>
        <v>0</v>
      </c>
      <c r="L678" s="2" t="s">
        <v>1858</v>
      </c>
      <c r="M678" s="2" t="s">
        <v>1859</v>
      </c>
      <c r="N678" s="2"/>
      <c r="O678" s="1" t="b">
        <v>0</v>
      </c>
      <c r="P678" s="1">
        <v>0</v>
      </c>
      <c r="Q678" s="1">
        <v>0</v>
      </c>
      <c r="R678" s="1" t="b">
        <f t="shared" si="19"/>
        <v>1</v>
      </c>
      <c r="S678" s="2" t="s">
        <v>367</v>
      </c>
      <c r="T678" s="1" t="str">
        <f>IF(S678="","",VLOOKUP(S678,'Ontology and concepts per UC'!$F$2:$J$46,5,FALSE))</f>
        <v>Parámetros de progresión</v>
      </c>
      <c r="U678" s="1" t="b">
        <f t="array" ref="U678">(INDEX('Ontology and concepts per UC'!$G$2:$I$46,MATCH($S678,'Ontology and concepts per UC'!$F$2:$F$46,0),MATCH(LEFT($A678,3),'Ontology and concepts per UC'!$G$1:$I$1,0))=0)</f>
        <v>0</v>
      </c>
      <c r="V678" s="1" t="b">
        <f t="shared" si="20"/>
        <v>0</v>
      </c>
      <c r="W678" s="1" t="b">
        <v>0</v>
      </c>
      <c r="X678" s="1" t="b">
        <v>0</v>
      </c>
      <c r="Y678" s="1" t="b">
        <v>0</v>
      </c>
      <c r="Z678" s="1" t="b">
        <v>0</v>
      </c>
      <c r="AA678" s="1"/>
    </row>
    <row r="679" spans="1:27" x14ac:dyDescent="0.25">
      <c r="A679" s="1" t="s">
        <v>1672</v>
      </c>
      <c r="B679" s="2" t="s">
        <v>1860</v>
      </c>
      <c r="C679" s="2" t="s">
        <v>208</v>
      </c>
      <c r="D679" s="6">
        <f t="shared" si="14"/>
        <v>1</v>
      </c>
      <c r="E679" s="7" t="str">
        <f t="shared" si="15"/>
        <v>EpidemiologicalParameter</v>
      </c>
      <c r="F679" s="8" t="b">
        <f>IF(D679&lt;1,FALSE,ISERROR(MATCH(E679,'Ontology and concepts per UC'!$A$2:$A$62,0)))</f>
        <v>0</v>
      </c>
      <c r="G679" s="9" t="str">
        <f t="shared" si="16"/>
        <v/>
      </c>
      <c r="H679" s="9" t="str">
        <f t="shared" si="17"/>
        <v/>
      </c>
      <c r="I679" s="8" t="b">
        <f>IF(D679&lt;2,FALSE,ISERROR(MATCH(H679,'Ontology and concepts per UC'!$A$2:$A$62,0)))</f>
        <v>0</v>
      </c>
      <c r="J679" s="9" t="str">
        <f t="shared" si="18"/>
        <v/>
      </c>
      <c r="K679" s="8" t="b">
        <f>IF(D679&lt;3,FALSE,ISERROR(MATCH(J679,'Ontology and concepts per UC'!$A$2:$A$62,0)))</f>
        <v>0</v>
      </c>
      <c r="L679" s="2" t="s">
        <v>1861</v>
      </c>
      <c r="M679" s="2" t="s">
        <v>1862</v>
      </c>
      <c r="N679" s="2"/>
      <c r="O679" s="1" t="b">
        <v>0</v>
      </c>
      <c r="P679" s="1">
        <v>0</v>
      </c>
      <c r="Q679" s="1">
        <v>0</v>
      </c>
      <c r="R679" s="1" t="b">
        <f t="shared" si="19"/>
        <v>1</v>
      </c>
      <c r="S679" s="2" t="s">
        <v>107</v>
      </c>
      <c r="T679" s="1" t="str">
        <f>IF(S679="","",VLOOKUP(S679,'Ontology and concepts per UC'!$F$2:$J$46,5,FALSE))</f>
        <v>Parcial</v>
      </c>
      <c r="U679" s="1" t="b">
        <f t="array" ref="U679">(INDEX('Ontology and concepts per UC'!$G$2:$I$46,MATCH($S679,'Ontology and concepts per UC'!$F$2:$F$46,0),MATCH(LEFT($A679,3),'Ontology and concepts per UC'!$G$1:$I$1,0))=0)</f>
        <v>0</v>
      </c>
      <c r="V679" s="1" t="b">
        <f t="shared" si="20"/>
        <v>0</v>
      </c>
      <c r="W679" s="1" t="b">
        <v>0</v>
      </c>
      <c r="X679" s="1" t="b">
        <v>0</v>
      </c>
      <c r="Y679" s="1" t="b">
        <v>0</v>
      </c>
      <c r="Z679" s="1" t="b">
        <v>0</v>
      </c>
      <c r="AA679" s="1"/>
    </row>
    <row r="680" spans="1:27" x14ac:dyDescent="0.25">
      <c r="A680" s="1" t="s">
        <v>1672</v>
      </c>
      <c r="B680" s="2" t="s">
        <v>1863</v>
      </c>
      <c r="C680" s="2" t="s">
        <v>208</v>
      </c>
      <c r="D680" s="6">
        <f t="shared" si="14"/>
        <v>1</v>
      </c>
      <c r="E680" s="7" t="str">
        <f t="shared" si="15"/>
        <v>EpidemiologicalParameter</v>
      </c>
      <c r="F680" s="8" t="b">
        <f>IF(D680&lt;1,FALSE,ISERROR(MATCH(E680,'Ontology and concepts per UC'!$A$2:$A$62,0)))</f>
        <v>0</v>
      </c>
      <c r="G680" s="9" t="str">
        <f t="shared" si="16"/>
        <v/>
      </c>
      <c r="H680" s="9" t="str">
        <f t="shared" si="17"/>
        <v/>
      </c>
      <c r="I680" s="8" t="b">
        <f>IF(D680&lt;2,FALSE,ISERROR(MATCH(H680,'Ontology and concepts per UC'!$A$2:$A$62,0)))</f>
        <v>0</v>
      </c>
      <c r="J680" s="9" t="str">
        <f t="shared" si="18"/>
        <v/>
      </c>
      <c r="K680" s="8" t="b">
        <f>IF(D680&lt;3,FALSE,ISERROR(MATCH(J680,'Ontology and concepts per UC'!$A$2:$A$62,0)))</f>
        <v>0</v>
      </c>
      <c r="L680" s="2" t="s">
        <v>1864</v>
      </c>
      <c r="M680" s="2" t="s">
        <v>1865</v>
      </c>
      <c r="N680" s="2"/>
      <c r="O680" s="1" t="b">
        <v>0</v>
      </c>
      <c r="P680" s="1">
        <v>0</v>
      </c>
      <c r="Q680" s="1">
        <v>0</v>
      </c>
      <c r="R680" s="1" t="b">
        <f t="shared" si="19"/>
        <v>1</v>
      </c>
      <c r="S680" s="2" t="s">
        <v>367</v>
      </c>
      <c r="T680" s="1" t="str">
        <f>IF(S680="","",VLOOKUP(S680,'Ontology and concepts per UC'!$F$2:$J$46,5,FALSE))</f>
        <v>Parámetros de progresión</v>
      </c>
      <c r="U680" s="1" t="b">
        <f t="array" ref="U680">(INDEX('Ontology and concepts per UC'!$G$2:$I$46,MATCH($S680,'Ontology and concepts per UC'!$F$2:$F$46,0),MATCH(LEFT($A680,3),'Ontology and concepts per UC'!$G$1:$I$1,0))=0)</f>
        <v>0</v>
      </c>
      <c r="V680" s="1" t="b">
        <f t="shared" si="20"/>
        <v>0</v>
      </c>
      <c r="W680" s="1" t="b">
        <v>0</v>
      </c>
      <c r="X680" s="1" t="b">
        <v>0</v>
      </c>
      <c r="Y680" s="1" t="b">
        <v>0</v>
      </c>
      <c r="Z680" s="1" t="b">
        <v>0</v>
      </c>
      <c r="AA680" s="1"/>
    </row>
    <row r="681" spans="1:27" x14ac:dyDescent="0.25">
      <c r="A681" s="1" t="s">
        <v>1672</v>
      </c>
      <c r="B681" s="2" t="s">
        <v>1866</v>
      </c>
      <c r="C681" s="2" t="s">
        <v>208</v>
      </c>
      <c r="D681" s="6">
        <f t="shared" si="14"/>
        <v>1</v>
      </c>
      <c r="E681" s="7" t="str">
        <f t="shared" si="15"/>
        <v>EpidemiologicalParameter</v>
      </c>
      <c r="F681" s="8" t="b">
        <f>IF(D681&lt;1,FALSE,ISERROR(MATCH(E681,'Ontology and concepts per UC'!$A$2:$A$62,0)))</f>
        <v>0</v>
      </c>
      <c r="G681" s="9" t="str">
        <f t="shared" si="16"/>
        <v/>
      </c>
      <c r="H681" s="9" t="str">
        <f t="shared" si="17"/>
        <v/>
      </c>
      <c r="I681" s="8" t="b">
        <f>IF(D681&lt;2,FALSE,ISERROR(MATCH(H681,'Ontology and concepts per UC'!$A$2:$A$62,0)))</f>
        <v>0</v>
      </c>
      <c r="J681" s="9" t="str">
        <f t="shared" si="18"/>
        <v/>
      </c>
      <c r="K681" s="8" t="b">
        <f>IF(D681&lt;3,FALSE,ISERROR(MATCH(J681,'Ontology and concepts per UC'!$A$2:$A$62,0)))</f>
        <v>0</v>
      </c>
      <c r="L681" s="2" t="s">
        <v>1867</v>
      </c>
      <c r="M681" s="2" t="s">
        <v>1868</v>
      </c>
      <c r="N681" s="2"/>
      <c r="O681" s="1" t="b">
        <v>0</v>
      </c>
      <c r="P681" s="1">
        <v>0</v>
      </c>
      <c r="Q681" s="1">
        <v>0</v>
      </c>
      <c r="R681" s="1" t="b">
        <f t="shared" si="19"/>
        <v>1</v>
      </c>
      <c r="S681" s="2" t="s">
        <v>367</v>
      </c>
      <c r="T681" s="1" t="str">
        <f>IF(S681="","",VLOOKUP(S681,'Ontology and concepts per UC'!$F$2:$J$46,5,FALSE))</f>
        <v>Parámetros de progresión</v>
      </c>
      <c r="U681" s="1" t="b">
        <f t="array" ref="U681">(INDEX('Ontology and concepts per UC'!$G$2:$I$46,MATCH($S681,'Ontology and concepts per UC'!$F$2:$F$46,0),MATCH(LEFT($A681,3),'Ontology and concepts per UC'!$G$1:$I$1,0))=0)</f>
        <v>0</v>
      </c>
      <c r="V681" s="1" t="b">
        <f t="shared" si="20"/>
        <v>0</v>
      </c>
      <c r="W681" s="1" t="b">
        <v>0</v>
      </c>
      <c r="X681" s="1" t="b">
        <v>0</v>
      </c>
      <c r="Y681" s="1" t="b">
        <v>0</v>
      </c>
      <c r="Z681" s="1" t="b">
        <v>0</v>
      </c>
      <c r="AA681" s="1"/>
    </row>
    <row r="682" spans="1:27" x14ac:dyDescent="0.25">
      <c r="A682" s="1" t="s">
        <v>1672</v>
      </c>
      <c r="B682" s="2" t="s">
        <v>1869</v>
      </c>
      <c r="C682" s="2" t="s">
        <v>208</v>
      </c>
      <c r="D682" s="6">
        <f t="shared" si="14"/>
        <v>1</v>
      </c>
      <c r="E682" s="7" t="str">
        <f t="shared" si="15"/>
        <v>EpidemiologicalParameter</v>
      </c>
      <c r="F682" s="8" t="b">
        <f>IF(D682&lt;1,FALSE,ISERROR(MATCH(E682,'Ontology and concepts per UC'!$A$2:$A$62,0)))</f>
        <v>0</v>
      </c>
      <c r="G682" s="9" t="str">
        <f t="shared" si="16"/>
        <v/>
      </c>
      <c r="H682" s="9" t="str">
        <f t="shared" si="17"/>
        <v/>
      </c>
      <c r="I682" s="8" t="b">
        <f>IF(D682&lt;2,FALSE,ISERROR(MATCH(H682,'Ontology and concepts per UC'!$A$2:$A$62,0)))</f>
        <v>0</v>
      </c>
      <c r="J682" s="9" t="str">
        <f t="shared" si="18"/>
        <v/>
      </c>
      <c r="K682" s="8" t="b">
        <f>IF(D682&lt;3,FALSE,ISERROR(MATCH(J682,'Ontology and concepts per UC'!$A$2:$A$62,0)))</f>
        <v>0</v>
      </c>
      <c r="L682" s="2" t="s">
        <v>1870</v>
      </c>
      <c r="M682" s="2" t="s">
        <v>1871</v>
      </c>
      <c r="N682" s="2"/>
      <c r="O682" s="1" t="b">
        <v>0</v>
      </c>
      <c r="P682" s="1">
        <v>0</v>
      </c>
      <c r="Q682" s="1">
        <v>0</v>
      </c>
      <c r="R682" s="1" t="b">
        <f t="shared" si="19"/>
        <v>1</v>
      </c>
      <c r="S682" s="2" t="s">
        <v>107</v>
      </c>
      <c r="T682" s="1" t="str">
        <f>IF(S682="","",VLOOKUP(S682,'Ontology and concepts per UC'!$F$2:$J$46,5,FALSE))</f>
        <v>Parcial</v>
      </c>
      <c r="U682" s="1" t="b">
        <f t="array" ref="U682">(INDEX('Ontology and concepts per UC'!$G$2:$I$46,MATCH($S682,'Ontology and concepts per UC'!$F$2:$F$46,0),MATCH(LEFT($A682,3),'Ontology and concepts per UC'!$G$1:$I$1,0))=0)</f>
        <v>0</v>
      </c>
      <c r="V682" s="1" t="b">
        <f t="shared" si="20"/>
        <v>0</v>
      </c>
      <c r="W682" s="1" t="b">
        <v>0</v>
      </c>
      <c r="X682" s="1" t="b">
        <v>0</v>
      </c>
      <c r="Y682" s="1" t="b">
        <v>0</v>
      </c>
      <c r="Z682" s="1" t="b">
        <v>0</v>
      </c>
      <c r="AA682" s="1"/>
    </row>
    <row r="683" spans="1:27" x14ac:dyDescent="0.25">
      <c r="A683" s="1" t="s">
        <v>1672</v>
      </c>
      <c r="B683" s="2" t="s">
        <v>1872</v>
      </c>
      <c r="C683" s="2" t="s">
        <v>208</v>
      </c>
      <c r="D683" s="6">
        <f t="shared" si="14"/>
        <v>1</v>
      </c>
      <c r="E683" s="7" t="str">
        <f t="shared" si="15"/>
        <v>EpidemiologicalParameter</v>
      </c>
      <c r="F683" s="8" t="b">
        <f>IF(D683&lt;1,FALSE,ISERROR(MATCH(E683,'Ontology and concepts per UC'!$A$2:$A$62,0)))</f>
        <v>0</v>
      </c>
      <c r="G683" s="9" t="str">
        <f t="shared" si="16"/>
        <v/>
      </c>
      <c r="H683" s="9" t="str">
        <f t="shared" si="17"/>
        <v/>
      </c>
      <c r="I683" s="8" t="b">
        <f>IF(D683&lt;2,FALSE,ISERROR(MATCH(H683,'Ontology and concepts per UC'!$A$2:$A$62,0)))</f>
        <v>0</v>
      </c>
      <c r="J683" s="9" t="str">
        <f t="shared" si="18"/>
        <v/>
      </c>
      <c r="K683" s="8" t="b">
        <f>IF(D683&lt;3,FALSE,ISERROR(MATCH(J683,'Ontology and concepts per UC'!$A$2:$A$62,0)))</f>
        <v>0</v>
      </c>
      <c r="L683" s="2" t="s">
        <v>1873</v>
      </c>
      <c r="M683" s="2" t="s">
        <v>1874</v>
      </c>
      <c r="N683" s="2"/>
      <c r="O683" s="1" t="b">
        <v>0</v>
      </c>
      <c r="P683" s="1">
        <v>0</v>
      </c>
      <c r="Q683" s="1">
        <v>0</v>
      </c>
      <c r="R683" s="1" t="b">
        <f t="shared" si="19"/>
        <v>1</v>
      </c>
      <c r="S683" s="2" t="s">
        <v>50</v>
      </c>
      <c r="T683" s="1" t="str">
        <f>IF(S683="","",VLOOKUP(S683,'Ontology and concepts per UC'!$F$2:$J$46,5,FALSE))</f>
        <v>Parámetros de progresión</v>
      </c>
      <c r="U683" s="1" t="b">
        <f t="array" ref="U683">(INDEX('Ontology and concepts per UC'!$G$2:$I$46,MATCH($S683,'Ontology and concepts per UC'!$F$2:$F$46,0),MATCH(LEFT($A683,3),'Ontology and concepts per UC'!$G$1:$I$1,0))=0)</f>
        <v>0</v>
      </c>
      <c r="V683" s="1" t="b">
        <f t="shared" si="20"/>
        <v>1</v>
      </c>
      <c r="W683" s="1" t="b">
        <v>0</v>
      </c>
      <c r="X683" s="1" t="b">
        <v>0</v>
      </c>
      <c r="Y683" s="1" t="b">
        <v>0</v>
      </c>
      <c r="Z683" s="1" t="b">
        <v>1</v>
      </c>
      <c r="AA683" s="1" t="s">
        <v>1111</v>
      </c>
    </row>
    <row r="684" spans="1:27" x14ac:dyDescent="0.25">
      <c r="A684" s="1" t="s">
        <v>1672</v>
      </c>
      <c r="B684" s="2" t="s">
        <v>1875</v>
      </c>
      <c r="C684" s="2" t="s">
        <v>208</v>
      </c>
      <c r="D684" s="6">
        <f t="shared" si="14"/>
        <v>1</v>
      </c>
      <c r="E684" s="7" t="str">
        <f t="shared" si="15"/>
        <v>EpidemiologicalParameter</v>
      </c>
      <c r="F684" s="8" t="b">
        <f>IF(D684&lt;1,FALSE,ISERROR(MATCH(E684,'Ontology and concepts per UC'!$A$2:$A$62,0)))</f>
        <v>0</v>
      </c>
      <c r="G684" s="9" t="str">
        <f t="shared" si="16"/>
        <v/>
      </c>
      <c r="H684" s="9" t="str">
        <f t="shared" si="17"/>
        <v/>
      </c>
      <c r="I684" s="8" t="b">
        <f>IF(D684&lt;2,FALSE,ISERROR(MATCH(H684,'Ontology and concepts per UC'!$A$2:$A$62,0)))</f>
        <v>0</v>
      </c>
      <c r="J684" s="9" t="str">
        <f t="shared" si="18"/>
        <v/>
      </c>
      <c r="K684" s="8" t="b">
        <f>IF(D684&lt;3,FALSE,ISERROR(MATCH(J684,'Ontology and concepts per UC'!$A$2:$A$62,0)))</f>
        <v>0</v>
      </c>
      <c r="L684" s="2" t="s">
        <v>1876</v>
      </c>
      <c r="M684" s="2" t="s">
        <v>1877</v>
      </c>
      <c r="N684" s="2"/>
      <c r="O684" s="1" t="b">
        <v>0</v>
      </c>
      <c r="P684" s="1">
        <v>0</v>
      </c>
      <c r="Q684" s="1">
        <v>0</v>
      </c>
      <c r="R684" s="1" t="b">
        <f t="shared" si="19"/>
        <v>1</v>
      </c>
      <c r="S684" s="2" t="s">
        <v>50</v>
      </c>
      <c r="T684" s="1" t="str">
        <f>IF(S684="","",VLOOKUP(S684,'Ontology and concepts per UC'!$F$2:$J$46,5,FALSE))</f>
        <v>Parámetros de progresión</v>
      </c>
      <c r="U684" s="1" t="b">
        <f t="array" ref="U684">(INDEX('Ontology and concepts per UC'!$G$2:$I$46,MATCH($S684,'Ontology and concepts per UC'!$F$2:$F$46,0),MATCH(LEFT($A684,3),'Ontology and concepts per UC'!$G$1:$I$1,0))=0)</f>
        <v>0</v>
      </c>
      <c r="V684" s="1" t="b">
        <f t="shared" si="20"/>
        <v>1</v>
      </c>
      <c r="W684" s="1" t="b">
        <v>0</v>
      </c>
      <c r="X684" s="1" t="b">
        <v>0</v>
      </c>
      <c r="Y684" s="1" t="b">
        <v>0</v>
      </c>
      <c r="Z684" s="1" t="b">
        <v>1</v>
      </c>
      <c r="AA684" s="1" t="s">
        <v>197</v>
      </c>
    </row>
    <row r="685" spans="1:27" x14ac:dyDescent="0.25">
      <c r="A685" s="1" t="s">
        <v>1672</v>
      </c>
      <c r="B685" s="2" t="s">
        <v>1878</v>
      </c>
      <c r="C685" s="2" t="s">
        <v>208</v>
      </c>
      <c r="D685" s="6">
        <f t="shared" si="14"/>
        <v>1</v>
      </c>
      <c r="E685" s="7" t="str">
        <f t="shared" si="15"/>
        <v>EpidemiologicalParameter</v>
      </c>
      <c r="F685" s="8" t="b">
        <f>IF(D685&lt;1,FALSE,ISERROR(MATCH(E685,'Ontology and concepts per UC'!$A$2:$A$62,0)))</f>
        <v>0</v>
      </c>
      <c r="G685" s="9" t="str">
        <f t="shared" si="16"/>
        <v/>
      </c>
      <c r="H685" s="9" t="str">
        <f t="shared" si="17"/>
        <v/>
      </c>
      <c r="I685" s="8" t="b">
        <f>IF(D685&lt;2,FALSE,ISERROR(MATCH(H685,'Ontology and concepts per UC'!$A$2:$A$62,0)))</f>
        <v>0</v>
      </c>
      <c r="J685" s="9" t="str">
        <f t="shared" si="18"/>
        <v/>
      </c>
      <c r="K685" s="8" t="b">
        <f>IF(D685&lt;3,FALSE,ISERROR(MATCH(J685,'Ontology and concepts per UC'!$A$2:$A$62,0)))</f>
        <v>0</v>
      </c>
      <c r="L685" s="2" t="s">
        <v>1879</v>
      </c>
      <c r="M685" s="2" t="s">
        <v>1880</v>
      </c>
      <c r="N685" s="2"/>
      <c r="O685" s="1" t="b">
        <v>0</v>
      </c>
      <c r="P685" s="1">
        <v>0</v>
      </c>
      <c r="Q685" s="1">
        <v>0</v>
      </c>
      <c r="R685" s="1" t="b">
        <f t="shared" si="19"/>
        <v>1</v>
      </c>
      <c r="S685" s="2" t="s">
        <v>107</v>
      </c>
      <c r="T685" s="1" t="str">
        <f>IF(S685="","",VLOOKUP(S685,'Ontology and concepts per UC'!$F$2:$J$46,5,FALSE))</f>
        <v>Parcial</v>
      </c>
      <c r="U685" s="1" t="b">
        <f t="array" ref="U685">(INDEX('Ontology and concepts per UC'!$G$2:$I$46,MATCH($S685,'Ontology and concepts per UC'!$F$2:$F$46,0),MATCH(LEFT($A685,3),'Ontology and concepts per UC'!$G$1:$I$1,0))=0)</f>
        <v>0</v>
      </c>
      <c r="V685" s="1" t="b">
        <f t="shared" si="20"/>
        <v>0</v>
      </c>
      <c r="W685" s="1" t="b">
        <v>0</v>
      </c>
      <c r="X685" s="1" t="b">
        <v>0</v>
      </c>
      <c r="Y685" s="1" t="b">
        <v>0</v>
      </c>
      <c r="Z685" s="1" t="b">
        <v>0</v>
      </c>
      <c r="AA685" s="1"/>
    </row>
    <row r="686" spans="1:27" x14ac:dyDescent="0.25">
      <c r="A686" s="1" t="s">
        <v>1672</v>
      </c>
      <c r="B686" s="2" t="s">
        <v>1881</v>
      </c>
      <c r="C686" s="2" t="s">
        <v>208</v>
      </c>
      <c r="D686" s="6">
        <f t="shared" si="14"/>
        <v>1</v>
      </c>
      <c r="E686" s="7" t="str">
        <f t="shared" si="15"/>
        <v>EpidemiologicalParameter</v>
      </c>
      <c r="F686" s="8" t="b">
        <f>IF(D686&lt;1,FALSE,ISERROR(MATCH(E686,'Ontology and concepts per UC'!$A$2:$A$62,0)))</f>
        <v>0</v>
      </c>
      <c r="G686" s="9" t="str">
        <f t="shared" si="16"/>
        <v/>
      </c>
      <c r="H686" s="9" t="str">
        <f t="shared" si="17"/>
        <v/>
      </c>
      <c r="I686" s="8" t="b">
        <f>IF(D686&lt;2,FALSE,ISERROR(MATCH(H686,'Ontology and concepts per UC'!$A$2:$A$62,0)))</f>
        <v>0</v>
      </c>
      <c r="J686" s="9" t="str">
        <f t="shared" si="18"/>
        <v/>
      </c>
      <c r="K686" s="8" t="b">
        <f>IF(D686&lt;3,FALSE,ISERROR(MATCH(J686,'Ontology and concepts per UC'!$A$2:$A$62,0)))</f>
        <v>0</v>
      </c>
      <c r="L686" s="2" t="s">
        <v>1641</v>
      </c>
      <c r="M686" s="2" t="s">
        <v>1882</v>
      </c>
      <c r="N686" s="2"/>
      <c r="O686" s="1" t="b">
        <v>0</v>
      </c>
      <c r="P686" s="1">
        <v>0</v>
      </c>
      <c r="Q686" s="1">
        <v>0</v>
      </c>
      <c r="R686" s="1" t="b">
        <f t="shared" si="19"/>
        <v>1</v>
      </c>
      <c r="S686" s="2" t="s">
        <v>38</v>
      </c>
      <c r="T686" s="1" t="str">
        <f>IF(S686="","",VLOOKUP(S686,'Ontology and concepts per UC'!$F$2:$J$46,5,FALSE))</f>
        <v>Parámetro epidemiológico</v>
      </c>
      <c r="U686" s="1" t="b">
        <f t="array" ref="U686">(INDEX('Ontology and concepts per UC'!$G$2:$I$46,MATCH($S686,'Ontology and concepts per UC'!$F$2:$F$46,0),MATCH(LEFT($A686,3),'Ontology and concepts per UC'!$G$1:$I$1,0))=0)</f>
        <v>0</v>
      </c>
      <c r="V686" s="1" t="b">
        <f t="shared" si="20"/>
        <v>0</v>
      </c>
      <c r="W686" s="1" t="b">
        <v>0</v>
      </c>
      <c r="X686" s="1" t="b">
        <v>0</v>
      </c>
      <c r="Y686" s="1" t="b">
        <v>0</v>
      </c>
      <c r="Z686" s="1" t="b">
        <v>0</v>
      </c>
      <c r="AA686" s="1"/>
    </row>
    <row r="687" spans="1:27" x14ac:dyDescent="0.25">
      <c r="A687" s="1" t="s">
        <v>1672</v>
      </c>
      <c r="B687" s="2" t="s">
        <v>1883</v>
      </c>
      <c r="C687" s="2" t="s">
        <v>208</v>
      </c>
      <c r="D687" s="6">
        <f t="shared" si="14"/>
        <v>1</v>
      </c>
      <c r="E687" s="7" t="str">
        <f t="shared" si="15"/>
        <v>EpidemiologicalParameter</v>
      </c>
      <c r="F687" s="8" t="b">
        <f>IF(D687&lt;1,FALSE,ISERROR(MATCH(E687,'Ontology and concepts per UC'!$A$2:$A$62,0)))</f>
        <v>0</v>
      </c>
      <c r="G687" s="9" t="str">
        <f t="shared" si="16"/>
        <v/>
      </c>
      <c r="H687" s="9" t="str">
        <f t="shared" si="17"/>
        <v/>
      </c>
      <c r="I687" s="8" t="b">
        <f>IF(D687&lt;2,FALSE,ISERROR(MATCH(H687,'Ontology and concepts per UC'!$A$2:$A$62,0)))</f>
        <v>0</v>
      </c>
      <c r="J687" s="9" t="str">
        <f t="shared" si="18"/>
        <v/>
      </c>
      <c r="K687" s="8" t="b">
        <f>IF(D687&lt;3,FALSE,ISERROR(MATCH(J687,'Ontology and concepts per UC'!$A$2:$A$62,0)))</f>
        <v>0</v>
      </c>
      <c r="L687" s="2" t="s">
        <v>1884</v>
      </c>
      <c r="M687" s="2" t="s">
        <v>1885</v>
      </c>
      <c r="N687" s="2"/>
      <c r="O687" s="1" t="b">
        <v>0</v>
      </c>
      <c r="P687" s="1">
        <v>0</v>
      </c>
      <c r="Q687" s="1">
        <v>0</v>
      </c>
      <c r="R687" s="1" t="b">
        <f t="shared" si="19"/>
        <v>1</v>
      </c>
      <c r="S687" s="2" t="s">
        <v>367</v>
      </c>
      <c r="T687" s="1" t="str">
        <f>IF(S687="","",VLOOKUP(S687,'Ontology and concepts per UC'!$F$2:$J$46,5,FALSE))</f>
        <v>Parámetros de progresión</v>
      </c>
      <c r="U687" s="1" t="b">
        <f t="array" ref="U687">(INDEX('Ontology and concepts per UC'!$G$2:$I$46,MATCH($S687,'Ontology and concepts per UC'!$F$2:$F$46,0),MATCH(LEFT($A687,3),'Ontology and concepts per UC'!$G$1:$I$1,0))=0)</f>
        <v>0</v>
      </c>
      <c r="V687" s="1" t="b">
        <f t="shared" si="20"/>
        <v>0</v>
      </c>
      <c r="W687" s="1" t="b">
        <v>0</v>
      </c>
      <c r="X687" s="1" t="b">
        <v>0</v>
      </c>
      <c r="Y687" s="1" t="b">
        <v>0</v>
      </c>
      <c r="Z687" s="1" t="b">
        <v>0</v>
      </c>
      <c r="AA687" s="1"/>
    </row>
    <row r="688" spans="1:27" x14ac:dyDescent="0.25">
      <c r="A688" s="1" t="s">
        <v>1672</v>
      </c>
      <c r="B688" s="2" t="s">
        <v>1886</v>
      </c>
      <c r="C688" s="2" t="s">
        <v>208</v>
      </c>
      <c r="D688" s="6">
        <f t="shared" si="14"/>
        <v>1</v>
      </c>
      <c r="E688" s="7" t="str">
        <f t="shared" si="15"/>
        <v>EpidemiologicalParameter</v>
      </c>
      <c r="F688" s="8" t="b">
        <f>IF(D688&lt;1,FALSE,ISERROR(MATCH(E688,'Ontology and concepts per UC'!$A$2:$A$62,0)))</f>
        <v>0</v>
      </c>
      <c r="G688" s="9" t="str">
        <f t="shared" si="16"/>
        <v/>
      </c>
      <c r="H688" s="9" t="str">
        <f t="shared" si="17"/>
        <v/>
      </c>
      <c r="I688" s="8" t="b">
        <f>IF(D688&lt;2,FALSE,ISERROR(MATCH(H688,'Ontology and concepts per UC'!$A$2:$A$62,0)))</f>
        <v>0</v>
      </c>
      <c r="J688" s="9" t="str">
        <f t="shared" si="18"/>
        <v/>
      </c>
      <c r="K688" s="8" t="b">
        <f>IF(D688&lt;3,FALSE,ISERROR(MATCH(J688,'Ontology and concepts per UC'!$A$2:$A$62,0)))</f>
        <v>0</v>
      </c>
      <c r="L688" s="2" t="s">
        <v>1887</v>
      </c>
      <c r="M688" s="2" t="s">
        <v>1888</v>
      </c>
      <c r="N688" s="2"/>
      <c r="O688" s="1" t="b">
        <v>0</v>
      </c>
      <c r="P688" s="1">
        <v>0</v>
      </c>
      <c r="Q688" s="1">
        <v>0</v>
      </c>
      <c r="R688" s="1" t="b">
        <f t="shared" si="19"/>
        <v>1</v>
      </c>
      <c r="S688" s="2" t="s">
        <v>367</v>
      </c>
      <c r="T688" s="1" t="str">
        <f>IF(S688="","",VLOOKUP(S688,'Ontology and concepts per UC'!$F$2:$J$46,5,FALSE))</f>
        <v>Parámetros de progresión</v>
      </c>
      <c r="U688" s="1" t="b">
        <f t="array" ref="U688">(INDEX('Ontology and concepts per UC'!$G$2:$I$46,MATCH($S688,'Ontology and concepts per UC'!$F$2:$F$46,0),MATCH(LEFT($A688,3),'Ontology and concepts per UC'!$G$1:$I$1,0))=0)</f>
        <v>0</v>
      </c>
      <c r="V688" s="1" t="b">
        <f t="shared" si="20"/>
        <v>0</v>
      </c>
      <c r="W688" s="1" t="b">
        <v>0</v>
      </c>
      <c r="X688" s="1" t="b">
        <v>0</v>
      </c>
      <c r="Y688" s="1" t="b">
        <v>0</v>
      </c>
      <c r="Z688" s="1" t="b">
        <v>0</v>
      </c>
      <c r="AA688" s="1"/>
    </row>
    <row r="689" spans="1:27" x14ac:dyDescent="0.25">
      <c r="A689" s="1" t="s">
        <v>1672</v>
      </c>
      <c r="B689" s="2" t="s">
        <v>1889</v>
      </c>
      <c r="C689" s="2" t="s">
        <v>208</v>
      </c>
      <c r="D689" s="6">
        <f t="shared" si="14"/>
        <v>1</v>
      </c>
      <c r="E689" s="7" t="str">
        <f t="shared" si="15"/>
        <v>EpidemiologicalParameter</v>
      </c>
      <c r="F689" s="8" t="b">
        <f>IF(D689&lt;1,FALSE,ISERROR(MATCH(E689,'Ontology and concepts per UC'!$A$2:$A$62,0)))</f>
        <v>0</v>
      </c>
      <c r="G689" s="9" t="str">
        <f t="shared" si="16"/>
        <v/>
      </c>
      <c r="H689" s="9" t="str">
        <f t="shared" si="17"/>
        <v/>
      </c>
      <c r="I689" s="8" t="b">
        <f>IF(D689&lt;2,FALSE,ISERROR(MATCH(H689,'Ontology and concepts per UC'!$A$2:$A$62,0)))</f>
        <v>0</v>
      </c>
      <c r="J689" s="9" t="str">
        <f t="shared" si="18"/>
        <v/>
      </c>
      <c r="K689" s="8" t="b">
        <f>IF(D689&lt;3,FALSE,ISERROR(MATCH(J689,'Ontology and concepts per UC'!$A$2:$A$62,0)))</f>
        <v>0</v>
      </c>
      <c r="L689" s="2" t="s">
        <v>1890</v>
      </c>
      <c r="M689" s="2" t="s">
        <v>1891</v>
      </c>
      <c r="N689" s="2"/>
      <c r="O689" s="1" t="b">
        <v>0</v>
      </c>
      <c r="P689" s="1">
        <v>0</v>
      </c>
      <c r="Q689" s="1">
        <v>0</v>
      </c>
      <c r="R689" s="1" t="b">
        <f t="shared" si="19"/>
        <v>1</v>
      </c>
      <c r="S689" s="2" t="s">
        <v>107</v>
      </c>
      <c r="T689" s="1" t="str">
        <f>IF(S689="","",VLOOKUP(S689,'Ontology and concepts per UC'!$F$2:$J$46,5,FALSE))</f>
        <v>Parcial</v>
      </c>
      <c r="U689" s="1" t="b">
        <f t="array" ref="U689">(INDEX('Ontology and concepts per UC'!$G$2:$I$46,MATCH($S689,'Ontology and concepts per UC'!$F$2:$F$46,0),MATCH(LEFT($A689,3),'Ontology and concepts per UC'!$G$1:$I$1,0))=0)</f>
        <v>0</v>
      </c>
      <c r="V689" s="1" t="b">
        <f t="shared" si="20"/>
        <v>0</v>
      </c>
      <c r="W689" s="1" t="b">
        <v>0</v>
      </c>
      <c r="X689" s="1" t="b">
        <v>0</v>
      </c>
      <c r="Y689" s="1" t="b">
        <v>0</v>
      </c>
      <c r="Z689" s="1" t="b">
        <v>0</v>
      </c>
      <c r="AA689" s="1"/>
    </row>
    <row r="690" spans="1:27" x14ac:dyDescent="0.25">
      <c r="A690" s="1" t="s">
        <v>1672</v>
      </c>
      <c r="B690" s="2" t="s">
        <v>1892</v>
      </c>
      <c r="C690" s="2" t="s">
        <v>208</v>
      </c>
      <c r="D690" s="6">
        <f t="shared" si="14"/>
        <v>1</v>
      </c>
      <c r="E690" s="7" t="str">
        <f t="shared" si="15"/>
        <v>EpidemiologicalParameter</v>
      </c>
      <c r="F690" s="8" t="b">
        <f>IF(D690&lt;1,FALSE,ISERROR(MATCH(E690,'Ontology and concepts per UC'!$A$2:$A$62,0)))</f>
        <v>0</v>
      </c>
      <c r="G690" s="9" t="str">
        <f t="shared" si="16"/>
        <v/>
      </c>
      <c r="H690" s="9" t="str">
        <f t="shared" si="17"/>
        <v/>
      </c>
      <c r="I690" s="8" t="b">
        <f>IF(D690&lt;2,FALSE,ISERROR(MATCH(H690,'Ontology and concepts per UC'!$A$2:$A$62,0)))</f>
        <v>0</v>
      </c>
      <c r="J690" s="9" t="str">
        <f t="shared" si="18"/>
        <v/>
      </c>
      <c r="K690" s="8" t="b">
        <f>IF(D690&lt;3,FALSE,ISERROR(MATCH(J690,'Ontology and concepts per UC'!$A$2:$A$62,0)))</f>
        <v>0</v>
      </c>
      <c r="L690" s="2" t="s">
        <v>1893</v>
      </c>
      <c r="M690" s="2" t="s">
        <v>1894</v>
      </c>
      <c r="N690" s="2"/>
      <c r="O690" s="1" t="b">
        <v>0</v>
      </c>
      <c r="P690" s="1">
        <v>0</v>
      </c>
      <c r="Q690" s="1">
        <v>0</v>
      </c>
      <c r="R690" s="1" t="b">
        <f t="shared" si="19"/>
        <v>1</v>
      </c>
      <c r="S690" s="2" t="s">
        <v>51</v>
      </c>
      <c r="T690" s="1" t="str">
        <f>IF(S690="","",VLOOKUP(S690,'Ontology and concepts per UC'!$F$2:$J$46,5,FALSE))</f>
        <v>Parámetros de progresión</v>
      </c>
      <c r="U690" s="1" t="b">
        <f t="array" ref="U690">(INDEX('Ontology and concepts per UC'!$G$2:$I$46,MATCH($S690,'Ontology and concepts per UC'!$F$2:$F$46,0),MATCH(LEFT($A690,3),'Ontology and concepts per UC'!$G$1:$I$1,0))=0)</f>
        <v>0</v>
      </c>
      <c r="V690" s="1" t="b">
        <f t="shared" si="20"/>
        <v>0</v>
      </c>
      <c r="W690" s="1" t="b">
        <v>0</v>
      </c>
      <c r="X690" s="1" t="b">
        <v>0</v>
      </c>
      <c r="Y690" s="1" t="b">
        <v>0</v>
      </c>
      <c r="Z690" s="1" t="b">
        <v>0</v>
      </c>
      <c r="AA690" s="1"/>
    </row>
    <row r="691" spans="1:27" x14ac:dyDescent="0.25">
      <c r="A691" s="1" t="s">
        <v>1672</v>
      </c>
      <c r="B691" s="2" t="s">
        <v>1895</v>
      </c>
      <c r="C691" s="2" t="s">
        <v>208</v>
      </c>
      <c r="D691" s="6">
        <f t="shared" si="14"/>
        <v>1</v>
      </c>
      <c r="E691" s="7" t="str">
        <f t="shared" si="15"/>
        <v>EpidemiologicalParameter</v>
      </c>
      <c r="F691" s="8" t="b">
        <f>IF(D691&lt;1,FALSE,ISERROR(MATCH(E691,'Ontology and concepts per UC'!$A$2:$A$62,0)))</f>
        <v>0</v>
      </c>
      <c r="G691" s="9" t="str">
        <f t="shared" si="16"/>
        <v/>
      </c>
      <c r="H691" s="9" t="str">
        <f t="shared" si="17"/>
        <v/>
      </c>
      <c r="I691" s="8" t="b">
        <f>IF(D691&lt;2,FALSE,ISERROR(MATCH(H691,'Ontology and concepts per UC'!$A$2:$A$62,0)))</f>
        <v>0</v>
      </c>
      <c r="J691" s="9" t="str">
        <f t="shared" si="18"/>
        <v/>
      </c>
      <c r="K691" s="8" t="b">
        <f>IF(D691&lt;3,FALSE,ISERROR(MATCH(J691,'Ontology and concepts per UC'!$A$2:$A$62,0)))</f>
        <v>0</v>
      </c>
      <c r="L691" s="2" t="s">
        <v>1896</v>
      </c>
      <c r="M691" s="2" t="s">
        <v>1897</v>
      </c>
      <c r="N691" s="2"/>
      <c r="O691" s="1" t="b">
        <v>0</v>
      </c>
      <c r="P691" s="1">
        <v>0</v>
      </c>
      <c r="Q691" s="1">
        <v>0</v>
      </c>
      <c r="R691" s="1" t="b">
        <f t="shared" si="19"/>
        <v>1</v>
      </c>
      <c r="S691" s="2" t="s">
        <v>107</v>
      </c>
      <c r="T691" s="1" t="str">
        <f>IF(S691="","",VLOOKUP(S691,'Ontology and concepts per UC'!$F$2:$J$46,5,FALSE))</f>
        <v>Parcial</v>
      </c>
      <c r="U691" s="1" t="b">
        <f t="array" ref="U691">(INDEX('Ontology and concepts per UC'!$G$2:$I$46,MATCH($S691,'Ontology and concepts per UC'!$F$2:$F$46,0),MATCH(LEFT($A691,3),'Ontology and concepts per UC'!$G$1:$I$1,0))=0)</f>
        <v>0</v>
      </c>
      <c r="V691" s="1" t="b">
        <f t="shared" si="20"/>
        <v>0</v>
      </c>
      <c r="W691" s="1" t="b">
        <v>0</v>
      </c>
      <c r="X691" s="1" t="b">
        <v>0</v>
      </c>
      <c r="Y691" s="1" t="b">
        <v>0</v>
      </c>
      <c r="Z691" s="1" t="b">
        <v>0</v>
      </c>
      <c r="AA691" s="1"/>
    </row>
    <row r="692" spans="1:27" x14ac:dyDescent="0.25">
      <c r="A692" s="1" t="s">
        <v>1672</v>
      </c>
      <c r="B692" s="2" t="s">
        <v>1898</v>
      </c>
      <c r="C692" s="2" t="s">
        <v>208</v>
      </c>
      <c r="D692" s="6">
        <f t="shared" si="14"/>
        <v>1</v>
      </c>
      <c r="E692" s="7" t="str">
        <f t="shared" si="15"/>
        <v>EpidemiologicalParameter</v>
      </c>
      <c r="F692" s="8" t="b">
        <f>IF(D692&lt;1,FALSE,ISERROR(MATCH(E692,'Ontology and concepts per UC'!$A$2:$A$62,0)))</f>
        <v>0</v>
      </c>
      <c r="G692" s="9" t="str">
        <f t="shared" si="16"/>
        <v/>
      </c>
      <c r="H692" s="9" t="str">
        <f t="shared" si="17"/>
        <v/>
      </c>
      <c r="I692" s="8" t="b">
        <f>IF(D692&lt;2,FALSE,ISERROR(MATCH(H692,'Ontology and concepts per UC'!$A$2:$A$62,0)))</f>
        <v>0</v>
      </c>
      <c r="J692" s="9" t="str">
        <f t="shared" si="18"/>
        <v/>
      </c>
      <c r="K692" s="8" t="b">
        <f>IF(D692&lt;3,FALSE,ISERROR(MATCH(J692,'Ontology and concepts per UC'!$A$2:$A$62,0)))</f>
        <v>0</v>
      </c>
      <c r="L692" s="2" t="s">
        <v>1899</v>
      </c>
      <c r="M692" s="2" t="s">
        <v>1900</v>
      </c>
      <c r="N692" s="2"/>
      <c r="O692" s="1" t="b">
        <v>0</v>
      </c>
      <c r="P692" s="1">
        <v>0</v>
      </c>
      <c r="Q692" s="1">
        <v>0</v>
      </c>
      <c r="R692" s="1" t="b">
        <f t="shared" si="19"/>
        <v>1</v>
      </c>
      <c r="S692" s="2" t="s">
        <v>58</v>
      </c>
      <c r="T692" s="1" t="str">
        <f>IF(S692="","",VLOOKUP(S692,'Ontology and concepts per UC'!$F$2:$J$46,5,FALSE))</f>
        <v>Parámetros de progresión</v>
      </c>
      <c r="U692" s="1" t="b">
        <f t="array" ref="U692">(INDEX('Ontology and concepts per UC'!$G$2:$I$46,MATCH($S692,'Ontology and concepts per UC'!$F$2:$F$46,0),MATCH(LEFT($A692,3),'Ontology and concepts per UC'!$G$1:$I$1,0))=0)</f>
        <v>0</v>
      </c>
      <c r="V692" s="1" t="b">
        <f t="shared" si="20"/>
        <v>1</v>
      </c>
      <c r="W692" s="1" t="b">
        <v>0</v>
      </c>
      <c r="X692" s="1" t="b">
        <v>0</v>
      </c>
      <c r="Y692" s="1" t="b">
        <v>0</v>
      </c>
      <c r="Z692" s="1" t="b">
        <v>1</v>
      </c>
      <c r="AA692" s="1" t="s">
        <v>1111</v>
      </c>
    </row>
    <row r="693" spans="1:27" x14ac:dyDescent="0.25">
      <c r="A693" s="1" t="s">
        <v>1672</v>
      </c>
      <c r="B693" s="2" t="s">
        <v>1901</v>
      </c>
      <c r="C693" s="2" t="s">
        <v>208</v>
      </c>
      <c r="D693" s="6">
        <f t="shared" si="14"/>
        <v>1</v>
      </c>
      <c r="E693" s="7" t="str">
        <f t="shared" si="15"/>
        <v>EpidemiologicalParameter</v>
      </c>
      <c r="F693" s="8" t="b">
        <f>IF(D693&lt;1,FALSE,ISERROR(MATCH(E693,'Ontology and concepts per UC'!$A$2:$A$62,0)))</f>
        <v>0</v>
      </c>
      <c r="G693" s="9" t="str">
        <f t="shared" si="16"/>
        <v/>
      </c>
      <c r="H693" s="9" t="str">
        <f t="shared" si="17"/>
        <v/>
      </c>
      <c r="I693" s="8" t="b">
        <f>IF(D693&lt;2,FALSE,ISERROR(MATCH(H693,'Ontology and concepts per UC'!$A$2:$A$62,0)))</f>
        <v>0</v>
      </c>
      <c r="J693" s="9" t="str">
        <f t="shared" si="18"/>
        <v/>
      </c>
      <c r="K693" s="8" t="b">
        <f>IF(D693&lt;3,FALSE,ISERROR(MATCH(J693,'Ontology and concepts per UC'!$A$2:$A$62,0)))</f>
        <v>0</v>
      </c>
      <c r="L693" s="2" t="s">
        <v>1902</v>
      </c>
      <c r="M693" s="2" t="s">
        <v>1903</v>
      </c>
      <c r="N693" s="2"/>
      <c r="O693" s="1" t="b">
        <v>0</v>
      </c>
      <c r="P693" s="1">
        <v>0</v>
      </c>
      <c r="Q693" s="1">
        <v>0</v>
      </c>
      <c r="R693" s="1" t="b">
        <f t="shared" si="19"/>
        <v>1</v>
      </c>
      <c r="S693" s="2" t="s">
        <v>58</v>
      </c>
      <c r="T693" s="1" t="str">
        <f>IF(S693="","",VLOOKUP(S693,'Ontology and concepts per UC'!$F$2:$J$46,5,FALSE))</f>
        <v>Parámetros de progresión</v>
      </c>
      <c r="U693" s="1" t="b">
        <f t="array" ref="U693">(INDEX('Ontology and concepts per UC'!$G$2:$I$46,MATCH($S693,'Ontology and concepts per UC'!$F$2:$F$46,0),MATCH(LEFT($A693,3),'Ontology and concepts per UC'!$G$1:$I$1,0))=0)</f>
        <v>0</v>
      </c>
      <c r="V693" s="1" t="b">
        <f t="shared" si="20"/>
        <v>1</v>
      </c>
      <c r="W693" s="1" t="b">
        <v>0</v>
      </c>
      <c r="X693" s="1" t="b">
        <v>0</v>
      </c>
      <c r="Y693" s="1" t="b">
        <v>0</v>
      </c>
      <c r="Z693" s="1" t="b">
        <v>1</v>
      </c>
      <c r="AA693" s="1" t="s">
        <v>197</v>
      </c>
    </row>
    <row r="694" spans="1:27" x14ac:dyDescent="0.25">
      <c r="A694" s="1" t="s">
        <v>1672</v>
      </c>
      <c r="B694" s="2" t="s">
        <v>1904</v>
      </c>
      <c r="C694" s="2" t="s">
        <v>208</v>
      </c>
      <c r="D694" s="6">
        <f t="shared" si="14"/>
        <v>1</v>
      </c>
      <c r="E694" s="7" t="str">
        <f t="shared" si="15"/>
        <v>EpidemiologicalParameter</v>
      </c>
      <c r="F694" s="8" t="b">
        <f>IF(D694&lt;1,FALSE,ISERROR(MATCH(E694,'Ontology and concepts per UC'!$A$2:$A$62,0)))</f>
        <v>0</v>
      </c>
      <c r="G694" s="9" t="str">
        <f t="shared" si="16"/>
        <v/>
      </c>
      <c r="H694" s="9" t="str">
        <f t="shared" si="17"/>
        <v/>
      </c>
      <c r="I694" s="8" t="b">
        <f>IF(D694&lt;2,FALSE,ISERROR(MATCH(H694,'Ontology and concepts per UC'!$A$2:$A$62,0)))</f>
        <v>0</v>
      </c>
      <c r="J694" s="9" t="str">
        <f t="shared" si="18"/>
        <v/>
      </c>
      <c r="K694" s="8" t="b">
        <f>IF(D694&lt;3,FALSE,ISERROR(MATCH(J694,'Ontology and concepts per UC'!$A$2:$A$62,0)))</f>
        <v>0</v>
      </c>
      <c r="L694" s="2" t="s">
        <v>1905</v>
      </c>
      <c r="M694" s="2" t="s">
        <v>1906</v>
      </c>
      <c r="N694" s="2"/>
      <c r="O694" s="1" t="b">
        <v>0</v>
      </c>
      <c r="P694" s="1">
        <v>0</v>
      </c>
      <c r="Q694" s="1">
        <v>0</v>
      </c>
      <c r="R694" s="1" t="b">
        <f t="shared" si="19"/>
        <v>1</v>
      </c>
      <c r="S694" s="2" t="s">
        <v>107</v>
      </c>
      <c r="T694" s="1" t="str">
        <f>IF(S694="","",VLOOKUP(S694,'Ontology and concepts per UC'!$F$2:$J$46,5,FALSE))</f>
        <v>Parcial</v>
      </c>
      <c r="U694" s="1" t="b">
        <f t="array" ref="U694">(INDEX('Ontology and concepts per UC'!$G$2:$I$46,MATCH($S694,'Ontology and concepts per UC'!$F$2:$F$46,0),MATCH(LEFT($A694,3),'Ontology and concepts per UC'!$G$1:$I$1,0))=0)</f>
        <v>0</v>
      </c>
      <c r="V694" s="1" t="b">
        <f t="shared" si="20"/>
        <v>0</v>
      </c>
      <c r="W694" s="1" t="b">
        <v>0</v>
      </c>
      <c r="X694" s="1" t="b">
        <v>0</v>
      </c>
      <c r="Y694" s="1" t="b">
        <v>0</v>
      </c>
      <c r="Z694" s="1" t="b">
        <v>0</v>
      </c>
      <c r="AA694" s="1"/>
    </row>
    <row r="695" spans="1:27" x14ac:dyDescent="0.25">
      <c r="A695" s="1" t="s">
        <v>1672</v>
      </c>
      <c r="B695" s="2" t="s">
        <v>1907</v>
      </c>
      <c r="C695" s="2" t="s">
        <v>208</v>
      </c>
      <c r="D695" s="6">
        <f t="shared" si="14"/>
        <v>1</v>
      </c>
      <c r="E695" s="7" t="str">
        <f t="shared" si="15"/>
        <v>EpidemiologicalParameter</v>
      </c>
      <c r="F695" s="8" t="b">
        <f>IF(D695&lt;1,FALSE,ISERROR(MATCH(E695,'Ontology and concepts per UC'!$A$2:$A$62,0)))</f>
        <v>0</v>
      </c>
      <c r="G695" s="9" t="str">
        <f t="shared" si="16"/>
        <v/>
      </c>
      <c r="H695" s="9" t="str">
        <f t="shared" si="17"/>
        <v/>
      </c>
      <c r="I695" s="8" t="b">
        <f>IF(D695&lt;2,FALSE,ISERROR(MATCH(H695,'Ontology and concepts per UC'!$A$2:$A$62,0)))</f>
        <v>0</v>
      </c>
      <c r="J695" s="9" t="str">
        <f t="shared" si="18"/>
        <v/>
      </c>
      <c r="K695" s="8" t="b">
        <f>IF(D695&lt;3,FALSE,ISERROR(MATCH(J695,'Ontology and concepts per UC'!$A$2:$A$62,0)))</f>
        <v>0</v>
      </c>
      <c r="L695" s="2" t="s">
        <v>1908</v>
      </c>
      <c r="M695" s="2" t="s">
        <v>1909</v>
      </c>
      <c r="N695" s="2"/>
      <c r="O695" s="1" t="b">
        <v>0</v>
      </c>
      <c r="P695" s="1">
        <v>0</v>
      </c>
      <c r="Q695" s="1">
        <v>0</v>
      </c>
      <c r="R695" s="1" t="b">
        <f t="shared" si="19"/>
        <v>1</v>
      </c>
      <c r="S695" s="2" t="s">
        <v>367</v>
      </c>
      <c r="T695" s="1" t="str">
        <f>IF(S695="","",VLOOKUP(S695,'Ontology and concepts per UC'!$F$2:$J$46,5,FALSE))</f>
        <v>Parámetros de progresión</v>
      </c>
      <c r="U695" s="1" t="b">
        <f t="array" ref="U695">(INDEX('Ontology and concepts per UC'!$G$2:$I$46,MATCH($S695,'Ontology and concepts per UC'!$F$2:$F$46,0),MATCH(LEFT($A695,3),'Ontology and concepts per UC'!$G$1:$I$1,0))=0)</f>
        <v>0</v>
      </c>
      <c r="V695" s="1" t="b">
        <f t="shared" si="20"/>
        <v>0</v>
      </c>
      <c r="W695" s="1" t="b">
        <v>0</v>
      </c>
      <c r="X695" s="1" t="b">
        <v>0</v>
      </c>
      <c r="Y695" s="1" t="b">
        <v>0</v>
      </c>
      <c r="Z695" s="1" t="b">
        <v>0</v>
      </c>
      <c r="AA695" s="1"/>
    </row>
    <row r="696" spans="1:27" x14ac:dyDescent="0.25">
      <c r="A696" s="1" t="s">
        <v>1672</v>
      </c>
      <c r="B696" s="2" t="s">
        <v>1910</v>
      </c>
      <c r="C696" s="2" t="s">
        <v>208</v>
      </c>
      <c r="D696" s="6">
        <f t="shared" si="14"/>
        <v>1</v>
      </c>
      <c r="E696" s="7" t="str">
        <f t="shared" si="15"/>
        <v>EpidemiologicalParameter</v>
      </c>
      <c r="F696" s="8" t="b">
        <f>IF(D696&lt;1,FALSE,ISERROR(MATCH(E696,'Ontology and concepts per UC'!$A$2:$A$62,0)))</f>
        <v>0</v>
      </c>
      <c r="G696" s="9" t="str">
        <f t="shared" si="16"/>
        <v/>
      </c>
      <c r="H696" s="9" t="str">
        <f t="shared" si="17"/>
        <v/>
      </c>
      <c r="I696" s="8" t="b">
        <f>IF(D696&lt;2,FALSE,ISERROR(MATCH(H696,'Ontology and concepts per UC'!$A$2:$A$62,0)))</f>
        <v>0</v>
      </c>
      <c r="J696" s="9" t="str">
        <f t="shared" si="18"/>
        <v/>
      </c>
      <c r="K696" s="8" t="b">
        <f>IF(D696&lt;3,FALSE,ISERROR(MATCH(J696,'Ontology and concepts per UC'!$A$2:$A$62,0)))</f>
        <v>0</v>
      </c>
      <c r="L696" s="2" t="s">
        <v>1911</v>
      </c>
      <c r="M696" s="2" t="s">
        <v>1912</v>
      </c>
      <c r="N696" s="2"/>
      <c r="O696" s="1" t="b">
        <v>0</v>
      </c>
      <c r="P696" s="1">
        <v>0</v>
      </c>
      <c r="Q696" s="1">
        <v>0</v>
      </c>
      <c r="R696" s="1" t="b">
        <f t="shared" si="19"/>
        <v>1</v>
      </c>
      <c r="S696" s="2" t="s">
        <v>367</v>
      </c>
      <c r="T696" s="1" t="str">
        <f>IF(S696="","",VLOOKUP(S696,'Ontology and concepts per UC'!$F$2:$J$46,5,FALSE))</f>
        <v>Parámetros de progresión</v>
      </c>
      <c r="U696" s="1" t="b">
        <f t="array" ref="U696">(INDEX('Ontology and concepts per UC'!$G$2:$I$46,MATCH($S696,'Ontology and concepts per UC'!$F$2:$F$46,0),MATCH(LEFT($A696,3),'Ontology and concepts per UC'!$G$1:$I$1,0))=0)</f>
        <v>0</v>
      </c>
      <c r="V696" s="1" t="b">
        <f t="shared" si="20"/>
        <v>0</v>
      </c>
      <c r="W696" s="1" t="b">
        <v>0</v>
      </c>
      <c r="X696" s="1" t="b">
        <v>0</v>
      </c>
      <c r="Y696" s="1" t="b">
        <v>0</v>
      </c>
      <c r="Z696" s="1" t="b">
        <v>0</v>
      </c>
      <c r="AA696" s="1"/>
    </row>
    <row r="697" spans="1:27" x14ac:dyDescent="0.25">
      <c r="A697" s="1" t="s">
        <v>1672</v>
      </c>
      <c r="B697" s="2" t="s">
        <v>1913</v>
      </c>
      <c r="C697" s="2" t="s">
        <v>208</v>
      </c>
      <c r="D697" s="6">
        <f t="shared" si="14"/>
        <v>1</v>
      </c>
      <c r="E697" s="7" t="str">
        <f t="shared" si="15"/>
        <v>EpidemiologicalParameter</v>
      </c>
      <c r="F697" s="8" t="b">
        <f>IF(D697&lt;1,FALSE,ISERROR(MATCH(E697,'Ontology and concepts per UC'!$A$2:$A$62,0)))</f>
        <v>0</v>
      </c>
      <c r="G697" s="9" t="str">
        <f t="shared" si="16"/>
        <v/>
      </c>
      <c r="H697" s="9" t="str">
        <f t="shared" si="17"/>
        <v/>
      </c>
      <c r="I697" s="8" t="b">
        <f>IF(D697&lt;2,FALSE,ISERROR(MATCH(H697,'Ontology and concepts per UC'!$A$2:$A$62,0)))</f>
        <v>0</v>
      </c>
      <c r="J697" s="9" t="str">
        <f t="shared" si="18"/>
        <v/>
      </c>
      <c r="K697" s="8" t="b">
        <f>IF(D697&lt;3,FALSE,ISERROR(MATCH(J697,'Ontology and concepts per UC'!$A$2:$A$62,0)))</f>
        <v>0</v>
      </c>
      <c r="L697" s="2" t="s">
        <v>1914</v>
      </c>
      <c r="M697" s="2" t="s">
        <v>1915</v>
      </c>
      <c r="N697" s="2"/>
      <c r="O697" s="1" t="b">
        <v>0</v>
      </c>
      <c r="P697" s="1">
        <v>0</v>
      </c>
      <c r="Q697" s="1">
        <v>0</v>
      </c>
      <c r="R697" s="1" t="b">
        <f t="shared" si="19"/>
        <v>1</v>
      </c>
      <c r="S697" s="2" t="s">
        <v>107</v>
      </c>
      <c r="T697" s="1" t="str">
        <f>IF(S697="","",VLOOKUP(S697,'Ontology and concepts per UC'!$F$2:$J$46,5,FALSE))</f>
        <v>Parcial</v>
      </c>
      <c r="U697" s="1" t="b">
        <f t="array" ref="U697">(INDEX('Ontology and concepts per UC'!$G$2:$I$46,MATCH($S697,'Ontology and concepts per UC'!$F$2:$F$46,0),MATCH(LEFT($A697,3),'Ontology and concepts per UC'!$G$1:$I$1,0))=0)</f>
        <v>0</v>
      </c>
      <c r="V697" s="1" t="b">
        <f t="shared" si="20"/>
        <v>0</v>
      </c>
      <c r="W697" s="1" t="b">
        <v>0</v>
      </c>
      <c r="X697" s="1" t="b">
        <v>0</v>
      </c>
      <c r="Y697" s="1" t="b">
        <v>0</v>
      </c>
      <c r="Z697" s="1" t="b">
        <v>0</v>
      </c>
      <c r="AA697" s="1"/>
    </row>
    <row r="698" spans="1:27" x14ac:dyDescent="0.25">
      <c r="A698" s="1" t="s">
        <v>1672</v>
      </c>
      <c r="B698" s="2" t="s">
        <v>1916</v>
      </c>
      <c r="C698" s="2" t="s">
        <v>208</v>
      </c>
      <c r="D698" s="6">
        <f t="shared" si="14"/>
        <v>1</v>
      </c>
      <c r="E698" s="7" t="str">
        <f t="shared" si="15"/>
        <v>EpidemiologicalParameter</v>
      </c>
      <c r="F698" s="8" t="b">
        <f>IF(D698&lt;1,FALSE,ISERROR(MATCH(E698,'Ontology and concepts per UC'!$A$2:$A$62,0)))</f>
        <v>0</v>
      </c>
      <c r="G698" s="9" t="str">
        <f t="shared" si="16"/>
        <v/>
      </c>
      <c r="H698" s="9" t="str">
        <f t="shared" si="17"/>
        <v/>
      </c>
      <c r="I698" s="8" t="b">
        <f>IF(D698&lt;2,FALSE,ISERROR(MATCH(H698,'Ontology and concepts per UC'!$A$2:$A$62,0)))</f>
        <v>0</v>
      </c>
      <c r="J698" s="9" t="str">
        <f t="shared" si="18"/>
        <v/>
      </c>
      <c r="K698" s="8" t="b">
        <f>IF(D698&lt;3,FALSE,ISERROR(MATCH(J698,'Ontology and concepts per UC'!$A$2:$A$62,0)))</f>
        <v>0</v>
      </c>
      <c r="L698" s="2" t="s">
        <v>1917</v>
      </c>
      <c r="M698" s="2" t="s">
        <v>1918</v>
      </c>
      <c r="N698" s="2"/>
      <c r="O698" s="1" t="b">
        <v>0</v>
      </c>
      <c r="P698" s="1">
        <v>0</v>
      </c>
      <c r="Q698" s="1">
        <v>0</v>
      </c>
      <c r="R698" s="1" t="b">
        <f t="shared" si="19"/>
        <v>1</v>
      </c>
      <c r="S698" s="2" t="s">
        <v>55</v>
      </c>
      <c r="T698" s="1" t="str">
        <f>IF(S698="","",VLOOKUP(S698,'Ontology and concepts per UC'!$F$2:$J$46,5,FALSE))</f>
        <v>Parámetros de progresión</v>
      </c>
      <c r="U698" s="1" t="b">
        <f t="array" ref="U698">(INDEX('Ontology and concepts per UC'!$G$2:$I$46,MATCH($S698,'Ontology and concepts per UC'!$F$2:$F$46,0),MATCH(LEFT($A698,3),'Ontology and concepts per UC'!$G$1:$I$1,0))=0)</f>
        <v>0</v>
      </c>
      <c r="V698" s="1" t="b">
        <f t="shared" si="20"/>
        <v>1</v>
      </c>
      <c r="W698" s="1" t="b">
        <v>0</v>
      </c>
      <c r="X698" s="1" t="b">
        <v>0</v>
      </c>
      <c r="Y698" s="1" t="b">
        <v>0</v>
      </c>
      <c r="Z698" s="1" t="b">
        <v>1</v>
      </c>
      <c r="AA698" s="1" t="s">
        <v>1111</v>
      </c>
    </row>
    <row r="699" spans="1:27" x14ac:dyDescent="0.25">
      <c r="A699" s="1" t="s">
        <v>1672</v>
      </c>
      <c r="B699" s="2" t="s">
        <v>1919</v>
      </c>
      <c r="C699" s="2" t="s">
        <v>208</v>
      </c>
      <c r="D699" s="6">
        <f t="shared" si="14"/>
        <v>1</v>
      </c>
      <c r="E699" s="7" t="str">
        <f t="shared" si="15"/>
        <v>EpidemiologicalParameter</v>
      </c>
      <c r="F699" s="8" t="b">
        <f>IF(D699&lt;1,FALSE,ISERROR(MATCH(E699,'Ontology and concepts per UC'!$A$2:$A$62,0)))</f>
        <v>0</v>
      </c>
      <c r="G699" s="9" t="str">
        <f t="shared" si="16"/>
        <v/>
      </c>
      <c r="H699" s="9" t="str">
        <f t="shared" si="17"/>
        <v/>
      </c>
      <c r="I699" s="8" t="b">
        <f>IF(D699&lt;2,FALSE,ISERROR(MATCH(H699,'Ontology and concepts per UC'!$A$2:$A$62,0)))</f>
        <v>0</v>
      </c>
      <c r="J699" s="9" t="str">
        <f t="shared" si="18"/>
        <v/>
      </c>
      <c r="K699" s="8" t="b">
        <f>IF(D699&lt;3,FALSE,ISERROR(MATCH(J699,'Ontology and concepts per UC'!$A$2:$A$62,0)))</f>
        <v>0</v>
      </c>
      <c r="L699" s="2" t="s">
        <v>1920</v>
      </c>
      <c r="M699" s="2" t="s">
        <v>1921</v>
      </c>
      <c r="N699" s="2"/>
      <c r="O699" s="1" t="b">
        <v>0</v>
      </c>
      <c r="P699" s="1">
        <v>0</v>
      </c>
      <c r="Q699" s="1">
        <v>0</v>
      </c>
      <c r="R699" s="1" t="b">
        <f t="shared" si="19"/>
        <v>1</v>
      </c>
      <c r="S699" s="2" t="s">
        <v>55</v>
      </c>
      <c r="T699" s="1" t="str">
        <f>IF(S699="","",VLOOKUP(S699,'Ontology and concepts per UC'!$F$2:$J$46,5,FALSE))</f>
        <v>Parámetros de progresión</v>
      </c>
      <c r="U699" s="1" t="b">
        <f t="array" ref="U699">(INDEX('Ontology and concepts per UC'!$G$2:$I$46,MATCH($S699,'Ontology and concepts per UC'!$F$2:$F$46,0),MATCH(LEFT($A699,3),'Ontology and concepts per UC'!$G$1:$I$1,0))=0)</f>
        <v>0</v>
      </c>
      <c r="V699" s="1" t="b">
        <f t="shared" si="20"/>
        <v>1</v>
      </c>
      <c r="W699" s="1" t="b">
        <v>0</v>
      </c>
      <c r="X699" s="1" t="b">
        <v>0</v>
      </c>
      <c r="Y699" s="1" t="b">
        <v>0</v>
      </c>
      <c r="Z699" s="1" t="b">
        <v>1</v>
      </c>
      <c r="AA699" s="1" t="s">
        <v>197</v>
      </c>
    </row>
    <row r="700" spans="1:27" x14ac:dyDescent="0.25">
      <c r="A700" s="1" t="s">
        <v>1672</v>
      </c>
      <c r="B700" s="2" t="s">
        <v>1922</v>
      </c>
      <c r="C700" s="2" t="s">
        <v>208</v>
      </c>
      <c r="D700" s="6">
        <f t="shared" si="14"/>
        <v>1</v>
      </c>
      <c r="E700" s="7" t="str">
        <f t="shared" si="15"/>
        <v>EpidemiologicalParameter</v>
      </c>
      <c r="F700" s="8" t="b">
        <f>IF(D700&lt;1,FALSE,ISERROR(MATCH(E700,'Ontology and concepts per UC'!$A$2:$A$62,0)))</f>
        <v>0</v>
      </c>
      <c r="G700" s="9" t="str">
        <f t="shared" si="16"/>
        <v/>
      </c>
      <c r="H700" s="9" t="str">
        <f t="shared" si="17"/>
        <v/>
      </c>
      <c r="I700" s="8" t="b">
        <f>IF(D700&lt;2,FALSE,ISERROR(MATCH(H700,'Ontology and concepts per UC'!$A$2:$A$62,0)))</f>
        <v>0</v>
      </c>
      <c r="J700" s="9" t="str">
        <f t="shared" si="18"/>
        <v/>
      </c>
      <c r="K700" s="8" t="b">
        <f>IF(D700&lt;3,FALSE,ISERROR(MATCH(J700,'Ontology and concepts per UC'!$A$2:$A$62,0)))</f>
        <v>0</v>
      </c>
      <c r="L700" s="2" t="s">
        <v>1923</v>
      </c>
      <c r="M700" s="2" t="s">
        <v>1924</v>
      </c>
      <c r="N700" s="2"/>
      <c r="O700" s="1" t="b">
        <v>0</v>
      </c>
      <c r="P700" s="1">
        <v>0</v>
      </c>
      <c r="Q700" s="1">
        <v>0</v>
      </c>
      <c r="R700" s="1" t="b">
        <f t="shared" si="19"/>
        <v>1</v>
      </c>
      <c r="S700" s="2" t="s">
        <v>107</v>
      </c>
      <c r="T700" s="1" t="str">
        <f>IF(S700="","",VLOOKUP(S700,'Ontology and concepts per UC'!$F$2:$J$46,5,FALSE))</f>
        <v>Parcial</v>
      </c>
      <c r="U700" s="1" t="b">
        <f t="array" ref="U700">(INDEX('Ontology and concepts per UC'!$G$2:$I$46,MATCH($S700,'Ontology and concepts per UC'!$F$2:$F$46,0),MATCH(LEFT($A700,3),'Ontology and concepts per UC'!$G$1:$I$1,0))=0)</f>
        <v>0</v>
      </c>
      <c r="V700" s="1" t="b">
        <f t="shared" si="20"/>
        <v>0</v>
      </c>
      <c r="W700" s="1" t="b">
        <v>0</v>
      </c>
      <c r="X700" s="1" t="b">
        <v>0</v>
      </c>
      <c r="Y700" s="1" t="b">
        <v>0</v>
      </c>
      <c r="Z700" s="1" t="b">
        <v>0</v>
      </c>
      <c r="AA700" s="1"/>
    </row>
    <row r="701" spans="1:27" x14ac:dyDescent="0.25">
      <c r="A701" s="1" t="s">
        <v>1672</v>
      </c>
      <c r="B701" s="2" t="s">
        <v>1925</v>
      </c>
      <c r="C701" s="2" t="s">
        <v>61</v>
      </c>
      <c r="D701" s="6">
        <f t="shared" si="14"/>
        <v>1</v>
      </c>
      <c r="E701" s="7" t="str">
        <f t="shared" si="15"/>
        <v>FollowUpStrategy</v>
      </c>
      <c r="F701" s="8" t="b">
        <f>IF(D701&lt;1,FALSE,ISERROR(MATCH(E701,'Ontology and concepts per UC'!$A$2:$A$62,0)))</f>
        <v>0</v>
      </c>
      <c r="G701" s="9" t="str">
        <f t="shared" si="16"/>
        <v/>
      </c>
      <c r="H701" s="9" t="str">
        <f t="shared" si="17"/>
        <v/>
      </c>
      <c r="I701" s="8" t="b">
        <f>IF(D701&lt;2,FALSE,ISERROR(MATCH(H701,'Ontology and concepts per UC'!$A$2:$A$62,0)))</f>
        <v>0</v>
      </c>
      <c r="J701" s="9" t="str">
        <f t="shared" si="18"/>
        <v/>
      </c>
      <c r="K701" s="8" t="b">
        <f>IF(D701&lt;3,FALSE,ISERROR(MATCH(J701,'Ontology and concepts per UC'!$A$2:$A$62,0)))</f>
        <v>0</v>
      </c>
      <c r="L701" s="2" t="s">
        <v>1926</v>
      </c>
      <c r="M701" s="2" t="s">
        <v>1927</v>
      </c>
      <c r="N701" s="2"/>
      <c r="O701" s="1" t="b">
        <v>0</v>
      </c>
      <c r="P701" s="1">
        <v>0</v>
      </c>
      <c r="Q701" s="1">
        <v>0</v>
      </c>
      <c r="R701" s="1" t="b">
        <f t="shared" si="19"/>
        <v>1</v>
      </c>
      <c r="S701" s="2" t="s">
        <v>107</v>
      </c>
      <c r="T701" s="1" t="str">
        <f>IF(S701="","",VLOOKUP(S701,'Ontology and concepts per UC'!$F$2:$J$46,5,FALSE))</f>
        <v>Parcial</v>
      </c>
      <c r="U701" s="1" t="b">
        <f t="array" ref="U701">(INDEX('Ontology and concepts per UC'!$G$2:$I$46,MATCH($S701,'Ontology and concepts per UC'!$F$2:$F$46,0),MATCH(LEFT($A701,3),'Ontology and concepts per UC'!$G$1:$I$1,0))=0)</f>
        <v>0</v>
      </c>
      <c r="V701" s="1" t="b">
        <f t="shared" si="20"/>
        <v>0</v>
      </c>
      <c r="W701" s="1" t="b">
        <v>0</v>
      </c>
      <c r="X701" s="1" t="b">
        <v>0</v>
      </c>
      <c r="Y701" s="1" t="b">
        <v>0</v>
      </c>
      <c r="Z701" s="1" t="b">
        <v>0</v>
      </c>
      <c r="AA701" s="1"/>
    </row>
    <row r="702" spans="1:27" x14ac:dyDescent="0.25">
      <c r="A702" s="1" t="s">
        <v>1672</v>
      </c>
      <c r="B702" s="2" t="s">
        <v>1928</v>
      </c>
      <c r="C702" s="2" t="s">
        <v>61</v>
      </c>
      <c r="D702" s="6">
        <f t="shared" si="14"/>
        <v>1</v>
      </c>
      <c r="E702" s="7" t="str">
        <f t="shared" si="15"/>
        <v>FollowUpStrategy</v>
      </c>
      <c r="F702" s="8" t="b">
        <f>IF(D702&lt;1,FALSE,ISERROR(MATCH(E702,'Ontology and concepts per UC'!$A$2:$A$62,0)))</f>
        <v>0</v>
      </c>
      <c r="G702" s="9" t="str">
        <f t="shared" si="16"/>
        <v/>
      </c>
      <c r="H702" s="9" t="str">
        <f t="shared" si="17"/>
        <v/>
      </c>
      <c r="I702" s="8" t="b">
        <f>IF(D702&lt;2,FALSE,ISERROR(MATCH(H702,'Ontology and concepts per UC'!$A$2:$A$62,0)))</f>
        <v>0</v>
      </c>
      <c r="J702" s="9" t="str">
        <f t="shared" si="18"/>
        <v/>
      </c>
      <c r="K702" s="8" t="b">
        <f>IF(D702&lt;3,FALSE,ISERROR(MATCH(J702,'Ontology and concepts per UC'!$A$2:$A$62,0)))</f>
        <v>0</v>
      </c>
      <c r="L702" s="2" t="s">
        <v>1929</v>
      </c>
      <c r="M702" s="2" t="s">
        <v>1930</v>
      </c>
      <c r="N702" s="2"/>
      <c r="O702" s="1" t="b">
        <v>0</v>
      </c>
      <c r="P702" s="1">
        <v>0</v>
      </c>
      <c r="Q702" s="1">
        <v>0</v>
      </c>
      <c r="R702" s="1" t="b">
        <f t="shared" si="19"/>
        <v>1</v>
      </c>
      <c r="S702" s="2" t="s">
        <v>60</v>
      </c>
      <c r="T702" s="1" t="str">
        <f>IF(S702="","",VLOOKUP(S702,'Ontology and concepts per UC'!$F$2:$J$46,5,FALSE))</f>
        <v>Tratamiento/seguimiento</v>
      </c>
      <c r="U702" s="1" t="b">
        <f t="array" ref="U702">(INDEX('Ontology and concepts per UC'!$G$2:$I$46,MATCH($S702,'Ontology and concepts per UC'!$F$2:$F$46,0),MATCH(LEFT($A702,3),'Ontology and concepts per UC'!$G$1:$I$1,0))=0)</f>
        <v>0</v>
      </c>
      <c r="V702" s="1" t="b">
        <f t="shared" si="20"/>
        <v>0</v>
      </c>
      <c r="W702" s="1" t="b">
        <v>0</v>
      </c>
      <c r="X702" s="1" t="b">
        <v>0</v>
      </c>
      <c r="Y702" s="1" t="b">
        <v>0</v>
      </c>
      <c r="Z702" s="1" t="b">
        <v>0</v>
      </c>
      <c r="AA702" s="1"/>
    </row>
    <row r="703" spans="1:27" x14ac:dyDescent="0.25">
      <c r="A703" s="1" t="s">
        <v>1672</v>
      </c>
      <c r="B703" s="2" t="s">
        <v>1931</v>
      </c>
      <c r="C703" s="2" t="s">
        <v>1218</v>
      </c>
      <c r="D703" s="6">
        <f t="shared" si="14"/>
        <v>1</v>
      </c>
      <c r="E703" s="7" t="str">
        <f t="shared" si="15"/>
        <v>FollowUpTest</v>
      </c>
      <c r="F703" s="8" t="b">
        <f>IF(D703&lt;1,FALSE,ISERROR(MATCH(E703,'Ontology and concepts per UC'!$A$2:$A$62,0)))</f>
        <v>0</v>
      </c>
      <c r="G703" s="9" t="str">
        <f t="shared" si="16"/>
        <v/>
      </c>
      <c r="H703" s="9" t="str">
        <f t="shared" si="17"/>
        <v/>
      </c>
      <c r="I703" s="8" t="b">
        <f>IF(D703&lt;2,FALSE,ISERROR(MATCH(H703,'Ontology and concepts per UC'!$A$2:$A$62,0)))</f>
        <v>0</v>
      </c>
      <c r="J703" s="9" t="str">
        <f t="shared" si="18"/>
        <v/>
      </c>
      <c r="K703" s="8" t="b">
        <f>IF(D703&lt;3,FALSE,ISERROR(MATCH(J703,'Ontology and concepts per UC'!$A$2:$A$62,0)))</f>
        <v>0</v>
      </c>
      <c r="L703" s="2"/>
      <c r="M703" s="2" t="s">
        <v>1932</v>
      </c>
      <c r="N703" s="2"/>
      <c r="O703" s="1" t="b">
        <v>0</v>
      </c>
      <c r="P703" s="1">
        <v>0</v>
      </c>
      <c r="Q703" s="1">
        <v>0</v>
      </c>
      <c r="R703" s="1" t="b">
        <f t="shared" si="19"/>
        <v>0</v>
      </c>
      <c r="S703" s="2" t="s">
        <v>60</v>
      </c>
      <c r="T703" s="1" t="str">
        <f>IF(S703="","",VLOOKUP(S703,'Ontology and concepts per UC'!$F$2:$J$46,5,FALSE))</f>
        <v>Tratamiento/seguimiento</v>
      </c>
      <c r="U703" s="1" t="b">
        <f t="array" ref="U703">(INDEX('Ontology and concepts per UC'!$G$2:$I$46,MATCH($S703,'Ontology and concepts per UC'!$F$2:$F$46,0),MATCH(LEFT($A703,3),'Ontology and concepts per UC'!$G$1:$I$1,0))=0)</f>
        <v>0</v>
      </c>
      <c r="V703" s="1" t="b">
        <f t="shared" si="20"/>
        <v>0</v>
      </c>
      <c r="W703" s="1" t="b">
        <v>0</v>
      </c>
      <c r="X703" s="1" t="b">
        <v>0</v>
      </c>
      <c r="Y703" s="1" t="b">
        <v>0</v>
      </c>
      <c r="Z703" s="1" t="b">
        <v>0</v>
      </c>
      <c r="AA703" s="1"/>
    </row>
    <row r="704" spans="1:27" x14ac:dyDescent="0.25">
      <c r="A704" s="1" t="s">
        <v>1672</v>
      </c>
      <c r="B704" s="2" t="s">
        <v>1933</v>
      </c>
      <c r="C704" s="2" t="s">
        <v>1218</v>
      </c>
      <c r="D704" s="6">
        <f t="shared" si="14"/>
        <v>1</v>
      </c>
      <c r="E704" s="7" t="str">
        <f t="shared" si="15"/>
        <v>FollowUpTest</v>
      </c>
      <c r="F704" s="8" t="b">
        <f>IF(D704&lt;1,FALSE,ISERROR(MATCH(E704,'Ontology and concepts per UC'!$A$2:$A$62,0)))</f>
        <v>0</v>
      </c>
      <c r="G704" s="9" t="str">
        <f t="shared" si="16"/>
        <v/>
      </c>
      <c r="H704" s="9" t="str">
        <f t="shared" si="17"/>
        <v/>
      </c>
      <c r="I704" s="8" t="b">
        <f>IF(D704&lt;2,FALSE,ISERROR(MATCH(H704,'Ontology and concepts per UC'!$A$2:$A$62,0)))</f>
        <v>0</v>
      </c>
      <c r="J704" s="9" t="str">
        <f t="shared" si="18"/>
        <v/>
      </c>
      <c r="K704" s="8" t="b">
        <f>IF(D704&lt;3,FALSE,ISERROR(MATCH(J704,'Ontology and concepts per UC'!$A$2:$A$62,0)))</f>
        <v>0</v>
      </c>
      <c r="L704" s="2"/>
      <c r="M704" s="2" t="s">
        <v>1934</v>
      </c>
      <c r="N704" s="2"/>
      <c r="O704" s="1" t="b">
        <v>0</v>
      </c>
      <c r="P704" s="1">
        <v>0</v>
      </c>
      <c r="Q704" s="1">
        <v>0</v>
      </c>
      <c r="R704" s="1" t="b">
        <f t="shared" si="19"/>
        <v>0</v>
      </c>
      <c r="S704" s="2" t="s">
        <v>60</v>
      </c>
      <c r="T704" s="1" t="str">
        <f>IF(S704="","",VLOOKUP(S704,'Ontology and concepts per UC'!$F$2:$J$46,5,FALSE))</f>
        <v>Tratamiento/seguimiento</v>
      </c>
      <c r="U704" s="1" t="b">
        <f t="array" ref="U704">(INDEX('Ontology and concepts per UC'!$G$2:$I$46,MATCH($S704,'Ontology and concepts per UC'!$F$2:$F$46,0),MATCH(LEFT($A704,3),'Ontology and concepts per UC'!$G$1:$I$1,0))=0)</f>
        <v>0</v>
      </c>
      <c r="V704" s="1" t="b">
        <f t="shared" si="20"/>
        <v>0</v>
      </c>
      <c r="W704" s="1" t="b">
        <v>0</v>
      </c>
      <c r="X704" s="1" t="b">
        <v>0</v>
      </c>
      <c r="Y704" s="1" t="b">
        <v>0</v>
      </c>
      <c r="Z704" s="1" t="b">
        <v>0</v>
      </c>
      <c r="AA704" s="1"/>
    </row>
    <row r="705" spans="1:27" x14ac:dyDescent="0.25">
      <c r="A705" s="1" t="s">
        <v>1672</v>
      </c>
      <c r="B705" s="2" t="s">
        <v>1935</v>
      </c>
      <c r="C705" s="2" t="s">
        <v>1218</v>
      </c>
      <c r="D705" s="6">
        <f t="shared" si="14"/>
        <v>1</v>
      </c>
      <c r="E705" s="7" t="str">
        <f t="shared" si="15"/>
        <v>FollowUpTest</v>
      </c>
      <c r="F705" s="8" t="b">
        <f>IF(D705&lt;1,FALSE,ISERROR(MATCH(E705,'Ontology and concepts per UC'!$A$2:$A$62,0)))</f>
        <v>0</v>
      </c>
      <c r="G705" s="9" t="str">
        <f t="shared" si="16"/>
        <v/>
      </c>
      <c r="H705" s="9" t="str">
        <f t="shared" si="17"/>
        <v/>
      </c>
      <c r="I705" s="8" t="b">
        <f>IF(D705&lt;2,FALSE,ISERROR(MATCH(H705,'Ontology and concepts per UC'!$A$2:$A$62,0)))</f>
        <v>0</v>
      </c>
      <c r="J705" s="9" t="str">
        <f t="shared" si="18"/>
        <v/>
      </c>
      <c r="K705" s="8" t="b">
        <f>IF(D705&lt;3,FALSE,ISERROR(MATCH(J705,'Ontology and concepts per UC'!$A$2:$A$62,0)))</f>
        <v>0</v>
      </c>
      <c r="L705" s="2"/>
      <c r="M705" s="2" t="s">
        <v>1936</v>
      </c>
      <c r="N705" s="2"/>
      <c r="O705" s="1" t="b">
        <v>0</v>
      </c>
      <c r="P705" s="1">
        <v>0</v>
      </c>
      <c r="Q705" s="1">
        <v>0</v>
      </c>
      <c r="R705" s="1" t="b">
        <f t="shared" si="19"/>
        <v>0</v>
      </c>
      <c r="S705" s="2" t="s">
        <v>60</v>
      </c>
      <c r="T705" s="1" t="str">
        <f>IF(S705="","",VLOOKUP(S705,'Ontology and concepts per UC'!$F$2:$J$46,5,FALSE))</f>
        <v>Tratamiento/seguimiento</v>
      </c>
      <c r="U705" s="1" t="b">
        <f t="array" ref="U705">(INDEX('Ontology and concepts per UC'!$G$2:$I$46,MATCH($S705,'Ontology and concepts per UC'!$F$2:$F$46,0),MATCH(LEFT($A705,3),'Ontology and concepts per UC'!$G$1:$I$1,0))=0)</f>
        <v>0</v>
      </c>
      <c r="V705" s="1" t="b">
        <f t="shared" si="20"/>
        <v>0</v>
      </c>
      <c r="W705" s="1" t="b">
        <v>0</v>
      </c>
      <c r="X705" s="1" t="b">
        <v>0</v>
      </c>
      <c r="Y705" s="1" t="b">
        <v>0</v>
      </c>
      <c r="Z705" s="1" t="b">
        <v>0</v>
      </c>
      <c r="AA705" s="1"/>
    </row>
    <row r="706" spans="1:27" x14ac:dyDescent="0.25">
      <c r="A706" s="1" t="s">
        <v>1672</v>
      </c>
      <c r="B706" s="2" t="s">
        <v>1937</v>
      </c>
      <c r="C706" s="2" t="s">
        <v>1218</v>
      </c>
      <c r="D706" s="6">
        <f t="shared" si="14"/>
        <v>1</v>
      </c>
      <c r="E706" s="7" t="str">
        <f t="shared" si="15"/>
        <v>FollowUpTest</v>
      </c>
      <c r="F706" s="8" t="b">
        <f>IF(D706&lt;1,FALSE,ISERROR(MATCH(E706,'Ontology and concepts per UC'!$A$2:$A$62,0)))</f>
        <v>0</v>
      </c>
      <c r="G706" s="9" t="str">
        <f t="shared" si="16"/>
        <v/>
      </c>
      <c r="H706" s="9" t="str">
        <f t="shared" si="17"/>
        <v/>
      </c>
      <c r="I706" s="8" t="b">
        <f>IF(D706&lt;2,FALSE,ISERROR(MATCH(H706,'Ontology and concepts per UC'!$A$2:$A$62,0)))</f>
        <v>0</v>
      </c>
      <c r="J706" s="9" t="str">
        <f t="shared" si="18"/>
        <v/>
      </c>
      <c r="K706" s="8" t="b">
        <f>IF(D706&lt;3,FALSE,ISERROR(MATCH(J706,'Ontology and concepts per UC'!$A$2:$A$62,0)))</f>
        <v>0</v>
      </c>
      <c r="L706" s="2"/>
      <c r="M706" s="2" t="s">
        <v>1938</v>
      </c>
      <c r="N706" s="2"/>
      <c r="O706" s="1" t="b">
        <v>0</v>
      </c>
      <c r="P706" s="1">
        <v>0</v>
      </c>
      <c r="Q706" s="1">
        <v>0</v>
      </c>
      <c r="R706" s="1" t="b">
        <f t="shared" si="19"/>
        <v>0</v>
      </c>
      <c r="S706" s="2" t="s">
        <v>60</v>
      </c>
      <c r="T706" s="1" t="str">
        <f>IF(S706="","",VLOOKUP(S706,'Ontology and concepts per UC'!$F$2:$J$46,5,FALSE))</f>
        <v>Tratamiento/seguimiento</v>
      </c>
      <c r="U706" s="1" t="b">
        <f t="array" ref="U706">(INDEX('Ontology and concepts per UC'!$G$2:$I$46,MATCH($S706,'Ontology and concepts per UC'!$F$2:$F$46,0),MATCH(LEFT($A706,3),'Ontology and concepts per UC'!$G$1:$I$1,0))=0)</f>
        <v>0</v>
      </c>
      <c r="V706" s="1" t="b">
        <f t="shared" si="20"/>
        <v>0</v>
      </c>
      <c r="W706" s="1" t="b">
        <v>0</v>
      </c>
      <c r="X706" s="1" t="b">
        <v>0</v>
      </c>
      <c r="Y706" s="1" t="b">
        <v>0</v>
      </c>
      <c r="Z706" s="1" t="b">
        <v>0</v>
      </c>
      <c r="AA706" s="1"/>
    </row>
    <row r="707" spans="1:27" x14ac:dyDescent="0.25">
      <c r="A707" s="1" t="s">
        <v>1672</v>
      </c>
      <c r="B707" s="2" t="s">
        <v>1939</v>
      </c>
      <c r="C707" s="2" t="s">
        <v>1218</v>
      </c>
      <c r="D707" s="6">
        <f t="shared" si="14"/>
        <v>1</v>
      </c>
      <c r="E707" s="7" t="str">
        <f t="shared" si="15"/>
        <v>FollowUpTest</v>
      </c>
      <c r="F707" s="8" t="b">
        <f>IF(D707&lt;1,FALSE,ISERROR(MATCH(E707,'Ontology and concepts per UC'!$A$2:$A$62,0)))</f>
        <v>0</v>
      </c>
      <c r="G707" s="9" t="str">
        <f t="shared" si="16"/>
        <v/>
      </c>
      <c r="H707" s="9" t="str">
        <f t="shared" si="17"/>
        <v/>
      </c>
      <c r="I707" s="8" t="b">
        <f>IF(D707&lt;2,FALSE,ISERROR(MATCH(H707,'Ontology and concepts per UC'!$A$2:$A$62,0)))</f>
        <v>0</v>
      </c>
      <c r="J707" s="9" t="str">
        <f t="shared" si="18"/>
        <v/>
      </c>
      <c r="K707" s="8" t="b">
        <f>IF(D707&lt;3,FALSE,ISERROR(MATCH(J707,'Ontology and concepts per UC'!$A$2:$A$62,0)))</f>
        <v>0</v>
      </c>
      <c r="L707" s="2"/>
      <c r="M707" s="2" t="s">
        <v>1940</v>
      </c>
      <c r="N707" s="2"/>
      <c r="O707" s="1" t="b">
        <v>0</v>
      </c>
      <c r="P707" s="1">
        <v>0</v>
      </c>
      <c r="Q707" s="1">
        <v>0</v>
      </c>
      <c r="R707" s="1" t="b">
        <f t="shared" si="19"/>
        <v>0</v>
      </c>
      <c r="S707" s="2" t="s">
        <v>60</v>
      </c>
      <c r="T707" s="1" t="str">
        <f>IF(S707="","",VLOOKUP(S707,'Ontology and concepts per UC'!$F$2:$J$46,5,FALSE))</f>
        <v>Tratamiento/seguimiento</v>
      </c>
      <c r="U707" s="1" t="b">
        <f t="array" ref="U707">(INDEX('Ontology and concepts per UC'!$G$2:$I$46,MATCH($S707,'Ontology and concepts per UC'!$F$2:$F$46,0),MATCH(LEFT($A707,3),'Ontology and concepts per UC'!$G$1:$I$1,0))=0)</f>
        <v>0</v>
      </c>
      <c r="V707" s="1" t="b">
        <f t="shared" si="20"/>
        <v>0</v>
      </c>
      <c r="W707" s="1" t="b">
        <v>0</v>
      </c>
      <c r="X707" s="1" t="b">
        <v>0</v>
      </c>
      <c r="Y707" s="1" t="b">
        <v>0</v>
      </c>
      <c r="Z707" s="1" t="b">
        <v>0</v>
      </c>
      <c r="AA707" s="1"/>
    </row>
    <row r="708" spans="1:27" x14ac:dyDescent="0.25">
      <c r="A708" s="1" t="s">
        <v>1672</v>
      </c>
      <c r="B708" s="2" t="s">
        <v>1941</v>
      </c>
      <c r="C708" s="2" t="s">
        <v>1942</v>
      </c>
      <c r="D708" s="6">
        <f t="shared" si="14"/>
        <v>1</v>
      </c>
      <c r="E708" s="7" t="str">
        <f t="shared" si="15"/>
        <v>Guideline</v>
      </c>
      <c r="F708" s="8" t="b">
        <f>IF(D708&lt;1,FALSE,ISERROR(MATCH(E708,'Ontology and concepts per UC'!$A$2:$A$62,0)))</f>
        <v>0</v>
      </c>
      <c r="G708" s="9" t="str">
        <f t="shared" si="16"/>
        <v/>
      </c>
      <c r="H708" s="9" t="str">
        <f t="shared" si="17"/>
        <v/>
      </c>
      <c r="I708" s="8" t="b">
        <f>IF(D708&lt;2,FALSE,ISERROR(MATCH(H708,'Ontology and concepts per UC'!$A$2:$A$62,0)))</f>
        <v>0</v>
      </c>
      <c r="J708" s="9" t="str">
        <f t="shared" si="18"/>
        <v/>
      </c>
      <c r="K708" s="8" t="b">
        <f>IF(D708&lt;3,FALSE,ISERROR(MATCH(J708,'Ontology and concepts per UC'!$A$2:$A$62,0)))</f>
        <v>0</v>
      </c>
      <c r="L708" s="2" t="s">
        <v>1943</v>
      </c>
      <c r="M708" s="2" t="s">
        <v>1944</v>
      </c>
      <c r="N708" s="2"/>
      <c r="O708" s="1" t="b">
        <v>0</v>
      </c>
      <c r="P708" s="1">
        <v>0</v>
      </c>
      <c r="Q708" s="1">
        <v>0</v>
      </c>
      <c r="R708" s="1" t="b">
        <f t="shared" si="19"/>
        <v>1</v>
      </c>
      <c r="S708" s="2" t="s">
        <v>107</v>
      </c>
      <c r="T708" s="1" t="str">
        <f>IF(S708="","",VLOOKUP(S708,'Ontology and concepts per UC'!$F$2:$J$46,5,FALSE))</f>
        <v>Parcial</v>
      </c>
      <c r="U708" s="1" t="b">
        <f t="array" ref="U708">(INDEX('Ontology and concepts per UC'!$G$2:$I$46,MATCH($S708,'Ontology and concepts per UC'!$F$2:$F$46,0),MATCH(LEFT($A708,3),'Ontology and concepts per UC'!$G$1:$I$1,0))=0)</f>
        <v>0</v>
      </c>
      <c r="V708" s="1" t="b">
        <f t="shared" si="20"/>
        <v>0</v>
      </c>
      <c r="W708" s="1" t="b">
        <v>0</v>
      </c>
      <c r="X708" s="1" t="b">
        <v>0</v>
      </c>
      <c r="Y708" s="1" t="b">
        <v>0</v>
      </c>
      <c r="Z708" s="1" t="b">
        <v>0</v>
      </c>
      <c r="AA708" s="1"/>
    </row>
    <row r="709" spans="1:27" x14ac:dyDescent="0.25">
      <c r="A709" s="1" t="s">
        <v>1672</v>
      </c>
      <c r="B709" s="2" t="s">
        <v>1945</v>
      </c>
      <c r="C709" s="2" t="s">
        <v>1942</v>
      </c>
      <c r="D709" s="6">
        <f t="shared" si="14"/>
        <v>1</v>
      </c>
      <c r="E709" s="7" t="str">
        <f t="shared" si="15"/>
        <v>Guideline</v>
      </c>
      <c r="F709" s="8" t="b">
        <f>IF(D709&lt;1,FALSE,ISERROR(MATCH(E709,'Ontology and concepts per UC'!$A$2:$A$62,0)))</f>
        <v>0</v>
      </c>
      <c r="G709" s="9" t="str">
        <f t="shared" si="16"/>
        <v/>
      </c>
      <c r="H709" s="9" t="str">
        <f t="shared" si="17"/>
        <v/>
      </c>
      <c r="I709" s="8" t="b">
        <f>IF(D709&lt;2,FALSE,ISERROR(MATCH(H709,'Ontology and concepts per UC'!$A$2:$A$62,0)))</f>
        <v>0</v>
      </c>
      <c r="J709" s="9" t="str">
        <f t="shared" si="18"/>
        <v/>
      </c>
      <c r="K709" s="8" t="b">
        <f>IF(D709&lt;3,FALSE,ISERROR(MATCH(J709,'Ontology and concepts per UC'!$A$2:$A$62,0)))</f>
        <v>0</v>
      </c>
      <c r="L709" s="2" t="s">
        <v>1946</v>
      </c>
      <c r="M709" s="2" t="s">
        <v>1947</v>
      </c>
      <c r="N709" s="2"/>
      <c r="O709" s="1" t="b">
        <v>0</v>
      </c>
      <c r="P709" s="1">
        <v>0</v>
      </c>
      <c r="Q709" s="1">
        <v>0</v>
      </c>
      <c r="R709" s="1" t="b">
        <f t="shared" si="19"/>
        <v>1</v>
      </c>
      <c r="S709" s="2" t="s">
        <v>11</v>
      </c>
      <c r="T709" s="1" t="str">
        <f>IF(S709="","",VLOOKUP(S709,'Ontology and concepts per UC'!$F$2:$J$46,5,FALSE))</f>
        <v>Coste</v>
      </c>
      <c r="U709" s="1" t="b">
        <f t="array" ref="U709">(INDEX('Ontology and concepts per UC'!$G$2:$I$46,MATCH($S709,'Ontology and concepts per UC'!$F$2:$F$46,0),MATCH(LEFT($A709,3),'Ontology and concepts per UC'!$G$1:$I$1,0))=0)</f>
        <v>0</v>
      </c>
      <c r="V709" s="1" t="b">
        <f t="shared" si="20"/>
        <v>0</v>
      </c>
      <c r="W709" s="1" t="b">
        <v>0</v>
      </c>
      <c r="X709" s="1" t="b">
        <v>0</v>
      </c>
      <c r="Y709" s="1" t="b">
        <v>0</v>
      </c>
      <c r="Z709" s="1" t="b">
        <v>0</v>
      </c>
      <c r="AA709" s="1"/>
    </row>
    <row r="710" spans="1:27" x14ac:dyDescent="0.25">
      <c r="A710" s="1" t="s">
        <v>1672</v>
      </c>
      <c r="B710" s="2" t="s">
        <v>1948</v>
      </c>
      <c r="C710" s="2" t="s">
        <v>25</v>
      </c>
      <c r="D710" s="6">
        <f t="shared" si="14"/>
        <v>1</v>
      </c>
      <c r="E710" s="7" t="str">
        <f t="shared" si="15"/>
        <v>ScreeningIntervention</v>
      </c>
      <c r="F710" s="8" t="b">
        <f>IF(D710&lt;1,FALSE,ISERROR(MATCH(E710,'Ontology and concepts per UC'!$A$2:$A$62,0)))</f>
        <v>0</v>
      </c>
      <c r="G710" s="9" t="str">
        <f t="shared" si="16"/>
        <v/>
      </c>
      <c r="H710" s="9" t="str">
        <f t="shared" si="17"/>
        <v/>
      </c>
      <c r="I710" s="8" t="b">
        <f>IF(D710&lt;2,FALSE,ISERROR(MATCH(H710,'Ontology and concepts per UC'!$A$2:$A$62,0)))</f>
        <v>0</v>
      </c>
      <c r="J710" s="9" t="str">
        <f t="shared" si="18"/>
        <v/>
      </c>
      <c r="K710" s="8" t="b">
        <f>IF(D710&lt;3,FALSE,ISERROR(MATCH(J710,'Ontology and concepts per UC'!$A$2:$A$62,0)))</f>
        <v>0</v>
      </c>
      <c r="L710" s="2" t="s">
        <v>1949</v>
      </c>
      <c r="M710" s="2" t="s">
        <v>1950</v>
      </c>
      <c r="N710" s="2"/>
      <c r="O710" s="1" t="b">
        <v>0</v>
      </c>
      <c r="P710" s="1">
        <v>0</v>
      </c>
      <c r="Q710" s="1">
        <v>0</v>
      </c>
      <c r="R710" s="1" t="b">
        <f t="shared" si="19"/>
        <v>1</v>
      </c>
      <c r="S710" s="2" t="s">
        <v>24</v>
      </c>
      <c r="T710" s="1" t="str">
        <f>IF(S710="","",VLOOKUP(S710,'Ontology and concepts per UC'!$F$2:$J$46,5,FALSE))</f>
        <v>Modelo Conceptual</v>
      </c>
      <c r="U710" s="1" t="b">
        <f t="array" ref="U710">(INDEX('Ontology and concepts per UC'!$G$2:$I$46,MATCH($S710,'Ontology and concepts per UC'!$F$2:$F$46,0),MATCH(LEFT($A710,3),'Ontology and concepts per UC'!$G$1:$I$1,0))=0)</f>
        <v>0</v>
      </c>
      <c r="V710" s="1" t="b">
        <f t="shared" si="20"/>
        <v>0</v>
      </c>
      <c r="W710" s="1" t="b">
        <v>0</v>
      </c>
      <c r="X710" s="1" t="b">
        <v>0</v>
      </c>
      <c r="Y710" s="1" t="b">
        <v>0</v>
      </c>
      <c r="Z710" s="1" t="b">
        <v>0</v>
      </c>
      <c r="AA710" s="1"/>
    </row>
    <row r="711" spans="1:27" x14ac:dyDescent="0.25">
      <c r="A711" s="1" t="s">
        <v>1672</v>
      </c>
      <c r="B711" s="2" t="s">
        <v>1951</v>
      </c>
      <c r="C711" s="2" t="s">
        <v>605</v>
      </c>
      <c r="D711" s="6">
        <f t="shared" si="14"/>
        <v>1</v>
      </c>
      <c r="E711" s="7" t="str">
        <f t="shared" si="15"/>
        <v>TherapeuticIntervention</v>
      </c>
      <c r="F711" s="8" t="b">
        <f>IF(D711&lt;1,FALSE,ISERROR(MATCH(E711,'Ontology and concepts per UC'!$A$2:$A$62,0)))</f>
        <v>0</v>
      </c>
      <c r="G711" s="9" t="str">
        <f t="shared" si="16"/>
        <v/>
      </c>
      <c r="H711" s="9" t="str">
        <f t="shared" si="17"/>
        <v/>
      </c>
      <c r="I711" s="8" t="b">
        <f>IF(D711&lt;2,FALSE,ISERROR(MATCH(H711,'Ontology and concepts per UC'!$A$2:$A$62,0)))</f>
        <v>0</v>
      </c>
      <c r="J711" s="9" t="str">
        <f t="shared" si="18"/>
        <v/>
      </c>
      <c r="K711" s="8" t="b">
        <f>IF(D711&lt;3,FALSE,ISERROR(MATCH(J711,'Ontology and concepts per UC'!$A$2:$A$62,0)))</f>
        <v>0</v>
      </c>
      <c r="L711" s="2" t="s">
        <v>1952</v>
      </c>
      <c r="M711" s="2" t="s">
        <v>1953</v>
      </c>
      <c r="N711" s="2"/>
      <c r="O711" s="1" t="b">
        <v>0</v>
      </c>
      <c r="P711" s="1">
        <v>0</v>
      </c>
      <c r="Q711" s="1">
        <v>0</v>
      </c>
      <c r="R711" s="1" t="b">
        <f t="shared" si="19"/>
        <v>1</v>
      </c>
      <c r="S711" s="2" t="s">
        <v>187</v>
      </c>
      <c r="T711" s="1" t="str">
        <f>IF(S711="","",VLOOKUP(S711,'Ontology and concepts per UC'!$F$2:$J$46,5,FALSE))</f>
        <v>Otros</v>
      </c>
      <c r="U711" s="1" t="b">
        <f t="array" ref="U711">(INDEX('Ontology and concepts per UC'!$G$2:$I$46,MATCH($S711,'Ontology and concepts per UC'!$F$2:$F$46,0),MATCH(LEFT($A711,3),'Ontology and concepts per UC'!$G$1:$I$1,0))=0)</f>
        <v>1</v>
      </c>
      <c r="V711" s="1" t="b">
        <f t="shared" si="20"/>
        <v>1</v>
      </c>
      <c r="W711" s="1" t="b">
        <v>0</v>
      </c>
      <c r="X711" s="1" t="b">
        <v>0</v>
      </c>
      <c r="Y711" s="1" t="b">
        <v>0</v>
      </c>
      <c r="Z711" s="1" t="b">
        <v>1</v>
      </c>
      <c r="AA711" s="1" t="s">
        <v>1954</v>
      </c>
    </row>
    <row r="712" spans="1:27" x14ac:dyDescent="0.25">
      <c r="A712" s="1" t="s">
        <v>1672</v>
      </c>
      <c r="B712" s="2" t="s">
        <v>1955</v>
      </c>
      <c r="C712" s="2" t="s">
        <v>605</v>
      </c>
      <c r="D712" s="6">
        <f t="shared" si="14"/>
        <v>1</v>
      </c>
      <c r="E712" s="7" t="str">
        <f t="shared" si="15"/>
        <v>TherapeuticIntervention</v>
      </c>
      <c r="F712" s="8" t="b">
        <f>IF(D712&lt;1,FALSE,ISERROR(MATCH(E712,'Ontology and concepts per UC'!$A$2:$A$62,0)))</f>
        <v>0</v>
      </c>
      <c r="G712" s="9" t="str">
        <f t="shared" si="16"/>
        <v/>
      </c>
      <c r="H712" s="9" t="str">
        <f t="shared" si="17"/>
        <v/>
      </c>
      <c r="I712" s="8" t="b">
        <f>IF(D712&lt;2,FALSE,ISERROR(MATCH(H712,'Ontology and concepts per UC'!$A$2:$A$62,0)))</f>
        <v>0</v>
      </c>
      <c r="J712" s="9" t="str">
        <f t="shared" si="18"/>
        <v/>
      </c>
      <c r="K712" s="8" t="b">
        <f>IF(D712&lt;3,FALSE,ISERROR(MATCH(J712,'Ontology and concepts per UC'!$A$2:$A$62,0)))</f>
        <v>0</v>
      </c>
      <c r="L712" s="2" t="s">
        <v>1956</v>
      </c>
      <c r="M712" s="2" t="s">
        <v>1957</v>
      </c>
      <c r="N712" s="2"/>
      <c r="O712" s="1" t="b">
        <v>0</v>
      </c>
      <c r="P712" s="1">
        <v>0</v>
      </c>
      <c r="Q712" s="1">
        <v>0</v>
      </c>
      <c r="R712" s="1" t="b">
        <f t="shared" si="19"/>
        <v>1</v>
      </c>
      <c r="S712" s="2" t="s">
        <v>62</v>
      </c>
      <c r="T712" s="1" t="str">
        <f>IF(S712="","",VLOOKUP(S712,'Ontology and concepts per UC'!$F$2:$J$46,5,FALSE))</f>
        <v>Tratamiento/seguimiento</v>
      </c>
      <c r="U712" s="1" t="b">
        <f t="array" ref="U712">(INDEX('Ontology and concepts per UC'!$G$2:$I$46,MATCH($S712,'Ontology and concepts per UC'!$F$2:$F$46,0),MATCH(LEFT($A712,3),'Ontology and concepts per UC'!$G$1:$I$1,0))=0)</f>
        <v>0</v>
      </c>
      <c r="V712" s="1" t="b">
        <f t="shared" si="20"/>
        <v>1</v>
      </c>
      <c r="W712" s="1" t="b">
        <v>0</v>
      </c>
      <c r="X712" s="1" t="b">
        <v>0</v>
      </c>
      <c r="Y712" s="1" t="b">
        <v>0</v>
      </c>
      <c r="Z712" s="1" t="b">
        <v>1</v>
      </c>
      <c r="AA712" s="1" t="s">
        <v>1954</v>
      </c>
    </row>
    <row r="713" spans="1:27" x14ac:dyDescent="0.25">
      <c r="A713" s="1" t="s">
        <v>1672</v>
      </c>
      <c r="B713" s="2" t="s">
        <v>1958</v>
      </c>
      <c r="C713" s="2" t="s">
        <v>605</v>
      </c>
      <c r="D713" s="6">
        <f t="shared" si="14"/>
        <v>1</v>
      </c>
      <c r="E713" s="7" t="str">
        <f t="shared" si="15"/>
        <v>TherapeuticIntervention</v>
      </c>
      <c r="F713" s="8" t="b">
        <f>IF(D713&lt;1,FALSE,ISERROR(MATCH(E713,'Ontology and concepts per UC'!$A$2:$A$62,0)))</f>
        <v>0</v>
      </c>
      <c r="G713" s="9" t="str">
        <f t="shared" si="16"/>
        <v/>
      </c>
      <c r="H713" s="9" t="str">
        <f t="shared" si="17"/>
        <v/>
      </c>
      <c r="I713" s="8" t="b">
        <f>IF(D713&lt;2,FALSE,ISERROR(MATCH(H713,'Ontology and concepts per UC'!$A$2:$A$62,0)))</f>
        <v>0</v>
      </c>
      <c r="J713" s="9" t="str">
        <f t="shared" si="18"/>
        <v/>
      </c>
      <c r="K713" s="8" t="b">
        <f>IF(D713&lt;3,FALSE,ISERROR(MATCH(J713,'Ontology and concepts per UC'!$A$2:$A$62,0)))</f>
        <v>0</v>
      </c>
      <c r="L713" s="2" t="s">
        <v>1959</v>
      </c>
      <c r="M713" s="2" t="s">
        <v>1960</v>
      </c>
      <c r="N713" s="2"/>
      <c r="O713" s="1" t="b">
        <v>0</v>
      </c>
      <c r="P713" s="1">
        <v>0</v>
      </c>
      <c r="Q713" s="1">
        <v>0</v>
      </c>
      <c r="R713" s="1" t="b">
        <f t="shared" si="19"/>
        <v>1</v>
      </c>
      <c r="S713" s="2" t="s">
        <v>11</v>
      </c>
      <c r="T713" s="1" t="str">
        <f>IF(S713="","",VLOOKUP(S713,'Ontology and concepts per UC'!$F$2:$J$46,5,FALSE))</f>
        <v>Coste</v>
      </c>
      <c r="U713" s="1" t="b">
        <f t="array" ref="U713">(INDEX('Ontology and concepts per UC'!$G$2:$I$46,MATCH($S713,'Ontology and concepts per UC'!$F$2:$F$46,0),MATCH(LEFT($A713,3),'Ontology and concepts per UC'!$G$1:$I$1,0))=0)</f>
        <v>0</v>
      </c>
      <c r="V713" s="1" t="b">
        <f t="shared" si="20"/>
        <v>1</v>
      </c>
      <c r="W713" s="1" t="b">
        <v>0</v>
      </c>
      <c r="X713" s="1" t="b">
        <v>0</v>
      </c>
      <c r="Y713" s="1" t="b">
        <v>0</v>
      </c>
      <c r="Z713" s="1" t="b">
        <v>1</v>
      </c>
      <c r="AA713" s="1" t="s">
        <v>1954</v>
      </c>
    </row>
    <row r="714" spans="1:27" x14ac:dyDescent="0.25">
      <c r="A714" s="1" t="s">
        <v>1672</v>
      </c>
      <c r="B714" s="2" t="s">
        <v>1961</v>
      </c>
      <c r="C714" s="2" t="s">
        <v>219</v>
      </c>
      <c r="D714" s="6">
        <f t="shared" si="14"/>
        <v>1</v>
      </c>
      <c r="E714" s="7" t="str">
        <f t="shared" si="15"/>
        <v>Utility</v>
      </c>
      <c r="F714" s="8" t="b">
        <f>IF(D714&lt;1,FALSE,ISERROR(MATCH(E714,'Ontology and concepts per UC'!$A$2:$A$62,0)))</f>
        <v>0</v>
      </c>
      <c r="G714" s="9" t="str">
        <f t="shared" si="16"/>
        <v/>
      </c>
      <c r="H714" s="9" t="str">
        <f t="shared" si="17"/>
        <v/>
      </c>
      <c r="I714" s="8" t="b">
        <f>IF(D714&lt;2,FALSE,ISERROR(MATCH(H714,'Ontology and concepts per UC'!$A$2:$A$62,0)))</f>
        <v>0</v>
      </c>
      <c r="J714" s="9" t="str">
        <f t="shared" si="18"/>
        <v/>
      </c>
      <c r="K714" s="8" t="b">
        <f>IF(D714&lt;3,FALSE,ISERROR(MATCH(J714,'Ontology and concepts per UC'!$A$2:$A$62,0)))</f>
        <v>0</v>
      </c>
      <c r="L714" s="2" t="s">
        <v>1962</v>
      </c>
      <c r="M714" s="2" t="s">
        <v>1963</v>
      </c>
      <c r="N714" s="2"/>
      <c r="O714" s="1" t="b">
        <v>0</v>
      </c>
      <c r="P714" s="1">
        <v>0</v>
      </c>
      <c r="Q714" s="1">
        <v>0</v>
      </c>
      <c r="R714" s="1" t="b">
        <f t="shared" si="19"/>
        <v>1</v>
      </c>
      <c r="S714" s="2" t="s">
        <v>174</v>
      </c>
      <c r="T714" s="1" t="str">
        <f>IF(S714="","",VLOOKUP(S714,'Ontology and concepts per UC'!$F$2:$J$46,5,FALSE))</f>
        <v>Utilidad</v>
      </c>
      <c r="U714" s="1" t="b">
        <f t="array" ref="U714">(INDEX('Ontology and concepts per UC'!$G$2:$I$46,MATCH($S714,'Ontology and concepts per UC'!$F$2:$F$46,0),MATCH(LEFT($A714,3),'Ontology and concepts per UC'!$G$1:$I$1,0))=0)</f>
        <v>0</v>
      </c>
      <c r="V714" s="1" t="b">
        <f t="shared" si="20"/>
        <v>0</v>
      </c>
      <c r="W714" s="1" t="b">
        <v>0</v>
      </c>
      <c r="X714" s="1" t="b">
        <v>0</v>
      </c>
      <c r="Y714" s="1" t="b">
        <v>0</v>
      </c>
      <c r="Z714" s="1" t="b">
        <v>0</v>
      </c>
      <c r="AA714" s="1"/>
    </row>
    <row r="715" spans="1:27" x14ac:dyDescent="0.25">
      <c r="A715" s="1" t="s">
        <v>1672</v>
      </c>
      <c r="B715" s="2" t="s">
        <v>1964</v>
      </c>
      <c r="C715" s="2" t="s">
        <v>219</v>
      </c>
      <c r="D715" s="6">
        <f t="shared" si="14"/>
        <v>1</v>
      </c>
      <c r="E715" s="7" t="str">
        <f t="shared" si="15"/>
        <v>Utility</v>
      </c>
      <c r="F715" s="8" t="b">
        <f>IF(D715&lt;1,FALSE,ISERROR(MATCH(E715,'Ontology and concepts per UC'!$A$2:$A$62,0)))</f>
        <v>0</v>
      </c>
      <c r="G715" s="9" t="str">
        <f t="shared" si="16"/>
        <v/>
      </c>
      <c r="H715" s="9" t="str">
        <f t="shared" si="17"/>
        <v/>
      </c>
      <c r="I715" s="8" t="b">
        <f>IF(D715&lt;2,FALSE,ISERROR(MATCH(H715,'Ontology and concepts per UC'!$A$2:$A$62,0)))</f>
        <v>0</v>
      </c>
      <c r="J715" s="9" t="str">
        <f t="shared" si="18"/>
        <v/>
      </c>
      <c r="K715" s="8" t="b">
        <f>IF(D715&lt;3,FALSE,ISERROR(MATCH(J715,'Ontology and concepts per UC'!$A$2:$A$62,0)))</f>
        <v>0</v>
      </c>
      <c r="L715" s="2" t="s">
        <v>1965</v>
      </c>
      <c r="M715" s="2" t="s">
        <v>1966</v>
      </c>
      <c r="N715" s="2"/>
      <c r="O715" s="1" t="b">
        <v>0</v>
      </c>
      <c r="P715" s="1">
        <v>0</v>
      </c>
      <c r="Q715" s="1">
        <v>0</v>
      </c>
      <c r="R715" s="1" t="b">
        <f t="shared" si="19"/>
        <v>1</v>
      </c>
      <c r="S715" s="2" t="s">
        <v>174</v>
      </c>
      <c r="T715" s="1" t="str">
        <f>IF(S715="","",VLOOKUP(S715,'Ontology and concepts per UC'!$F$2:$J$46,5,FALSE))</f>
        <v>Utilidad</v>
      </c>
      <c r="U715" s="1" t="b">
        <f t="array" ref="U715">(INDEX('Ontology and concepts per UC'!$G$2:$I$46,MATCH($S715,'Ontology and concepts per UC'!$F$2:$F$46,0),MATCH(LEFT($A715,3),'Ontology and concepts per UC'!$G$1:$I$1,0))=0)</f>
        <v>0</v>
      </c>
      <c r="V715" s="1" t="b">
        <f t="shared" si="20"/>
        <v>0</v>
      </c>
      <c r="W715" s="1" t="b">
        <v>0</v>
      </c>
      <c r="X715" s="1" t="b">
        <v>0</v>
      </c>
      <c r="Y715" s="1" t="b">
        <v>0</v>
      </c>
      <c r="Z715" s="1" t="b">
        <v>0</v>
      </c>
      <c r="AA715" s="1"/>
    </row>
    <row r="716" spans="1:27" x14ac:dyDescent="0.25">
      <c r="A716" s="1" t="s">
        <v>1672</v>
      </c>
      <c r="B716" s="2" t="s">
        <v>1967</v>
      </c>
      <c r="C716" s="2" t="s">
        <v>219</v>
      </c>
      <c r="D716" s="6">
        <f t="shared" si="14"/>
        <v>1</v>
      </c>
      <c r="E716" s="7" t="str">
        <f t="shared" si="15"/>
        <v>Utility</v>
      </c>
      <c r="F716" s="8" t="b">
        <f>IF(D716&lt;1,FALSE,ISERROR(MATCH(E716,'Ontology and concepts per UC'!$A$2:$A$62,0)))</f>
        <v>0</v>
      </c>
      <c r="G716" s="9" t="str">
        <f t="shared" si="16"/>
        <v/>
      </c>
      <c r="H716" s="9" t="str">
        <f t="shared" si="17"/>
        <v/>
      </c>
      <c r="I716" s="8" t="b">
        <f>IF(D716&lt;2,FALSE,ISERROR(MATCH(H716,'Ontology and concepts per UC'!$A$2:$A$62,0)))</f>
        <v>0</v>
      </c>
      <c r="J716" s="9" t="str">
        <f t="shared" si="18"/>
        <v/>
      </c>
      <c r="K716" s="8" t="b">
        <f>IF(D716&lt;3,FALSE,ISERROR(MATCH(J716,'Ontology and concepts per UC'!$A$2:$A$62,0)))</f>
        <v>0</v>
      </c>
      <c r="L716" s="2" t="s">
        <v>1968</v>
      </c>
      <c r="M716" s="2" t="s">
        <v>1969</v>
      </c>
      <c r="N716" s="2"/>
      <c r="O716" s="1" t="b">
        <v>0</v>
      </c>
      <c r="P716" s="1">
        <v>0</v>
      </c>
      <c r="Q716" s="1">
        <v>0</v>
      </c>
      <c r="R716" s="1" t="b">
        <f t="shared" si="19"/>
        <v>1</v>
      </c>
      <c r="S716" s="2" t="s">
        <v>174</v>
      </c>
      <c r="T716" s="1" t="str">
        <f>IF(S716="","",VLOOKUP(S716,'Ontology and concepts per UC'!$F$2:$J$46,5,FALSE))</f>
        <v>Utilidad</v>
      </c>
      <c r="U716" s="1" t="b">
        <f t="array" ref="U716">(INDEX('Ontology and concepts per UC'!$G$2:$I$46,MATCH($S716,'Ontology and concepts per UC'!$F$2:$F$46,0),MATCH(LEFT($A716,3),'Ontology and concepts per UC'!$G$1:$I$1,0))=0)</f>
        <v>0</v>
      </c>
      <c r="V716" s="1" t="b">
        <f t="shared" si="20"/>
        <v>0</v>
      </c>
      <c r="W716" s="1" t="b">
        <v>0</v>
      </c>
      <c r="X716" s="1" t="b">
        <v>0</v>
      </c>
      <c r="Y716" s="1" t="b">
        <v>0</v>
      </c>
      <c r="Z716" s="1" t="b">
        <v>0</v>
      </c>
      <c r="AA716" s="1"/>
    </row>
    <row r="717" spans="1:27" x14ac:dyDescent="0.25">
      <c r="A717" s="1" t="s">
        <v>1672</v>
      </c>
      <c r="B717" s="2" t="s">
        <v>1970</v>
      </c>
      <c r="C717" s="2" t="s">
        <v>219</v>
      </c>
      <c r="D717" s="6">
        <f t="shared" si="14"/>
        <v>1</v>
      </c>
      <c r="E717" s="7" t="str">
        <f t="shared" si="15"/>
        <v>Utility</v>
      </c>
      <c r="F717" s="8" t="b">
        <f>IF(D717&lt;1,FALSE,ISERROR(MATCH(E717,'Ontology and concepts per UC'!$A$2:$A$62,0)))</f>
        <v>0</v>
      </c>
      <c r="G717" s="9" t="str">
        <f t="shared" si="16"/>
        <v/>
      </c>
      <c r="H717" s="9" t="str">
        <f t="shared" si="17"/>
        <v/>
      </c>
      <c r="I717" s="8" t="b">
        <f>IF(D717&lt;2,FALSE,ISERROR(MATCH(H717,'Ontology and concepts per UC'!$A$2:$A$62,0)))</f>
        <v>0</v>
      </c>
      <c r="J717" s="9" t="str">
        <f t="shared" si="18"/>
        <v/>
      </c>
      <c r="K717" s="8" t="b">
        <f>IF(D717&lt;3,FALSE,ISERROR(MATCH(J717,'Ontology and concepts per UC'!$A$2:$A$62,0)))</f>
        <v>0</v>
      </c>
      <c r="L717" s="2" t="s">
        <v>1971</v>
      </c>
      <c r="M717" s="2" t="s">
        <v>1972</v>
      </c>
      <c r="N717" s="2"/>
      <c r="O717" s="1" t="b">
        <v>0</v>
      </c>
      <c r="P717" s="1">
        <v>0</v>
      </c>
      <c r="Q717" s="1">
        <v>0</v>
      </c>
      <c r="R717" s="1" t="b">
        <f t="shared" si="19"/>
        <v>1</v>
      </c>
      <c r="S717" s="2" t="s">
        <v>68</v>
      </c>
      <c r="T717" s="1" t="str">
        <f>IF(S717="","",VLOOKUP(S717,'Ontology and concepts per UC'!$F$2:$J$46,5,FALSE))</f>
        <v>Utilidad</v>
      </c>
      <c r="U717" s="1" t="b">
        <f t="array" ref="U717">(INDEX('Ontology and concepts per UC'!$G$2:$I$46,MATCH($S717,'Ontology and concepts per UC'!$F$2:$F$46,0),MATCH(LEFT($A717,3),'Ontology and concepts per UC'!$G$1:$I$1,0))=0)</f>
        <v>0</v>
      </c>
      <c r="V717" s="1" t="b">
        <f t="shared" si="20"/>
        <v>0</v>
      </c>
      <c r="W717" s="1" t="b">
        <v>0</v>
      </c>
      <c r="X717" s="1" t="b">
        <v>0</v>
      </c>
      <c r="Y717" s="1" t="b">
        <v>0</v>
      </c>
      <c r="Z717" s="1" t="b">
        <v>0</v>
      </c>
      <c r="AA717" s="1"/>
    </row>
    <row r="718" spans="1:27" x14ac:dyDescent="0.25">
      <c r="A718" s="1" t="s">
        <v>1672</v>
      </c>
      <c r="B718" s="2" t="s">
        <v>1973</v>
      </c>
      <c r="C718" s="2" t="s">
        <v>219</v>
      </c>
      <c r="D718" s="6">
        <f t="shared" si="14"/>
        <v>1</v>
      </c>
      <c r="E718" s="7" t="str">
        <f t="shared" si="15"/>
        <v>Utility</v>
      </c>
      <c r="F718" s="8" t="b">
        <f>IF(D718&lt;1,FALSE,ISERROR(MATCH(E718,'Ontology and concepts per UC'!$A$2:$A$62,0)))</f>
        <v>0</v>
      </c>
      <c r="G718" s="9" t="str">
        <f t="shared" si="16"/>
        <v/>
      </c>
      <c r="H718" s="9" t="str">
        <f t="shared" si="17"/>
        <v/>
      </c>
      <c r="I718" s="8" t="b">
        <f>IF(D718&lt;2,FALSE,ISERROR(MATCH(H718,'Ontology and concepts per UC'!$A$2:$A$62,0)))</f>
        <v>0</v>
      </c>
      <c r="J718" s="9" t="str">
        <f t="shared" si="18"/>
        <v/>
      </c>
      <c r="K718" s="8" t="b">
        <f>IF(D718&lt;3,FALSE,ISERROR(MATCH(J718,'Ontology and concepts per UC'!$A$2:$A$62,0)))</f>
        <v>0</v>
      </c>
      <c r="L718" s="2" t="s">
        <v>1974</v>
      </c>
      <c r="M718" s="2" t="s">
        <v>1975</v>
      </c>
      <c r="N718" s="2"/>
      <c r="O718" s="1" t="b">
        <v>0</v>
      </c>
      <c r="P718" s="1">
        <v>0</v>
      </c>
      <c r="Q718" s="1">
        <v>0</v>
      </c>
      <c r="R718" s="1" t="b">
        <f t="shared" si="19"/>
        <v>1</v>
      </c>
      <c r="S718" s="2" t="s">
        <v>69</v>
      </c>
      <c r="T718" s="1" t="str">
        <f>IF(S718="","",VLOOKUP(S718,'Ontology and concepts per UC'!$F$2:$J$46,5,FALSE))</f>
        <v>Utilidad</v>
      </c>
      <c r="U718" s="1" t="b">
        <f t="array" ref="U718">(INDEX('Ontology and concepts per UC'!$G$2:$I$46,MATCH($S718,'Ontology and concepts per UC'!$F$2:$F$46,0),MATCH(LEFT($A718,3),'Ontology and concepts per UC'!$G$1:$I$1,0))=0)</f>
        <v>0</v>
      </c>
      <c r="V718" s="1" t="b">
        <f t="shared" si="20"/>
        <v>0</v>
      </c>
      <c r="W718" s="1" t="b">
        <v>0</v>
      </c>
      <c r="X718" s="1" t="b">
        <v>0</v>
      </c>
      <c r="Y718" s="1" t="b">
        <v>0</v>
      </c>
      <c r="Z718" s="1" t="b">
        <v>0</v>
      </c>
      <c r="AA718" s="1"/>
    </row>
    <row r="719" spans="1:27" x14ac:dyDescent="0.25">
      <c r="A719" s="1" t="s">
        <v>1672</v>
      </c>
      <c r="B719" s="2" t="s">
        <v>1976</v>
      </c>
      <c r="C719" s="2" t="s">
        <v>219</v>
      </c>
      <c r="D719" s="6">
        <f t="shared" si="14"/>
        <v>1</v>
      </c>
      <c r="E719" s="7" t="str">
        <f t="shared" si="15"/>
        <v>Utility</v>
      </c>
      <c r="F719" s="8" t="b">
        <f>IF(D719&lt;1,FALSE,ISERROR(MATCH(E719,'Ontology and concepts per UC'!$A$2:$A$62,0)))</f>
        <v>0</v>
      </c>
      <c r="G719" s="9" t="str">
        <f t="shared" si="16"/>
        <v/>
      </c>
      <c r="H719" s="9" t="str">
        <f t="shared" si="17"/>
        <v/>
      </c>
      <c r="I719" s="8" t="b">
        <f>IF(D719&lt;2,FALSE,ISERROR(MATCH(H719,'Ontology and concepts per UC'!$A$2:$A$62,0)))</f>
        <v>0</v>
      </c>
      <c r="J719" s="9" t="str">
        <f t="shared" si="18"/>
        <v/>
      </c>
      <c r="K719" s="8" t="b">
        <f>IF(D719&lt;3,FALSE,ISERROR(MATCH(J719,'Ontology and concepts per UC'!$A$2:$A$62,0)))</f>
        <v>0</v>
      </c>
      <c r="L719" s="2" t="s">
        <v>1977</v>
      </c>
      <c r="M719" s="2" t="s">
        <v>1978</v>
      </c>
      <c r="N719" s="2"/>
      <c r="O719" s="1" t="b">
        <v>0</v>
      </c>
      <c r="P719" s="1">
        <v>0</v>
      </c>
      <c r="Q719" s="1">
        <v>0</v>
      </c>
      <c r="R719" s="1" t="b">
        <f t="shared" si="19"/>
        <v>1</v>
      </c>
      <c r="S719" s="2" t="s">
        <v>174</v>
      </c>
      <c r="T719" s="1" t="str">
        <f>IF(S719="","",VLOOKUP(S719,'Ontology and concepts per UC'!$F$2:$J$46,5,FALSE))</f>
        <v>Utilidad</v>
      </c>
      <c r="U719" s="1" t="b">
        <f t="array" ref="U719">(INDEX('Ontology and concepts per UC'!$G$2:$I$46,MATCH($S719,'Ontology and concepts per UC'!$F$2:$F$46,0),MATCH(LEFT($A719,3),'Ontology and concepts per UC'!$G$1:$I$1,0))=0)</f>
        <v>0</v>
      </c>
      <c r="V719" s="1" t="b">
        <f t="shared" si="20"/>
        <v>0</v>
      </c>
      <c r="W719" s="1" t="b">
        <v>0</v>
      </c>
      <c r="X719" s="1" t="b">
        <v>0</v>
      </c>
      <c r="Y719" s="1" t="b">
        <v>0</v>
      </c>
      <c r="Z719" s="1" t="b">
        <v>0</v>
      </c>
      <c r="AA719" s="1"/>
    </row>
    <row r="720" spans="1:27" x14ac:dyDescent="0.25">
      <c r="A720" s="1" t="s">
        <v>1672</v>
      </c>
      <c r="B720" s="2" t="s">
        <v>1979</v>
      </c>
      <c r="C720" s="2" t="s">
        <v>219</v>
      </c>
      <c r="D720" s="6">
        <f t="shared" si="14"/>
        <v>1</v>
      </c>
      <c r="E720" s="7" t="str">
        <f t="shared" si="15"/>
        <v>Utility</v>
      </c>
      <c r="F720" s="8" t="b">
        <f>IF(D720&lt;1,FALSE,ISERROR(MATCH(E720,'Ontology and concepts per UC'!$A$2:$A$62,0)))</f>
        <v>0</v>
      </c>
      <c r="G720" s="9" t="str">
        <f t="shared" si="16"/>
        <v/>
      </c>
      <c r="H720" s="9" t="str">
        <f t="shared" si="17"/>
        <v/>
      </c>
      <c r="I720" s="8" t="b">
        <f>IF(D720&lt;2,FALSE,ISERROR(MATCH(H720,'Ontology and concepts per UC'!$A$2:$A$62,0)))</f>
        <v>0</v>
      </c>
      <c r="J720" s="9" t="str">
        <f t="shared" si="18"/>
        <v/>
      </c>
      <c r="K720" s="8" t="b">
        <f>IF(D720&lt;3,FALSE,ISERROR(MATCH(J720,'Ontology and concepts per UC'!$A$2:$A$62,0)))</f>
        <v>0</v>
      </c>
      <c r="L720" s="2" t="s">
        <v>1980</v>
      </c>
      <c r="M720" s="2" t="s">
        <v>1981</v>
      </c>
      <c r="N720" s="2"/>
      <c r="O720" s="1" t="b">
        <v>0</v>
      </c>
      <c r="P720" s="1">
        <v>0</v>
      </c>
      <c r="Q720" s="1">
        <v>0</v>
      </c>
      <c r="R720" s="1" t="b">
        <f t="shared" si="19"/>
        <v>1</v>
      </c>
      <c r="S720" s="2" t="s">
        <v>174</v>
      </c>
      <c r="T720" s="1" t="str">
        <f>IF(S720="","",VLOOKUP(S720,'Ontology and concepts per UC'!$F$2:$J$46,5,FALSE))</f>
        <v>Utilidad</v>
      </c>
      <c r="U720" s="1" t="b">
        <f t="array" ref="U720">(INDEX('Ontology and concepts per UC'!$G$2:$I$46,MATCH($S720,'Ontology and concepts per UC'!$F$2:$F$46,0),MATCH(LEFT($A720,3),'Ontology and concepts per UC'!$G$1:$I$1,0))=0)</f>
        <v>0</v>
      </c>
      <c r="V720" s="1" t="b">
        <f t="shared" si="20"/>
        <v>0</v>
      </c>
      <c r="W720" s="1" t="b">
        <v>0</v>
      </c>
      <c r="X720" s="1" t="b">
        <v>0</v>
      </c>
      <c r="Y720" s="1" t="b">
        <v>0</v>
      </c>
      <c r="Z720" s="1" t="b">
        <v>0</v>
      </c>
      <c r="AA720" s="1"/>
    </row>
    <row r="721" spans="1:27" x14ac:dyDescent="0.25">
      <c r="A721" s="1" t="s">
        <v>1672</v>
      </c>
      <c r="B721" s="2" t="s">
        <v>1982</v>
      </c>
      <c r="C721" s="2" t="s">
        <v>219</v>
      </c>
      <c r="D721" s="6">
        <f t="shared" si="14"/>
        <v>1</v>
      </c>
      <c r="E721" s="7" t="str">
        <f t="shared" si="15"/>
        <v>Utility</v>
      </c>
      <c r="F721" s="8" t="b">
        <f>IF(D721&lt;1,FALSE,ISERROR(MATCH(E721,'Ontology and concepts per UC'!$A$2:$A$62,0)))</f>
        <v>0</v>
      </c>
      <c r="G721" s="9" t="str">
        <f t="shared" si="16"/>
        <v/>
      </c>
      <c r="H721" s="9" t="str">
        <f t="shared" si="17"/>
        <v/>
      </c>
      <c r="I721" s="8" t="b">
        <f>IF(D721&lt;2,FALSE,ISERROR(MATCH(H721,'Ontology and concepts per UC'!$A$2:$A$62,0)))</f>
        <v>0</v>
      </c>
      <c r="J721" s="9" t="str">
        <f t="shared" si="18"/>
        <v/>
      </c>
      <c r="K721" s="8" t="b">
        <f>IF(D721&lt;3,FALSE,ISERROR(MATCH(J721,'Ontology and concepts per UC'!$A$2:$A$62,0)))</f>
        <v>0</v>
      </c>
      <c r="L721" s="2" t="s">
        <v>1983</v>
      </c>
      <c r="M721" s="2" t="s">
        <v>1984</v>
      </c>
      <c r="N721" s="2"/>
      <c r="O721" s="1" t="b">
        <v>0</v>
      </c>
      <c r="P721" s="1">
        <v>0</v>
      </c>
      <c r="Q721" s="1">
        <v>0</v>
      </c>
      <c r="R721" s="1" t="b">
        <f t="shared" si="19"/>
        <v>1</v>
      </c>
      <c r="S721" s="2" t="s">
        <v>65</v>
      </c>
      <c r="T721" s="1" t="str">
        <f>IF(S721="","",VLOOKUP(S721,'Ontology and concepts per UC'!$F$2:$J$46,5,FALSE))</f>
        <v>Utilidad</v>
      </c>
      <c r="U721" s="1" t="b">
        <f t="array" ref="U721">(INDEX('Ontology and concepts per UC'!$G$2:$I$46,MATCH($S721,'Ontology and concepts per UC'!$F$2:$F$46,0),MATCH(LEFT($A721,3),'Ontology and concepts per UC'!$G$1:$I$1,0))=0)</f>
        <v>0</v>
      </c>
      <c r="V721" s="1" t="b">
        <f t="shared" si="20"/>
        <v>0</v>
      </c>
      <c r="W721" s="1" t="b">
        <v>0</v>
      </c>
      <c r="X721" s="1" t="b">
        <v>0</v>
      </c>
      <c r="Y721" s="1" t="b">
        <v>0</v>
      </c>
      <c r="Z721" s="1" t="b">
        <v>0</v>
      </c>
      <c r="AA721" s="1"/>
    </row>
    <row r="722" spans="1:27" x14ac:dyDescent="0.25">
      <c r="A722" s="1" t="s">
        <v>1672</v>
      </c>
      <c r="B722" s="2" t="s">
        <v>1985</v>
      </c>
      <c r="C722" s="2" t="s">
        <v>219</v>
      </c>
      <c r="D722" s="6">
        <f t="shared" si="14"/>
        <v>1</v>
      </c>
      <c r="E722" s="7" t="str">
        <f t="shared" si="15"/>
        <v>Utility</v>
      </c>
      <c r="F722" s="8" t="b">
        <f>IF(D722&lt;1,FALSE,ISERROR(MATCH(E722,'Ontology and concepts per UC'!$A$2:$A$62,0)))</f>
        <v>0</v>
      </c>
      <c r="G722" s="9" t="str">
        <f t="shared" si="16"/>
        <v/>
      </c>
      <c r="H722" s="9" t="str">
        <f t="shared" si="17"/>
        <v/>
      </c>
      <c r="I722" s="8" t="b">
        <f>IF(D722&lt;2,FALSE,ISERROR(MATCH(H722,'Ontology and concepts per UC'!$A$2:$A$62,0)))</f>
        <v>0</v>
      </c>
      <c r="J722" s="9" t="str">
        <f t="shared" si="18"/>
        <v/>
      </c>
      <c r="K722" s="8" t="b">
        <f>IF(D722&lt;3,FALSE,ISERROR(MATCH(J722,'Ontology and concepts per UC'!$A$2:$A$62,0)))</f>
        <v>0</v>
      </c>
      <c r="L722" s="2" t="s">
        <v>1986</v>
      </c>
      <c r="M722" s="2" t="s">
        <v>1987</v>
      </c>
      <c r="N722" s="2"/>
      <c r="O722" s="1" t="b">
        <v>0</v>
      </c>
      <c r="P722" s="1">
        <v>0</v>
      </c>
      <c r="Q722" s="1">
        <v>0</v>
      </c>
      <c r="R722" s="1" t="b">
        <f t="shared" si="19"/>
        <v>1</v>
      </c>
      <c r="S722" s="2" t="s">
        <v>174</v>
      </c>
      <c r="T722" s="1" t="str">
        <f>IF(S722="","",VLOOKUP(S722,'Ontology and concepts per UC'!$F$2:$J$46,5,FALSE))</f>
        <v>Utilidad</v>
      </c>
      <c r="U722" s="1" t="b">
        <f t="array" ref="U722">(INDEX('Ontology and concepts per UC'!$G$2:$I$46,MATCH($S722,'Ontology and concepts per UC'!$F$2:$F$46,0),MATCH(LEFT($A722,3),'Ontology and concepts per UC'!$G$1:$I$1,0))=0)</f>
        <v>0</v>
      </c>
      <c r="V722" s="1" t="b">
        <f t="shared" si="20"/>
        <v>0</v>
      </c>
      <c r="W722" s="1" t="b">
        <v>0</v>
      </c>
      <c r="X722" s="1" t="b">
        <v>0</v>
      </c>
      <c r="Y722" s="1" t="b">
        <v>0</v>
      </c>
      <c r="Z722" s="1" t="b">
        <v>0</v>
      </c>
      <c r="AA722" s="1"/>
    </row>
    <row r="723" spans="1:27" x14ac:dyDescent="0.25">
      <c r="A723" s="1" t="s">
        <v>1672</v>
      </c>
      <c r="B723" s="2" t="s">
        <v>1988</v>
      </c>
      <c r="C723" s="2" t="s">
        <v>219</v>
      </c>
      <c r="D723" s="6">
        <f t="shared" si="14"/>
        <v>1</v>
      </c>
      <c r="E723" s="7" t="str">
        <f t="shared" si="15"/>
        <v>Utility</v>
      </c>
      <c r="F723" s="8" t="b">
        <f>IF(D723&lt;1,FALSE,ISERROR(MATCH(E723,'Ontology and concepts per UC'!$A$2:$A$62,0)))</f>
        <v>0</v>
      </c>
      <c r="G723" s="9" t="str">
        <f t="shared" si="16"/>
        <v/>
      </c>
      <c r="H723" s="9" t="str">
        <f t="shared" si="17"/>
        <v/>
      </c>
      <c r="I723" s="8" t="b">
        <f>IF(D723&lt;2,FALSE,ISERROR(MATCH(H723,'Ontology and concepts per UC'!$A$2:$A$62,0)))</f>
        <v>0</v>
      </c>
      <c r="J723" s="9" t="str">
        <f t="shared" si="18"/>
        <v/>
      </c>
      <c r="K723" s="8" t="b">
        <f>IF(D723&lt;3,FALSE,ISERROR(MATCH(J723,'Ontology and concepts per UC'!$A$2:$A$62,0)))</f>
        <v>0</v>
      </c>
      <c r="L723" s="2" t="s">
        <v>1989</v>
      </c>
      <c r="M723" s="2" t="s">
        <v>1990</v>
      </c>
      <c r="N723" s="2"/>
      <c r="O723" s="1" t="b">
        <v>0</v>
      </c>
      <c r="P723" s="1">
        <v>0</v>
      </c>
      <c r="Q723" s="1">
        <v>0</v>
      </c>
      <c r="R723" s="1" t="b">
        <f t="shared" si="19"/>
        <v>1</v>
      </c>
      <c r="S723" s="2" t="s">
        <v>66</v>
      </c>
      <c r="T723" s="1" t="str">
        <f>IF(S723="","",VLOOKUP(S723,'Ontology and concepts per UC'!$F$2:$J$46,5,FALSE))</f>
        <v>Utilidad</v>
      </c>
      <c r="U723" s="1" t="b">
        <f t="array" ref="U723">(INDEX('Ontology and concepts per UC'!$G$2:$I$46,MATCH($S723,'Ontology and concepts per UC'!$F$2:$F$46,0),MATCH(LEFT($A723,3),'Ontology and concepts per UC'!$G$1:$I$1,0))=0)</f>
        <v>0</v>
      </c>
      <c r="V723" s="1" t="b">
        <f t="shared" si="20"/>
        <v>0</v>
      </c>
      <c r="W723" s="1" t="b">
        <v>0</v>
      </c>
      <c r="X723" s="1" t="b">
        <v>0</v>
      </c>
      <c r="Y723" s="1" t="b">
        <v>0</v>
      </c>
      <c r="Z723" s="1" t="b">
        <v>0</v>
      </c>
      <c r="AA723" s="1"/>
    </row>
    <row r="724" spans="1:27" x14ac:dyDescent="0.25">
      <c r="A724" s="1" t="s">
        <v>1672</v>
      </c>
      <c r="B724" s="2" t="s">
        <v>1991</v>
      </c>
      <c r="C724" s="2" t="s">
        <v>219</v>
      </c>
      <c r="D724" s="6">
        <f t="shared" si="14"/>
        <v>1</v>
      </c>
      <c r="E724" s="7" t="str">
        <f t="shared" si="15"/>
        <v>Utility</v>
      </c>
      <c r="F724" s="8" t="b">
        <f>IF(D724&lt;1,FALSE,ISERROR(MATCH(E724,'Ontology and concepts per UC'!$A$2:$A$62,0)))</f>
        <v>0</v>
      </c>
      <c r="G724" s="9" t="str">
        <f t="shared" si="16"/>
        <v/>
      </c>
      <c r="H724" s="9" t="str">
        <f t="shared" si="17"/>
        <v/>
      </c>
      <c r="I724" s="8" t="b">
        <f>IF(D724&lt;2,FALSE,ISERROR(MATCH(H724,'Ontology and concepts per UC'!$A$2:$A$62,0)))</f>
        <v>0</v>
      </c>
      <c r="J724" s="9" t="str">
        <f t="shared" si="18"/>
        <v/>
      </c>
      <c r="K724" s="8" t="b">
        <f>IF(D724&lt;3,FALSE,ISERROR(MATCH(J724,'Ontology and concepts per UC'!$A$2:$A$62,0)))</f>
        <v>0</v>
      </c>
      <c r="L724" s="2" t="s">
        <v>1992</v>
      </c>
      <c r="M724" s="2" t="s">
        <v>1993</v>
      </c>
      <c r="N724" s="2"/>
      <c r="O724" s="1" t="b">
        <v>0</v>
      </c>
      <c r="P724" s="1">
        <v>0</v>
      </c>
      <c r="Q724" s="1">
        <v>0</v>
      </c>
      <c r="R724" s="1" t="b">
        <f t="shared" si="19"/>
        <v>1</v>
      </c>
      <c r="S724" s="2" t="s">
        <v>67</v>
      </c>
      <c r="T724" s="1" t="str">
        <f>IF(S724="","",VLOOKUP(S724,'Ontology and concepts per UC'!$F$2:$J$46,5,FALSE))</f>
        <v>Utilidad</v>
      </c>
      <c r="U724" s="1" t="b">
        <f t="array" ref="U724">(INDEX('Ontology and concepts per UC'!$G$2:$I$46,MATCH($S724,'Ontology and concepts per UC'!$F$2:$F$46,0),MATCH(LEFT($A724,3),'Ontology and concepts per UC'!$G$1:$I$1,0))=0)</f>
        <v>0</v>
      </c>
      <c r="V724" s="1" t="b">
        <f t="shared" si="20"/>
        <v>1</v>
      </c>
      <c r="W724" s="1" t="b">
        <v>0</v>
      </c>
      <c r="X724" s="1" t="b">
        <v>0</v>
      </c>
      <c r="Y724" s="1" t="b">
        <v>0</v>
      </c>
      <c r="Z724" s="1" t="b">
        <v>1</v>
      </c>
      <c r="AA724" s="1" t="s">
        <v>197</v>
      </c>
    </row>
    <row r="725" spans="1:27" x14ac:dyDescent="0.25">
      <c r="A725" s="1" t="s">
        <v>1672</v>
      </c>
      <c r="B725" s="2" t="s">
        <v>1994</v>
      </c>
      <c r="C725" s="2" t="s">
        <v>219</v>
      </c>
      <c r="D725" s="6">
        <f t="shared" si="14"/>
        <v>1</v>
      </c>
      <c r="E725" s="7" t="str">
        <f t="shared" si="15"/>
        <v>Utility</v>
      </c>
      <c r="F725" s="8" t="b">
        <f>IF(D725&lt;1,FALSE,ISERROR(MATCH(E725,'Ontology and concepts per UC'!$A$2:$A$62,0)))</f>
        <v>0</v>
      </c>
      <c r="G725" s="9" t="str">
        <f t="shared" si="16"/>
        <v/>
      </c>
      <c r="H725" s="9" t="str">
        <f t="shared" si="17"/>
        <v/>
      </c>
      <c r="I725" s="8" t="b">
        <f>IF(D725&lt;2,FALSE,ISERROR(MATCH(H725,'Ontology and concepts per UC'!$A$2:$A$62,0)))</f>
        <v>0</v>
      </c>
      <c r="J725" s="9" t="str">
        <f t="shared" si="18"/>
        <v/>
      </c>
      <c r="K725" s="8" t="b">
        <f>IF(D725&lt;3,FALSE,ISERROR(MATCH(J725,'Ontology and concepts per UC'!$A$2:$A$62,0)))</f>
        <v>0</v>
      </c>
      <c r="L725" s="2" t="s">
        <v>1995</v>
      </c>
      <c r="M725" s="2" t="s">
        <v>1996</v>
      </c>
      <c r="N725" s="2"/>
      <c r="O725" s="1" t="b">
        <v>0</v>
      </c>
      <c r="P725" s="1">
        <v>0</v>
      </c>
      <c r="Q725" s="1">
        <v>0</v>
      </c>
      <c r="R725" s="1" t="b">
        <f t="shared" si="19"/>
        <v>1</v>
      </c>
      <c r="S725" s="2" t="s">
        <v>174</v>
      </c>
      <c r="T725" s="1" t="str">
        <f>IF(S725="","",VLOOKUP(S725,'Ontology and concepts per UC'!$F$2:$J$46,5,FALSE))</f>
        <v>Utilidad</v>
      </c>
      <c r="U725" s="1" t="b">
        <f t="array" ref="U725">(INDEX('Ontology and concepts per UC'!$G$2:$I$46,MATCH($S725,'Ontology and concepts per UC'!$F$2:$F$46,0),MATCH(LEFT($A725,3),'Ontology and concepts per UC'!$G$1:$I$1,0))=0)</f>
        <v>0</v>
      </c>
      <c r="V725" s="1" t="b">
        <f t="shared" si="20"/>
        <v>0</v>
      </c>
      <c r="W725" s="1" t="b">
        <v>0</v>
      </c>
      <c r="X725" s="1" t="b">
        <v>0</v>
      </c>
      <c r="Y725" s="1" t="b">
        <v>0</v>
      </c>
      <c r="Z725" s="1" t="b">
        <v>0</v>
      </c>
      <c r="AA725" s="1"/>
    </row>
    <row r="726" spans="1:27" x14ac:dyDescent="0.25">
      <c r="A726" s="1" t="s">
        <v>1672</v>
      </c>
      <c r="B726" s="2" t="s">
        <v>1997</v>
      </c>
      <c r="C726" s="2"/>
      <c r="D726" s="6">
        <f t="shared" si="14"/>
        <v>0</v>
      </c>
      <c r="E726" s="7">
        <f t="shared" si="15"/>
        <v>0</v>
      </c>
      <c r="F726" s="8" t="b">
        <f>IF(D726&lt;1,FALSE,ISERROR(MATCH(E726,'Ontology and concepts per UC'!$A$2:$A$62,0)))</f>
        <v>0</v>
      </c>
      <c r="G726" s="9" t="str">
        <f t="shared" si="16"/>
        <v/>
      </c>
      <c r="H726" s="9" t="str">
        <f t="shared" si="17"/>
        <v/>
      </c>
      <c r="I726" s="8" t="b">
        <f>IF(D726&lt;2,FALSE,ISERROR(MATCH(H726,'Ontology and concepts per UC'!$A$2:$A$62,0)))</f>
        <v>0</v>
      </c>
      <c r="J726" s="9" t="str">
        <f t="shared" si="18"/>
        <v/>
      </c>
      <c r="K726" s="8" t="b">
        <f>IF(D726&lt;3,FALSE,ISERROR(MATCH(J726,'Ontology and concepts per UC'!$A$2:$A$62,0)))</f>
        <v>0</v>
      </c>
      <c r="L726" s="2"/>
      <c r="M726" s="2"/>
      <c r="N726" s="2"/>
      <c r="O726" s="1" t="b">
        <v>1</v>
      </c>
      <c r="P726" s="1">
        <v>0</v>
      </c>
      <c r="Q726" s="1">
        <v>0</v>
      </c>
      <c r="R726" s="1" t="b">
        <f t="shared" si="19"/>
        <v>0</v>
      </c>
      <c r="S726" s="2" t="s">
        <v>367</v>
      </c>
      <c r="T726" s="1" t="str">
        <f>IF(S726="","",VLOOKUP(S726,'Ontology and concepts per UC'!$F$2:$J$46,5,FALSE))</f>
        <v>Parámetros de progresión</v>
      </c>
      <c r="U726" s="1" t="b">
        <f t="array" ref="U726">(INDEX('Ontology and concepts per UC'!$G$2:$I$46,MATCH($S726,'Ontology and concepts per UC'!$F$2:$F$46,0),MATCH(LEFT($A726,3),'Ontology and concepts per UC'!$G$1:$I$1,0))=0)</f>
        <v>0</v>
      </c>
      <c r="V726" s="1" t="b">
        <f t="shared" si="20"/>
        <v>1</v>
      </c>
      <c r="W726" s="1" t="b">
        <v>1</v>
      </c>
      <c r="X726" s="1" t="b">
        <v>0</v>
      </c>
      <c r="Y726" s="1" t="b">
        <v>0</v>
      </c>
      <c r="Z726" s="1" t="b">
        <v>0</v>
      </c>
      <c r="AA726" s="1" t="s">
        <v>188</v>
      </c>
    </row>
    <row r="727" spans="1:27" x14ac:dyDescent="0.25">
      <c r="A727" s="1" t="s">
        <v>1672</v>
      </c>
      <c r="B727" s="2" t="s">
        <v>1998</v>
      </c>
      <c r="C727" s="2"/>
      <c r="D727" s="6">
        <f t="shared" si="14"/>
        <v>0</v>
      </c>
      <c r="E727" s="7">
        <f t="shared" si="15"/>
        <v>0</v>
      </c>
      <c r="F727" s="8" t="b">
        <f>IF(D727&lt;1,FALSE,ISERROR(MATCH(E727,'Ontology and concepts per UC'!$A$2:$A$62,0)))</f>
        <v>0</v>
      </c>
      <c r="G727" s="9" t="str">
        <f t="shared" si="16"/>
        <v/>
      </c>
      <c r="H727" s="9" t="str">
        <f t="shared" si="17"/>
        <v/>
      </c>
      <c r="I727" s="8" t="b">
        <f>IF(D727&lt;2,FALSE,ISERROR(MATCH(H727,'Ontology and concepts per UC'!$A$2:$A$62,0)))</f>
        <v>0</v>
      </c>
      <c r="J727" s="9" t="str">
        <f t="shared" si="18"/>
        <v/>
      </c>
      <c r="K727" s="8" t="b">
        <f>IF(D727&lt;3,FALSE,ISERROR(MATCH(J727,'Ontology and concepts per UC'!$A$2:$A$62,0)))</f>
        <v>0</v>
      </c>
      <c r="L727" s="2"/>
      <c r="M727" s="2"/>
      <c r="N727" s="2"/>
      <c r="O727" s="1" t="b">
        <v>1</v>
      </c>
      <c r="P727" s="1">
        <v>0</v>
      </c>
      <c r="Q727" s="1">
        <v>0</v>
      </c>
      <c r="R727" s="1" t="b">
        <f t="shared" si="19"/>
        <v>0</v>
      </c>
      <c r="S727" s="2" t="s">
        <v>56</v>
      </c>
      <c r="T727" s="1" t="str">
        <f>IF(S727="","",VLOOKUP(S727,'Ontology and concepts per UC'!$F$2:$J$46,5,FALSE))</f>
        <v>Parámetros de progresión</v>
      </c>
      <c r="U727" s="1" t="b">
        <f t="array" ref="U727">(INDEX('Ontology and concepts per UC'!$G$2:$I$46,MATCH($S727,'Ontology and concepts per UC'!$F$2:$F$46,0),MATCH(LEFT($A727,3),'Ontology and concepts per UC'!$G$1:$I$1,0))=0)</f>
        <v>0</v>
      </c>
      <c r="V727" s="1" t="b">
        <f t="shared" si="20"/>
        <v>1</v>
      </c>
      <c r="W727" s="1" t="b">
        <v>1</v>
      </c>
      <c r="X727" s="1" t="b">
        <v>0</v>
      </c>
      <c r="Y727" s="1" t="b">
        <v>0</v>
      </c>
      <c r="Z727" s="1" t="b">
        <v>0</v>
      </c>
      <c r="AA727" s="1" t="s">
        <v>188</v>
      </c>
    </row>
    <row r="728" spans="1:27" x14ac:dyDescent="0.25">
      <c r="A728" s="1" t="s">
        <v>1672</v>
      </c>
      <c r="B728" s="2" t="s">
        <v>1999</v>
      </c>
      <c r="C728" s="2"/>
      <c r="D728" s="6">
        <f t="shared" si="14"/>
        <v>0</v>
      </c>
      <c r="E728" s="7">
        <f t="shared" si="15"/>
        <v>0</v>
      </c>
      <c r="F728" s="8" t="b">
        <f>IF(D728&lt;1,FALSE,ISERROR(MATCH(E728,'Ontology and concepts per UC'!$A$2:$A$62,0)))</f>
        <v>0</v>
      </c>
      <c r="G728" s="9" t="str">
        <f t="shared" si="16"/>
        <v/>
      </c>
      <c r="H728" s="9" t="str">
        <f t="shared" si="17"/>
        <v/>
      </c>
      <c r="I728" s="8" t="b">
        <f>IF(D728&lt;2,FALSE,ISERROR(MATCH(H728,'Ontology and concepts per UC'!$A$2:$A$62,0)))</f>
        <v>0</v>
      </c>
      <c r="J728" s="9" t="str">
        <f t="shared" si="18"/>
        <v/>
      </c>
      <c r="K728" s="8" t="b">
        <f>IF(D728&lt;3,FALSE,ISERROR(MATCH(J728,'Ontology and concepts per UC'!$A$2:$A$62,0)))</f>
        <v>0</v>
      </c>
      <c r="L728" s="2"/>
      <c r="M728" s="2"/>
      <c r="N728" s="2"/>
      <c r="O728" s="1" t="b">
        <v>1</v>
      </c>
      <c r="P728" s="1">
        <v>0</v>
      </c>
      <c r="Q728" s="1">
        <v>0</v>
      </c>
      <c r="R728" s="1" t="b">
        <f t="shared" si="19"/>
        <v>0</v>
      </c>
      <c r="S728" s="2" t="s">
        <v>56</v>
      </c>
      <c r="T728" s="1" t="str">
        <f>IF(S728="","",VLOOKUP(S728,'Ontology and concepts per UC'!$F$2:$J$46,5,FALSE))</f>
        <v>Parámetros de progresión</v>
      </c>
      <c r="U728" s="1" t="b">
        <f t="array" ref="U728">(INDEX('Ontology and concepts per UC'!$G$2:$I$46,MATCH($S728,'Ontology and concepts per UC'!$F$2:$F$46,0),MATCH(LEFT($A728,3),'Ontology and concepts per UC'!$G$1:$I$1,0))=0)</f>
        <v>0</v>
      </c>
      <c r="V728" s="1" t="b">
        <f t="shared" si="20"/>
        <v>1</v>
      </c>
      <c r="W728" s="1" t="b">
        <v>1</v>
      </c>
      <c r="X728" s="1" t="b">
        <v>0</v>
      </c>
      <c r="Y728" s="1" t="b">
        <v>0</v>
      </c>
      <c r="Z728" s="1" t="b">
        <v>0</v>
      </c>
      <c r="AA728" s="1" t="s">
        <v>188</v>
      </c>
    </row>
    <row r="729" spans="1:27" x14ac:dyDescent="0.25">
      <c r="A729" s="1" t="s">
        <v>1672</v>
      </c>
      <c r="B729" s="2" t="s">
        <v>2000</v>
      </c>
      <c r="C729" s="2"/>
      <c r="D729" s="6">
        <f t="shared" si="14"/>
        <v>0</v>
      </c>
      <c r="E729" s="7">
        <f t="shared" si="15"/>
        <v>0</v>
      </c>
      <c r="F729" s="8" t="b">
        <f>IF(D729&lt;1,FALSE,ISERROR(MATCH(E729,'Ontology and concepts per UC'!$A$2:$A$62,0)))</f>
        <v>0</v>
      </c>
      <c r="G729" s="9" t="str">
        <f t="shared" si="16"/>
        <v/>
      </c>
      <c r="H729" s="9" t="str">
        <f t="shared" si="17"/>
        <v/>
      </c>
      <c r="I729" s="8" t="b">
        <f>IF(D729&lt;2,FALSE,ISERROR(MATCH(H729,'Ontology and concepts per UC'!$A$2:$A$62,0)))</f>
        <v>0</v>
      </c>
      <c r="J729" s="9" t="str">
        <f t="shared" si="18"/>
        <v/>
      </c>
      <c r="K729" s="8" t="b">
        <f>IF(D729&lt;3,FALSE,ISERROR(MATCH(J729,'Ontology and concepts per UC'!$A$2:$A$62,0)))</f>
        <v>0</v>
      </c>
      <c r="L729" s="2"/>
      <c r="M729" s="2"/>
      <c r="N729" s="2"/>
      <c r="O729" s="1" t="b">
        <v>1</v>
      </c>
      <c r="P729" s="1">
        <v>0</v>
      </c>
      <c r="Q729" s="1">
        <v>0</v>
      </c>
      <c r="R729" s="1" t="b">
        <f t="shared" si="19"/>
        <v>0</v>
      </c>
      <c r="S729" s="2" t="s">
        <v>367</v>
      </c>
      <c r="T729" s="1" t="str">
        <f>IF(S729="","",VLOOKUP(S729,'Ontology and concepts per UC'!$F$2:$J$46,5,FALSE))</f>
        <v>Parámetros de progresión</v>
      </c>
      <c r="U729" s="1" t="b">
        <f t="array" ref="U729">(INDEX('Ontology and concepts per UC'!$G$2:$I$46,MATCH($S729,'Ontology and concepts per UC'!$F$2:$F$46,0),MATCH(LEFT($A729,3),'Ontology and concepts per UC'!$G$1:$I$1,0))=0)</f>
        <v>0</v>
      </c>
      <c r="V729" s="1" t="b">
        <f t="shared" si="20"/>
        <v>1</v>
      </c>
      <c r="W729" s="1" t="b">
        <v>1</v>
      </c>
      <c r="X729" s="1" t="b">
        <v>0</v>
      </c>
      <c r="Y729" s="1" t="b">
        <v>0</v>
      </c>
      <c r="Z729" s="1" t="b">
        <v>0</v>
      </c>
      <c r="AA729" s="1" t="s">
        <v>188</v>
      </c>
    </row>
    <row r="730" spans="1:27" x14ac:dyDescent="0.25">
      <c r="A730" s="1" t="s">
        <v>1672</v>
      </c>
      <c r="B730" s="2" t="s">
        <v>2001</v>
      </c>
      <c r="C730" s="2"/>
      <c r="D730" s="6">
        <f t="shared" si="14"/>
        <v>0</v>
      </c>
      <c r="E730" s="7">
        <f t="shared" si="15"/>
        <v>0</v>
      </c>
      <c r="F730" s="8" t="b">
        <f>IF(D730&lt;1,FALSE,ISERROR(MATCH(E730,'Ontology and concepts per UC'!$A$2:$A$62,0)))</f>
        <v>0</v>
      </c>
      <c r="G730" s="9" t="str">
        <f t="shared" si="16"/>
        <v/>
      </c>
      <c r="H730" s="9" t="str">
        <f t="shared" si="17"/>
        <v/>
      </c>
      <c r="I730" s="8" t="b">
        <f>IF(D730&lt;2,FALSE,ISERROR(MATCH(H730,'Ontology and concepts per UC'!$A$2:$A$62,0)))</f>
        <v>0</v>
      </c>
      <c r="J730" s="9" t="str">
        <f t="shared" si="18"/>
        <v/>
      </c>
      <c r="K730" s="8" t="b">
        <f>IF(D730&lt;3,FALSE,ISERROR(MATCH(J730,'Ontology and concepts per UC'!$A$2:$A$62,0)))</f>
        <v>0</v>
      </c>
      <c r="L730" s="2"/>
      <c r="M730" s="2"/>
      <c r="N730" s="2"/>
      <c r="O730" s="1" t="b">
        <v>1</v>
      </c>
      <c r="P730" s="1">
        <v>0</v>
      </c>
      <c r="Q730" s="1">
        <v>0</v>
      </c>
      <c r="R730" s="1" t="b">
        <f t="shared" si="19"/>
        <v>0</v>
      </c>
      <c r="S730" s="2" t="s">
        <v>367</v>
      </c>
      <c r="T730" s="1" t="str">
        <f>IF(S730="","",VLOOKUP(S730,'Ontology and concepts per UC'!$F$2:$J$46,5,FALSE))</f>
        <v>Parámetros de progresión</v>
      </c>
      <c r="U730" s="1" t="b">
        <f t="array" ref="U730">(INDEX('Ontology and concepts per UC'!$G$2:$I$46,MATCH($S730,'Ontology and concepts per UC'!$F$2:$F$46,0),MATCH(LEFT($A730,3),'Ontology and concepts per UC'!$G$1:$I$1,0))=0)</f>
        <v>0</v>
      </c>
      <c r="V730" s="1" t="b">
        <f t="shared" si="20"/>
        <v>1</v>
      </c>
      <c r="W730" s="1" t="b">
        <v>1</v>
      </c>
      <c r="X730" s="1" t="b">
        <v>0</v>
      </c>
      <c r="Y730" s="1" t="b">
        <v>0</v>
      </c>
      <c r="Z730" s="1" t="b">
        <v>0</v>
      </c>
      <c r="AA730" s="1" t="s">
        <v>188</v>
      </c>
    </row>
    <row r="731" spans="1:27" x14ac:dyDescent="0.25">
      <c r="A731" s="1" t="s">
        <v>1672</v>
      </c>
      <c r="B731" s="2" t="s">
        <v>2002</v>
      </c>
      <c r="C731" s="2"/>
      <c r="D731" s="6">
        <f t="shared" si="14"/>
        <v>0</v>
      </c>
      <c r="E731" s="7">
        <f t="shared" si="15"/>
        <v>0</v>
      </c>
      <c r="F731" s="8" t="b">
        <f>IF(D731&lt;1,FALSE,ISERROR(MATCH(E731,'Ontology and concepts per UC'!$A$2:$A$62,0)))</f>
        <v>0</v>
      </c>
      <c r="G731" s="9" t="str">
        <f t="shared" si="16"/>
        <v/>
      </c>
      <c r="H731" s="9" t="str">
        <f t="shared" si="17"/>
        <v/>
      </c>
      <c r="I731" s="8" t="b">
        <f>IF(D731&lt;2,FALSE,ISERROR(MATCH(H731,'Ontology and concepts per UC'!$A$2:$A$62,0)))</f>
        <v>0</v>
      </c>
      <c r="J731" s="9" t="str">
        <f t="shared" si="18"/>
        <v/>
      </c>
      <c r="K731" s="8" t="b">
        <f>IF(D731&lt;3,FALSE,ISERROR(MATCH(J731,'Ontology and concepts per UC'!$A$2:$A$62,0)))</f>
        <v>0</v>
      </c>
      <c r="L731" s="2"/>
      <c r="M731" s="2"/>
      <c r="N731" s="2"/>
      <c r="O731" s="1" t="b">
        <v>1</v>
      </c>
      <c r="P731" s="1">
        <v>0</v>
      </c>
      <c r="Q731" s="1">
        <v>0</v>
      </c>
      <c r="R731" s="1" t="b">
        <f t="shared" si="19"/>
        <v>0</v>
      </c>
      <c r="S731" s="2" t="s">
        <v>367</v>
      </c>
      <c r="T731" s="1" t="str">
        <f>IF(S731="","",VLOOKUP(S731,'Ontology and concepts per UC'!$F$2:$J$46,5,FALSE))</f>
        <v>Parámetros de progresión</v>
      </c>
      <c r="U731" s="1" t="b">
        <f t="array" ref="U731">(INDEX('Ontology and concepts per UC'!$G$2:$I$46,MATCH($S731,'Ontology and concepts per UC'!$F$2:$F$46,0),MATCH(LEFT($A731,3),'Ontology and concepts per UC'!$G$1:$I$1,0))=0)</f>
        <v>0</v>
      </c>
      <c r="V731" s="1" t="b">
        <f t="shared" si="20"/>
        <v>1</v>
      </c>
      <c r="W731" s="1" t="b">
        <v>1</v>
      </c>
      <c r="X731" s="1" t="b">
        <v>0</v>
      </c>
      <c r="Y731" s="1" t="b">
        <v>0</v>
      </c>
      <c r="Z731" s="1" t="b">
        <v>0</v>
      </c>
      <c r="AA731" s="1" t="s">
        <v>188</v>
      </c>
    </row>
    <row r="732" spans="1:27" x14ac:dyDescent="0.25">
      <c r="A732" s="1" t="s">
        <v>1672</v>
      </c>
      <c r="B732" s="2" t="s">
        <v>2003</v>
      </c>
      <c r="C732" s="2"/>
      <c r="D732" s="6">
        <f t="shared" si="14"/>
        <v>0</v>
      </c>
      <c r="E732" s="7">
        <f t="shared" si="15"/>
        <v>0</v>
      </c>
      <c r="F732" s="8" t="b">
        <f>IF(D732&lt;1,FALSE,ISERROR(MATCH(E732,'Ontology and concepts per UC'!$A$2:$A$62,0)))</f>
        <v>0</v>
      </c>
      <c r="G732" s="9" t="str">
        <f t="shared" si="16"/>
        <v/>
      </c>
      <c r="H732" s="9" t="str">
        <f t="shared" si="17"/>
        <v/>
      </c>
      <c r="I732" s="8" t="b">
        <f>IF(D732&lt;2,FALSE,ISERROR(MATCH(H732,'Ontology and concepts per UC'!$A$2:$A$62,0)))</f>
        <v>0</v>
      </c>
      <c r="J732" s="9" t="str">
        <f t="shared" si="18"/>
        <v/>
      </c>
      <c r="K732" s="8" t="b">
        <f>IF(D732&lt;3,FALSE,ISERROR(MATCH(J732,'Ontology and concepts per UC'!$A$2:$A$62,0)))</f>
        <v>0</v>
      </c>
      <c r="L732" s="2"/>
      <c r="M732" s="2"/>
      <c r="N732" s="2"/>
      <c r="O732" s="1" t="b">
        <v>1</v>
      </c>
      <c r="P732" s="1">
        <v>0</v>
      </c>
      <c r="Q732" s="1">
        <v>0</v>
      </c>
      <c r="R732" s="1" t="b">
        <f t="shared" si="19"/>
        <v>0</v>
      </c>
      <c r="S732" s="2" t="s">
        <v>367</v>
      </c>
      <c r="T732" s="1" t="str">
        <f>IF(S732="","",VLOOKUP(S732,'Ontology and concepts per UC'!$F$2:$J$46,5,FALSE))</f>
        <v>Parámetros de progresión</v>
      </c>
      <c r="U732" s="1" t="b">
        <f t="array" ref="U732">(INDEX('Ontology and concepts per UC'!$G$2:$I$46,MATCH($S732,'Ontology and concepts per UC'!$F$2:$F$46,0),MATCH(LEFT($A732,3),'Ontology and concepts per UC'!$G$1:$I$1,0))=0)</f>
        <v>0</v>
      </c>
      <c r="V732" s="1" t="b">
        <f t="shared" si="20"/>
        <v>1</v>
      </c>
      <c r="W732" s="1" t="b">
        <v>1</v>
      </c>
      <c r="X732" s="1" t="b">
        <v>0</v>
      </c>
      <c r="Y732" s="1" t="b">
        <v>0</v>
      </c>
      <c r="Z732" s="1" t="b">
        <v>0</v>
      </c>
      <c r="AA732" s="1" t="s">
        <v>188</v>
      </c>
    </row>
    <row r="733" spans="1:27" x14ac:dyDescent="0.25">
      <c r="A733" s="1" t="s">
        <v>1672</v>
      </c>
      <c r="B733" s="2" t="s">
        <v>2004</v>
      </c>
      <c r="C733" s="2"/>
      <c r="D733" s="6">
        <f t="shared" si="14"/>
        <v>0</v>
      </c>
      <c r="E733" s="7">
        <f t="shared" si="15"/>
        <v>0</v>
      </c>
      <c r="F733" s="8" t="b">
        <f>IF(D733&lt;1,FALSE,ISERROR(MATCH(E733,'Ontology and concepts per UC'!$A$2:$A$62,0)))</f>
        <v>0</v>
      </c>
      <c r="G733" s="9" t="str">
        <f t="shared" si="16"/>
        <v/>
      </c>
      <c r="H733" s="9" t="str">
        <f t="shared" si="17"/>
        <v/>
      </c>
      <c r="I733" s="8" t="b">
        <f>IF(D733&lt;2,FALSE,ISERROR(MATCH(H733,'Ontology and concepts per UC'!$A$2:$A$62,0)))</f>
        <v>0</v>
      </c>
      <c r="J733" s="9" t="str">
        <f t="shared" si="18"/>
        <v/>
      </c>
      <c r="K733" s="8" t="b">
        <f>IF(D733&lt;3,FALSE,ISERROR(MATCH(J733,'Ontology and concepts per UC'!$A$2:$A$62,0)))</f>
        <v>0</v>
      </c>
      <c r="L733" s="2"/>
      <c r="M733" s="2"/>
      <c r="N733" s="2"/>
      <c r="O733" s="1" t="b">
        <v>1</v>
      </c>
      <c r="P733" s="1">
        <v>0</v>
      </c>
      <c r="Q733" s="1">
        <v>0</v>
      </c>
      <c r="R733" s="1" t="b">
        <f t="shared" si="19"/>
        <v>0</v>
      </c>
      <c r="S733" s="2" t="s">
        <v>367</v>
      </c>
      <c r="T733" s="1" t="str">
        <f>IF(S733="","",VLOOKUP(S733,'Ontology and concepts per UC'!$F$2:$J$46,5,FALSE))</f>
        <v>Parámetros de progresión</v>
      </c>
      <c r="U733" s="1" t="b">
        <f t="array" ref="U733">(INDEX('Ontology and concepts per UC'!$G$2:$I$46,MATCH($S733,'Ontology and concepts per UC'!$F$2:$F$46,0),MATCH(LEFT($A733,3),'Ontology and concepts per UC'!$G$1:$I$1,0))=0)</f>
        <v>0</v>
      </c>
      <c r="V733" s="1" t="b">
        <f t="shared" si="20"/>
        <v>1</v>
      </c>
      <c r="W733" s="1" t="b">
        <v>1</v>
      </c>
      <c r="X733" s="1" t="b">
        <v>0</v>
      </c>
      <c r="Y733" s="1" t="b">
        <v>0</v>
      </c>
      <c r="Z733" s="1" t="b">
        <v>0</v>
      </c>
      <c r="AA733" s="1" t="s">
        <v>188</v>
      </c>
    </row>
    <row r="734" spans="1:27" x14ac:dyDescent="0.25">
      <c r="A734" s="1" t="s">
        <v>1672</v>
      </c>
      <c r="B734" s="2" t="s">
        <v>2005</v>
      </c>
      <c r="C734" s="2"/>
      <c r="D734" s="6">
        <f t="shared" si="14"/>
        <v>0</v>
      </c>
      <c r="E734" s="7">
        <f t="shared" si="15"/>
        <v>0</v>
      </c>
      <c r="F734" s="8" t="b">
        <f>IF(D734&lt;1,FALSE,ISERROR(MATCH(E734,'Ontology and concepts per UC'!$A$2:$A$62,0)))</f>
        <v>0</v>
      </c>
      <c r="G734" s="9" t="str">
        <f t="shared" si="16"/>
        <v/>
      </c>
      <c r="H734" s="9" t="str">
        <f t="shared" si="17"/>
        <v/>
      </c>
      <c r="I734" s="8" t="b">
        <f>IF(D734&lt;2,FALSE,ISERROR(MATCH(H734,'Ontology and concepts per UC'!$A$2:$A$62,0)))</f>
        <v>0</v>
      </c>
      <c r="J734" s="9" t="str">
        <f t="shared" si="18"/>
        <v/>
      </c>
      <c r="K734" s="8" t="b">
        <f>IF(D734&lt;3,FALSE,ISERROR(MATCH(J734,'Ontology and concepts per UC'!$A$2:$A$62,0)))</f>
        <v>0</v>
      </c>
      <c r="L734" s="2"/>
      <c r="M734" s="2"/>
      <c r="N734" s="2"/>
      <c r="O734" s="1" t="b">
        <v>1</v>
      </c>
      <c r="P734" s="1">
        <v>0</v>
      </c>
      <c r="Q734" s="1">
        <v>0</v>
      </c>
      <c r="R734" s="1" t="b">
        <f t="shared" si="19"/>
        <v>0</v>
      </c>
      <c r="S734" s="2" t="s">
        <v>367</v>
      </c>
      <c r="T734" s="1" t="str">
        <f>IF(S734="","",VLOOKUP(S734,'Ontology and concepts per UC'!$F$2:$J$46,5,FALSE))</f>
        <v>Parámetros de progresión</v>
      </c>
      <c r="U734" s="1" t="b">
        <f t="array" ref="U734">(INDEX('Ontology and concepts per UC'!$G$2:$I$46,MATCH($S734,'Ontology and concepts per UC'!$F$2:$F$46,0),MATCH(LEFT($A734,3),'Ontology and concepts per UC'!$G$1:$I$1,0))=0)</f>
        <v>0</v>
      </c>
      <c r="V734" s="1" t="b">
        <f t="shared" si="20"/>
        <v>1</v>
      </c>
      <c r="W734" s="1" t="b">
        <v>1</v>
      </c>
      <c r="X734" s="1" t="b">
        <v>0</v>
      </c>
      <c r="Y734" s="1" t="b">
        <v>0</v>
      </c>
      <c r="Z734" s="1" t="b">
        <v>0</v>
      </c>
      <c r="AA734" s="1" t="s">
        <v>188</v>
      </c>
    </row>
    <row r="735" spans="1:27" x14ac:dyDescent="0.25">
      <c r="A735" s="1" t="s">
        <v>1672</v>
      </c>
      <c r="B735" s="2" t="s">
        <v>2006</v>
      </c>
      <c r="C735" s="2"/>
      <c r="D735" s="6">
        <f t="shared" si="14"/>
        <v>0</v>
      </c>
      <c r="E735" s="7">
        <f t="shared" si="15"/>
        <v>0</v>
      </c>
      <c r="F735" s="8" t="b">
        <f>IF(D735&lt;1,FALSE,ISERROR(MATCH(E735,'Ontology and concepts per UC'!$A$2:$A$62,0)))</f>
        <v>0</v>
      </c>
      <c r="G735" s="9" t="str">
        <f t="shared" si="16"/>
        <v/>
      </c>
      <c r="H735" s="9" t="str">
        <f t="shared" si="17"/>
        <v/>
      </c>
      <c r="I735" s="8" t="b">
        <f>IF(D735&lt;2,FALSE,ISERROR(MATCH(H735,'Ontology and concepts per UC'!$A$2:$A$62,0)))</f>
        <v>0</v>
      </c>
      <c r="J735" s="9" t="str">
        <f t="shared" si="18"/>
        <v/>
      </c>
      <c r="K735" s="8" t="b">
        <f>IF(D735&lt;3,FALSE,ISERROR(MATCH(J735,'Ontology and concepts per UC'!$A$2:$A$62,0)))</f>
        <v>0</v>
      </c>
      <c r="L735" s="2"/>
      <c r="M735" s="2"/>
      <c r="N735" s="2"/>
      <c r="O735" s="1" t="b">
        <v>1</v>
      </c>
      <c r="P735" s="1">
        <v>0</v>
      </c>
      <c r="Q735" s="1">
        <v>0</v>
      </c>
      <c r="R735" s="1" t="b">
        <f t="shared" si="19"/>
        <v>0</v>
      </c>
      <c r="S735" s="2" t="s">
        <v>55</v>
      </c>
      <c r="T735" s="1" t="str">
        <f>IF(S735="","",VLOOKUP(S735,'Ontology and concepts per UC'!$F$2:$J$46,5,FALSE))</f>
        <v>Parámetros de progresión</v>
      </c>
      <c r="U735" s="1" t="b">
        <f t="array" ref="U735">(INDEX('Ontology and concepts per UC'!$G$2:$I$46,MATCH($S735,'Ontology and concepts per UC'!$F$2:$F$46,0),MATCH(LEFT($A735,3),'Ontology and concepts per UC'!$G$1:$I$1,0))=0)</f>
        <v>0</v>
      </c>
      <c r="V735" s="1" t="b">
        <f t="shared" si="20"/>
        <v>1</v>
      </c>
      <c r="W735" s="1" t="b">
        <v>1</v>
      </c>
      <c r="X735" s="1" t="b">
        <v>0</v>
      </c>
      <c r="Y735" s="1" t="b">
        <v>0</v>
      </c>
      <c r="Z735" s="1" t="b">
        <v>0</v>
      </c>
      <c r="AA735" s="1" t="s">
        <v>188</v>
      </c>
    </row>
    <row r="736" spans="1:27" x14ac:dyDescent="0.25">
      <c r="A736" s="1" t="s">
        <v>1672</v>
      </c>
      <c r="B736" s="2" t="s">
        <v>2007</v>
      </c>
      <c r="C736" s="2"/>
      <c r="D736" s="6">
        <f t="shared" si="14"/>
        <v>0</v>
      </c>
      <c r="E736" s="7">
        <f t="shared" si="15"/>
        <v>0</v>
      </c>
      <c r="F736" s="8" t="b">
        <f>IF(D736&lt;1,FALSE,ISERROR(MATCH(E736,'Ontology and concepts per UC'!$A$2:$A$62,0)))</f>
        <v>0</v>
      </c>
      <c r="G736" s="9" t="str">
        <f t="shared" si="16"/>
        <v/>
      </c>
      <c r="H736" s="9" t="str">
        <f t="shared" si="17"/>
        <v/>
      </c>
      <c r="I736" s="8" t="b">
        <f>IF(D736&lt;2,FALSE,ISERROR(MATCH(H736,'Ontology and concepts per UC'!$A$2:$A$62,0)))</f>
        <v>0</v>
      </c>
      <c r="J736" s="9" t="str">
        <f t="shared" si="18"/>
        <v/>
      </c>
      <c r="K736" s="8" t="b">
        <f>IF(D736&lt;3,FALSE,ISERROR(MATCH(J736,'Ontology and concepts per UC'!$A$2:$A$62,0)))</f>
        <v>0</v>
      </c>
      <c r="L736" s="2"/>
      <c r="M736" s="2"/>
      <c r="N736" s="2"/>
      <c r="O736" s="1" t="b">
        <v>1</v>
      </c>
      <c r="P736" s="1">
        <v>0</v>
      </c>
      <c r="Q736" s="1">
        <v>0</v>
      </c>
      <c r="R736" s="1" t="b">
        <f t="shared" si="19"/>
        <v>0</v>
      </c>
      <c r="S736" s="2" t="s">
        <v>55</v>
      </c>
      <c r="T736" s="1" t="str">
        <f>IF(S736="","",VLOOKUP(S736,'Ontology and concepts per UC'!$F$2:$J$46,5,FALSE))</f>
        <v>Parámetros de progresión</v>
      </c>
      <c r="U736" s="1" t="b">
        <f t="array" ref="U736">(INDEX('Ontology and concepts per UC'!$G$2:$I$46,MATCH($S736,'Ontology and concepts per UC'!$F$2:$F$46,0),MATCH(LEFT($A736,3),'Ontology and concepts per UC'!$G$1:$I$1,0))=0)</f>
        <v>0</v>
      </c>
      <c r="V736" s="1" t="b">
        <f t="shared" si="20"/>
        <v>1</v>
      </c>
      <c r="W736" s="1" t="b">
        <v>1</v>
      </c>
      <c r="X736" s="1" t="b">
        <v>0</v>
      </c>
      <c r="Y736" s="1" t="b">
        <v>0</v>
      </c>
      <c r="Z736" s="1" t="b">
        <v>0</v>
      </c>
      <c r="AA736" s="1" t="s">
        <v>188</v>
      </c>
    </row>
    <row r="737" spans="1:27" x14ac:dyDescent="0.25">
      <c r="A737" s="1" t="s">
        <v>1672</v>
      </c>
      <c r="B737" s="2" t="s">
        <v>2008</v>
      </c>
      <c r="C737" s="2"/>
      <c r="D737" s="6">
        <f t="shared" si="14"/>
        <v>0</v>
      </c>
      <c r="E737" s="7">
        <f t="shared" si="15"/>
        <v>0</v>
      </c>
      <c r="F737" s="8" t="b">
        <f>IF(D737&lt;1,FALSE,ISERROR(MATCH(E737,'Ontology and concepts per UC'!$A$2:$A$62,0)))</f>
        <v>0</v>
      </c>
      <c r="G737" s="9" t="str">
        <f t="shared" si="16"/>
        <v/>
      </c>
      <c r="H737" s="9" t="str">
        <f t="shared" si="17"/>
        <v/>
      </c>
      <c r="I737" s="8" t="b">
        <f>IF(D737&lt;2,FALSE,ISERROR(MATCH(H737,'Ontology and concepts per UC'!$A$2:$A$62,0)))</f>
        <v>0</v>
      </c>
      <c r="J737" s="9" t="str">
        <f t="shared" si="18"/>
        <v/>
      </c>
      <c r="K737" s="8" t="b">
        <f>IF(D737&lt;3,FALSE,ISERROR(MATCH(J737,'Ontology and concepts per UC'!$A$2:$A$62,0)))</f>
        <v>0</v>
      </c>
      <c r="L737" s="2"/>
      <c r="M737" s="2"/>
      <c r="N737" s="2"/>
      <c r="O737" s="1" t="b">
        <v>1</v>
      </c>
      <c r="P737" s="1">
        <v>0</v>
      </c>
      <c r="Q737" s="1">
        <v>0</v>
      </c>
      <c r="R737" s="1" t="b">
        <f t="shared" si="19"/>
        <v>0</v>
      </c>
      <c r="S737" s="2" t="s">
        <v>70</v>
      </c>
      <c r="T737" s="1" t="str">
        <f>IF(S737="","",VLOOKUP(S737,'Ontology and concepts per UC'!$F$2:$J$46,5,FALSE))</f>
        <v>Utilidad</v>
      </c>
      <c r="U737" s="1" t="b">
        <f t="array" ref="U737">(INDEX('Ontology and concepts per UC'!$G$2:$I$46,MATCH($S737,'Ontology and concepts per UC'!$F$2:$F$46,0),MATCH(LEFT($A737,3),'Ontology and concepts per UC'!$G$1:$I$1,0))=0)</f>
        <v>0</v>
      </c>
      <c r="V737" s="1" t="b">
        <f t="shared" si="20"/>
        <v>1</v>
      </c>
      <c r="W737" s="1" t="b">
        <v>1</v>
      </c>
      <c r="X737" s="1" t="b">
        <v>0</v>
      </c>
      <c r="Y737" s="1" t="b">
        <v>0</v>
      </c>
      <c r="Z737" s="1" t="b">
        <v>0</v>
      </c>
      <c r="AA737" s="1" t="s">
        <v>188</v>
      </c>
    </row>
    <row r="738" spans="1:27" x14ac:dyDescent="0.25">
      <c r="A738" s="1" t="s">
        <v>1672</v>
      </c>
      <c r="B738" s="2" t="s">
        <v>2009</v>
      </c>
      <c r="C738" s="2"/>
      <c r="D738" s="6">
        <f t="shared" si="14"/>
        <v>0</v>
      </c>
      <c r="E738" s="7">
        <f t="shared" si="15"/>
        <v>0</v>
      </c>
      <c r="F738" s="8" t="b">
        <f>IF(D738&lt;1,FALSE,ISERROR(MATCH(E738,'Ontology and concepts per UC'!$A$2:$A$62,0)))</f>
        <v>0</v>
      </c>
      <c r="G738" s="9" t="str">
        <f t="shared" si="16"/>
        <v/>
      </c>
      <c r="H738" s="9" t="str">
        <f t="shared" si="17"/>
        <v/>
      </c>
      <c r="I738" s="8" t="b">
        <f>IF(D738&lt;2,FALSE,ISERROR(MATCH(H738,'Ontology and concepts per UC'!$A$2:$A$62,0)))</f>
        <v>0</v>
      </c>
      <c r="J738" s="9" t="str">
        <f t="shared" si="18"/>
        <v/>
      </c>
      <c r="K738" s="8" t="b">
        <f>IF(D738&lt;3,FALSE,ISERROR(MATCH(J738,'Ontology and concepts per UC'!$A$2:$A$62,0)))</f>
        <v>0</v>
      </c>
      <c r="L738" s="2"/>
      <c r="M738" s="2"/>
      <c r="N738" s="2"/>
      <c r="O738" s="1" t="b">
        <v>1</v>
      </c>
      <c r="P738" s="1">
        <v>0</v>
      </c>
      <c r="Q738" s="1">
        <v>0</v>
      </c>
      <c r="R738" s="1" t="b">
        <f t="shared" si="19"/>
        <v>0</v>
      </c>
      <c r="S738" s="2" t="s">
        <v>187</v>
      </c>
      <c r="T738" s="1" t="str">
        <f>IF(S738="","",VLOOKUP(S738,'Ontology and concepts per UC'!$F$2:$J$46,5,FALSE))</f>
        <v>Otros</v>
      </c>
      <c r="U738" s="1" t="b">
        <f t="array" ref="U738">(INDEX('Ontology and concepts per UC'!$G$2:$I$46,MATCH($S738,'Ontology and concepts per UC'!$F$2:$F$46,0),MATCH(LEFT($A738,3),'Ontology and concepts per UC'!$G$1:$I$1,0))=0)</f>
        <v>1</v>
      </c>
      <c r="V738" s="1" t="b">
        <f t="shared" si="20"/>
        <v>1</v>
      </c>
      <c r="W738" s="1" t="b">
        <v>1</v>
      </c>
      <c r="X738" s="1" t="b">
        <v>0</v>
      </c>
      <c r="Y738" s="1" t="b">
        <v>0</v>
      </c>
      <c r="Z738" s="1" t="b">
        <v>0</v>
      </c>
      <c r="AA738" s="1" t="s">
        <v>188</v>
      </c>
    </row>
    <row r="739" spans="1:27" x14ac:dyDescent="0.25">
      <c r="A739" s="1" t="s">
        <v>1672</v>
      </c>
      <c r="B739" s="2" t="s">
        <v>2010</v>
      </c>
      <c r="C739" s="2"/>
      <c r="D739" s="6">
        <f t="shared" si="14"/>
        <v>0</v>
      </c>
      <c r="E739" s="7">
        <f t="shared" si="15"/>
        <v>0</v>
      </c>
      <c r="F739" s="8" t="b">
        <f>IF(D739&lt;1,FALSE,ISERROR(MATCH(E739,'Ontology and concepts per UC'!$A$2:$A$62,0)))</f>
        <v>0</v>
      </c>
      <c r="G739" s="9" t="str">
        <f t="shared" si="16"/>
        <v/>
      </c>
      <c r="H739" s="9" t="str">
        <f t="shared" si="17"/>
        <v/>
      </c>
      <c r="I739" s="8" t="b">
        <f>IF(D739&lt;2,FALSE,ISERROR(MATCH(H739,'Ontology and concepts per UC'!$A$2:$A$62,0)))</f>
        <v>0</v>
      </c>
      <c r="J739" s="9" t="str">
        <f t="shared" si="18"/>
        <v/>
      </c>
      <c r="K739" s="8" t="b">
        <f>IF(D739&lt;3,FALSE,ISERROR(MATCH(J739,'Ontology and concepts per UC'!$A$2:$A$62,0)))</f>
        <v>0</v>
      </c>
      <c r="L739" s="2"/>
      <c r="M739" s="2"/>
      <c r="N739" s="2"/>
      <c r="O739" s="1" t="b">
        <v>1</v>
      </c>
      <c r="P739" s="1">
        <v>0</v>
      </c>
      <c r="Q739" s="1">
        <v>0</v>
      </c>
      <c r="R739" s="1" t="b">
        <f t="shared" si="19"/>
        <v>0</v>
      </c>
      <c r="S739" s="2" t="s">
        <v>187</v>
      </c>
      <c r="T739" s="1" t="str">
        <f>IF(S739="","",VLOOKUP(S739,'Ontology and concepts per UC'!$F$2:$J$46,5,FALSE))</f>
        <v>Otros</v>
      </c>
      <c r="U739" s="1" t="b">
        <f t="array" ref="U739">(INDEX('Ontology and concepts per UC'!$G$2:$I$46,MATCH($S739,'Ontology and concepts per UC'!$F$2:$F$46,0),MATCH(LEFT($A739,3),'Ontology and concepts per UC'!$G$1:$I$1,0))=0)</f>
        <v>1</v>
      </c>
      <c r="V739" s="1" t="b">
        <f t="shared" si="20"/>
        <v>1</v>
      </c>
      <c r="W739" s="1" t="b">
        <v>1</v>
      </c>
      <c r="X739" s="1" t="b">
        <v>0</v>
      </c>
      <c r="Y739" s="1" t="b">
        <v>0</v>
      </c>
      <c r="Z739" s="1" t="b">
        <v>0</v>
      </c>
      <c r="AA739" s="1" t="s">
        <v>188</v>
      </c>
    </row>
    <row r="740" spans="1:27" x14ac:dyDescent="0.25">
      <c r="A740" s="1" t="s">
        <v>1672</v>
      </c>
      <c r="B740" s="2" t="s">
        <v>2011</v>
      </c>
      <c r="C740" s="2"/>
      <c r="D740" s="6">
        <f t="shared" si="14"/>
        <v>0</v>
      </c>
      <c r="E740" s="7">
        <f t="shared" si="15"/>
        <v>0</v>
      </c>
      <c r="F740" s="8" t="b">
        <f>IF(D740&lt;1,FALSE,ISERROR(MATCH(E740,'Ontology and concepts per UC'!$A$2:$A$62,0)))</f>
        <v>0</v>
      </c>
      <c r="G740" s="9" t="str">
        <f t="shared" si="16"/>
        <v/>
      </c>
      <c r="H740" s="9" t="str">
        <f t="shared" si="17"/>
        <v/>
      </c>
      <c r="I740" s="8" t="b">
        <f>IF(D740&lt;2,FALSE,ISERROR(MATCH(H740,'Ontology and concepts per UC'!$A$2:$A$62,0)))</f>
        <v>0</v>
      </c>
      <c r="J740" s="9" t="str">
        <f t="shared" si="18"/>
        <v/>
      </c>
      <c r="K740" s="8" t="b">
        <f>IF(D740&lt;3,FALSE,ISERROR(MATCH(J740,'Ontology and concepts per UC'!$A$2:$A$62,0)))</f>
        <v>0</v>
      </c>
      <c r="L740" s="2"/>
      <c r="M740" s="2"/>
      <c r="N740" s="2"/>
      <c r="O740" s="1" t="b">
        <v>1</v>
      </c>
      <c r="P740" s="1">
        <v>0</v>
      </c>
      <c r="Q740" s="1">
        <v>0</v>
      </c>
      <c r="R740" s="1" t="b">
        <f t="shared" si="19"/>
        <v>0</v>
      </c>
      <c r="S740" s="2" t="s">
        <v>187</v>
      </c>
      <c r="T740" s="1" t="str">
        <f>IF(S740="","",VLOOKUP(S740,'Ontology and concepts per UC'!$F$2:$J$46,5,FALSE))</f>
        <v>Otros</v>
      </c>
      <c r="U740" s="1" t="b">
        <f t="array" ref="U740">(INDEX('Ontology and concepts per UC'!$G$2:$I$46,MATCH($S740,'Ontology and concepts per UC'!$F$2:$F$46,0),MATCH(LEFT($A740,3),'Ontology and concepts per UC'!$G$1:$I$1,0))=0)</f>
        <v>1</v>
      </c>
      <c r="V740" s="1" t="b">
        <f t="shared" si="20"/>
        <v>1</v>
      </c>
      <c r="W740" s="1" t="b">
        <v>1</v>
      </c>
      <c r="X740" s="1" t="b">
        <v>0</v>
      </c>
      <c r="Y740" s="1" t="b">
        <v>0</v>
      </c>
      <c r="Z740" s="1" t="b">
        <v>0</v>
      </c>
      <c r="AA740" s="1" t="s">
        <v>188</v>
      </c>
    </row>
    <row r="741" spans="1:27" x14ac:dyDescent="0.25">
      <c r="A741" s="1" t="s">
        <v>1672</v>
      </c>
      <c r="B741" s="2" t="s">
        <v>2012</v>
      </c>
      <c r="C741" s="2"/>
      <c r="D741" s="6">
        <f t="shared" si="14"/>
        <v>0</v>
      </c>
      <c r="E741" s="7">
        <f t="shared" si="15"/>
        <v>0</v>
      </c>
      <c r="F741" s="8" t="b">
        <f>IF(D741&lt;1,FALSE,ISERROR(MATCH(E741,'Ontology and concepts per UC'!$A$2:$A$62,0)))</f>
        <v>0</v>
      </c>
      <c r="G741" s="9" t="str">
        <f t="shared" si="16"/>
        <v/>
      </c>
      <c r="H741" s="9" t="str">
        <f t="shared" si="17"/>
        <v/>
      </c>
      <c r="I741" s="8" t="b">
        <f>IF(D741&lt;2,FALSE,ISERROR(MATCH(H741,'Ontology and concepts per UC'!$A$2:$A$62,0)))</f>
        <v>0</v>
      </c>
      <c r="J741" s="9" t="str">
        <f t="shared" si="18"/>
        <v/>
      </c>
      <c r="K741" s="8" t="b">
        <f>IF(D741&lt;3,FALSE,ISERROR(MATCH(J741,'Ontology and concepts per UC'!$A$2:$A$62,0)))</f>
        <v>0</v>
      </c>
      <c r="L741" s="2"/>
      <c r="M741" s="2"/>
      <c r="N741" s="2"/>
      <c r="O741" s="1" t="b">
        <v>1</v>
      </c>
      <c r="P741" s="1">
        <v>0</v>
      </c>
      <c r="Q741" s="1">
        <v>0</v>
      </c>
      <c r="R741" s="1" t="b">
        <f t="shared" si="19"/>
        <v>0</v>
      </c>
      <c r="S741" s="2" t="s">
        <v>187</v>
      </c>
      <c r="T741" s="1" t="str">
        <f>IF(S741="","",VLOOKUP(S741,'Ontology and concepts per UC'!$F$2:$J$46,5,FALSE))</f>
        <v>Otros</v>
      </c>
      <c r="U741" s="1" t="b">
        <f t="array" ref="U741">(INDEX('Ontology and concepts per UC'!$G$2:$I$46,MATCH($S741,'Ontology and concepts per UC'!$F$2:$F$46,0),MATCH(LEFT($A741,3),'Ontology and concepts per UC'!$G$1:$I$1,0))=0)</f>
        <v>1</v>
      </c>
      <c r="V741" s="1" t="b">
        <f t="shared" si="20"/>
        <v>1</v>
      </c>
      <c r="W741" s="1" t="b">
        <v>1</v>
      </c>
      <c r="X741" s="1" t="b">
        <v>0</v>
      </c>
      <c r="Y741" s="1" t="b">
        <v>0</v>
      </c>
      <c r="Z741" s="1" t="b">
        <v>0</v>
      </c>
      <c r="AA741" s="1" t="s">
        <v>188</v>
      </c>
    </row>
    <row r="742" spans="1:27" x14ac:dyDescent="0.25">
      <c r="A742" s="1" t="s">
        <v>1672</v>
      </c>
      <c r="B742" s="2" t="s">
        <v>2013</v>
      </c>
      <c r="C742" s="2"/>
      <c r="D742" s="6">
        <f t="shared" si="14"/>
        <v>0</v>
      </c>
      <c r="E742" s="7">
        <f t="shared" si="15"/>
        <v>0</v>
      </c>
      <c r="F742" s="8" t="b">
        <f>IF(D742&lt;1,FALSE,ISERROR(MATCH(E742,'Ontology and concepts per UC'!$A$2:$A$62,0)))</f>
        <v>0</v>
      </c>
      <c r="G742" s="9" t="str">
        <f t="shared" si="16"/>
        <v/>
      </c>
      <c r="H742" s="9" t="str">
        <f t="shared" si="17"/>
        <v/>
      </c>
      <c r="I742" s="8" t="b">
        <f>IF(D742&lt;2,FALSE,ISERROR(MATCH(H742,'Ontology and concepts per UC'!$A$2:$A$62,0)))</f>
        <v>0</v>
      </c>
      <c r="J742" s="9" t="str">
        <f t="shared" si="18"/>
        <v/>
      </c>
      <c r="K742" s="8" t="b">
        <f>IF(D742&lt;3,FALSE,ISERROR(MATCH(J742,'Ontology and concepts per UC'!$A$2:$A$62,0)))</f>
        <v>0</v>
      </c>
      <c r="L742" s="2"/>
      <c r="M742" s="2"/>
      <c r="N742" s="2"/>
      <c r="O742" s="1" t="b">
        <v>1</v>
      </c>
      <c r="P742" s="1">
        <v>0</v>
      </c>
      <c r="Q742" s="1">
        <v>0</v>
      </c>
      <c r="R742" s="1" t="b">
        <f t="shared" si="19"/>
        <v>0</v>
      </c>
      <c r="S742" s="2" t="s">
        <v>107</v>
      </c>
      <c r="T742" s="1" t="str">
        <f>IF(S742="","",VLOOKUP(S742,'Ontology and concepts per UC'!$F$2:$J$46,5,FALSE))</f>
        <v>Parcial</v>
      </c>
      <c r="U742" s="1" t="b">
        <f t="array" ref="U742">(INDEX('Ontology and concepts per UC'!$G$2:$I$46,MATCH($S742,'Ontology and concepts per UC'!$F$2:$F$46,0),MATCH(LEFT($A742,3),'Ontology and concepts per UC'!$G$1:$I$1,0))=0)</f>
        <v>0</v>
      </c>
      <c r="V742" s="1" t="b">
        <f t="shared" si="20"/>
        <v>1</v>
      </c>
      <c r="W742" s="1" t="b">
        <v>1</v>
      </c>
      <c r="X742" s="1" t="b">
        <v>0</v>
      </c>
      <c r="Y742" s="1" t="b">
        <v>0</v>
      </c>
      <c r="Z742" s="1" t="b">
        <v>0</v>
      </c>
      <c r="AA742" s="1" t="s">
        <v>188</v>
      </c>
    </row>
    <row r="743" spans="1:27" x14ac:dyDescent="0.25">
      <c r="A743" s="1" t="s">
        <v>1672</v>
      </c>
      <c r="B743" s="2" t="s">
        <v>2014</v>
      </c>
      <c r="C743" s="2"/>
      <c r="D743" s="6">
        <f t="shared" si="14"/>
        <v>0</v>
      </c>
      <c r="E743" s="7">
        <f t="shared" si="15"/>
        <v>0</v>
      </c>
      <c r="F743" s="8" t="b">
        <f>IF(D743&lt;1,FALSE,ISERROR(MATCH(E743,'Ontology and concepts per UC'!$A$2:$A$62,0)))</f>
        <v>0</v>
      </c>
      <c r="G743" s="9" t="str">
        <f t="shared" si="16"/>
        <v/>
      </c>
      <c r="H743" s="9" t="str">
        <f t="shared" si="17"/>
        <v/>
      </c>
      <c r="I743" s="8" t="b">
        <f>IF(D743&lt;2,FALSE,ISERROR(MATCH(H743,'Ontology and concepts per UC'!$A$2:$A$62,0)))</f>
        <v>0</v>
      </c>
      <c r="J743" s="9" t="str">
        <f t="shared" si="18"/>
        <v/>
      </c>
      <c r="K743" s="8" t="b">
        <f>IF(D743&lt;3,FALSE,ISERROR(MATCH(J743,'Ontology and concepts per UC'!$A$2:$A$62,0)))</f>
        <v>0</v>
      </c>
      <c r="L743" s="2"/>
      <c r="M743" s="2"/>
      <c r="N743" s="2"/>
      <c r="O743" s="1" t="b">
        <v>1</v>
      </c>
      <c r="P743" s="1">
        <v>0</v>
      </c>
      <c r="Q743" s="1">
        <v>0</v>
      </c>
      <c r="R743" s="1" t="b">
        <f t="shared" si="19"/>
        <v>0</v>
      </c>
      <c r="S743" s="2" t="s">
        <v>33</v>
      </c>
      <c r="T743" s="1" t="str">
        <f>IF(S743="","",VLOOKUP(S743,'Ontology and concepts per UC'!$F$2:$J$46,5,FALSE))</f>
        <v>Modelo Conceptual</v>
      </c>
      <c r="U743" s="1" t="b">
        <f t="array" ref="U743">(INDEX('Ontology and concepts per UC'!$G$2:$I$46,MATCH($S743,'Ontology and concepts per UC'!$F$2:$F$46,0),MATCH(LEFT($A743,3),'Ontology and concepts per UC'!$G$1:$I$1,0))=0)</f>
        <v>0</v>
      </c>
      <c r="V743" s="1" t="b">
        <f t="shared" si="20"/>
        <v>1</v>
      </c>
      <c r="W743" s="1" t="b">
        <v>1</v>
      </c>
      <c r="X743" s="1" t="b">
        <v>0</v>
      </c>
      <c r="Y743" s="1" t="b">
        <v>0</v>
      </c>
      <c r="Z743" s="1" t="b">
        <v>0</v>
      </c>
      <c r="AA743" s="1" t="s">
        <v>188</v>
      </c>
    </row>
    <row r="744" spans="1:27" x14ac:dyDescent="0.25">
      <c r="A744" s="1" t="s">
        <v>2015</v>
      </c>
      <c r="B744" s="2" t="s">
        <v>2016</v>
      </c>
      <c r="C744" s="2" t="s">
        <v>192</v>
      </c>
      <c r="D744" s="6">
        <f t="shared" si="14"/>
        <v>1</v>
      </c>
      <c r="E744" s="7" t="str">
        <f t="shared" si="15"/>
        <v>AcuteManifestation</v>
      </c>
      <c r="F744" s="8" t="b">
        <f>IF(D744&lt;1,FALSE,ISERROR(MATCH(E744,'Ontology and concepts per UC'!$A$2:$A$62,0)))</f>
        <v>0</v>
      </c>
      <c r="G744" s="9" t="str">
        <f t="shared" si="16"/>
        <v/>
      </c>
      <c r="H744" s="9" t="str">
        <f t="shared" si="17"/>
        <v/>
      </c>
      <c r="I744" s="8" t="b">
        <f>IF(D744&lt;2,FALSE,ISERROR(MATCH(H744,'Ontology and concepts per UC'!$A$2:$A$62,0)))</f>
        <v>0</v>
      </c>
      <c r="J744" s="9" t="str">
        <f t="shared" si="18"/>
        <v/>
      </c>
      <c r="K744" s="8" t="b">
        <f>IF(D744&lt;3,FALSE,ISERROR(MATCH(J744,'Ontology and concepts per UC'!$A$2:$A$62,0)))</f>
        <v>0</v>
      </c>
      <c r="L744" s="2" t="s">
        <v>2017</v>
      </c>
      <c r="M744" s="2" t="s">
        <v>2018</v>
      </c>
      <c r="N744" s="2"/>
      <c r="O744" s="1" t="b">
        <v>0</v>
      </c>
      <c r="P744" s="1">
        <v>0</v>
      </c>
      <c r="Q744" s="1">
        <v>0</v>
      </c>
      <c r="R744" s="1" t="b">
        <f t="shared" si="19"/>
        <v>0</v>
      </c>
      <c r="S744" s="2" t="s">
        <v>28</v>
      </c>
      <c r="T744" s="1" t="str">
        <f>IF(S744="","",VLOOKUP(S744,'Ontology and concepts per UC'!$F$2:$J$46,5,FALSE))</f>
        <v>Modelo Conceptual</v>
      </c>
      <c r="U744" s="1" t="b">
        <f t="array" ref="U744">(INDEX('Ontology and concepts per UC'!$G$2:$I$46,MATCH($S744,'Ontology and concepts per UC'!$F$2:$F$46,0),MATCH(LEFT($A744,3),'Ontology and concepts per UC'!$G$1:$I$1,0))=0)</f>
        <v>0</v>
      </c>
      <c r="V744" s="1" t="b">
        <f t="shared" si="20"/>
        <v>0</v>
      </c>
      <c r="W744" s="1" t="b">
        <v>0</v>
      </c>
      <c r="X744" s="1" t="b">
        <v>0</v>
      </c>
      <c r="Y744" s="1" t="b">
        <v>0</v>
      </c>
      <c r="Z744" s="1" t="b">
        <v>0</v>
      </c>
      <c r="AA744" s="1"/>
    </row>
    <row r="745" spans="1:27" x14ac:dyDescent="0.25">
      <c r="A745" s="1" t="s">
        <v>2015</v>
      </c>
      <c r="B745" s="2" t="s">
        <v>2019</v>
      </c>
      <c r="C745" s="2" t="s">
        <v>192</v>
      </c>
      <c r="D745" s="6">
        <f t="shared" si="14"/>
        <v>1</v>
      </c>
      <c r="E745" s="7" t="str">
        <f t="shared" si="15"/>
        <v>AcuteManifestation</v>
      </c>
      <c r="F745" s="8" t="b">
        <f>IF(D745&lt;1,FALSE,ISERROR(MATCH(E745,'Ontology and concepts per UC'!$A$2:$A$62,0)))</f>
        <v>0</v>
      </c>
      <c r="G745" s="9" t="str">
        <f t="shared" si="16"/>
        <v/>
      </c>
      <c r="H745" s="9" t="str">
        <f t="shared" si="17"/>
        <v/>
      </c>
      <c r="I745" s="8" t="b">
        <f>IF(D745&lt;2,FALSE,ISERROR(MATCH(H745,'Ontology and concepts per UC'!$A$2:$A$62,0)))</f>
        <v>0</v>
      </c>
      <c r="J745" s="9" t="str">
        <f t="shared" si="18"/>
        <v/>
      </c>
      <c r="K745" s="8" t="b">
        <f>IF(D745&lt;3,FALSE,ISERROR(MATCH(J745,'Ontology and concepts per UC'!$A$2:$A$62,0)))</f>
        <v>0</v>
      </c>
      <c r="L745" s="2" t="s">
        <v>2020</v>
      </c>
      <c r="M745" s="2" t="s">
        <v>2021</v>
      </c>
      <c r="N745" s="2"/>
      <c r="O745" s="1" t="b">
        <v>0</v>
      </c>
      <c r="P745" s="1">
        <v>0</v>
      </c>
      <c r="Q745" s="1">
        <v>0</v>
      </c>
      <c r="R745" s="1" t="b">
        <f t="shared" si="19"/>
        <v>0</v>
      </c>
      <c r="S745" s="2" t="s">
        <v>325</v>
      </c>
      <c r="T745" s="1" t="str">
        <f>IF(S745="","",VLOOKUP(S745,'Ontology and concepts per UC'!$F$2:$J$46,5,FALSE))</f>
        <v>Modelo Conceptual</v>
      </c>
      <c r="U745" s="1" t="b">
        <f t="array" ref="U745">(INDEX('Ontology and concepts per UC'!$G$2:$I$46,MATCH($S745,'Ontology and concepts per UC'!$F$2:$F$46,0),MATCH(LEFT($A745,3),'Ontology and concepts per UC'!$G$1:$I$1,0))=0)</f>
        <v>0</v>
      </c>
      <c r="V745" s="1" t="b">
        <f t="shared" si="20"/>
        <v>0</v>
      </c>
      <c r="W745" s="1" t="b">
        <v>0</v>
      </c>
      <c r="X745" s="1" t="b">
        <v>0</v>
      </c>
      <c r="Y745" s="1" t="b">
        <v>0</v>
      </c>
      <c r="Z745" s="1" t="b">
        <v>0</v>
      </c>
      <c r="AA745" s="1"/>
    </row>
    <row r="746" spans="1:27" x14ac:dyDescent="0.25">
      <c r="A746" s="1" t="s">
        <v>2015</v>
      </c>
      <c r="B746" s="2" t="s">
        <v>2022</v>
      </c>
      <c r="C746" s="2" t="s">
        <v>192</v>
      </c>
      <c r="D746" s="6">
        <f t="shared" si="14"/>
        <v>1</v>
      </c>
      <c r="E746" s="7" t="str">
        <f t="shared" si="15"/>
        <v>AcuteManifestation</v>
      </c>
      <c r="F746" s="8" t="b">
        <f>IF(D746&lt;1,FALSE,ISERROR(MATCH(E746,'Ontology and concepts per UC'!$A$2:$A$62,0)))</f>
        <v>0</v>
      </c>
      <c r="G746" s="9" t="str">
        <f t="shared" si="16"/>
        <v/>
      </c>
      <c r="H746" s="9" t="str">
        <f t="shared" si="17"/>
        <v/>
      </c>
      <c r="I746" s="8" t="b">
        <f>IF(D746&lt;2,FALSE,ISERROR(MATCH(H746,'Ontology and concepts per UC'!$A$2:$A$62,0)))</f>
        <v>0</v>
      </c>
      <c r="J746" s="9" t="str">
        <f t="shared" si="18"/>
        <v/>
      </c>
      <c r="K746" s="8" t="b">
        <f>IF(D746&lt;3,FALSE,ISERROR(MATCH(J746,'Ontology and concepts per UC'!$A$2:$A$62,0)))</f>
        <v>0</v>
      </c>
      <c r="L746" s="2" t="s">
        <v>2023</v>
      </c>
      <c r="M746" s="2" t="s">
        <v>2024</v>
      </c>
      <c r="N746" s="2"/>
      <c r="O746" s="1" t="b">
        <v>0</v>
      </c>
      <c r="P746" s="1">
        <v>0</v>
      </c>
      <c r="Q746" s="1">
        <v>0</v>
      </c>
      <c r="R746" s="1" t="b">
        <f t="shared" si="19"/>
        <v>0</v>
      </c>
      <c r="S746" s="2" t="s">
        <v>325</v>
      </c>
      <c r="T746" s="1" t="str">
        <f>IF(S746="","",VLOOKUP(S746,'Ontology and concepts per UC'!$F$2:$J$46,5,FALSE))</f>
        <v>Modelo Conceptual</v>
      </c>
      <c r="U746" s="1" t="b">
        <f t="array" ref="U746">(INDEX('Ontology and concepts per UC'!$G$2:$I$46,MATCH($S746,'Ontology and concepts per UC'!$F$2:$F$46,0),MATCH(LEFT($A746,3),'Ontology and concepts per UC'!$G$1:$I$1,0))=0)</f>
        <v>0</v>
      </c>
      <c r="V746" s="1" t="b">
        <f t="shared" si="20"/>
        <v>0</v>
      </c>
      <c r="W746" s="1" t="b">
        <v>0</v>
      </c>
      <c r="X746" s="1" t="b">
        <v>0</v>
      </c>
      <c r="Y746" s="1" t="b">
        <v>0</v>
      </c>
      <c r="Z746" s="1" t="b">
        <v>0</v>
      </c>
      <c r="AA746" s="1"/>
    </row>
    <row r="747" spans="1:27" x14ac:dyDescent="0.25">
      <c r="A747" s="1" t="s">
        <v>2015</v>
      </c>
      <c r="B747" s="2" t="s">
        <v>2025</v>
      </c>
      <c r="C747" s="2" t="s">
        <v>192</v>
      </c>
      <c r="D747" s="6">
        <f t="shared" si="14"/>
        <v>1</v>
      </c>
      <c r="E747" s="7" t="str">
        <f t="shared" si="15"/>
        <v>AcuteManifestation</v>
      </c>
      <c r="F747" s="8" t="b">
        <f>IF(D747&lt;1,FALSE,ISERROR(MATCH(E747,'Ontology and concepts per UC'!$A$2:$A$62,0)))</f>
        <v>0</v>
      </c>
      <c r="G747" s="9" t="str">
        <f t="shared" si="16"/>
        <v/>
      </c>
      <c r="H747" s="9" t="str">
        <f t="shared" si="17"/>
        <v/>
      </c>
      <c r="I747" s="8" t="b">
        <f>IF(D747&lt;2,FALSE,ISERROR(MATCH(H747,'Ontology and concepts per UC'!$A$2:$A$62,0)))</f>
        <v>0</v>
      </c>
      <c r="J747" s="9" t="str">
        <f t="shared" si="18"/>
        <v/>
      </c>
      <c r="K747" s="8" t="b">
        <f>IF(D747&lt;3,FALSE,ISERROR(MATCH(J747,'Ontology and concepts per UC'!$A$2:$A$62,0)))</f>
        <v>0</v>
      </c>
      <c r="L747" s="2" t="s">
        <v>2026</v>
      </c>
      <c r="M747" s="2" t="s">
        <v>2027</v>
      </c>
      <c r="N747" s="2"/>
      <c r="O747" s="1" t="b">
        <v>0</v>
      </c>
      <c r="P747" s="1">
        <v>0</v>
      </c>
      <c r="Q747" s="1">
        <v>0</v>
      </c>
      <c r="R747" s="1" t="b">
        <f t="shared" si="19"/>
        <v>0</v>
      </c>
      <c r="S747" s="2" t="s">
        <v>325</v>
      </c>
      <c r="T747" s="1" t="str">
        <f>IF(S747="","",VLOOKUP(S747,'Ontology and concepts per UC'!$F$2:$J$46,5,FALSE))</f>
        <v>Modelo Conceptual</v>
      </c>
      <c r="U747" s="1" t="b">
        <f t="array" ref="U747">(INDEX('Ontology and concepts per UC'!$G$2:$I$46,MATCH($S747,'Ontology and concepts per UC'!$F$2:$F$46,0),MATCH(LEFT($A747,3),'Ontology and concepts per UC'!$G$1:$I$1,0))=0)</f>
        <v>0</v>
      </c>
      <c r="V747" s="1" t="b">
        <f t="shared" si="20"/>
        <v>0</v>
      </c>
      <c r="W747" s="1" t="b">
        <v>0</v>
      </c>
      <c r="X747" s="1" t="b">
        <v>0</v>
      </c>
      <c r="Y747" s="1" t="b">
        <v>0</v>
      </c>
      <c r="Z747" s="1" t="b">
        <v>0</v>
      </c>
      <c r="AA747" s="1"/>
    </row>
    <row r="748" spans="1:27" x14ac:dyDescent="0.25">
      <c r="A748" s="1" t="s">
        <v>2015</v>
      </c>
      <c r="B748" s="2" t="s">
        <v>2028</v>
      </c>
      <c r="C748" s="2" t="s">
        <v>192</v>
      </c>
      <c r="D748" s="6">
        <f t="shared" si="14"/>
        <v>1</v>
      </c>
      <c r="E748" s="7" t="str">
        <f t="shared" si="15"/>
        <v>AcuteManifestation</v>
      </c>
      <c r="F748" s="8" t="b">
        <f>IF(D748&lt;1,FALSE,ISERROR(MATCH(E748,'Ontology and concepts per UC'!$A$2:$A$62,0)))</f>
        <v>0</v>
      </c>
      <c r="G748" s="9" t="str">
        <f t="shared" si="16"/>
        <v/>
      </c>
      <c r="H748" s="9" t="str">
        <f t="shared" si="17"/>
        <v/>
      </c>
      <c r="I748" s="8" t="b">
        <f>IF(D748&lt;2,FALSE,ISERROR(MATCH(H748,'Ontology and concepts per UC'!$A$2:$A$62,0)))</f>
        <v>0</v>
      </c>
      <c r="J748" s="9" t="str">
        <f t="shared" si="18"/>
        <v/>
      </c>
      <c r="K748" s="8" t="b">
        <f>IF(D748&lt;3,FALSE,ISERROR(MATCH(J748,'Ontology and concepts per UC'!$A$2:$A$62,0)))</f>
        <v>0</v>
      </c>
      <c r="L748" s="2" t="s">
        <v>2029</v>
      </c>
      <c r="M748" s="2" t="s">
        <v>2030</v>
      </c>
      <c r="N748" s="2"/>
      <c r="O748" s="1" t="b">
        <v>0</v>
      </c>
      <c r="P748" s="1">
        <v>0</v>
      </c>
      <c r="Q748" s="1">
        <v>0</v>
      </c>
      <c r="R748" s="1" t="b">
        <f t="shared" si="19"/>
        <v>0</v>
      </c>
      <c r="S748" s="2" t="s">
        <v>30</v>
      </c>
      <c r="T748" s="1" t="str">
        <f>IF(S748="","",VLOOKUP(S748,'Ontology and concepts per UC'!$F$2:$J$46,5,FALSE))</f>
        <v>Modelo Conceptual</v>
      </c>
      <c r="U748" s="1" t="b">
        <f t="array" ref="U748">(INDEX('Ontology and concepts per UC'!$G$2:$I$46,MATCH($S748,'Ontology and concepts per UC'!$F$2:$F$46,0),MATCH(LEFT($A748,3),'Ontology and concepts per UC'!$G$1:$I$1,0))=0)</f>
        <v>0</v>
      </c>
      <c r="V748" s="1" t="b">
        <f t="shared" si="20"/>
        <v>0</v>
      </c>
      <c r="W748" s="1" t="b">
        <v>0</v>
      </c>
      <c r="X748" s="1" t="b">
        <v>0</v>
      </c>
      <c r="Y748" s="1" t="b">
        <v>0</v>
      </c>
      <c r="Z748" s="1" t="b">
        <v>0</v>
      </c>
      <c r="AA748" s="1"/>
    </row>
    <row r="749" spans="1:27" x14ac:dyDescent="0.25">
      <c r="A749" s="1" t="s">
        <v>2015</v>
      </c>
      <c r="B749" s="2" t="s">
        <v>2031</v>
      </c>
      <c r="C749" s="2" t="s">
        <v>192</v>
      </c>
      <c r="D749" s="6">
        <f t="shared" si="14"/>
        <v>1</v>
      </c>
      <c r="E749" s="7" t="str">
        <f t="shared" si="15"/>
        <v>AcuteManifestation</v>
      </c>
      <c r="F749" s="8" t="b">
        <f>IF(D749&lt;1,FALSE,ISERROR(MATCH(E749,'Ontology and concepts per UC'!$A$2:$A$62,0)))</f>
        <v>0</v>
      </c>
      <c r="G749" s="9" t="str">
        <f t="shared" si="16"/>
        <v/>
      </c>
      <c r="H749" s="9" t="str">
        <f t="shared" si="17"/>
        <v/>
      </c>
      <c r="I749" s="8" t="b">
        <f>IF(D749&lt;2,FALSE,ISERROR(MATCH(H749,'Ontology and concepts per UC'!$A$2:$A$62,0)))</f>
        <v>0</v>
      </c>
      <c r="J749" s="9" t="str">
        <f t="shared" si="18"/>
        <v/>
      </c>
      <c r="K749" s="8" t="b">
        <f>IF(D749&lt;3,FALSE,ISERROR(MATCH(J749,'Ontology and concepts per UC'!$A$2:$A$62,0)))</f>
        <v>0</v>
      </c>
      <c r="L749" s="2" t="s">
        <v>2032</v>
      </c>
      <c r="M749" s="2" t="s">
        <v>2033</v>
      </c>
      <c r="N749" s="2"/>
      <c r="O749" s="1" t="b">
        <v>0</v>
      </c>
      <c r="P749" s="1">
        <v>0</v>
      </c>
      <c r="Q749" s="1">
        <v>0</v>
      </c>
      <c r="R749" s="1" t="b">
        <f t="shared" si="19"/>
        <v>0</v>
      </c>
      <c r="S749" s="2" t="s">
        <v>325</v>
      </c>
      <c r="T749" s="1" t="str">
        <f>IF(S749="","",VLOOKUP(S749,'Ontology and concepts per UC'!$F$2:$J$46,5,FALSE))</f>
        <v>Modelo Conceptual</v>
      </c>
      <c r="U749" s="1" t="b">
        <f t="array" ref="U749">(INDEX('Ontology and concepts per UC'!$G$2:$I$46,MATCH($S749,'Ontology and concepts per UC'!$F$2:$F$46,0),MATCH(LEFT($A749,3),'Ontology and concepts per UC'!$G$1:$I$1,0))=0)</f>
        <v>0</v>
      </c>
      <c r="V749" s="1" t="b">
        <f t="shared" si="20"/>
        <v>0</v>
      </c>
      <c r="W749" s="1" t="b">
        <v>0</v>
      </c>
      <c r="X749" s="1" t="b">
        <v>0</v>
      </c>
      <c r="Y749" s="1" t="b">
        <v>0</v>
      </c>
      <c r="Z749" s="1" t="b">
        <v>0</v>
      </c>
      <c r="AA749" s="1"/>
    </row>
    <row r="750" spans="1:27" x14ac:dyDescent="0.25">
      <c r="A750" s="1" t="s">
        <v>2015</v>
      </c>
      <c r="B750" s="2" t="s">
        <v>2034</v>
      </c>
      <c r="C750" s="2" t="s">
        <v>27</v>
      </c>
      <c r="D750" s="6">
        <f t="shared" si="14"/>
        <v>1</v>
      </c>
      <c r="E750" s="7" t="str">
        <f t="shared" si="15"/>
        <v>ChronicManifestation</v>
      </c>
      <c r="F750" s="8" t="b">
        <f>IF(D750&lt;1,FALSE,ISERROR(MATCH(E750,'Ontology and concepts per UC'!$A$2:$A$62,0)))</f>
        <v>0</v>
      </c>
      <c r="G750" s="9" t="str">
        <f t="shared" si="16"/>
        <v/>
      </c>
      <c r="H750" s="9" t="str">
        <f t="shared" si="17"/>
        <v/>
      </c>
      <c r="I750" s="8" t="b">
        <f>IF(D750&lt;2,FALSE,ISERROR(MATCH(H750,'Ontology and concepts per UC'!$A$2:$A$62,0)))</f>
        <v>0</v>
      </c>
      <c r="J750" s="9" t="str">
        <f t="shared" si="18"/>
        <v/>
      </c>
      <c r="K750" s="8" t="b">
        <f>IF(D750&lt;3,FALSE,ISERROR(MATCH(J750,'Ontology and concepts per UC'!$A$2:$A$62,0)))</f>
        <v>0</v>
      </c>
      <c r="L750" s="2"/>
      <c r="M750" s="2" t="s">
        <v>2035</v>
      </c>
      <c r="N750" s="2"/>
      <c r="O750" s="1" t="b">
        <v>0</v>
      </c>
      <c r="P750" s="1">
        <v>0</v>
      </c>
      <c r="Q750" s="1">
        <v>0</v>
      </c>
      <c r="R750" s="1" t="b">
        <f t="shared" si="19"/>
        <v>0</v>
      </c>
      <c r="S750" s="2" t="s">
        <v>325</v>
      </c>
      <c r="T750" s="1" t="str">
        <f>IF(S750="","",VLOOKUP(S750,'Ontology and concepts per UC'!$F$2:$J$46,5,FALSE))</f>
        <v>Modelo Conceptual</v>
      </c>
      <c r="U750" s="1" t="b">
        <f t="array" ref="U750">(INDEX('Ontology and concepts per UC'!$G$2:$I$46,MATCH($S750,'Ontology and concepts per UC'!$F$2:$F$46,0),MATCH(LEFT($A750,3),'Ontology and concepts per UC'!$G$1:$I$1,0))=0)</f>
        <v>0</v>
      </c>
      <c r="V750" s="1" t="b">
        <f t="shared" si="20"/>
        <v>0</v>
      </c>
      <c r="W750" s="1" t="b">
        <v>0</v>
      </c>
      <c r="X750" s="1" t="b">
        <v>0</v>
      </c>
      <c r="Y750" s="1" t="b">
        <v>0</v>
      </c>
      <c r="Z750" s="1" t="b">
        <v>0</v>
      </c>
      <c r="AA750" s="1"/>
    </row>
    <row r="751" spans="1:27" x14ac:dyDescent="0.25">
      <c r="A751" s="1" t="s">
        <v>2015</v>
      </c>
      <c r="B751" s="2" t="s">
        <v>2036</v>
      </c>
      <c r="C751" s="2" t="s">
        <v>27</v>
      </c>
      <c r="D751" s="6">
        <f t="shared" si="14"/>
        <v>1</v>
      </c>
      <c r="E751" s="7" t="str">
        <f t="shared" si="15"/>
        <v>ChronicManifestation</v>
      </c>
      <c r="F751" s="8" t="b">
        <f>IF(D751&lt;1,FALSE,ISERROR(MATCH(E751,'Ontology and concepts per UC'!$A$2:$A$62,0)))</f>
        <v>0</v>
      </c>
      <c r="G751" s="9" t="str">
        <f t="shared" si="16"/>
        <v/>
      </c>
      <c r="H751" s="9" t="str">
        <f t="shared" si="17"/>
        <v/>
      </c>
      <c r="I751" s="8" t="b">
        <f>IF(D751&lt;2,FALSE,ISERROR(MATCH(H751,'Ontology and concepts per UC'!$A$2:$A$62,0)))</f>
        <v>0</v>
      </c>
      <c r="J751" s="9" t="str">
        <f t="shared" si="18"/>
        <v/>
      </c>
      <c r="K751" s="8" t="b">
        <f>IF(D751&lt;3,FALSE,ISERROR(MATCH(J751,'Ontology and concepts per UC'!$A$2:$A$62,0)))</f>
        <v>0</v>
      </c>
      <c r="L751" s="2"/>
      <c r="M751" s="2" t="s">
        <v>2037</v>
      </c>
      <c r="N751" s="2"/>
      <c r="O751" s="1" t="b">
        <v>0</v>
      </c>
      <c r="P751" s="1">
        <v>0</v>
      </c>
      <c r="Q751" s="1">
        <v>0</v>
      </c>
      <c r="R751" s="1" t="b">
        <f t="shared" si="19"/>
        <v>0</v>
      </c>
      <c r="S751" s="2" t="s">
        <v>31</v>
      </c>
      <c r="T751" s="1" t="str">
        <f>IF(S751="","",VLOOKUP(S751,'Ontology and concepts per UC'!$F$2:$J$46,5,FALSE))</f>
        <v>Modelo Conceptual</v>
      </c>
      <c r="U751" s="1" t="b">
        <f t="array" ref="U751">(INDEX('Ontology and concepts per UC'!$G$2:$I$46,MATCH($S751,'Ontology and concepts per UC'!$F$2:$F$46,0),MATCH(LEFT($A751,3),'Ontology and concepts per UC'!$G$1:$I$1,0))=0)</f>
        <v>0</v>
      </c>
      <c r="V751" s="1" t="b">
        <f t="shared" si="20"/>
        <v>0</v>
      </c>
      <c r="W751" s="1" t="b">
        <v>0</v>
      </c>
      <c r="X751" s="1" t="b">
        <v>0</v>
      </c>
      <c r="Y751" s="1" t="b">
        <v>0</v>
      </c>
      <c r="Z751" s="1" t="b">
        <v>0</v>
      </c>
      <c r="AA751" s="1"/>
    </row>
    <row r="752" spans="1:27" x14ac:dyDescent="0.25">
      <c r="A752" s="1" t="s">
        <v>2015</v>
      </c>
      <c r="B752" s="2" t="s">
        <v>2038</v>
      </c>
      <c r="C752" s="2" t="s">
        <v>27</v>
      </c>
      <c r="D752" s="6">
        <f t="shared" si="14"/>
        <v>1</v>
      </c>
      <c r="E752" s="7" t="str">
        <f t="shared" si="15"/>
        <v>ChronicManifestation</v>
      </c>
      <c r="F752" s="8" t="b">
        <f>IF(D752&lt;1,FALSE,ISERROR(MATCH(E752,'Ontology and concepts per UC'!$A$2:$A$62,0)))</f>
        <v>0</v>
      </c>
      <c r="G752" s="9" t="str">
        <f t="shared" si="16"/>
        <v/>
      </c>
      <c r="H752" s="9" t="str">
        <f t="shared" si="17"/>
        <v/>
      </c>
      <c r="I752" s="8" t="b">
        <f>IF(D752&lt;2,FALSE,ISERROR(MATCH(H752,'Ontology and concepts per UC'!$A$2:$A$62,0)))</f>
        <v>0</v>
      </c>
      <c r="J752" s="9" t="str">
        <f t="shared" si="18"/>
        <v/>
      </c>
      <c r="K752" s="8" t="b">
        <f>IF(D752&lt;3,FALSE,ISERROR(MATCH(J752,'Ontology and concepts per UC'!$A$2:$A$62,0)))</f>
        <v>0</v>
      </c>
      <c r="L752" s="2"/>
      <c r="M752" s="2" t="s">
        <v>2039</v>
      </c>
      <c r="N752" s="2"/>
      <c r="O752" s="1" t="b">
        <v>0</v>
      </c>
      <c r="P752" s="1">
        <v>0</v>
      </c>
      <c r="Q752" s="1">
        <v>0</v>
      </c>
      <c r="R752" s="1" t="b">
        <f t="shared" si="19"/>
        <v>0</v>
      </c>
      <c r="S752" s="2" t="s">
        <v>325</v>
      </c>
      <c r="T752" s="1" t="str">
        <f>IF(S752="","",VLOOKUP(S752,'Ontology and concepts per UC'!$F$2:$J$46,5,FALSE))</f>
        <v>Modelo Conceptual</v>
      </c>
      <c r="U752" s="1" t="b">
        <f t="array" ref="U752">(INDEX('Ontology and concepts per UC'!$G$2:$I$46,MATCH($S752,'Ontology and concepts per UC'!$F$2:$F$46,0),MATCH(LEFT($A752,3),'Ontology and concepts per UC'!$G$1:$I$1,0))=0)</f>
        <v>0</v>
      </c>
      <c r="V752" s="1" t="b">
        <f t="shared" si="20"/>
        <v>0</v>
      </c>
      <c r="W752" s="1" t="b">
        <v>0</v>
      </c>
      <c r="X752" s="1" t="b">
        <v>0</v>
      </c>
      <c r="Y752" s="1" t="b">
        <v>0</v>
      </c>
      <c r="Z752" s="1" t="b">
        <v>0</v>
      </c>
      <c r="AA752" s="1"/>
    </row>
    <row r="753" spans="1:27" x14ac:dyDescent="0.25">
      <c r="A753" s="1" t="s">
        <v>2015</v>
      </c>
      <c r="B753" s="2" t="s">
        <v>2040</v>
      </c>
      <c r="C753" s="2" t="s">
        <v>27</v>
      </c>
      <c r="D753" s="6">
        <f t="shared" si="14"/>
        <v>1</v>
      </c>
      <c r="E753" s="7" t="str">
        <f t="shared" si="15"/>
        <v>ChronicManifestation</v>
      </c>
      <c r="F753" s="8" t="b">
        <f>IF(D753&lt;1,FALSE,ISERROR(MATCH(E753,'Ontology and concepts per UC'!$A$2:$A$62,0)))</f>
        <v>0</v>
      </c>
      <c r="G753" s="9" t="str">
        <f t="shared" si="16"/>
        <v/>
      </c>
      <c r="H753" s="9" t="str">
        <f t="shared" si="17"/>
        <v/>
      </c>
      <c r="I753" s="8" t="b">
        <f>IF(D753&lt;2,FALSE,ISERROR(MATCH(H753,'Ontology and concepts per UC'!$A$2:$A$62,0)))</f>
        <v>0</v>
      </c>
      <c r="J753" s="9" t="str">
        <f t="shared" si="18"/>
        <v/>
      </c>
      <c r="K753" s="8" t="b">
        <f>IF(D753&lt;3,FALSE,ISERROR(MATCH(J753,'Ontology and concepts per UC'!$A$2:$A$62,0)))</f>
        <v>0</v>
      </c>
      <c r="L753" s="2"/>
      <c r="M753" s="2" t="s">
        <v>2041</v>
      </c>
      <c r="N753" s="2"/>
      <c r="O753" s="1" t="b">
        <v>0</v>
      </c>
      <c r="P753" s="1">
        <v>0</v>
      </c>
      <c r="Q753" s="1">
        <v>0</v>
      </c>
      <c r="R753" s="1" t="b">
        <f t="shared" si="19"/>
        <v>0</v>
      </c>
      <c r="S753" s="2" t="s">
        <v>325</v>
      </c>
      <c r="T753" s="1" t="str">
        <f>IF(S753="","",VLOOKUP(S753,'Ontology and concepts per UC'!$F$2:$J$46,5,FALSE))</f>
        <v>Modelo Conceptual</v>
      </c>
      <c r="U753" s="1" t="b">
        <f t="array" ref="U753">(INDEX('Ontology and concepts per UC'!$G$2:$I$46,MATCH($S753,'Ontology and concepts per UC'!$F$2:$F$46,0),MATCH(LEFT($A753,3),'Ontology and concepts per UC'!$G$1:$I$1,0))=0)</f>
        <v>0</v>
      </c>
      <c r="V753" s="1" t="b">
        <f t="shared" si="20"/>
        <v>0</v>
      </c>
      <c r="W753" s="1" t="b">
        <v>0</v>
      </c>
      <c r="X753" s="1" t="b">
        <v>0</v>
      </c>
      <c r="Y753" s="1" t="b">
        <v>0</v>
      </c>
      <c r="Z753" s="1" t="b">
        <v>0</v>
      </c>
      <c r="AA753" s="1"/>
    </row>
    <row r="754" spans="1:27" x14ac:dyDescent="0.25">
      <c r="A754" s="1" t="s">
        <v>2015</v>
      </c>
      <c r="B754" s="2" t="s">
        <v>2042</v>
      </c>
      <c r="C754" s="2" t="s">
        <v>27</v>
      </c>
      <c r="D754" s="6">
        <f t="shared" si="14"/>
        <v>1</v>
      </c>
      <c r="E754" s="7" t="str">
        <f t="shared" si="15"/>
        <v>ChronicManifestation</v>
      </c>
      <c r="F754" s="8" t="b">
        <f>IF(D754&lt;1,FALSE,ISERROR(MATCH(E754,'Ontology and concepts per UC'!$A$2:$A$62,0)))</f>
        <v>0</v>
      </c>
      <c r="G754" s="9" t="str">
        <f t="shared" si="16"/>
        <v/>
      </c>
      <c r="H754" s="9" t="str">
        <f t="shared" si="17"/>
        <v/>
      </c>
      <c r="I754" s="8" t="b">
        <f>IF(D754&lt;2,FALSE,ISERROR(MATCH(H754,'Ontology and concepts per UC'!$A$2:$A$62,0)))</f>
        <v>0</v>
      </c>
      <c r="J754" s="9" t="str">
        <f t="shared" si="18"/>
        <v/>
      </c>
      <c r="K754" s="8" t="b">
        <f>IF(D754&lt;3,FALSE,ISERROR(MATCH(J754,'Ontology and concepts per UC'!$A$2:$A$62,0)))</f>
        <v>0</v>
      </c>
      <c r="L754" s="2"/>
      <c r="M754" s="2" t="s">
        <v>2043</v>
      </c>
      <c r="N754" s="2"/>
      <c r="O754" s="1" t="b">
        <v>0</v>
      </c>
      <c r="P754" s="1">
        <v>0</v>
      </c>
      <c r="Q754" s="1">
        <v>0</v>
      </c>
      <c r="R754" s="1" t="b">
        <f t="shared" si="19"/>
        <v>0</v>
      </c>
      <c r="S754" s="2" t="s">
        <v>26</v>
      </c>
      <c r="T754" s="1" t="str">
        <f>IF(S754="","",VLOOKUP(S754,'Ontology and concepts per UC'!$F$2:$J$46,5,FALSE))</f>
        <v>Modelo Conceptual</v>
      </c>
      <c r="U754" s="1" t="b">
        <f t="array" ref="U754">(INDEX('Ontology and concepts per UC'!$G$2:$I$46,MATCH($S754,'Ontology and concepts per UC'!$F$2:$F$46,0),MATCH(LEFT($A754,3),'Ontology and concepts per UC'!$G$1:$I$1,0))=0)</f>
        <v>0</v>
      </c>
      <c r="V754" s="1" t="b">
        <f t="shared" si="20"/>
        <v>0</v>
      </c>
      <c r="W754" s="1" t="b">
        <v>0</v>
      </c>
      <c r="X754" s="1" t="b">
        <v>0</v>
      </c>
      <c r="Y754" s="1" t="b">
        <v>0</v>
      </c>
      <c r="Z754" s="1" t="b">
        <v>0</v>
      </c>
      <c r="AA754" s="1"/>
    </row>
    <row r="755" spans="1:27" x14ac:dyDescent="0.25">
      <c r="A755" s="1" t="s">
        <v>2015</v>
      </c>
      <c r="B755" s="2" t="s">
        <v>2044</v>
      </c>
      <c r="C755" s="2" t="s">
        <v>27</v>
      </c>
      <c r="D755" s="6">
        <f t="shared" si="14"/>
        <v>1</v>
      </c>
      <c r="E755" s="7" t="str">
        <f t="shared" si="15"/>
        <v>ChronicManifestation</v>
      </c>
      <c r="F755" s="8" t="b">
        <f>IF(D755&lt;1,FALSE,ISERROR(MATCH(E755,'Ontology and concepts per UC'!$A$2:$A$62,0)))</f>
        <v>0</v>
      </c>
      <c r="G755" s="9" t="str">
        <f t="shared" si="16"/>
        <v/>
      </c>
      <c r="H755" s="9" t="str">
        <f t="shared" si="17"/>
        <v/>
      </c>
      <c r="I755" s="8" t="b">
        <f>IF(D755&lt;2,FALSE,ISERROR(MATCH(H755,'Ontology and concepts per UC'!$A$2:$A$62,0)))</f>
        <v>0</v>
      </c>
      <c r="J755" s="9" t="str">
        <f t="shared" si="18"/>
        <v/>
      </c>
      <c r="K755" s="8" t="b">
        <f>IF(D755&lt;3,FALSE,ISERROR(MATCH(J755,'Ontology and concepts per UC'!$A$2:$A$62,0)))</f>
        <v>0</v>
      </c>
      <c r="L755" s="2"/>
      <c r="M755" s="2" t="s">
        <v>2045</v>
      </c>
      <c r="N755" s="2"/>
      <c r="O755" s="1" t="b">
        <v>0</v>
      </c>
      <c r="P755" s="1">
        <v>0</v>
      </c>
      <c r="Q755" s="1">
        <v>0</v>
      </c>
      <c r="R755" s="1" t="b">
        <f t="shared" si="19"/>
        <v>0</v>
      </c>
      <c r="S755" s="2" t="s">
        <v>28</v>
      </c>
      <c r="T755" s="1" t="str">
        <f>IF(S755="","",VLOOKUP(S755,'Ontology and concepts per UC'!$F$2:$J$46,5,FALSE))</f>
        <v>Modelo Conceptual</v>
      </c>
      <c r="U755" s="1" t="b">
        <f t="array" ref="U755">(INDEX('Ontology and concepts per UC'!$G$2:$I$46,MATCH($S755,'Ontology and concepts per UC'!$F$2:$F$46,0),MATCH(LEFT($A755,3),'Ontology and concepts per UC'!$G$1:$I$1,0))=0)</f>
        <v>0</v>
      </c>
      <c r="V755" s="1" t="b">
        <f t="shared" si="20"/>
        <v>0</v>
      </c>
      <c r="W755" s="1" t="b">
        <v>0</v>
      </c>
      <c r="X755" s="1" t="b">
        <v>0</v>
      </c>
      <c r="Y755" s="1" t="b">
        <v>0</v>
      </c>
      <c r="Z755" s="1" t="b">
        <v>0</v>
      </c>
      <c r="AA755" s="1"/>
    </row>
    <row r="756" spans="1:27" x14ac:dyDescent="0.25">
      <c r="A756" s="1" t="s">
        <v>2015</v>
      </c>
      <c r="B756" s="2" t="s">
        <v>2046</v>
      </c>
      <c r="C756" s="2" t="s">
        <v>27</v>
      </c>
      <c r="D756" s="6">
        <f t="shared" si="14"/>
        <v>1</v>
      </c>
      <c r="E756" s="7" t="str">
        <f t="shared" si="15"/>
        <v>ChronicManifestation</v>
      </c>
      <c r="F756" s="8" t="b">
        <f>IF(D756&lt;1,FALSE,ISERROR(MATCH(E756,'Ontology and concepts per UC'!$A$2:$A$62,0)))</f>
        <v>0</v>
      </c>
      <c r="G756" s="9" t="str">
        <f t="shared" si="16"/>
        <v/>
      </c>
      <c r="H756" s="9" t="str">
        <f t="shared" si="17"/>
        <v/>
      </c>
      <c r="I756" s="8" t="b">
        <f>IF(D756&lt;2,FALSE,ISERROR(MATCH(H756,'Ontology and concepts per UC'!$A$2:$A$62,0)))</f>
        <v>0</v>
      </c>
      <c r="J756" s="9" t="str">
        <f t="shared" si="18"/>
        <v/>
      </c>
      <c r="K756" s="8" t="b">
        <f>IF(D756&lt;3,FALSE,ISERROR(MATCH(J756,'Ontology and concepts per UC'!$A$2:$A$62,0)))</f>
        <v>0</v>
      </c>
      <c r="L756" s="2"/>
      <c r="M756" s="2" t="s">
        <v>2047</v>
      </c>
      <c r="N756" s="2"/>
      <c r="O756" s="1" t="b">
        <v>0</v>
      </c>
      <c r="P756" s="1">
        <v>0</v>
      </c>
      <c r="Q756" s="1">
        <v>0</v>
      </c>
      <c r="R756" s="1" t="b">
        <f t="shared" si="19"/>
        <v>0</v>
      </c>
      <c r="S756" s="2" t="s">
        <v>29</v>
      </c>
      <c r="T756" s="1" t="str">
        <f>IF(S756="","",VLOOKUP(S756,'Ontology and concepts per UC'!$F$2:$J$46,5,FALSE))</f>
        <v>Modelo Conceptual</v>
      </c>
      <c r="U756" s="1" t="b">
        <f t="array" ref="U756">(INDEX('Ontology and concepts per UC'!$G$2:$I$46,MATCH($S756,'Ontology and concepts per UC'!$F$2:$F$46,0),MATCH(LEFT($A756,3),'Ontology and concepts per UC'!$G$1:$I$1,0))=0)</f>
        <v>0</v>
      </c>
      <c r="V756" s="1" t="b">
        <f t="shared" si="20"/>
        <v>0</v>
      </c>
      <c r="W756" s="1" t="b">
        <v>0</v>
      </c>
      <c r="X756" s="1" t="b">
        <v>0</v>
      </c>
      <c r="Y756" s="1" t="b">
        <v>0</v>
      </c>
      <c r="Z756" s="1" t="b">
        <v>0</v>
      </c>
      <c r="AA756" s="1"/>
    </row>
    <row r="757" spans="1:27" x14ac:dyDescent="0.25">
      <c r="A757" s="1" t="s">
        <v>2015</v>
      </c>
      <c r="B757" s="2" t="s">
        <v>2048</v>
      </c>
      <c r="C757" s="2" t="s">
        <v>27</v>
      </c>
      <c r="D757" s="6">
        <f t="shared" si="14"/>
        <v>1</v>
      </c>
      <c r="E757" s="7" t="str">
        <f t="shared" si="15"/>
        <v>ChronicManifestation</v>
      </c>
      <c r="F757" s="8" t="b">
        <f>IF(D757&lt;1,FALSE,ISERROR(MATCH(E757,'Ontology and concepts per UC'!$A$2:$A$62,0)))</f>
        <v>0</v>
      </c>
      <c r="G757" s="9" t="str">
        <f t="shared" si="16"/>
        <v/>
      </c>
      <c r="H757" s="9" t="str">
        <f t="shared" si="17"/>
        <v/>
      </c>
      <c r="I757" s="8" t="b">
        <f>IF(D757&lt;2,FALSE,ISERROR(MATCH(H757,'Ontology and concepts per UC'!$A$2:$A$62,0)))</f>
        <v>0</v>
      </c>
      <c r="J757" s="9" t="str">
        <f t="shared" si="18"/>
        <v/>
      </c>
      <c r="K757" s="8" t="b">
        <f>IF(D757&lt;3,FALSE,ISERROR(MATCH(J757,'Ontology and concepts per UC'!$A$2:$A$62,0)))</f>
        <v>0</v>
      </c>
      <c r="L757" s="2"/>
      <c r="M757" s="2" t="s">
        <v>2049</v>
      </c>
      <c r="N757" s="2"/>
      <c r="O757" s="1" t="b">
        <v>0</v>
      </c>
      <c r="P757" s="1">
        <v>0</v>
      </c>
      <c r="Q757" s="1">
        <v>0</v>
      </c>
      <c r="R757" s="1" t="b">
        <f t="shared" si="19"/>
        <v>0</v>
      </c>
      <c r="S757" s="2" t="s">
        <v>325</v>
      </c>
      <c r="T757" s="1" t="str">
        <f>IF(S757="","",VLOOKUP(S757,'Ontology and concepts per UC'!$F$2:$J$46,5,FALSE))</f>
        <v>Modelo Conceptual</v>
      </c>
      <c r="U757" s="1" t="b">
        <f t="array" ref="U757">(INDEX('Ontology and concepts per UC'!$G$2:$I$46,MATCH($S757,'Ontology and concepts per UC'!$F$2:$F$46,0),MATCH(LEFT($A757,3),'Ontology and concepts per UC'!$G$1:$I$1,0))=0)</f>
        <v>0</v>
      </c>
      <c r="V757" s="1" t="b">
        <f t="shared" si="20"/>
        <v>0</v>
      </c>
      <c r="W757" s="1" t="b">
        <v>0</v>
      </c>
      <c r="X757" s="1" t="b">
        <v>0</v>
      </c>
      <c r="Y757" s="1" t="b">
        <v>0</v>
      </c>
      <c r="Z757" s="1" t="b">
        <v>0</v>
      </c>
      <c r="AA757" s="1"/>
    </row>
    <row r="758" spans="1:27" x14ac:dyDescent="0.25">
      <c r="A758" s="1" t="s">
        <v>2015</v>
      </c>
      <c r="B758" s="2" t="s">
        <v>2050</v>
      </c>
      <c r="C758" s="2" t="s">
        <v>27</v>
      </c>
      <c r="D758" s="6">
        <f t="shared" si="14"/>
        <v>1</v>
      </c>
      <c r="E758" s="7" t="str">
        <f t="shared" si="15"/>
        <v>ChronicManifestation</v>
      </c>
      <c r="F758" s="8" t="b">
        <f>IF(D758&lt;1,FALSE,ISERROR(MATCH(E758,'Ontology and concepts per UC'!$A$2:$A$62,0)))</f>
        <v>0</v>
      </c>
      <c r="G758" s="9" t="str">
        <f t="shared" si="16"/>
        <v/>
      </c>
      <c r="H758" s="9" t="str">
        <f t="shared" si="17"/>
        <v/>
      </c>
      <c r="I758" s="8" t="b">
        <f>IF(D758&lt;2,FALSE,ISERROR(MATCH(H758,'Ontology and concepts per UC'!$A$2:$A$62,0)))</f>
        <v>0</v>
      </c>
      <c r="J758" s="9" t="str">
        <f t="shared" si="18"/>
        <v/>
      </c>
      <c r="K758" s="8" t="b">
        <f>IF(D758&lt;3,FALSE,ISERROR(MATCH(J758,'Ontology and concepts per UC'!$A$2:$A$62,0)))</f>
        <v>0</v>
      </c>
      <c r="L758" s="2"/>
      <c r="M758" s="2" t="s">
        <v>2051</v>
      </c>
      <c r="N758" s="2"/>
      <c r="O758" s="1" t="b">
        <v>0</v>
      </c>
      <c r="P758" s="1">
        <v>0</v>
      </c>
      <c r="Q758" s="1">
        <v>0</v>
      </c>
      <c r="R758" s="1" t="b">
        <f t="shared" si="19"/>
        <v>0</v>
      </c>
      <c r="S758" s="2" t="s">
        <v>325</v>
      </c>
      <c r="T758" s="1" t="str">
        <f>IF(S758="","",VLOOKUP(S758,'Ontology and concepts per UC'!$F$2:$J$46,5,FALSE))</f>
        <v>Modelo Conceptual</v>
      </c>
      <c r="U758" s="1" t="b">
        <f t="array" ref="U758">(INDEX('Ontology and concepts per UC'!$G$2:$I$46,MATCH($S758,'Ontology and concepts per UC'!$F$2:$F$46,0),MATCH(LEFT($A758,3),'Ontology and concepts per UC'!$G$1:$I$1,0))=0)</f>
        <v>0</v>
      </c>
      <c r="V758" s="1" t="b">
        <f t="shared" si="20"/>
        <v>0</v>
      </c>
      <c r="W758" s="1" t="b">
        <v>0</v>
      </c>
      <c r="X758" s="1" t="b">
        <v>0</v>
      </c>
      <c r="Y758" s="1" t="b">
        <v>0</v>
      </c>
      <c r="Z758" s="1" t="b">
        <v>0</v>
      </c>
      <c r="AA758" s="1"/>
    </row>
    <row r="759" spans="1:27" x14ac:dyDescent="0.25">
      <c r="A759" s="1" t="s">
        <v>2015</v>
      </c>
      <c r="B759" s="2" t="s">
        <v>2052</v>
      </c>
      <c r="C759" s="2" t="s">
        <v>27</v>
      </c>
      <c r="D759" s="6">
        <f t="shared" si="14"/>
        <v>1</v>
      </c>
      <c r="E759" s="7" t="str">
        <f t="shared" si="15"/>
        <v>ChronicManifestation</v>
      </c>
      <c r="F759" s="8" t="b">
        <f>IF(D759&lt;1,FALSE,ISERROR(MATCH(E759,'Ontology and concepts per UC'!$A$2:$A$62,0)))</f>
        <v>0</v>
      </c>
      <c r="G759" s="9" t="str">
        <f t="shared" si="16"/>
        <v/>
      </c>
      <c r="H759" s="9" t="str">
        <f t="shared" si="17"/>
        <v/>
      </c>
      <c r="I759" s="8" t="b">
        <f>IF(D759&lt;2,FALSE,ISERROR(MATCH(H759,'Ontology and concepts per UC'!$A$2:$A$62,0)))</f>
        <v>0</v>
      </c>
      <c r="J759" s="9" t="str">
        <f t="shared" si="18"/>
        <v/>
      </c>
      <c r="K759" s="8" t="b">
        <f>IF(D759&lt;3,FALSE,ISERROR(MATCH(J759,'Ontology and concepts per UC'!$A$2:$A$62,0)))</f>
        <v>0</v>
      </c>
      <c r="L759" s="2"/>
      <c r="M759" s="2" t="s">
        <v>2053</v>
      </c>
      <c r="N759" s="2"/>
      <c r="O759" s="1" t="b">
        <v>0</v>
      </c>
      <c r="P759" s="1">
        <v>0</v>
      </c>
      <c r="Q759" s="1">
        <v>0</v>
      </c>
      <c r="R759" s="1" t="b">
        <f t="shared" si="19"/>
        <v>0</v>
      </c>
      <c r="S759" s="2" t="s">
        <v>32</v>
      </c>
      <c r="T759" s="1" t="str">
        <f>IF(S759="","",VLOOKUP(S759,'Ontology and concepts per UC'!$F$2:$J$46,5,FALSE))</f>
        <v>Modelo Conceptual</v>
      </c>
      <c r="U759" s="1" t="b">
        <f t="array" ref="U759">(INDEX('Ontology and concepts per UC'!$G$2:$I$46,MATCH($S759,'Ontology and concepts per UC'!$F$2:$F$46,0),MATCH(LEFT($A759,3),'Ontology and concepts per UC'!$G$1:$I$1,0))=0)</f>
        <v>0</v>
      </c>
      <c r="V759" s="1" t="b">
        <f t="shared" si="20"/>
        <v>0</v>
      </c>
      <c r="W759" s="1" t="b">
        <v>0</v>
      </c>
      <c r="X759" s="1" t="b">
        <v>0</v>
      </c>
      <c r="Y759" s="1" t="b">
        <v>0</v>
      </c>
      <c r="Z759" s="1" t="b">
        <v>0</v>
      </c>
      <c r="AA759" s="1"/>
    </row>
    <row r="760" spans="1:27" x14ac:dyDescent="0.25">
      <c r="A760" s="1" t="s">
        <v>2015</v>
      </c>
      <c r="B760" s="2" t="s">
        <v>2054</v>
      </c>
      <c r="C760" s="2" t="s">
        <v>27</v>
      </c>
      <c r="D760" s="6">
        <f t="shared" si="14"/>
        <v>1</v>
      </c>
      <c r="E760" s="7" t="str">
        <f t="shared" si="15"/>
        <v>ChronicManifestation</v>
      </c>
      <c r="F760" s="8" t="b">
        <f>IF(D760&lt;1,FALSE,ISERROR(MATCH(E760,'Ontology and concepts per UC'!$A$2:$A$62,0)))</f>
        <v>0</v>
      </c>
      <c r="G760" s="9" t="str">
        <f t="shared" si="16"/>
        <v/>
      </c>
      <c r="H760" s="9" t="str">
        <f t="shared" si="17"/>
        <v/>
      </c>
      <c r="I760" s="8" t="b">
        <f>IF(D760&lt;2,FALSE,ISERROR(MATCH(H760,'Ontology and concepts per UC'!$A$2:$A$62,0)))</f>
        <v>0</v>
      </c>
      <c r="J760" s="9" t="str">
        <f t="shared" si="18"/>
        <v/>
      </c>
      <c r="K760" s="8" t="b">
        <f>IF(D760&lt;3,FALSE,ISERROR(MATCH(J760,'Ontology and concepts per UC'!$A$2:$A$62,0)))</f>
        <v>0</v>
      </c>
      <c r="L760" s="2" t="s">
        <v>2055</v>
      </c>
      <c r="M760" s="2" t="s">
        <v>2056</v>
      </c>
      <c r="N760" s="2"/>
      <c r="O760" s="1" t="b">
        <v>0</v>
      </c>
      <c r="P760" s="1">
        <v>0</v>
      </c>
      <c r="Q760" s="1">
        <v>0</v>
      </c>
      <c r="R760" s="1" t="b">
        <f t="shared" si="19"/>
        <v>0</v>
      </c>
      <c r="S760" s="2" t="s">
        <v>31</v>
      </c>
      <c r="T760" s="1" t="str">
        <f>IF(S760="","",VLOOKUP(S760,'Ontology and concepts per UC'!$F$2:$J$46,5,FALSE))</f>
        <v>Modelo Conceptual</v>
      </c>
      <c r="U760" s="1" t="b">
        <f t="array" ref="U760">(INDEX('Ontology and concepts per UC'!$G$2:$I$46,MATCH($S760,'Ontology and concepts per UC'!$F$2:$F$46,0),MATCH(LEFT($A760,3),'Ontology and concepts per UC'!$G$1:$I$1,0))=0)</f>
        <v>0</v>
      </c>
      <c r="V760" s="1" t="b">
        <f t="shared" si="20"/>
        <v>0</v>
      </c>
      <c r="W760" s="1" t="b">
        <v>0</v>
      </c>
      <c r="X760" s="1" t="b">
        <v>0</v>
      </c>
      <c r="Y760" s="1" t="b">
        <v>0</v>
      </c>
      <c r="Z760" s="1" t="b">
        <v>0</v>
      </c>
      <c r="AA760" s="1"/>
    </row>
    <row r="761" spans="1:27" x14ac:dyDescent="0.25">
      <c r="A761" s="1" t="s">
        <v>2015</v>
      </c>
      <c r="B761" s="2" t="s">
        <v>2057</v>
      </c>
      <c r="C761" s="2" t="s">
        <v>27</v>
      </c>
      <c r="D761" s="6">
        <f t="shared" si="14"/>
        <v>1</v>
      </c>
      <c r="E761" s="7" t="str">
        <f t="shared" si="15"/>
        <v>ChronicManifestation</v>
      </c>
      <c r="F761" s="8" t="b">
        <f>IF(D761&lt;1,FALSE,ISERROR(MATCH(E761,'Ontology and concepts per UC'!$A$2:$A$62,0)))</f>
        <v>0</v>
      </c>
      <c r="G761" s="9" t="str">
        <f t="shared" si="16"/>
        <v/>
      </c>
      <c r="H761" s="9" t="str">
        <f t="shared" si="17"/>
        <v/>
      </c>
      <c r="I761" s="8" t="b">
        <f>IF(D761&lt;2,FALSE,ISERROR(MATCH(H761,'Ontology and concepts per UC'!$A$2:$A$62,0)))</f>
        <v>0</v>
      </c>
      <c r="J761" s="9" t="str">
        <f t="shared" si="18"/>
        <v/>
      </c>
      <c r="K761" s="8" t="b">
        <f>IF(D761&lt;3,FALSE,ISERROR(MATCH(J761,'Ontology and concepts per UC'!$A$2:$A$62,0)))</f>
        <v>0</v>
      </c>
      <c r="L761" s="2" t="s">
        <v>2058</v>
      </c>
      <c r="M761" s="2" t="s">
        <v>2059</v>
      </c>
      <c r="N761" s="2"/>
      <c r="O761" s="1" t="b">
        <v>0</v>
      </c>
      <c r="P761" s="1">
        <v>0</v>
      </c>
      <c r="Q761" s="1">
        <v>0</v>
      </c>
      <c r="R761" s="1" t="b">
        <f t="shared" si="19"/>
        <v>0</v>
      </c>
      <c r="S761" s="2" t="s">
        <v>325</v>
      </c>
      <c r="T761" s="1" t="str">
        <f>IF(S761="","",VLOOKUP(S761,'Ontology and concepts per UC'!$F$2:$J$46,5,FALSE))</f>
        <v>Modelo Conceptual</v>
      </c>
      <c r="U761" s="1" t="b">
        <f t="array" ref="U761">(INDEX('Ontology and concepts per UC'!$G$2:$I$46,MATCH($S761,'Ontology and concepts per UC'!$F$2:$F$46,0),MATCH(LEFT($A761,3),'Ontology and concepts per UC'!$G$1:$I$1,0))=0)</f>
        <v>0</v>
      </c>
      <c r="V761" s="1" t="b">
        <f t="shared" si="20"/>
        <v>0</v>
      </c>
      <c r="W761" s="1" t="b">
        <v>0</v>
      </c>
      <c r="X761" s="1" t="b">
        <v>0</v>
      </c>
      <c r="Y761" s="1" t="b">
        <v>0</v>
      </c>
      <c r="Z761" s="1" t="b">
        <v>0</v>
      </c>
      <c r="AA761" s="1"/>
    </row>
    <row r="762" spans="1:27" x14ac:dyDescent="0.25">
      <c r="A762" s="1" t="s">
        <v>2015</v>
      </c>
      <c r="B762" s="2" t="s">
        <v>2060</v>
      </c>
      <c r="C762" s="2" t="s">
        <v>27</v>
      </c>
      <c r="D762" s="6">
        <f t="shared" si="14"/>
        <v>1</v>
      </c>
      <c r="E762" s="7" t="str">
        <f t="shared" si="15"/>
        <v>ChronicManifestation</v>
      </c>
      <c r="F762" s="8" t="b">
        <f>IF(D762&lt;1,FALSE,ISERROR(MATCH(E762,'Ontology and concepts per UC'!$A$2:$A$62,0)))</f>
        <v>0</v>
      </c>
      <c r="G762" s="9" t="str">
        <f t="shared" si="16"/>
        <v/>
      </c>
      <c r="H762" s="9" t="str">
        <f t="shared" si="17"/>
        <v/>
      </c>
      <c r="I762" s="8" t="b">
        <f>IF(D762&lt;2,FALSE,ISERROR(MATCH(H762,'Ontology and concepts per UC'!$A$2:$A$62,0)))</f>
        <v>0</v>
      </c>
      <c r="J762" s="9" t="str">
        <f t="shared" si="18"/>
        <v/>
      </c>
      <c r="K762" s="8" t="b">
        <f>IF(D762&lt;3,FALSE,ISERROR(MATCH(J762,'Ontology and concepts per UC'!$A$2:$A$62,0)))</f>
        <v>0</v>
      </c>
      <c r="L762" s="2" t="s">
        <v>2061</v>
      </c>
      <c r="M762" s="2" t="s">
        <v>2062</v>
      </c>
      <c r="N762" s="2"/>
      <c r="O762" s="1" t="b">
        <v>0</v>
      </c>
      <c r="P762" s="1">
        <v>0</v>
      </c>
      <c r="Q762" s="1">
        <v>0</v>
      </c>
      <c r="R762" s="1" t="b">
        <f t="shared" si="19"/>
        <v>0</v>
      </c>
      <c r="S762" s="2" t="s">
        <v>325</v>
      </c>
      <c r="T762" s="1" t="str">
        <f>IF(S762="","",VLOOKUP(S762,'Ontology and concepts per UC'!$F$2:$J$46,5,FALSE))</f>
        <v>Modelo Conceptual</v>
      </c>
      <c r="U762" s="1" t="b">
        <f t="array" ref="U762">(INDEX('Ontology and concepts per UC'!$G$2:$I$46,MATCH($S762,'Ontology and concepts per UC'!$F$2:$F$46,0),MATCH(LEFT($A762,3),'Ontology and concepts per UC'!$G$1:$I$1,0))=0)</f>
        <v>0</v>
      </c>
      <c r="V762" s="1" t="b">
        <f t="shared" si="20"/>
        <v>0</v>
      </c>
      <c r="W762" s="1" t="b">
        <v>0</v>
      </c>
      <c r="X762" s="1" t="b">
        <v>0</v>
      </c>
      <c r="Y762" s="1" t="b">
        <v>0</v>
      </c>
      <c r="Z762" s="1" t="b">
        <v>0</v>
      </c>
      <c r="AA762" s="1"/>
    </row>
    <row r="763" spans="1:27" x14ac:dyDescent="0.25">
      <c r="A763" s="1" t="s">
        <v>2015</v>
      </c>
      <c r="B763" s="2" t="s">
        <v>2063</v>
      </c>
      <c r="C763" s="2" t="s">
        <v>929</v>
      </c>
      <c r="D763" s="6">
        <f t="shared" si="14"/>
        <v>2</v>
      </c>
      <c r="E763" s="7" t="str">
        <f t="shared" si="15"/>
        <v>DeterministicParameter</v>
      </c>
      <c r="F763" s="8" t="b">
        <f>IF(D763&lt;1,FALSE,ISERROR(MATCH(E763,'Ontology and concepts per UC'!$A$2:$A$62,0)))</f>
        <v>0</v>
      </c>
      <c r="G763" s="9" t="str">
        <f t="shared" si="16"/>
        <v>EpidemiologicalParameter</v>
      </c>
      <c r="H763" s="9" t="str">
        <f t="shared" si="17"/>
        <v>EpidemiologicalParameter</v>
      </c>
      <c r="I763" s="8" t="b">
        <f>IF(D763&lt;2,FALSE,ISERROR(MATCH(H763,'Ontology and concepts per UC'!$A$2:$A$62,0)))</f>
        <v>0</v>
      </c>
      <c r="J763" s="9" t="str">
        <f t="shared" si="18"/>
        <v/>
      </c>
      <c r="K763" s="8" t="b">
        <f>IF(D763&lt;3,FALSE,ISERROR(MATCH(J763,'Ontology and concepts per UC'!$A$2:$A$62,0)))</f>
        <v>0</v>
      </c>
      <c r="L763" s="2" t="s">
        <v>1648</v>
      </c>
      <c r="M763" s="2" t="s">
        <v>2064</v>
      </c>
      <c r="N763" s="2"/>
      <c r="O763" s="1" t="b">
        <v>0</v>
      </c>
      <c r="P763" s="1">
        <v>0</v>
      </c>
      <c r="Q763" s="1">
        <v>0</v>
      </c>
      <c r="R763" s="1" t="b">
        <f t="shared" si="19"/>
        <v>1</v>
      </c>
      <c r="S763" s="2" t="s">
        <v>17</v>
      </c>
      <c r="T763" s="1" t="str">
        <f>IF(S763="","",VLOOKUP(S763,'Ontology and concepts per UC'!$F$2:$J$46,5,FALSE))</f>
        <v>Modelo Conceptual</v>
      </c>
      <c r="U763" s="1" t="b">
        <f t="array" ref="U763">(INDEX('Ontology and concepts per UC'!$G$2:$I$46,MATCH($S763,'Ontology and concepts per UC'!$F$2:$F$46,0),MATCH(LEFT($A763,3),'Ontology and concepts per UC'!$G$1:$I$1,0))=0)</f>
        <v>0</v>
      </c>
      <c r="V763" s="1" t="b">
        <f t="shared" si="20"/>
        <v>1</v>
      </c>
      <c r="W763" s="1" t="b">
        <v>0</v>
      </c>
      <c r="X763" s="1" t="b">
        <v>0</v>
      </c>
      <c r="Y763" s="1" t="b">
        <v>0</v>
      </c>
      <c r="Z763" s="1" t="b">
        <v>1</v>
      </c>
      <c r="AA763" s="1" t="s">
        <v>1111</v>
      </c>
    </row>
    <row r="764" spans="1:27" x14ac:dyDescent="0.25">
      <c r="A764" s="1" t="s">
        <v>2015</v>
      </c>
      <c r="B764" s="2" t="s">
        <v>2065</v>
      </c>
      <c r="C764" s="2" t="s">
        <v>929</v>
      </c>
      <c r="D764" s="6">
        <f t="shared" si="14"/>
        <v>2</v>
      </c>
      <c r="E764" s="7" t="str">
        <f t="shared" si="15"/>
        <v>DeterministicParameter</v>
      </c>
      <c r="F764" s="8" t="b">
        <f>IF(D764&lt;1,FALSE,ISERROR(MATCH(E764,'Ontology and concepts per UC'!$A$2:$A$62,0)))</f>
        <v>0</v>
      </c>
      <c r="G764" s="9" t="str">
        <f t="shared" si="16"/>
        <v>EpidemiologicalParameter</v>
      </c>
      <c r="H764" s="9" t="str">
        <f t="shared" si="17"/>
        <v>EpidemiologicalParameter</v>
      </c>
      <c r="I764" s="8" t="b">
        <f>IF(D764&lt;2,FALSE,ISERROR(MATCH(H764,'Ontology and concepts per UC'!$A$2:$A$62,0)))</f>
        <v>0</v>
      </c>
      <c r="J764" s="9" t="str">
        <f t="shared" si="18"/>
        <v/>
      </c>
      <c r="K764" s="8" t="b">
        <f>IF(D764&lt;3,FALSE,ISERROR(MATCH(J764,'Ontology and concepts per UC'!$A$2:$A$62,0)))</f>
        <v>0</v>
      </c>
      <c r="L764" s="2" t="s">
        <v>1648</v>
      </c>
      <c r="M764" s="2" t="s">
        <v>2066</v>
      </c>
      <c r="N764" s="2"/>
      <c r="O764" s="1" t="b">
        <v>0</v>
      </c>
      <c r="P764" s="1">
        <v>0</v>
      </c>
      <c r="Q764" s="1">
        <v>0</v>
      </c>
      <c r="R764" s="1" t="b">
        <f t="shared" si="19"/>
        <v>1</v>
      </c>
      <c r="S764" s="2" t="s">
        <v>38</v>
      </c>
      <c r="T764" s="1" t="str">
        <f>IF(S764="","",VLOOKUP(S764,'Ontology and concepts per UC'!$F$2:$J$46,5,FALSE))</f>
        <v>Parámetro epidemiológico</v>
      </c>
      <c r="U764" s="1" t="b">
        <f t="array" ref="U764">(INDEX('Ontology and concepts per UC'!$G$2:$I$46,MATCH($S764,'Ontology and concepts per UC'!$F$2:$F$46,0),MATCH(LEFT($A764,3),'Ontology and concepts per UC'!$G$1:$I$1,0))=0)</f>
        <v>0</v>
      </c>
      <c r="V764" s="1" t="b">
        <f t="shared" si="20"/>
        <v>0</v>
      </c>
      <c r="W764" s="1" t="b">
        <v>0</v>
      </c>
      <c r="X764" s="1" t="b">
        <v>0</v>
      </c>
      <c r="Y764" s="1" t="b">
        <v>0</v>
      </c>
      <c r="Z764" s="1" t="b">
        <v>0</v>
      </c>
      <c r="AA764" s="1"/>
    </row>
    <row r="765" spans="1:27" x14ac:dyDescent="0.25">
      <c r="A765" s="1" t="s">
        <v>2015</v>
      </c>
      <c r="B765" s="2" t="s">
        <v>2067</v>
      </c>
      <c r="C765" s="2" t="s">
        <v>929</v>
      </c>
      <c r="D765" s="6">
        <f t="shared" si="14"/>
        <v>2</v>
      </c>
      <c r="E765" s="7" t="str">
        <f t="shared" si="15"/>
        <v>DeterministicParameter</v>
      </c>
      <c r="F765" s="8" t="b">
        <f>IF(D765&lt;1,FALSE,ISERROR(MATCH(E765,'Ontology and concepts per UC'!$A$2:$A$62,0)))</f>
        <v>0</v>
      </c>
      <c r="G765" s="9" t="str">
        <f t="shared" si="16"/>
        <v>EpidemiologicalParameter</v>
      </c>
      <c r="H765" s="9" t="str">
        <f t="shared" si="17"/>
        <v>EpidemiologicalParameter</v>
      </c>
      <c r="I765" s="8" t="b">
        <f>IF(D765&lt;2,FALSE,ISERROR(MATCH(H765,'Ontology and concepts per UC'!$A$2:$A$62,0)))</f>
        <v>0</v>
      </c>
      <c r="J765" s="9" t="str">
        <f t="shared" si="18"/>
        <v/>
      </c>
      <c r="K765" s="8" t="b">
        <f>IF(D765&lt;3,FALSE,ISERROR(MATCH(J765,'Ontology and concepts per UC'!$A$2:$A$62,0)))</f>
        <v>0</v>
      </c>
      <c r="L765" s="2" t="s">
        <v>1648</v>
      </c>
      <c r="M765" s="2" t="s">
        <v>2068</v>
      </c>
      <c r="N765" s="2"/>
      <c r="O765" s="1" t="b">
        <v>0</v>
      </c>
      <c r="P765" s="1">
        <v>0</v>
      </c>
      <c r="Q765" s="1">
        <v>0</v>
      </c>
      <c r="R765" s="1" t="b">
        <f t="shared" si="19"/>
        <v>1</v>
      </c>
      <c r="S765" s="2" t="s">
        <v>38</v>
      </c>
      <c r="T765" s="1" t="str">
        <f>IF(S765="","",VLOOKUP(S765,'Ontology and concepts per UC'!$F$2:$J$46,5,FALSE))</f>
        <v>Parámetro epidemiológico</v>
      </c>
      <c r="U765" s="1" t="b">
        <f t="array" ref="U765">(INDEX('Ontology and concepts per UC'!$G$2:$I$46,MATCH($S765,'Ontology and concepts per UC'!$F$2:$F$46,0),MATCH(LEFT($A765,3),'Ontology and concepts per UC'!$G$1:$I$1,0))=0)</f>
        <v>0</v>
      </c>
      <c r="V765" s="1" t="b">
        <f t="shared" si="20"/>
        <v>0</v>
      </c>
      <c r="W765" s="1" t="b">
        <v>0</v>
      </c>
      <c r="X765" s="1" t="b">
        <v>0</v>
      </c>
      <c r="Y765" s="1" t="b">
        <v>0</v>
      </c>
      <c r="Z765" s="1" t="b">
        <v>0</v>
      </c>
    </row>
    <row r="766" spans="1:27" x14ac:dyDescent="0.25">
      <c r="A766" s="1" t="s">
        <v>2015</v>
      </c>
      <c r="B766" s="2" t="s">
        <v>2069</v>
      </c>
      <c r="C766" s="2" t="s">
        <v>929</v>
      </c>
      <c r="D766" s="6">
        <f t="shared" si="14"/>
        <v>2</v>
      </c>
      <c r="E766" s="7" t="str">
        <f t="shared" si="15"/>
        <v>DeterministicParameter</v>
      </c>
      <c r="F766" s="8" t="b">
        <f>IF(D766&lt;1,FALSE,ISERROR(MATCH(E766,'Ontology and concepts per UC'!$A$2:$A$62,0)))</f>
        <v>0</v>
      </c>
      <c r="G766" s="9" t="str">
        <f t="shared" si="16"/>
        <v>EpidemiologicalParameter</v>
      </c>
      <c r="H766" s="9" t="str">
        <f t="shared" si="17"/>
        <v>EpidemiologicalParameter</v>
      </c>
      <c r="I766" s="8" t="b">
        <f>IF(D766&lt;2,FALSE,ISERROR(MATCH(H766,'Ontology and concepts per UC'!$A$2:$A$62,0)))</f>
        <v>0</v>
      </c>
      <c r="J766" s="9" t="str">
        <f t="shared" si="18"/>
        <v/>
      </c>
      <c r="K766" s="8" t="b">
        <f>IF(D766&lt;3,FALSE,ISERROR(MATCH(J766,'Ontology and concepts per UC'!$A$2:$A$62,0)))</f>
        <v>0</v>
      </c>
      <c r="L766" s="2" t="s">
        <v>1648</v>
      </c>
      <c r="M766" s="2" t="s">
        <v>2070</v>
      </c>
      <c r="N766" s="2"/>
      <c r="O766" s="1" t="b">
        <v>0</v>
      </c>
      <c r="P766" s="1">
        <v>0</v>
      </c>
      <c r="Q766" s="1">
        <v>0</v>
      </c>
      <c r="R766" s="1" t="b">
        <f t="shared" si="19"/>
        <v>1</v>
      </c>
      <c r="S766" s="2" t="s">
        <v>54</v>
      </c>
      <c r="T766" s="1" t="str">
        <f>IF(S766="","",VLOOKUP(S766,'Ontology and concepts per UC'!$F$2:$J$46,5,FALSE))</f>
        <v>Parámetros de progresión</v>
      </c>
      <c r="U766" s="1" t="b">
        <f t="array" ref="U766">(INDEX('Ontology and concepts per UC'!$G$2:$I$46,MATCH($S766,'Ontology and concepts per UC'!$F$2:$F$46,0),MATCH(LEFT($A766,3),'Ontology and concepts per UC'!$G$1:$I$1,0))=0)</f>
        <v>0</v>
      </c>
      <c r="V766" s="1" t="b">
        <f t="shared" si="20"/>
        <v>1</v>
      </c>
      <c r="W766" s="1" t="b">
        <v>0</v>
      </c>
      <c r="X766" s="1" t="b">
        <v>0</v>
      </c>
      <c r="Y766" s="1" t="b">
        <v>0</v>
      </c>
      <c r="Z766" s="1" t="b">
        <v>1</v>
      </c>
      <c r="AA766" s="1" t="s">
        <v>1111</v>
      </c>
    </row>
    <row r="767" spans="1:27" x14ac:dyDescent="0.25">
      <c r="A767" s="1" t="s">
        <v>2015</v>
      </c>
      <c r="B767" s="2" t="s">
        <v>2071</v>
      </c>
      <c r="C767" s="2" t="s">
        <v>942</v>
      </c>
      <c r="D767" s="6">
        <f t="shared" ref="D767:D1021" si="21">IF(ISBLANK(C767),0,LEN(C767)-LEN(SUBSTITUTE(C767,";",""))+1)</f>
        <v>2</v>
      </c>
      <c r="E767" s="7" t="str">
        <f t="shared" ref="E767:E1021" si="22">IF(D767&lt;2,C767,LEFT(C767,FIND(";",C767)-1))</f>
        <v>DeterministicParameter</v>
      </c>
      <c r="F767" s="8" t="b">
        <f>IF(D767&lt;1,FALSE,ISERROR(MATCH(E767,'Ontology and concepts per UC'!$A$2:$A$62,0)))</f>
        <v>0</v>
      </c>
      <c r="G767" s="9" t="str">
        <f t="shared" ref="G767:G1021" si="23">IF(D767&lt;2,"",MID(C767,LEN(E767)+3,LEN(C767)-FIND(";",C767)-1))</f>
        <v>Parameter</v>
      </c>
      <c r="H767" s="9" t="str">
        <f t="shared" ref="H767:H1021" si="24">IF(D767&lt;3,G767,LEFT(G767,FIND(";",G767)-1))</f>
        <v>Parameter</v>
      </c>
      <c r="I767" s="8" t="b">
        <f>IF(D767&lt;2,FALSE,ISERROR(MATCH(H767,'Ontology and concepts per UC'!$A$2:$A$62,0)))</f>
        <v>0</v>
      </c>
      <c r="J767" s="9" t="str">
        <f t="shared" ref="J767:J1021" si="25">IF(D767&lt;3,"",RIGHT(G767,LEN(G767)-FIND(";",G767)-1))</f>
        <v/>
      </c>
      <c r="K767" s="8" t="b">
        <f>IF(D767&lt;3,FALSE,ISERROR(MATCH(J767,'Ontology and concepts per UC'!$A$2:$A$62,0)))</f>
        <v>0</v>
      </c>
      <c r="L767" s="2" t="s">
        <v>1586</v>
      </c>
      <c r="M767" s="2" t="s">
        <v>2072</v>
      </c>
      <c r="N767" s="2"/>
      <c r="O767" s="1" t="b">
        <v>0</v>
      </c>
      <c r="P767" s="1">
        <v>0</v>
      </c>
      <c r="Q767" s="1">
        <v>0</v>
      </c>
      <c r="R767" s="1" t="b">
        <f t="shared" ref="R767:R1021" si="26">NOT(ISERROR(SEARCH("hasSource",M767)))</f>
        <v>1</v>
      </c>
      <c r="S767" s="2" t="s">
        <v>17</v>
      </c>
      <c r="T767" s="1" t="str">
        <f>IF(S767="","",VLOOKUP(S767,'Ontology and concepts per UC'!$F$2:$J$46,5,FALSE))</f>
        <v>Modelo Conceptual</v>
      </c>
      <c r="U767" s="1" t="b">
        <f t="array" ref="U767">(INDEX('Ontology and concepts per UC'!$G$2:$I$46,MATCH($S767,'Ontology and concepts per UC'!$F$2:$F$46,0),MATCH(LEFT($A767,3),'Ontology and concepts per UC'!$G$1:$I$1,0))=0)</f>
        <v>0</v>
      </c>
      <c r="V767" s="1" t="b">
        <f t="shared" ref="V767:V1021" si="27">COUNTIF(W767:Z767,TRUE)&gt;0</f>
        <v>0</v>
      </c>
      <c r="W767" s="1" t="b">
        <v>0</v>
      </c>
      <c r="X767" s="1" t="b">
        <v>0</v>
      </c>
      <c r="Y767" s="1" t="b">
        <v>0</v>
      </c>
      <c r="Z767" s="1" t="b">
        <v>0</v>
      </c>
      <c r="AA767" s="1"/>
    </row>
    <row r="768" spans="1:27" x14ac:dyDescent="0.25">
      <c r="A768" s="1" t="s">
        <v>2015</v>
      </c>
      <c r="B768" s="2" t="s">
        <v>2073</v>
      </c>
      <c r="C768" s="2" t="s">
        <v>942</v>
      </c>
      <c r="D768" s="6">
        <f t="shared" si="21"/>
        <v>2</v>
      </c>
      <c r="E768" s="7" t="str">
        <f t="shared" si="22"/>
        <v>DeterministicParameter</v>
      </c>
      <c r="F768" s="8" t="b">
        <f>IF(D768&lt;1,FALSE,ISERROR(MATCH(E768,'Ontology and concepts per UC'!$A$2:$A$62,0)))</f>
        <v>0</v>
      </c>
      <c r="G768" s="9" t="str">
        <f t="shared" si="23"/>
        <v>Parameter</v>
      </c>
      <c r="H768" s="9" t="str">
        <f t="shared" si="24"/>
        <v>Parameter</v>
      </c>
      <c r="I768" s="8" t="b">
        <f>IF(D768&lt;2,FALSE,ISERROR(MATCH(H768,'Ontology and concepts per UC'!$A$2:$A$62,0)))</f>
        <v>0</v>
      </c>
      <c r="J768" s="9" t="str">
        <f t="shared" si="25"/>
        <v/>
      </c>
      <c r="K768" s="8" t="b">
        <f>IF(D768&lt;3,FALSE,ISERROR(MATCH(J768,'Ontology and concepts per UC'!$A$2:$A$62,0)))</f>
        <v>0</v>
      </c>
      <c r="L768" s="2" t="s">
        <v>1635</v>
      </c>
      <c r="M768" s="2" t="s">
        <v>2074</v>
      </c>
      <c r="N768" s="2"/>
      <c r="O768" s="1" t="b">
        <v>0</v>
      </c>
      <c r="P768" s="1">
        <v>0</v>
      </c>
      <c r="Q768" s="1">
        <v>0</v>
      </c>
      <c r="R768" s="1" t="b">
        <f t="shared" si="26"/>
        <v>1</v>
      </c>
      <c r="S768" s="2" t="s">
        <v>367</v>
      </c>
      <c r="T768" s="1" t="str">
        <f>IF(S768="","",VLOOKUP(S768,'Ontology and concepts per UC'!$F$2:$J$46,5,FALSE))</f>
        <v>Parámetros de progresión</v>
      </c>
      <c r="U768" s="1" t="b">
        <f t="array" ref="U768">(INDEX('Ontology and concepts per UC'!$G$2:$I$46,MATCH($S768,'Ontology and concepts per UC'!$F$2:$F$46,0),MATCH(LEFT($A768,3),'Ontology and concepts per UC'!$G$1:$I$1,0))=0)</f>
        <v>0</v>
      </c>
      <c r="V768" s="1" t="b">
        <f t="shared" si="27"/>
        <v>0</v>
      </c>
      <c r="W768" s="1" t="b">
        <v>0</v>
      </c>
      <c r="X768" s="1" t="b">
        <v>0</v>
      </c>
      <c r="Y768" s="1" t="b">
        <v>0</v>
      </c>
      <c r="Z768" s="1" t="b">
        <v>0</v>
      </c>
      <c r="AA768" s="1"/>
    </row>
    <row r="769" spans="1:27" x14ac:dyDescent="0.25">
      <c r="A769" s="1" t="s">
        <v>2015</v>
      </c>
      <c r="B769" s="2" t="s">
        <v>2075</v>
      </c>
      <c r="C769" s="2" t="s">
        <v>942</v>
      </c>
      <c r="D769" s="6">
        <f t="shared" si="21"/>
        <v>2</v>
      </c>
      <c r="E769" s="7" t="str">
        <f t="shared" si="22"/>
        <v>DeterministicParameter</v>
      </c>
      <c r="F769" s="8" t="b">
        <f>IF(D769&lt;1,FALSE,ISERROR(MATCH(E769,'Ontology and concepts per UC'!$A$2:$A$62,0)))</f>
        <v>0</v>
      </c>
      <c r="G769" s="9" t="str">
        <f t="shared" si="23"/>
        <v>Parameter</v>
      </c>
      <c r="H769" s="9" t="str">
        <f t="shared" si="24"/>
        <v>Parameter</v>
      </c>
      <c r="I769" s="8" t="b">
        <f>IF(D769&lt;2,FALSE,ISERROR(MATCH(H769,'Ontology and concepts per UC'!$A$2:$A$62,0)))</f>
        <v>0</v>
      </c>
      <c r="J769" s="9" t="str">
        <f t="shared" si="25"/>
        <v/>
      </c>
      <c r="K769" s="8" t="b">
        <f>IF(D769&lt;3,FALSE,ISERROR(MATCH(J769,'Ontology and concepts per UC'!$A$2:$A$62,0)))</f>
        <v>0</v>
      </c>
      <c r="L769" s="2" t="s">
        <v>1638</v>
      </c>
      <c r="M769" s="2" t="s">
        <v>2076</v>
      </c>
      <c r="N769" s="2"/>
      <c r="O769" s="1" t="b">
        <v>0</v>
      </c>
      <c r="P769" s="1">
        <v>0</v>
      </c>
      <c r="Q769" s="1">
        <v>0</v>
      </c>
      <c r="R769" s="1" t="b">
        <f t="shared" si="26"/>
        <v>1</v>
      </c>
      <c r="S769" s="2" t="s">
        <v>56</v>
      </c>
      <c r="T769" s="1" t="str">
        <f>IF(S769="","",VLOOKUP(S769,'Ontology and concepts per UC'!$F$2:$J$46,5,FALSE))</f>
        <v>Parámetros de progresión</v>
      </c>
      <c r="U769" s="1" t="b">
        <f t="array" ref="U769">(INDEX('Ontology and concepts per UC'!$G$2:$I$46,MATCH($S769,'Ontology and concepts per UC'!$F$2:$F$46,0),MATCH(LEFT($A769,3),'Ontology and concepts per UC'!$G$1:$I$1,0))=0)</f>
        <v>0</v>
      </c>
      <c r="V769" s="1" t="b">
        <f t="shared" si="27"/>
        <v>0</v>
      </c>
      <c r="W769" s="1" t="b">
        <v>0</v>
      </c>
      <c r="X769" s="1" t="b">
        <v>0</v>
      </c>
      <c r="Y769" s="1" t="b">
        <v>0</v>
      </c>
      <c r="Z769" s="1" t="b">
        <v>0</v>
      </c>
      <c r="AA769" s="1"/>
    </row>
    <row r="770" spans="1:27" x14ac:dyDescent="0.25">
      <c r="A770" s="1" t="s">
        <v>2015</v>
      </c>
      <c r="B770" s="2" t="s">
        <v>2077</v>
      </c>
      <c r="C770" s="2" t="s">
        <v>942</v>
      </c>
      <c r="D770" s="6">
        <f t="shared" si="21"/>
        <v>2</v>
      </c>
      <c r="E770" s="7" t="str">
        <f t="shared" si="22"/>
        <v>DeterministicParameter</v>
      </c>
      <c r="F770" s="8" t="b">
        <f>IF(D770&lt;1,FALSE,ISERROR(MATCH(E770,'Ontology and concepts per UC'!$A$2:$A$62,0)))</f>
        <v>0</v>
      </c>
      <c r="G770" s="9" t="str">
        <f t="shared" si="23"/>
        <v>Parameter</v>
      </c>
      <c r="H770" s="9" t="str">
        <f t="shared" si="24"/>
        <v>Parameter</v>
      </c>
      <c r="I770" s="8" t="b">
        <f>IF(D770&lt;2,FALSE,ISERROR(MATCH(H770,'Ontology and concepts per UC'!$A$2:$A$62,0)))</f>
        <v>0</v>
      </c>
      <c r="J770" s="9" t="str">
        <f t="shared" si="25"/>
        <v/>
      </c>
      <c r="K770" s="8" t="b">
        <f>IF(D770&lt;3,FALSE,ISERROR(MATCH(J770,'Ontology and concepts per UC'!$A$2:$A$62,0)))</f>
        <v>0</v>
      </c>
      <c r="L770" s="2" t="s">
        <v>1638</v>
      </c>
      <c r="M770" s="2" t="s">
        <v>2078</v>
      </c>
      <c r="N770" s="2"/>
      <c r="O770" s="1" t="b">
        <v>0</v>
      </c>
      <c r="P770" s="1">
        <v>0</v>
      </c>
      <c r="Q770" s="1">
        <v>0</v>
      </c>
      <c r="R770" s="1" t="b">
        <f t="shared" si="26"/>
        <v>1</v>
      </c>
      <c r="S770" s="2" t="s">
        <v>367</v>
      </c>
      <c r="T770" s="1" t="str">
        <f>IF(S770="","",VLOOKUP(S770,'Ontology and concepts per UC'!$F$2:$J$46,5,FALSE))</f>
        <v>Parámetros de progresión</v>
      </c>
      <c r="U770" s="1" t="b">
        <f t="array" ref="U770">(INDEX('Ontology and concepts per UC'!$G$2:$I$46,MATCH($S770,'Ontology and concepts per UC'!$F$2:$F$46,0),MATCH(LEFT($A770,3),'Ontology and concepts per UC'!$G$1:$I$1,0))=0)</f>
        <v>0</v>
      </c>
      <c r="V770" s="1" t="b">
        <f t="shared" si="27"/>
        <v>0</v>
      </c>
      <c r="W770" s="1" t="b">
        <v>0</v>
      </c>
      <c r="X770" s="1" t="b">
        <v>0</v>
      </c>
      <c r="Y770" s="1" t="b">
        <v>0</v>
      </c>
      <c r="Z770" s="1" t="b">
        <v>0</v>
      </c>
      <c r="AA770" s="1"/>
    </row>
    <row r="771" spans="1:27" x14ac:dyDescent="0.25">
      <c r="A771" s="1" t="s">
        <v>2015</v>
      </c>
      <c r="B771" s="2" t="s">
        <v>2079</v>
      </c>
      <c r="C771" s="2" t="s">
        <v>942</v>
      </c>
      <c r="D771" s="6">
        <f t="shared" si="21"/>
        <v>2</v>
      </c>
      <c r="E771" s="7" t="str">
        <f t="shared" si="22"/>
        <v>DeterministicParameter</v>
      </c>
      <c r="F771" s="8" t="b">
        <f>IF(D771&lt;1,FALSE,ISERROR(MATCH(E771,'Ontology and concepts per UC'!$A$2:$A$62,0)))</f>
        <v>0</v>
      </c>
      <c r="G771" s="9" t="str">
        <f t="shared" si="23"/>
        <v>Parameter</v>
      </c>
      <c r="H771" s="9" t="str">
        <f t="shared" si="24"/>
        <v>Parameter</v>
      </c>
      <c r="I771" s="8" t="b">
        <f>IF(D771&lt;2,FALSE,ISERROR(MATCH(H771,'Ontology and concepts per UC'!$A$2:$A$62,0)))</f>
        <v>0</v>
      </c>
      <c r="J771" s="9" t="str">
        <f t="shared" si="25"/>
        <v/>
      </c>
      <c r="K771" s="8" t="b">
        <f>IF(D771&lt;3,FALSE,ISERROR(MATCH(J771,'Ontology and concepts per UC'!$A$2:$A$62,0)))</f>
        <v>0</v>
      </c>
      <c r="L771" s="2" t="s">
        <v>2080</v>
      </c>
      <c r="M771" s="2" t="s">
        <v>2081</v>
      </c>
      <c r="N771" s="2"/>
      <c r="O771" s="1" t="b">
        <v>0</v>
      </c>
      <c r="P771" s="1">
        <v>0</v>
      </c>
      <c r="Q771" s="1">
        <v>0</v>
      </c>
      <c r="R771" s="1" t="b">
        <f t="shared" si="26"/>
        <v>1</v>
      </c>
      <c r="S771" s="2" t="s">
        <v>367</v>
      </c>
      <c r="T771" s="1" t="str">
        <f>IF(S771="","",VLOOKUP(S771,'Ontology and concepts per UC'!$F$2:$J$46,5,FALSE))</f>
        <v>Parámetros de progresión</v>
      </c>
      <c r="U771" s="1" t="b">
        <f t="array" ref="U771">(INDEX('Ontology and concepts per UC'!$G$2:$I$46,MATCH($S771,'Ontology and concepts per UC'!$F$2:$F$46,0),MATCH(LEFT($A771,3),'Ontology and concepts per UC'!$G$1:$I$1,0))=0)</f>
        <v>0</v>
      </c>
      <c r="V771" s="1" t="b">
        <f t="shared" si="27"/>
        <v>0</v>
      </c>
      <c r="W771" s="1" t="b">
        <v>0</v>
      </c>
      <c r="X771" s="1" t="b">
        <v>0</v>
      </c>
      <c r="Y771" s="1" t="b">
        <v>0</v>
      </c>
      <c r="Z771" s="1" t="b">
        <v>0</v>
      </c>
      <c r="AA771" s="1"/>
    </row>
    <row r="772" spans="1:27" x14ac:dyDescent="0.25">
      <c r="A772" s="1" t="s">
        <v>2015</v>
      </c>
      <c r="B772" s="2" t="s">
        <v>2082</v>
      </c>
      <c r="C772" s="2" t="s">
        <v>942</v>
      </c>
      <c r="D772" s="6">
        <f t="shared" si="21"/>
        <v>2</v>
      </c>
      <c r="E772" s="7" t="str">
        <f t="shared" si="22"/>
        <v>DeterministicParameter</v>
      </c>
      <c r="F772" s="8" t="b">
        <f>IF(D772&lt;1,FALSE,ISERROR(MATCH(E772,'Ontology and concepts per UC'!$A$2:$A$62,0)))</f>
        <v>0</v>
      </c>
      <c r="G772" s="9" t="str">
        <f t="shared" si="23"/>
        <v>Parameter</v>
      </c>
      <c r="H772" s="9" t="str">
        <f t="shared" si="24"/>
        <v>Parameter</v>
      </c>
      <c r="I772" s="8" t="b">
        <f>IF(D772&lt;2,FALSE,ISERROR(MATCH(H772,'Ontology and concepts per UC'!$A$2:$A$62,0)))</f>
        <v>0</v>
      </c>
      <c r="J772" s="9" t="str">
        <f t="shared" si="25"/>
        <v/>
      </c>
      <c r="K772" s="8" t="b">
        <f>IF(D772&lt;3,FALSE,ISERROR(MATCH(J772,'Ontology and concepts per UC'!$A$2:$A$62,0)))</f>
        <v>0</v>
      </c>
      <c r="L772" s="2" t="s">
        <v>2080</v>
      </c>
      <c r="M772" s="2" t="s">
        <v>2083</v>
      </c>
      <c r="N772" s="2"/>
      <c r="O772" s="1" t="b">
        <v>0</v>
      </c>
      <c r="P772" s="1">
        <v>0</v>
      </c>
      <c r="Q772" s="1">
        <v>0</v>
      </c>
      <c r="R772" s="1" t="b">
        <f t="shared" si="26"/>
        <v>1</v>
      </c>
      <c r="S772" s="2" t="s">
        <v>56</v>
      </c>
      <c r="T772" s="1" t="str">
        <f>IF(S772="","",VLOOKUP(S772,'Ontology and concepts per UC'!$F$2:$J$46,5,FALSE))</f>
        <v>Parámetros de progresión</v>
      </c>
      <c r="U772" s="1" t="b">
        <f t="array" ref="U772">(INDEX('Ontology and concepts per UC'!$G$2:$I$46,MATCH($S772,'Ontology and concepts per UC'!$F$2:$F$46,0),MATCH(LEFT($A772,3),'Ontology and concepts per UC'!$G$1:$I$1,0))=0)</f>
        <v>0</v>
      </c>
      <c r="V772" s="1" t="b">
        <f t="shared" si="27"/>
        <v>0</v>
      </c>
      <c r="W772" s="1" t="b">
        <v>0</v>
      </c>
      <c r="X772" s="1" t="b">
        <v>0</v>
      </c>
      <c r="Y772" s="1" t="b">
        <v>0</v>
      </c>
      <c r="Z772" s="1" t="b">
        <v>0</v>
      </c>
      <c r="AA772" s="1"/>
    </row>
    <row r="773" spans="1:27" x14ac:dyDescent="0.25">
      <c r="A773" s="1" t="s">
        <v>2015</v>
      </c>
      <c r="B773" s="2" t="s">
        <v>2084</v>
      </c>
      <c r="C773" s="2" t="s">
        <v>942</v>
      </c>
      <c r="D773" s="6">
        <f t="shared" si="21"/>
        <v>2</v>
      </c>
      <c r="E773" s="7" t="str">
        <f t="shared" si="22"/>
        <v>DeterministicParameter</v>
      </c>
      <c r="F773" s="8" t="b">
        <f>IF(D773&lt;1,FALSE,ISERROR(MATCH(E773,'Ontology and concepts per UC'!$A$2:$A$62,0)))</f>
        <v>0</v>
      </c>
      <c r="G773" s="9" t="str">
        <f t="shared" si="23"/>
        <v>Parameter</v>
      </c>
      <c r="H773" s="9" t="str">
        <f t="shared" si="24"/>
        <v>Parameter</v>
      </c>
      <c r="I773" s="8" t="b">
        <f>IF(D773&lt;2,FALSE,ISERROR(MATCH(H773,'Ontology and concepts per UC'!$A$2:$A$62,0)))</f>
        <v>0</v>
      </c>
      <c r="J773" s="9" t="str">
        <f t="shared" si="25"/>
        <v/>
      </c>
      <c r="K773" s="8" t="b">
        <f>IF(D773&lt;3,FALSE,ISERROR(MATCH(J773,'Ontology and concepts per UC'!$A$2:$A$62,0)))</f>
        <v>0</v>
      </c>
      <c r="L773" s="2" t="s">
        <v>2080</v>
      </c>
      <c r="M773" s="2" t="s">
        <v>2085</v>
      </c>
      <c r="N773" s="2"/>
      <c r="O773" s="1" t="b">
        <v>0</v>
      </c>
      <c r="P773" s="1">
        <v>0</v>
      </c>
      <c r="Q773" s="1">
        <v>0</v>
      </c>
      <c r="R773" s="1" t="b">
        <f t="shared" si="26"/>
        <v>1</v>
      </c>
      <c r="S773" s="2" t="s">
        <v>367</v>
      </c>
      <c r="T773" s="1" t="str">
        <f>IF(S773="","",VLOOKUP(S773,'Ontology and concepts per UC'!$F$2:$J$46,5,FALSE))</f>
        <v>Parámetros de progresión</v>
      </c>
      <c r="U773" s="1" t="b">
        <f t="array" ref="U773">(INDEX('Ontology and concepts per UC'!$G$2:$I$46,MATCH($S773,'Ontology and concepts per UC'!$F$2:$F$46,0),MATCH(LEFT($A773,3),'Ontology and concepts per UC'!$G$1:$I$1,0))=0)</f>
        <v>0</v>
      </c>
      <c r="V773" s="1" t="b">
        <f t="shared" si="27"/>
        <v>0</v>
      </c>
      <c r="W773" s="1" t="b">
        <v>0</v>
      </c>
      <c r="X773" s="1" t="b">
        <v>0</v>
      </c>
      <c r="Y773" s="1" t="b">
        <v>0</v>
      </c>
      <c r="Z773" s="1" t="b">
        <v>0</v>
      </c>
      <c r="AA773" s="1"/>
    </row>
    <row r="774" spans="1:27" x14ac:dyDescent="0.25">
      <c r="A774" s="1" t="s">
        <v>2015</v>
      </c>
      <c r="B774" s="2" t="s">
        <v>2086</v>
      </c>
      <c r="C774" s="2" t="s">
        <v>942</v>
      </c>
      <c r="D774" s="6">
        <f t="shared" si="21"/>
        <v>2</v>
      </c>
      <c r="E774" s="7" t="str">
        <f t="shared" si="22"/>
        <v>DeterministicParameter</v>
      </c>
      <c r="F774" s="8" t="b">
        <f>IF(D774&lt;1,FALSE,ISERROR(MATCH(E774,'Ontology and concepts per UC'!$A$2:$A$62,0)))</f>
        <v>0</v>
      </c>
      <c r="G774" s="9" t="str">
        <f t="shared" si="23"/>
        <v>Parameter</v>
      </c>
      <c r="H774" s="9" t="str">
        <f t="shared" si="24"/>
        <v>Parameter</v>
      </c>
      <c r="I774" s="8" t="b">
        <f>IF(D774&lt;2,FALSE,ISERROR(MATCH(H774,'Ontology and concepts per UC'!$A$2:$A$62,0)))</f>
        <v>0</v>
      </c>
      <c r="J774" s="9" t="str">
        <f t="shared" si="25"/>
        <v/>
      </c>
      <c r="K774" s="8" t="b">
        <f>IF(D774&lt;3,FALSE,ISERROR(MATCH(J774,'Ontology and concepts per UC'!$A$2:$A$62,0)))</f>
        <v>0</v>
      </c>
      <c r="L774" s="2" t="s">
        <v>2080</v>
      </c>
      <c r="M774" s="2" t="s">
        <v>2087</v>
      </c>
      <c r="N774" s="2"/>
      <c r="O774" s="1" t="b">
        <v>0</v>
      </c>
      <c r="P774" s="1">
        <v>0</v>
      </c>
      <c r="Q774" s="1">
        <v>0</v>
      </c>
      <c r="R774" s="1" t="b">
        <f t="shared" si="26"/>
        <v>1</v>
      </c>
      <c r="S774" s="2" t="s">
        <v>54</v>
      </c>
      <c r="T774" s="1" t="str">
        <f>IF(S774="","",VLOOKUP(S774,'Ontology and concepts per UC'!$F$2:$J$46,5,FALSE))</f>
        <v>Parámetros de progresión</v>
      </c>
      <c r="U774" s="1" t="b">
        <f t="array" ref="U774">(INDEX('Ontology and concepts per UC'!$G$2:$I$46,MATCH($S774,'Ontology and concepts per UC'!$F$2:$F$46,0),MATCH(LEFT($A774,3),'Ontology and concepts per UC'!$G$1:$I$1,0))=0)</f>
        <v>0</v>
      </c>
      <c r="V774" s="1" t="b">
        <f t="shared" si="27"/>
        <v>0</v>
      </c>
      <c r="W774" s="1" t="b">
        <v>0</v>
      </c>
      <c r="X774" s="1" t="b">
        <v>0</v>
      </c>
      <c r="Y774" s="1" t="b">
        <v>0</v>
      </c>
      <c r="Z774" s="1" t="b">
        <v>0</v>
      </c>
      <c r="AA774" s="1"/>
    </row>
    <row r="775" spans="1:27" x14ac:dyDescent="0.25">
      <c r="A775" s="1" t="s">
        <v>2015</v>
      </c>
      <c r="B775" s="2" t="s">
        <v>2088</v>
      </c>
      <c r="C775" s="2" t="s">
        <v>942</v>
      </c>
      <c r="D775" s="6">
        <f t="shared" si="21"/>
        <v>2</v>
      </c>
      <c r="E775" s="7" t="str">
        <f t="shared" si="22"/>
        <v>DeterministicParameter</v>
      </c>
      <c r="F775" s="8" t="b">
        <f>IF(D775&lt;1,FALSE,ISERROR(MATCH(E775,'Ontology and concepts per UC'!$A$2:$A$62,0)))</f>
        <v>0</v>
      </c>
      <c r="G775" s="9" t="str">
        <f t="shared" si="23"/>
        <v>Parameter</v>
      </c>
      <c r="H775" s="9" t="str">
        <f t="shared" si="24"/>
        <v>Parameter</v>
      </c>
      <c r="I775" s="8" t="b">
        <f>IF(D775&lt;2,FALSE,ISERROR(MATCH(H775,'Ontology and concepts per UC'!$A$2:$A$62,0)))</f>
        <v>0</v>
      </c>
      <c r="J775" s="9" t="str">
        <f t="shared" si="25"/>
        <v/>
      </c>
      <c r="K775" s="8" t="b">
        <f>IF(D775&lt;3,FALSE,ISERROR(MATCH(J775,'Ontology and concepts per UC'!$A$2:$A$62,0)))</f>
        <v>0</v>
      </c>
      <c r="L775" s="2" t="s">
        <v>2080</v>
      </c>
      <c r="M775" s="2" t="s">
        <v>2089</v>
      </c>
      <c r="N775" s="2"/>
      <c r="O775" s="1" t="b">
        <v>0</v>
      </c>
      <c r="P775" s="1">
        <v>0</v>
      </c>
      <c r="Q775" s="1">
        <v>0</v>
      </c>
      <c r="R775" s="1" t="b">
        <f t="shared" si="26"/>
        <v>1</v>
      </c>
      <c r="S775" s="2" t="s">
        <v>367</v>
      </c>
      <c r="T775" s="1" t="str">
        <f>IF(S775="","",VLOOKUP(S775,'Ontology and concepts per UC'!$F$2:$J$46,5,FALSE))</f>
        <v>Parámetros de progresión</v>
      </c>
      <c r="U775" s="1" t="b">
        <f t="array" ref="U775">(INDEX('Ontology and concepts per UC'!$G$2:$I$46,MATCH($S775,'Ontology and concepts per UC'!$F$2:$F$46,0),MATCH(LEFT($A775,3),'Ontology and concepts per UC'!$G$1:$I$1,0))=0)</f>
        <v>0</v>
      </c>
      <c r="V775" s="1" t="b">
        <f t="shared" si="27"/>
        <v>0</v>
      </c>
      <c r="W775" s="1" t="b">
        <v>0</v>
      </c>
      <c r="X775" s="1" t="b">
        <v>0</v>
      </c>
      <c r="Y775" s="1" t="b">
        <v>0</v>
      </c>
      <c r="Z775" s="1" t="b">
        <v>0</v>
      </c>
      <c r="AA775" s="1"/>
    </row>
    <row r="776" spans="1:27" x14ac:dyDescent="0.25">
      <c r="A776" s="1" t="s">
        <v>2015</v>
      </c>
      <c r="B776" s="2" t="s">
        <v>2090</v>
      </c>
      <c r="C776" s="2" t="s">
        <v>942</v>
      </c>
      <c r="D776" s="6">
        <f t="shared" si="21"/>
        <v>2</v>
      </c>
      <c r="E776" s="7" t="str">
        <f t="shared" si="22"/>
        <v>DeterministicParameter</v>
      </c>
      <c r="F776" s="8" t="b">
        <f>IF(D776&lt;1,FALSE,ISERROR(MATCH(E776,'Ontology and concepts per UC'!$A$2:$A$62,0)))</f>
        <v>0</v>
      </c>
      <c r="G776" s="9" t="str">
        <f t="shared" si="23"/>
        <v>Parameter</v>
      </c>
      <c r="H776" s="9" t="str">
        <f t="shared" si="24"/>
        <v>Parameter</v>
      </c>
      <c r="I776" s="8" t="b">
        <f>IF(D776&lt;2,FALSE,ISERROR(MATCH(H776,'Ontology and concepts per UC'!$A$2:$A$62,0)))</f>
        <v>0</v>
      </c>
      <c r="J776" s="9" t="str">
        <f t="shared" si="25"/>
        <v/>
      </c>
      <c r="K776" s="8" t="b">
        <f>IF(D776&lt;3,FALSE,ISERROR(MATCH(J776,'Ontology and concepts per UC'!$A$2:$A$62,0)))</f>
        <v>0</v>
      </c>
      <c r="L776" s="2" t="s">
        <v>2091</v>
      </c>
      <c r="M776" s="2" t="s">
        <v>2092</v>
      </c>
      <c r="N776" s="2"/>
      <c r="O776" s="1" t="b">
        <v>0</v>
      </c>
      <c r="P776" s="1">
        <v>0</v>
      </c>
      <c r="Q776" s="1">
        <v>0</v>
      </c>
      <c r="R776" s="1" t="b">
        <f t="shared" si="26"/>
        <v>0</v>
      </c>
      <c r="S776" s="2" t="s">
        <v>11</v>
      </c>
      <c r="T776" s="1" t="str">
        <f>IF(S776="","",VLOOKUP(S776,'Ontology and concepts per UC'!$F$2:$J$46,5,FALSE))</f>
        <v>Coste</v>
      </c>
      <c r="U776" s="1" t="b">
        <f t="array" ref="U776">(INDEX('Ontology and concepts per UC'!$G$2:$I$46,MATCH($S776,'Ontology and concepts per UC'!$F$2:$F$46,0),MATCH(LEFT($A776,3),'Ontology and concepts per UC'!$G$1:$I$1,0))=0)</f>
        <v>0</v>
      </c>
      <c r="V776" s="1" t="b">
        <f t="shared" si="27"/>
        <v>0</v>
      </c>
      <c r="W776" s="1" t="b">
        <v>0</v>
      </c>
      <c r="X776" s="1" t="b">
        <v>0</v>
      </c>
      <c r="Y776" s="1" t="b">
        <v>0</v>
      </c>
      <c r="Z776" s="1" t="b">
        <v>0</v>
      </c>
      <c r="AA776" s="1"/>
    </row>
    <row r="777" spans="1:27" x14ac:dyDescent="0.25">
      <c r="A777" s="1" t="s">
        <v>2015</v>
      </c>
      <c r="B777" s="2" t="s">
        <v>2093</v>
      </c>
      <c r="C777" s="2" t="s">
        <v>942</v>
      </c>
      <c r="D777" s="6">
        <f t="shared" si="21"/>
        <v>2</v>
      </c>
      <c r="E777" s="7" t="str">
        <f t="shared" si="22"/>
        <v>DeterministicParameter</v>
      </c>
      <c r="F777" s="8" t="b">
        <f>IF(D777&lt;1,FALSE,ISERROR(MATCH(E777,'Ontology and concepts per UC'!$A$2:$A$62,0)))</f>
        <v>0</v>
      </c>
      <c r="G777" s="9" t="str">
        <f t="shared" si="23"/>
        <v>Parameter</v>
      </c>
      <c r="H777" s="9" t="str">
        <f t="shared" si="24"/>
        <v>Parameter</v>
      </c>
      <c r="I777" s="8" t="b">
        <f>IF(D777&lt;2,FALSE,ISERROR(MATCH(H777,'Ontology and concepts per UC'!$A$2:$A$62,0)))</f>
        <v>0</v>
      </c>
      <c r="J777" s="9" t="str">
        <f t="shared" si="25"/>
        <v/>
      </c>
      <c r="K777" s="8" t="b">
        <f>IF(D777&lt;3,FALSE,ISERROR(MATCH(J777,'Ontology and concepts per UC'!$A$2:$A$62,0)))</f>
        <v>0</v>
      </c>
      <c r="L777" s="2" t="s">
        <v>1586</v>
      </c>
      <c r="M777" s="2" t="s">
        <v>2094</v>
      </c>
      <c r="N777" s="2"/>
      <c r="O777" s="1" t="b">
        <v>0</v>
      </c>
      <c r="P777" s="1">
        <v>0</v>
      </c>
      <c r="Q777" s="1">
        <v>0</v>
      </c>
      <c r="R777" s="1" t="b">
        <f t="shared" si="26"/>
        <v>1</v>
      </c>
      <c r="S777" s="2" t="s">
        <v>367</v>
      </c>
      <c r="T777" s="1" t="str">
        <f>IF(S777="","",VLOOKUP(S777,'Ontology and concepts per UC'!$F$2:$J$46,5,FALSE))</f>
        <v>Parámetros de progresión</v>
      </c>
      <c r="U777" s="1" t="b">
        <f t="array" ref="U777">(INDEX('Ontology and concepts per UC'!$G$2:$I$46,MATCH($S777,'Ontology and concepts per UC'!$F$2:$F$46,0),MATCH(LEFT($A777,3),'Ontology and concepts per UC'!$G$1:$I$1,0))=0)</f>
        <v>0</v>
      </c>
      <c r="V777" s="1" t="b">
        <f t="shared" si="27"/>
        <v>0</v>
      </c>
      <c r="W777" s="1" t="b">
        <v>0</v>
      </c>
      <c r="X777" s="1" t="b">
        <v>0</v>
      </c>
      <c r="Y777" s="1" t="b">
        <v>0</v>
      </c>
      <c r="Z777" s="1" t="b">
        <v>0</v>
      </c>
      <c r="AA777" s="1"/>
    </row>
    <row r="778" spans="1:27" x14ac:dyDescent="0.25">
      <c r="A778" s="1" t="s">
        <v>2015</v>
      </c>
      <c r="B778" s="2" t="s">
        <v>2095</v>
      </c>
      <c r="C778" s="2" t="s">
        <v>942</v>
      </c>
      <c r="D778" s="6">
        <f t="shared" si="21"/>
        <v>2</v>
      </c>
      <c r="E778" s="7" t="str">
        <f t="shared" si="22"/>
        <v>DeterministicParameter</v>
      </c>
      <c r="F778" s="8" t="b">
        <f>IF(D778&lt;1,FALSE,ISERROR(MATCH(E778,'Ontology and concepts per UC'!$A$2:$A$62,0)))</f>
        <v>0</v>
      </c>
      <c r="G778" s="9" t="str">
        <f t="shared" si="23"/>
        <v>Parameter</v>
      </c>
      <c r="H778" s="9" t="str">
        <f t="shared" si="24"/>
        <v>Parameter</v>
      </c>
      <c r="I778" s="8" t="b">
        <f>IF(D778&lt;2,FALSE,ISERROR(MATCH(H778,'Ontology and concepts per UC'!$A$2:$A$62,0)))</f>
        <v>0</v>
      </c>
      <c r="J778" s="9" t="str">
        <f t="shared" si="25"/>
        <v/>
      </c>
      <c r="K778" s="8" t="b">
        <f>IF(D778&lt;3,FALSE,ISERROR(MATCH(J778,'Ontology and concepts per UC'!$A$2:$A$62,0)))</f>
        <v>0</v>
      </c>
      <c r="L778" s="2" t="s">
        <v>1586</v>
      </c>
      <c r="M778" s="2" t="s">
        <v>2096</v>
      </c>
      <c r="N778" s="2"/>
      <c r="O778" s="1" t="b">
        <v>0</v>
      </c>
      <c r="P778" s="1">
        <v>0</v>
      </c>
      <c r="Q778" s="1">
        <v>0</v>
      </c>
      <c r="R778" s="1" t="b">
        <f t="shared" si="26"/>
        <v>1</v>
      </c>
      <c r="S778" s="2" t="s">
        <v>367</v>
      </c>
      <c r="T778" s="1" t="str">
        <f>IF(S778="","",VLOOKUP(S778,'Ontology and concepts per UC'!$F$2:$J$46,5,FALSE))</f>
        <v>Parámetros de progresión</v>
      </c>
      <c r="U778" s="1" t="b">
        <f t="array" ref="U778">(INDEX('Ontology and concepts per UC'!$G$2:$I$46,MATCH($S778,'Ontology and concepts per UC'!$F$2:$F$46,0),MATCH(LEFT($A778,3),'Ontology and concepts per UC'!$G$1:$I$1,0))=0)</f>
        <v>0</v>
      </c>
      <c r="V778" s="1" t="b">
        <f t="shared" si="27"/>
        <v>0</v>
      </c>
      <c r="W778" s="1" t="b">
        <v>0</v>
      </c>
      <c r="X778" s="1" t="b">
        <v>0</v>
      </c>
      <c r="Y778" s="1" t="b">
        <v>0</v>
      </c>
      <c r="Z778" s="1" t="b">
        <v>0</v>
      </c>
      <c r="AA778" s="1"/>
    </row>
    <row r="779" spans="1:27" x14ac:dyDescent="0.25">
      <c r="A779" s="1" t="s">
        <v>2015</v>
      </c>
      <c r="B779" s="2" t="s">
        <v>2097</v>
      </c>
      <c r="C779" s="2" t="s">
        <v>942</v>
      </c>
      <c r="D779" s="6">
        <f t="shared" si="21"/>
        <v>2</v>
      </c>
      <c r="E779" s="7" t="str">
        <f t="shared" si="22"/>
        <v>DeterministicParameter</v>
      </c>
      <c r="F779" s="8" t="b">
        <f>IF(D779&lt;1,FALSE,ISERROR(MATCH(E779,'Ontology and concepts per UC'!$A$2:$A$62,0)))</f>
        <v>0</v>
      </c>
      <c r="G779" s="9" t="str">
        <f t="shared" si="23"/>
        <v>Parameter</v>
      </c>
      <c r="H779" s="9" t="str">
        <f t="shared" si="24"/>
        <v>Parameter</v>
      </c>
      <c r="I779" s="8" t="b">
        <f>IF(D779&lt;2,FALSE,ISERROR(MATCH(H779,'Ontology and concepts per UC'!$A$2:$A$62,0)))</f>
        <v>0</v>
      </c>
      <c r="J779" s="9" t="str">
        <f t="shared" si="25"/>
        <v/>
      </c>
      <c r="K779" s="8" t="b">
        <f>IF(D779&lt;3,FALSE,ISERROR(MATCH(J779,'Ontology and concepts per UC'!$A$2:$A$62,0)))</f>
        <v>0</v>
      </c>
      <c r="L779" s="2" t="s">
        <v>1586</v>
      </c>
      <c r="M779" s="2" t="s">
        <v>2098</v>
      </c>
      <c r="N779" s="2"/>
      <c r="O779" s="1" t="b">
        <v>0</v>
      </c>
      <c r="P779" s="1">
        <v>0</v>
      </c>
      <c r="Q779" s="1">
        <v>0</v>
      </c>
      <c r="R779" s="1" t="b">
        <f t="shared" si="26"/>
        <v>1</v>
      </c>
      <c r="S779" s="2" t="s">
        <v>58</v>
      </c>
      <c r="T779" s="1" t="str">
        <f>IF(S779="","",VLOOKUP(S779,'Ontology and concepts per UC'!$F$2:$J$46,5,FALSE))</f>
        <v>Parámetros de progresión</v>
      </c>
      <c r="U779" s="1" t="b">
        <f t="array" ref="U779">(INDEX('Ontology and concepts per UC'!$G$2:$I$46,MATCH($S779,'Ontology and concepts per UC'!$F$2:$F$46,0),MATCH(LEFT($A779,3),'Ontology and concepts per UC'!$G$1:$I$1,0))=0)</f>
        <v>0</v>
      </c>
      <c r="V779" s="1" t="b">
        <f t="shared" si="27"/>
        <v>1</v>
      </c>
      <c r="W779" s="1" t="b">
        <v>0</v>
      </c>
      <c r="X779" s="1" t="b">
        <v>0</v>
      </c>
      <c r="Y779" s="1" t="b">
        <v>0</v>
      </c>
      <c r="Z779" s="1" t="b">
        <v>1</v>
      </c>
      <c r="AA779" s="1" t="s">
        <v>197</v>
      </c>
    </row>
    <row r="780" spans="1:27" x14ac:dyDescent="0.25">
      <c r="A780" s="1" t="s">
        <v>2015</v>
      </c>
      <c r="B780" s="2" t="s">
        <v>2099</v>
      </c>
      <c r="C780" s="2" t="s">
        <v>942</v>
      </c>
      <c r="D780" s="6">
        <f t="shared" si="21"/>
        <v>2</v>
      </c>
      <c r="E780" s="7" t="str">
        <f t="shared" si="22"/>
        <v>DeterministicParameter</v>
      </c>
      <c r="F780" s="8" t="b">
        <f>IF(D780&lt;1,FALSE,ISERROR(MATCH(E780,'Ontology and concepts per UC'!$A$2:$A$62,0)))</f>
        <v>0</v>
      </c>
      <c r="G780" s="9" t="str">
        <f t="shared" si="23"/>
        <v>Parameter</v>
      </c>
      <c r="H780" s="9" t="str">
        <f t="shared" si="24"/>
        <v>Parameter</v>
      </c>
      <c r="I780" s="8" t="b">
        <f>IF(D780&lt;2,FALSE,ISERROR(MATCH(H780,'Ontology and concepts per UC'!$A$2:$A$62,0)))</f>
        <v>0</v>
      </c>
      <c r="J780" s="9" t="str">
        <f t="shared" si="25"/>
        <v/>
      </c>
      <c r="K780" s="8" t="b">
        <f>IF(D780&lt;3,FALSE,ISERROR(MATCH(J780,'Ontology and concepts per UC'!$A$2:$A$62,0)))</f>
        <v>0</v>
      </c>
      <c r="L780" s="2" t="s">
        <v>1586</v>
      </c>
      <c r="M780" s="2" t="s">
        <v>2100</v>
      </c>
      <c r="N780" s="2"/>
      <c r="O780" s="1" t="b">
        <v>0</v>
      </c>
      <c r="P780" s="1">
        <v>0</v>
      </c>
      <c r="Q780" s="1">
        <v>0</v>
      </c>
      <c r="R780" s="1" t="b">
        <f t="shared" si="26"/>
        <v>1</v>
      </c>
      <c r="S780" s="2" t="s">
        <v>56</v>
      </c>
      <c r="T780" s="1" t="str">
        <f>IF(S780="","",VLOOKUP(S780,'Ontology and concepts per UC'!$F$2:$J$46,5,FALSE))</f>
        <v>Parámetros de progresión</v>
      </c>
      <c r="U780" s="1" t="b">
        <f t="array" ref="U780">(INDEX('Ontology and concepts per UC'!$G$2:$I$46,MATCH($S780,'Ontology and concepts per UC'!$F$2:$F$46,0),MATCH(LEFT($A780,3),'Ontology and concepts per UC'!$G$1:$I$1,0))=0)</f>
        <v>0</v>
      </c>
      <c r="V780" s="1" t="b">
        <f t="shared" si="27"/>
        <v>0</v>
      </c>
      <c r="W780" s="1" t="b">
        <v>0</v>
      </c>
      <c r="X780" s="1" t="b">
        <v>0</v>
      </c>
      <c r="Y780" s="1" t="b">
        <v>0</v>
      </c>
      <c r="Z780" s="1" t="b">
        <v>0</v>
      </c>
      <c r="AA780" s="1"/>
    </row>
    <row r="781" spans="1:27" x14ac:dyDescent="0.25">
      <c r="A781" s="1" t="s">
        <v>2015</v>
      </c>
      <c r="B781" s="2" t="s">
        <v>2101</v>
      </c>
      <c r="C781" s="2" t="s">
        <v>942</v>
      </c>
      <c r="D781" s="6">
        <f t="shared" si="21"/>
        <v>2</v>
      </c>
      <c r="E781" s="7" t="str">
        <f t="shared" si="22"/>
        <v>DeterministicParameter</v>
      </c>
      <c r="F781" s="8" t="b">
        <f>IF(D781&lt;1,FALSE,ISERROR(MATCH(E781,'Ontology and concepts per UC'!$A$2:$A$62,0)))</f>
        <v>0</v>
      </c>
      <c r="G781" s="9" t="str">
        <f t="shared" si="23"/>
        <v>Parameter</v>
      </c>
      <c r="H781" s="9" t="str">
        <f t="shared" si="24"/>
        <v>Parameter</v>
      </c>
      <c r="I781" s="8" t="b">
        <f>IF(D781&lt;2,FALSE,ISERROR(MATCH(H781,'Ontology and concepts per UC'!$A$2:$A$62,0)))</f>
        <v>0</v>
      </c>
      <c r="J781" s="9" t="str">
        <f t="shared" si="25"/>
        <v/>
      </c>
      <c r="K781" s="8" t="b">
        <f>IF(D781&lt;3,FALSE,ISERROR(MATCH(J781,'Ontology and concepts per UC'!$A$2:$A$62,0)))</f>
        <v>0</v>
      </c>
      <c r="L781" s="2" t="s">
        <v>1586</v>
      </c>
      <c r="M781" s="2" t="s">
        <v>2102</v>
      </c>
      <c r="N781" s="2"/>
      <c r="O781" s="1" t="b">
        <v>0</v>
      </c>
      <c r="P781" s="1">
        <v>0</v>
      </c>
      <c r="Q781" s="1">
        <v>0</v>
      </c>
      <c r="R781" s="1" t="b">
        <f t="shared" si="26"/>
        <v>1</v>
      </c>
      <c r="S781" s="2" t="s">
        <v>50</v>
      </c>
      <c r="T781" s="1" t="str">
        <f>IF(S781="","",VLOOKUP(S781,'Ontology and concepts per UC'!$F$2:$J$46,5,FALSE))</f>
        <v>Parámetros de progresión</v>
      </c>
      <c r="U781" s="1" t="b">
        <f t="array" ref="U781">(INDEX('Ontology and concepts per UC'!$G$2:$I$46,MATCH($S781,'Ontology and concepts per UC'!$F$2:$F$46,0),MATCH(LEFT($A781,3),'Ontology and concepts per UC'!$G$1:$I$1,0))=0)</f>
        <v>0</v>
      </c>
      <c r="V781" s="1" t="b">
        <f t="shared" si="27"/>
        <v>0</v>
      </c>
      <c r="W781" s="1" t="b">
        <v>0</v>
      </c>
      <c r="X781" s="1" t="b">
        <v>0</v>
      </c>
      <c r="Y781" s="1" t="b">
        <v>0</v>
      </c>
      <c r="Z781" s="1" t="b">
        <v>0</v>
      </c>
      <c r="AA781" s="1"/>
    </row>
    <row r="782" spans="1:27" x14ac:dyDescent="0.25">
      <c r="A782" s="1" t="s">
        <v>2015</v>
      </c>
      <c r="B782" s="2" t="s">
        <v>2103</v>
      </c>
      <c r="C782" s="2" t="s">
        <v>942</v>
      </c>
      <c r="D782" s="6">
        <f t="shared" si="21"/>
        <v>2</v>
      </c>
      <c r="E782" s="7" t="str">
        <f t="shared" si="22"/>
        <v>DeterministicParameter</v>
      </c>
      <c r="F782" s="8" t="b">
        <f>IF(D782&lt;1,FALSE,ISERROR(MATCH(E782,'Ontology and concepts per UC'!$A$2:$A$62,0)))</f>
        <v>0</v>
      </c>
      <c r="G782" s="9" t="str">
        <f t="shared" si="23"/>
        <v>Parameter</v>
      </c>
      <c r="H782" s="9" t="str">
        <f t="shared" si="24"/>
        <v>Parameter</v>
      </c>
      <c r="I782" s="8" t="b">
        <f>IF(D782&lt;2,FALSE,ISERROR(MATCH(H782,'Ontology and concepts per UC'!$A$2:$A$62,0)))</f>
        <v>0</v>
      </c>
      <c r="J782" s="9" t="str">
        <f t="shared" si="25"/>
        <v/>
      </c>
      <c r="K782" s="8" t="b">
        <f>IF(D782&lt;3,FALSE,ISERROR(MATCH(J782,'Ontology and concepts per UC'!$A$2:$A$62,0)))</f>
        <v>0</v>
      </c>
      <c r="L782" s="2" t="s">
        <v>1586</v>
      </c>
      <c r="M782" s="2" t="s">
        <v>2104</v>
      </c>
      <c r="N782" s="2"/>
      <c r="O782" s="1" t="b">
        <v>0</v>
      </c>
      <c r="P782" s="1">
        <v>0</v>
      </c>
      <c r="Q782" s="1">
        <v>0</v>
      </c>
      <c r="R782" s="1" t="b">
        <f t="shared" si="26"/>
        <v>1</v>
      </c>
      <c r="S782" s="2" t="s">
        <v>55</v>
      </c>
      <c r="T782" s="1" t="str">
        <f>IF(S782="","",VLOOKUP(S782,'Ontology and concepts per UC'!$F$2:$J$46,5,FALSE))</f>
        <v>Parámetros de progresión</v>
      </c>
      <c r="U782" s="1" t="b">
        <f t="array" ref="U782">(INDEX('Ontology and concepts per UC'!$G$2:$I$46,MATCH($S782,'Ontology and concepts per UC'!$F$2:$F$46,0),MATCH(LEFT($A782,3),'Ontology and concepts per UC'!$G$1:$I$1,0))=0)</f>
        <v>0</v>
      </c>
      <c r="V782" s="1" t="b">
        <f t="shared" si="27"/>
        <v>0</v>
      </c>
      <c r="W782" s="1" t="b">
        <v>0</v>
      </c>
      <c r="X782" s="1" t="b">
        <v>0</v>
      </c>
      <c r="Y782" s="1" t="b">
        <v>0</v>
      </c>
      <c r="Z782" s="1" t="b">
        <v>0</v>
      </c>
      <c r="AA782" s="1"/>
    </row>
    <row r="783" spans="1:27" x14ac:dyDescent="0.25">
      <c r="A783" s="1" t="s">
        <v>2015</v>
      </c>
      <c r="B783" s="2" t="s">
        <v>2105</v>
      </c>
      <c r="C783" s="2" t="s">
        <v>942</v>
      </c>
      <c r="D783" s="6">
        <f t="shared" si="21"/>
        <v>2</v>
      </c>
      <c r="E783" s="7" t="str">
        <f t="shared" si="22"/>
        <v>DeterministicParameter</v>
      </c>
      <c r="F783" s="8" t="b">
        <f>IF(D783&lt;1,FALSE,ISERROR(MATCH(E783,'Ontology and concepts per UC'!$A$2:$A$62,0)))</f>
        <v>0</v>
      </c>
      <c r="G783" s="9" t="str">
        <f t="shared" si="23"/>
        <v>Parameter</v>
      </c>
      <c r="H783" s="9" t="str">
        <f t="shared" si="24"/>
        <v>Parameter</v>
      </c>
      <c r="I783" s="8" t="b">
        <f>IF(D783&lt;2,FALSE,ISERROR(MATCH(H783,'Ontology and concepts per UC'!$A$2:$A$62,0)))</f>
        <v>0</v>
      </c>
      <c r="J783" s="9" t="str">
        <f t="shared" si="25"/>
        <v/>
      </c>
      <c r="K783" s="8" t="b">
        <f>IF(D783&lt;3,FALSE,ISERROR(MATCH(J783,'Ontology and concepts per UC'!$A$2:$A$62,0)))</f>
        <v>0</v>
      </c>
      <c r="L783" s="2" t="s">
        <v>1586</v>
      </c>
      <c r="M783" s="2" t="s">
        <v>2106</v>
      </c>
      <c r="N783" s="2"/>
      <c r="O783" s="1" t="b">
        <v>0</v>
      </c>
      <c r="P783" s="1">
        <v>0</v>
      </c>
      <c r="Q783" s="1">
        <v>0</v>
      </c>
      <c r="R783" s="1" t="b">
        <f t="shared" si="26"/>
        <v>1</v>
      </c>
      <c r="S783" s="2" t="s">
        <v>367</v>
      </c>
      <c r="T783" s="1" t="str">
        <f>IF(S783="","",VLOOKUP(S783,'Ontology and concepts per UC'!$F$2:$J$46,5,FALSE))</f>
        <v>Parámetros de progresión</v>
      </c>
      <c r="U783" s="1" t="b">
        <f t="array" ref="U783">(INDEX('Ontology and concepts per UC'!$G$2:$I$46,MATCH($S783,'Ontology and concepts per UC'!$F$2:$F$46,0),MATCH(LEFT($A783,3),'Ontology and concepts per UC'!$G$1:$I$1,0))=0)</f>
        <v>0</v>
      </c>
      <c r="V783" s="1" t="b">
        <f t="shared" si="27"/>
        <v>0</v>
      </c>
      <c r="W783" s="1" t="b">
        <v>0</v>
      </c>
      <c r="X783" s="1" t="b">
        <v>0</v>
      </c>
      <c r="Y783" s="1" t="b">
        <v>0</v>
      </c>
      <c r="Z783" s="1" t="b">
        <v>0</v>
      </c>
      <c r="AA783" s="1"/>
    </row>
    <row r="784" spans="1:27" x14ac:dyDescent="0.25">
      <c r="A784" s="1" t="s">
        <v>2015</v>
      </c>
      <c r="B784" s="2" t="s">
        <v>2107</v>
      </c>
      <c r="C784" s="2" t="s">
        <v>942</v>
      </c>
      <c r="D784" s="6">
        <f t="shared" si="21"/>
        <v>2</v>
      </c>
      <c r="E784" s="7" t="str">
        <f t="shared" si="22"/>
        <v>DeterministicParameter</v>
      </c>
      <c r="F784" s="8" t="b">
        <f>IF(D784&lt;1,FALSE,ISERROR(MATCH(E784,'Ontology and concepts per UC'!$A$2:$A$62,0)))</f>
        <v>0</v>
      </c>
      <c r="G784" s="9" t="str">
        <f t="shared" si="23"/>
        <v>Parameter</v>
      </c>
      <c r="H784" s="9" t="str">
        <f t="shared" si="24"/>
        <v>Parameter</v>
      </c>
      <c r="I784" s="8" t="b">
        <f>IF(D784&lt;2,FALSE,ISERROR(MATCH(H784,'Ontology and concepts per UC'!$A$2:$A$62,0)))</f>
        <v>0</v>
      </c>
      <c r="J784" s="9" t="str">
        <f t="shared" si="25"/>
        <v/>
      </c>
      <c r="K784" s="8" t="b">
        <f>IF(D784&lt;3,FALSE,ISERROR(MATCH(J784,'Ontology and concepts per UC'!$A$2:$A$62,0)))</f>
        <v>0</v>
      </c>
      <c r="L784" s="2" t="s">
        <v>1586</v>
      </c>
      <c r="M784" s="2" t="s">
        <v>2108</v>
      </c>
      <c r="N784" s="2"/>
      <c r="O784" s="1" t="b">
        <v>0</v>
      </c>
      <c r="P784" s="1">
        <v>0</v>
      </c>
      <c r="Q784" s="1">
        <v>0</v>
      </c>
      <c r="R784" s="1" t="b">
        <f t="shared" si="26"/>
        <v>1</v>
      </c>
      <c r="S784" s="2" t="s">
        <v>187</v>
      </c>
      <c r="T784" s="1" t="str">
        <f>IF(S784="","",VLOOKUP(S784,'Ontology and concepts per UC'!$F$2:$J$46,5,FALSE))</f>
        <v>Otros</v>
      </c>
      <c r="U784" s="1" t="b">
        <f t="array" ref="U784">(INDEX('Ontology and concepts per UC'!$G$2:$I$46,MATCH($S784,'Ontology and concepts per UC'!$F$2:$F$46,0),MATCH(LEFT($A784,3),'Ontology and concepts per UC'!$G$1:$I$1,0))=0)</f>
        <v>1</v>
      </c>
      <c r="V784" s="1" t="b">
        <f t="shared" si="27"/>
        <v>0</v>
      </c>
      <c r="W784" s="1" t="b">
        <v>0</v>
      </c>
      <c r="X784" s="1" t="b">
        <v>0</v>
      </c>
      <c r="Y784" s="1" t="b">
        <v>0</v>
      </c>
      <c r="Z784" s="1" t="b">
        <v>0</v>
      </c>
      <c r="AA784" s="1"/>
    </row>
    <row r="785" spans="1:27" x14ac:dyDescent="0.25">
      <c r="A785" s="1" t="s">
        <v>2015</v>
      </c>
      <c r="B785" s="2" t="s">
        <v>2109</v>
      </c>
      <c r="C785" s="2" t="s">
        <v>942</v>
      </c>
      <c r="D785" s="6">
        <f t="shared" si="21"/>
        <v>2</v>
      </c>
      <c r="E785" s="7" t="str">
        <f t="shared" si="22"/>
        <v>DeterministicParameter</v>
      </c>
      <c r="F785" s="8" t="b">
        <f>IF(D785&lt;1,FALSE,ISERROR(MATCH(E785,'Ontology and concepts per UC'!$A$2:$A$62,0)))</f>
        <v>0</v>
      </c>
      <c r="G785" s="9" t="str">
        <f t="shared" si="23"/>
        <v>Parameter</v>
      </c>
      <c r="H785" s="9" t="str">
        <f t="shared" si="24"/>
        <v>Parameter</v>
      </c>
      <c r="I785" s="8" t="b">
        <f>IF(D785&lt;2,FALSE,ISERROR(MATCH(H785,'Ontology and concepts per UC'!$A$2:$A$62,0)))</f>
        <v>0</v>
      </c>
      <c r="J785" s="9" t="str">
        <f t="shared" si="25"/>
        <v/>
      </c>
      <c r="K785" s="8" t="b">
        <f>IF(D785&lt;3,FALSE,ISERROR(MATCH(J785,'Ontology and concepts per UC'!$A$2:$A$62,0)))</f>
        <v>0</v>
      </c>
      <c r="L785" s="2" t="s">
        <v>1586</v>
      </c>
      <c r="M785" s="2" t="s">
        <v>2110</v>
      </c>
      <c r="N785" s="2"/>
      <c r="O785" s="1" t="b">
        <v>0</v>
      </c>
      <c r="P785" s="1">
        <v>0</v>
      </c>
      <c r="Q785" s="1">
        <v>0</v>
      </c>
      <c r="R785" s="1" t="b">
        <f t="shared" si="26"/>
        <v>1</v>
      </c>
      <c r="S785" s="2" t="s">
        <v>107</v>
      </c>
      <c r="T785" s="1" t="str">
        <f>IF(S785="","",VLOOKUP(S785,'Ontology and concepts per UC'!$F$2:$J$46,5,FALSE))</f>
        <v>Parcial</v>
      </c>
      <c r="U785" s="1" t="b">
        <f t="array" ref="U785">(INDEX('Ontology and concepts per UC'!$G$2:$I$46,MATCH($S785,'Ontology and concepts per UC'!$F$2:$F$46,0),MATCH(LEFT($A785,3),'Ontology and concepts per UC'!$G$1:$I$1,0))=0)</f>
        <v>0</v>
      </c>
      <c r="V785" s="1" t="b">
        <f t="shared" si="27"/>
        <v>0</v>
      </c>
      <c r="W785" s="1" t="b">
        <v>0</v>
      </c>
      <c r="X785" s="1" t="b">
        <v>0</v>
      </c>
      <c r="Y785" s="1" t="b">
        <v>0</v>
      </c>
      <c r="Z785" s="1" t="b">
        <v>0</v>
      </c>
    </row>
    <row r="786" spans="1:27" x14ac:dyDescent="0.25">
      <c r="A786" s="1" t="s">
        <v>2015</v>
      </c>
      <c r="B786" s="2" t="s">
        <v>2111</v>
      </c>
      <c r="C786" s="2" t="s">
        <v>942</v>
      </c>
      <c r="D786" s="6">
        <f t="shared" si="21"/>
        <v>2</v>
      </c>
      <c r="E786" s="7" t="str">
        <f t="shared" si="22"/>
        <v>DeterministicParameter</v>
      </c>
      <c r="F786" s="8" t="b">
        <f>IF(D786&lt;1,FALSE,ISERROR(MATCH(E786,'Ontology and concepts per UC'!$A$2:$A$62,0)))</f>
        <v>0</v>
      </c>
      <c r="G786" s="9" t="str">
        <f t="shared" si="23"/>
        <v>Parameter</v>
      </c>
      <c r="H786" s="9" t="str">
        <f t="shared" si="24"/>
        <v>Parameter</v>
      </c>
      <c r="I786" s="8" t="b">
        <f>IF(D786&lt;2,FALSE,ISERROR(MATCH(H786,'Ontology and concepts per UC'!$A$2:$A$62,0)))</f>
        <v>0</v>
      </c>
      <c r="J786" s="9" t="str">
        <f t="shared" si="25"/>
        <v/>
      </c>
      <c r="K786" s="8" t="b">
        <f>IF(D786&lt;3,FALSE,ISERROR(MATCH(J786,'Ontology and concepts per UC'!$A$2:$A$62,0)))</f>
        <v>0</v>
      </c>
      <c r="L786" s="2" t="s">
        <v>1586</v>
      </c>
      <c r="M786" s="2" t="s">
        <v>2112</v>
      </c>
      <c r="N786" s="2"/>
      <c r="O786" s="1" t="b">
        <v>0</v>
      </c>
      <c r="P786" s="1">
        <v>0</v>
      </c>
      <c r="Q786" s="1">
        <v>0</v>
      </c>
      <c r="R786" s="1" t="b">
        <f t="shared" si="26"/>
        <v>1</v>
      </c>
      <c r="S786" s="2" t="s">
        <v>107</v>
      </c>
      <c r="T786" s="1" t="str">
        <f>IF(S786="","",VLOOKUP(S786,'Ontology and concepts per UC'!$F$2:$J$46,5,FALSE))</f>
        <v>Parcial</v>
      </c>
      <c r="U786" s="1" t="b">
        <f t="array" ref="U786">(INDEX('Ontology and concepts per UC'!$G$2:$I$46,MATCH($S786,'Ontology and concepts per UC'!$F$2:$F$46,0),MATCH(LEFT($A786,3),'Ontology and concepts per UC'!$G$1:$I$1,0))=0)</f>
        <v>0</v>
      </c>
      <c r="V786" s="1" t="b">
        <f t="shared" si="27"/>
        <v>0</v>
      </c>
      <c r="W786" s="1" t="b">
        <v>0</v>
      </c>
      <c r="X786" s="1" t="b">
        <v>0</v>
      </c>
      <c r="Y786" s="1" t="b">
        <v>0</v>
      </c>
      <c r="Z786" s="1" t="b">
        <v>0</v>
      </c>
    </row>
    <row r="787" spans="1:27" x14ac:dyDescent="0.25">
      <c r="A787" s="1" t="s">
        <v>2015</v>
      </c>
      <c r="B787" s="2" t="s">
        <v>2113</v>
      </c>
      <c r="C787" s="2" t="s">
        <v>942</v>
      </c>
      <c r="D787" s="6">
        <f t="shared" si="21"/>
        <v>2</v>
      </c>
      <c r="E787" s="7" t="str">
        <f t="shared" si="22"/>
        <v>DeterministicParameter</v>
      </c>
      <c r="F787" s="8" t="b">
        <f>IF(D787&lt;1,FALSE,ISERROR(MATCH(E787,'Ontology and concepts per UC'!$A$2:$A$62,0)))</f>
        <v>0</v>
      </c>
      <c r="G787" s="9" t="str">
        <f t="shared" si="23"/>
        <v>Parameter</v>
      </c>
      <c r="H787" s="9" t="str">
        <f t="shared" si="24"/>
        <v>Parameter</v>
      </c>
      <c r="I787" s="8" t="b">
        <f>IF(D787&lt;2,FALSE,ISERROR(MATCH(H787,'Ontology and concepts per UC'!$A$2:$A$62,0)))</f>
        <v>0</v>
      </c>
      <c r="J787" s="9" t="str">
        <f t="shared" si="25"/>
        <v/>
      </c>
      <c r="K787" s="8" t="b">
        <f>IF(D787&lt;3,FALSE,ISERROR(MATCH(J787,'Ontology and concepts per UC'!$A$2:$A$62,0)))</f>
        <v>0</v>
      </c>
      <c r="L787" s="2" t="s">
        <v>1586</v>
      </c>
      <c r="M787" s="2" t="s">
        <v>2114</v>
      </c>
      <c r="N787" s="2"/>
      <c r="O787" s="1" t="b">
        <v>0</v>
      </c>
      <c r="P787" s="1">
        <v>0</v>
      </c>
      <c r="Q787" s="1">
        <v>0</v>
      </c>
      <c r="R787" s="1" t="b">
        <f t="shared" si="26"/>
        <v>1</v>
      </c>
      <c r="S787" s="2" t="s">
        <v>107</v>
      </c>
      <c r="T787" s="1" t="str">
        <f>IF(S787="","",VLOOKUP(S787,'Ontology and concepts per UC'!$F$2:$J$46,5,FALSE))</f>
        <v>Parcial</v>
      </c>
      <c r="U787" s="1" t="b">
        <f t="array" ref="U787">(INDEX('Ontology and concepts per UC'!$G$2:$I$46,MATCH($S787,'Ontology and concepts per UC'!$F$2:$F$46,0),MATCH(LEFT($A787,3),'Ontology and concepts per UC'!$G$1:$I$1,0))=0)</f>
        <v>0</v>
      </c>
      <c r="V787" s="1" t="b">
        <f t="shared" si="27"/>
        <v>0</v>
      </c>
      <c r="W787" s="1" t="b">
        <v>0</v>
      </c>
      <c r="X787" s="1" t="b">
        <v>0</v>
      </c>
      <c r="Y787" s="1" t="b">
        <v>0</v>
      </c>
      <c r="Z787" s="1" t="b">
        <v>0</v>
      </c>
    </row>
    <row r="788" spans="1:27" x14ac:dyDescent="0.25">
      <c r="A788" s="1" t="s">
        <v>2015</v>
      </c>
      <c r="B788" s="2" t="s">
        <v>2115</v>
      </c>
      <c r="C788" s="2" t="s">
        <v>23</v>
      </c>
      <c r="D788" s="6">
        <f t="shared" si="21"/>
        <v>1</v>
      </c>
      <c r="E788" s="7" t="str">
        <f t="shared" si="22"/>
        <v>DiagnosisIntervention</v>
      </c>
      <c r="F788" s="8" t="b">
        <f>IF(D788&lt;1,FALSE,ISERROR(MATCH(E788,'Ontology and concepts per UC'!$A$2:$A$62,0)))</f>
        <v>0</v>
      </c>
      <c r="G788" s="9" t="str">
        <f t="shared" si="23"/>
        <v/>
      </c>
      <c r="H788" s="9" t="str">
        <f t="shared" si="24"/>
        <v/>
      </c>
      <c r="I788" s="8" t="b">
        <f>IF(D788&lt;2,FALSE,ISERROR(MATCH(H788,'Ontology and concepts per UC'!$A$2:$A$62,0)))</f>
        <v>0</v>
      </c>
      <c r="J788" s="9" t="str">
        <f t="shared" si="25"/>
        <v/>
      </c>
      <c r="K788" s="8" t="b">
        <f>IF(D788&lt;3,FALSE,ISERROR(MATCH(J788,'Ontology and concepts per UC'!$A$2:$A$62,0)))</f>
        <v>0</v>
      </c>
      <c r="L788" s="2"/>
      <c r="M788" s="2" t="s">
        <v>2116</v>
      </c>
      <c r="N788" s="2"/>
      <c r="O788" s="1" t="b">
        <v>0</v>
      </c>
      <c r="P788" s="1">
        <v>0</v>
      </c>
      <c r="Q788" s="1">
        <v>0</v>
      </c>
      <c r="R788" s="1" t="b">
        <f t="shared" si="26"/>
        <v>0</v>
      </c>
      <c r="S788" s="2" t="s">
        <v>22</v>
      </c>
      <c r="T788" s="1" t="str">
        <f>IF(S788="","",VLOOKUP(S788,'Ontology and concepts per UC'!$F$2:$J$46,5,FALSE))</f>
        <v>Modelo Conceptual</v>
      </c>
      <c r="U788" s="1" t="b">
        <f t="array" ref="U788">(INDEX('Ontology and concepts per UC'!$G$2:$I$46,MATCH($S788,'Ontology and concepts per UC'!$F$2:$F$46,0),MATCH(LEFT($A788,3),'Ontology and concepts per UC'!$G$1:$I$1,0))=0)</f>
        <v>0</v>
      </c>
      <c r="V788" s="1" t="b">
        <f t="shared" si="27"/>
        <v>0</v>
      </c>
      <c r="W788" s="1" t="b">
        <v>0</v>
      </c>
      <c r="X788" s="1" t="b">
        <v>0</v>
      </c>
      <c r="Y788" s="1" t="b">
        <v>0</v>
      </c>
      <c r="Z788" s="1" t="b">
        <v>0</v>
      </c>
      <c r="AA788" s="1"/>
    </row>
    <row r="789" spans="1:27" x14ac:dyDescent="0.25">
      <c r="A789" s="1" t="s">
        <v>2015</v>
      </c>
      <c r="B789" s="2" t="s">
        <v>2117</v>
      </c>
      <c r="C789" s="2" t="s">
        <v>23</v>
      </c>
      <c r="D789" s="6">
        <f t="shared" si="21"/>
        <v>1</v>
      </c>
      <c r="E789" s="7" t="str">
        <f t="shared" si="22"/>
        <v>DiagnosisIntervention</v>
      </c>
      <c r="F789" s="8" t="b">
        <f>IF(D789&lt;1,FALSE,ISERROR(MATCH(E789,'Ontology and concepts per UC'!$A$2:$A$62,0)))</f>
        <v>0</v>
      </c>
      <c r="G789" s="9" t="str">
        <f t="shared" si="23"/>
        <v/>
      </c>
      <c r="H789" s="9" t="str">
        <f t="shared" si="24"/>
        <v/>
      </c>
      <c r="I789" s="8" t="b">
        <f>IF(D789&lt;2,FALSE,ISERROR(MATCH(H789,'Ontology and concepts per UC'!$A$2:$A$62,0)))</f>
        <v>0</v>
      </c>
      <c r="J789" s="9" t="str">
        <f t="shared" si="25"/>
        <v/>
      </c>
      <c r="K789" s="8" t="b">
        <f>IF(D789&lt;3,FALSE,ISERROR(MATCH(J789,'Ontology and concepts per UC'!$A$2:$A$62,0)))</f>
        <v>0</v>
      </c>
      <c r="L789" s="2"/>
      <c r="M789" s="2" t="s">
        <v>2118</v>
      </c>
      <c r="N789" s="2"/>
      <c r="O789" s="1" t="b">
        <v>0</v>
      </c>
      <c r="P789" s="1">
        <v>0</v>
      </c>
      <c r="Q789" s="1">
        <v>0</v>
      </c>
      <c r="R789" s="1" t="b">
        <f t="shared" si="26"/>
        <v>0</v>
      </c>
      <c r="S789" s="2" t="s">
        <v>42</v>
      </c>
      <c r="T789" s="1" t="str">
        <f>IF(S789="","",VLOOKUP(S789,'Ontology and concepts per UC'!$F$2:$J$46,5,FALSE))</f>
        <v>Parámetros de intervención</v>
      </c>
      <c r="U789" s="1" t="b">
        <f t="array" ref="U789">(INDEX('Ontology and concepts per UC'!$G$2:$I$46,MATCH($S789,'Ontology and concepts per UC'!$F$2:$F$46,0),MATCH(LEFT($A789,3),'Ontology and concepts per UC'!$G$1:$I$1,0))=0)</f>
        <v>0</v>
      </c>
      <c r="V789" s="1" t="b">
        <f t="shared" si="27"/>
        <v>0</v>
      </c>
      <c r="W789" s="1" t="b">
        <v>0</v>
      </c>
      <c r="X789" s="1" t="b">
        <v>0</v>
      </c>
      <c r="Y789" s="1" t="b">
        <v>0</v>
      </c>
      <c r="Z789" s="1" t="b">
        <v>0</v>
      </c>
      <c r="AA789" s="1"/>
    </row>
    <row r="790" spans="1:27" x14ac:dyDescent="0.25">
      <c r="A790" s="1" t="s">
        <v>2015</v>
      </c>
      <c r="B790" s="2" t="s">
        <v>2119</v>
      </c>
      <c r="C790" s="2" t="s">
        <v>1437</v>
      </c>
      <c r="D790" s="6">
        <f t="shared" si="21"/>
        <v>2</v>
      </c>
      <c r="E790" s="7" t="str">
        <f t="shared" si="22"/>
        <v>EpidemiologicalParameter</v>
      </c>
      <c r="F790" s="8" t="b">
        <f>IF(D790&lt;1,FALSE,ISERROR(MATCH(E790,'Ontology and concepts per UC'!$A$2:$A$62,0)))</f>
        <v>0</v>
      </c>
      <c r="G790" s="9" t="str">
        <f t="shared" si="23"/>
        <v>DeterministicParameter</v>
      </c>
      <c r="H790" s="9" t="str">
        <f t="shared" si="24"/>
        <v>DeterministicParameter</v>
      </c>
      <c r="I790" s="8" t="b">
        <f>IF(D790&lt;2,FALSE,ISERROR(MATCH(H790,'Ontology and concepts per UC'!$A$2:$A$62,0)))</f>
        <v>0</v>
      </c>
      <c r="J790" s="9" t="str">
        <f t="shared" si="25"/>
        <v/>
      </c>
      <c r="K790" s="8" t="b">
        <f>IF(D790&lt;3,FALSE,ISERROR(MATCH(J790,'Ontology and concepts per UC'!$A$2:$A$62,0)))</f>
        <v>0</v>
      </c>
      <c r="L790" s="2" t="s">
        <v>1648</v>
      </c>
      <c r="M790" s="2" t="s">
        <v>2120</v>
      </c>
      <c r="N790" s="2"/>
      <c r="O790" s="1" t="b">
        <v>0</v>
      </c>
      <c r="P790" s="1">
        <v>0</v>
      </c>
      <c r="Q790" s="1">
        <v>0</v>
      </c>
      <c r="R790" s="1" t="b">
        <f t="shared" si="26"/>
        <v>1</v>
      </c>
      <c r="S790" s="2" t="s">
        <v>56</v>
      </c>
      <c r="T790" s="1" t="str">
        <f>IF(S790="","",VLOOKUP(S790,'Ontology and concepts per UC'!$F$2:$J$46,5,FALSE))</f>
        <v>Parámetros de progresión</v>
      </c>
      <c r="U790" s="1" t="b">
        <f t="array" ref="U790">(INDEX('Ontology and concepts per UC'!$G$2:$I$46,MATCH($S790,'Ontology and concepts per UC'!$F$2:$F$46,0),MATCH(LEFT($A790,3),'Ontology and concepts per UC'!$G$1:$I$1,0))=0)</f>
        <v>0</v>
      </c>
      <c r="V790" s="1" t="b">
        <f t="shared" si="27"/>
        <v>1</v>
      </c>
      <c r="W790" s="1" t="b">
        <v>0</v>
      </c>
      <c r="X790" s="1" t="b">
        <v>0</v>
      </c>
      <c r="Y790" s="1" t="b">
        <v>0</v>
      </c>
      <c r="Z790" s="1" t="b">
        <v>1</v>
      </c>
      <c r="AA790" s="1" t="s">
        <v>1111</v>
      </c>
    </row>
    <row r="791" spans="1:27" x14ac:dyDescent="0.25">
      <c r="A791" s="1" t="s">
        <v>2015</v>
      </c>
      <c r="B791" s="2" t="s">
        <v>2121</v>
      </c>
      <c r="C791" s="2" t="s">
        <v>1437</v>
      </c>
      <c r="D791" s="6">
        <f t="shared" si="21"/>
        <v>2</v>
      </c>
      <c r="E791" s="7" t="str">
        <f t="shared" si="22"/>
        <v>EpidemiologicalParameter</v>
      </c>
      <c r="F791" s="8" t="b">
        <f>IF(D791&lt;1,FALSE,ISERROR(MATCH(E791,'Ontology and concepts per UC'!$A$2:$A$62,0)))</f>
        <v>0</v>
      </c>
      <c r="G791" s="9" t="str">
        <f t="shared" si="23"/>
        <v>DeterministicParameter</v>
      </c>
      <c r="H791" s="9" t="str">
        <f t="shared" si="24"/>
        <v>DeterministicParameter</v>
      </c>
      <c r="I791" s="8" t="b">
        <f>IF(D791&lt;2,FALSE,ISERROR(MATCH(H791,'Ontology and concepts per UC'!$A$2:$A$62,0)))</f>
        <v>0</v>
      </c>
      <c r="J791" s="9" t="str">
        <f t="shared" si="25"/>
        <v/>
      </c>
      <c r="K791" s="8" t="b">
        <f>IF(D791&lt;3,FALSE,ISERROR(MATCH(J791,'Ontology and concepts per UC'!$A$2:$A$62,0)))</f>
        <v>0</v>
      </c>
      <c r="L791" s="2" t="s">
        <v>1648</v>
      </c>
      <c r="M791" s="2" t="s">
        <v>2122</v>
      </c>
      <c r="N791" s="2"/>
      <c r="O791" s="1" t="b">
        <v>0</v>
      </c>
      <c r="P791" s="1">
        <v>0</v>
      </c>
      <c r="Q791" s="1">
        <v>0</v>
      </c>
      <c r="R791" s="1" t="b">
        <f t="shared" si="26"/>
        <v>1</v>
      </c>
      <c r="S791" s="2" t="s">
        <v>367</v>
      </c>
      <c r="T791" s="1" t="str">
        <f>IF(S791="","",VLOOKUP(S791,'Ontology and concepts per UC'!$F$2:$J$46,5,FALSE))</f>
        <v>Parámetros de progresión</v>
      </c>
      <c r="U791" s="1" t="b">
        <f t="array" ref="U791">(INDEX('Ontology and concepts per UC'!$G$2:$I$46,MATCH($S791,'Ontology and concepts per UC'!$F$2:$F$46,0),MATCH(LEFT($A791,3),'Ontology and concepts per UC'!$G$1:$I$1,0))=0)</f>
        <v>0</v>
      </c>
      <c r="V791" s="1" t="b">
        <f t="shared" si="27"/>
        <v>0</v>
      </c>
      <c r="W791" s="1" t="b">
        <v>0</v>
      </c>
      <c r="X791" s="1" t="b">
        <v>0</v>
      </c>
      <c r="Y791" s="1" t="b">
        <v>0</v>
      </c>
      <c r="Z791" s="1" t="b">
        <v>0</v>
      </c>
      <c r="AA791" s="1"/>
    </row>
    <row r="792" spans="1:27" x14ac:dyDescent="0.25">
      <c r="A792" s="1" t="s">
        <v>2015</v>
      </c>
      <c r="B792" s="2" t="s">
        <v>2123</v>
      </c>
      <c r="C792" s="2" t="s">
        <v>61</v>
      </c>
      <c r="D792" s="6">
        <f t="shared" si="21"/>
        <v>1</v>
      </c>
      <c r="E792" s="7" t="str">
        <f t="shared" si="22"/>
        <v>FollowUpStrategy</v>
      </c>
      <c r="F792" s="8" t="b">
        <f>IF(D792&lt;1,FALSE,ISERROR(MATCH(E792,'Ontology and concepts per UC'!$A$2:$A$62,0)))</f>
        <v>0</v>
      </c>
      <c r="G792" s="9" t="str">
        <f t="shared" si="23"/>
        <v/>
      </c>
      <c r="H792" s="9" t="str">
        <f t="shared" si="24"/>
        <v/>
      </c>
      <c r="I792" s="8" t="b">
        <f>IF(D792&lt;2,FALSE,ISERROR(MATCH(H792,'Ontology and concepts per UC'!$A$2:$A$62,0)))</f>
        <v>0</v>
      </c>
      <c r="J792" s="9" t="str">
        <f t="shared" si="25"/>
        <v/>
      </c>
      <c r="K792" s="8" t="b">
        <f>IF(D792&lt;3,FALSE,ISERROR(MATCH(J792,'Ontology and concepts per UC'!$A$2:$A$62,0)))</f>
        <v>0</v>
      </c>
      <c r="L792" s="2" t="s">
        <v>2124</v>
      </c>
      <c r="M792" s="2" t="s">
        <v>2125</v>
      </c>
      <c r="N792" s="2"/>
      <c r="O792" s="1" t="b">
        <v>0</v>
      </c>
      <c r="P792" s="1">
        <v>0</v>
      </c>
      <c r="Q792" s="1">
        <v>0</v>
      </c>
      <c r="R792" s="1" t="b">
        <f t="shared" si="26"/>
        <v>0</v>
      </c>
      <c r="S792" s="2" t="s">
        <v>107</v>
      </c>
      <c r="T792" s="1" t="str">
        <f>IF(S792="","",VLOOKUP(S792,'Ontology and concepts per UC'!$F$2:$J$46,5,FALSE))</f>
        <v>Parcial</v>
      </c>
      <c r="U792" s="1" t="b">
        <f t="array" ref="U792">(INDEX('Ontology and concepts per UC'!$G$2:$I$46,MATCH($S792,'Ontology and concepts per UC'!$F$2:$F$46,0),MATCH(LEFT($A792,3),'Ontology and concepts per UC'!$G$1:$I$1,0))=0)</f>
        <v>0</v>
      </c>
      <c r="V792" s="1" t="b">
        <f t="shared" si="27"/>
        <v>0</v>
      </c>
      <c r="W792" s="1" t="b">
        <v>0</v>
      </c>
      <c r="X792" s="1" t="b">
        <v>0</v>
      </c>
      <c r="Y792" s="1" t="b">
        <v>0</v>
      </c>
      <c r="Z792" s="1" t="b">
        <v>0</v>
      </c>
    </row>
    <row r="793" spans="1:27" x14ac:dyDescent="0.25">
      <c r="A793" s="1" t="s">
        <v>2015</v>
      </c>
      <c r="B793" s="2" t="s">
        <v>2126</v>
      </c>
      <c r="C793" s="2" t="s">
        <v>61</v>
      </c>
      <c r="D793" s="6">
        <f t="shared" si="21"/>
        <v>1</v>
      </c>
      <c r="E793" s="7" t="str">
        <f t="shared" si="22"/>
        <v>FollowUpStrategy</v>
      </c>
      <c r="F793" s="8" t="b">
        <f>IF(D793&lt;1,FALSE,ISERROR(MATCH(E793,'Ontology and concepts per UC'!$A$2:$A$62,0)))</f>
        <v>0</v>
      </c>
      <c r="G793" s="9" t="str">
        <f t="shared" si="23"/>
        <v/>
      </c>
      <c r="H793" s="9" t="str">
        <f t="shared" si="24"/>
        <v/>
      </c>
      <c r="I793" s="8" t="b">
        <f>IF(D793&lt;2,FALSE,ISERROR(MATCH(H793,'Ontology and concepts per UC'!$A$2:$A$62,0)))</f>
        <v>0</v>
      </c>
      <c r="J793" s="9" t="str">
        <f t="shared" si="25"/>
        <v/>
      </c>
      <c r="K793" s="8" t="b">
        <f>IF(D793&lt;3,FALSE,ISERROR(MATCH(J793,'Ontology and concepts per UC'!$A$2:$A$62,0)))</f>
        <v>0</v>
      </c>
      <c r="L793" s="2" t="s">
        <v>2127</v>
      </c>
      <c r="M793" s="2" t="s">
        <v>2128</v>
      </c>
      <c r="N793" s="2"/>
      <c r="O793" s="1" t="b">
        <v>0</v>
      </c>
      <c r="P793" s="1">
        <v>0</v>
      </c>
      <c r="Q793" s="1">
        <v>0</v>
      </c>
      <c r="R793" s="1" t="b">
        <f t="shared" si="26"/>
        <v>0</v>
      </c>
      <c r="S793" s="2" t="s">
        <v>60</v>
      </c>
      <c r="T793" s="1" t="str">
        <f>IF(S793="","",VLOOKUP(S793,'Ontology and concepts per UC'!$F$2:$J$46,5,FALSE))</f>
        <v>Tratamiento/seguimiento</v>
      </c>
      <c r="U793" s="1" t="b">
        <f t="array" ref="U793">(INDEX('Ontology and concepts per UC'!$G$2:$I$46,MATCH($S793,'Ontology and concepts per UC'!$F$2:$F$46,0),MATCH(LEFT($A793,3),'Ontology and concepts per UC'!$G$1:$I$1,0))=0)</f>
        <v>0</v>
      </c>
      <c r="V793" s="1" t="b">
        <f t="shared" si="27"/>
        <v>0</v>
      </c>
      <c r="W793" s="1" t="b">
        <v>0</v>
      </c>
      <c r="X793" s="1" t="b">
        <v>0</v>
      </c>
      <c r="Y793" s="1" t="b">
        <v>0</v>
      </c>
      <c r="Z793" s="1" t="b">
        <v>0</v>
      </c>
      <c r="AA793" s="1"/>
    </row>
    <row r="794" spans="1:27" x14ac:dyDescent="0.25">
      <c r="A794" s="1" t="s">
        <v>2015</v>
      </c>
      <c r="B794" s="2" t="s">
        <v>2129</v>
      </c>
      <c r="C794" s="2" t="s">
        <v>1218</v>
      </c>
      <c r="D794" s="6">
        <f t="shared" si="21"/>
        <v>1</v>
      </c>
      <c r="E794" s="7" t="str">
        <f t="shared" si="22"/>
        <v>FollowUpTest</v>
      </c>
      <c r="F794" s="8" t="b">
        <f>IF(D794&lt;1,FALSE,ISERROR(MATCH(E794,'Ontology and concepts per UC'!$A$2:$A$62,0)))</f>
        <v>0</v>
      </c>
      <c r="G794" s="9" t="str">
        <f t="shared" si="23"/>
        <v/>
      </c>
      <c r="H794" s="9" t="str">
        <f t="shared" si="24"/>
        <v/>
      </c>
      <c r="I794" s="8" t="b">
        <f>IF(D794&lt;2,FALSE,ISERROR(MATCH(H794,'Ontology and concepts per UC'!$A$2:$A$62,0)))</f>
        <v>0</v>
      </c>
      <c r="J794" s="9" t="str">
        <f t="shared" si="25"/>
        <v/>
      </c>
      <c r="K794" s="8" t="b">
        <f>IF(D794&lt;3,FALSE,ISERROR(MATCH(J794,'Ontology and concepts per UC'!$A$2:$A$62,0)))</f>
        <v>0</v>
      </c>
      <c r="L794" s="2"/>
      <c r="M794" s="2" t="s">
        <v>2130</v>
      </c>
      <c r="N794" s="2"/>
      <c r="O794" s="1" t="b">
        <v>0</v>
      </c>
      <c r="P794" s="1">
        <v>0</v>
      </c>
      <c r="Q794" s="1">
        <v>0</v>
      </c>
      <c r="R794" s="1" t="b">
        <f t="shared" si="26"/>
        <v>0</v>
      </c>
      <c r="S794" s="2" t="s">
        <v>60</v>
      </c>
      <c r="T794" s="1" t="str">
        <f>IF(S794="","",VLOOKUP(S794,'Ontology and concepts per UC'!$F$2:$J$46,5,FALSE))</f>
        <v>Tratamiento/seguimiento</v>
      </c>
      <c r="U794" s="1" t="b">
        <f t="array" ref="U794">(INDEX('Ontology and concepts per UC'!$G$2:$I$46,MATCH($S794,'Ontology and concepts per UC'!$F$2:$F$46,0),MATCH(LEFT($A794,3),'Ontology and concepts per UC'!$G$1:$I$1,0))=0)</f>
        <v>0</v>
      </c>
      <c r="V794" s="1" t="b">
        <f t="shared" si="27"/>
        <v>0</v>
      </c>
      <c r="W794" s="1" t="b">
        <v>0</v>
      </c>
      <c r="X794" s="1" t="b">
        <v>0</v>
      </c>
      <c r="Y794" s="1" t="b">
        <v>0</v>
      </c>
      <c r="Z794" s="1" t="b">
        <v>0</v>
      </c>
      <c r="AA794" s="1"/>
    </row>
    <row r="795" spans="1:27" x14ac:dyDescent="0.25">
      <c r="A795" s="1" t="s">
        <v>2015</v>
      </c>
      <c r="B795" s="2" t="s">
        <v>2131</v>
      </c>
      <c r="C795" s="2" t="s">
        <v>1218</v>
      </c>
      <c r="D795" s="6">
        <f t="shared" si="21"/>
        <v>1</v>
      </c>
      <c r="E795" s="7" t="str">
        <f t="shared" si="22"/>
        <v>FollowUpTest</v>
      </c>
      <c r="F795" s="8" t="b">
        <f>IF(D795&lt;1,FALSE,ISERROR(MATCH(E795,'Ontology and concepts per UC'!$A$2:$A$62,0)))</f>
        <v>0</v>
      </c>
      <c r="G795" s="9" t="str">
        <f t="shared" si="23"/>
        <v/>
      </c>
      <c r="H795" s="9" t="str">
        <f t="shared" si="24"/>
        <v/>
      </c>
      <c r="I795" s="8" t="b">
        <f>IF(D795&lt;2,FALSE,ISERROR(MATCH(H795,'Ontology and concepts per UC'!$A$2:$A$62,0)))</f>
        <v>0</v>
      </c>
      <c r="J795" s="9" t="str">
        <f t="shared" si="25"/>
        <v/>
      </c>
      <c r="K795" s="8" t="b">
        <f>IF(D795&lt;3,FALSE,ISERROR(MATCH(J795,'Ontology and concepts per UC'!$A$2:$A$62,0)))</f>
        <v>0</v>
      </c>
      <c r="L795" s="2"/>
      <c r="M795" s="2" t="s">
        <v>2132</v>
      </c>
      <c r="N795" s="2"/>
      <c r="O795" s="1" t="b">
        <v>0</v>
      </c>
      <c r="P795" s="1">
        <v>0</v>
      </c>
      <c r="Q795" s="1">
        <v>0</v>
      </c>
      <c r="R795" s="1" t="b">
        <f t="shared" si="26"/>
        <v>0</v>
      </c>
      <c r="S795" s="2" t="s">
        <v>60</v>
      </c>
      <c r="T795" s="1" t="str">
        <f>IF(S795="","",VLOOKUP(S795,'Ontology and concepts per UC'!$F$2:$J$46,5,FALSE))</f>
        <v>Tratamiento/seguimiento</v>
      </c>
      <c r="U795" s="1" t="b">
        <f t="array" ref="U795">(INDEX('Ontology and concepts per UC'!$G$2:$I$46,MATCH($S795,'Ontology and concepts per UC'!$F$2:$F$46,0),MATCH(LEFT($A795,3),'Ontology and concepts per UC'!$G$1:$I$1,0))=0)</f>
        <v>0</v>
      </c>
      <c r="V795" s="1" t="b">
        <f t="shared" si="27"/>
        <v>0</v>
      </c>
      <c r="W795" s="1" t="b">
        <v>0</v>
      </c>
      <c r="X795" s="1" t="b">
        <v>0</v>
      </c>
      <c r="Y795" s="1" t="b">
        <v>0</v>
      </c>
      <c r="Z795" s="1" t="b">
        <v>0</v>
      </c>
      <c r="AA795" s="1"/>
    </row>
    <row r="796" spans="1:27" x14ac:dyDescent="0.25">
      <c r="A796" s="1" t="s">
        <v>2015</v>
      </c>
      <c r="B796" s="2" t="s">
        <v>2133</v>
      </c>
      <c r="C796" s="2" t="s">
        <v>1218</v>
      </c>
      <c r="D796" s="6">
        <f t="shared" si="21"/>
        <v>1</v>
      </c>
      <c r="E796" s="7" t="str">
        <f t="shared" si="22"/>
        <v>FollowUpTest</v>
      </c>
      <c r="F796" s="8" t="b">
        <f>IF(D796&lt;1,FALSE,ISERROR(MATCH(E796,'Ontology and concepts per UC'!$A$2:$A$62,0)))</f>
        <v>0</v>
      </c>
      <c r="G796" s="9" t="str">
        <f t="shared" si="23"/>
        <v/>
      </c>
      <c r="H796" s="9" t="str">
        <f t="shared" si="24"/>
        <v/>
      </c>
      <c r="I796" s="8" t="b">
        <f>IF(D796&lt;2,FALSE,ISERROR(MATCH(H796,'Ontology and concepts per UC'!$A$2:$A$62,0)))</f>
        <v>0</v>
      </c>
      <c r="J796" s="9" t="str">
        <f t="shared" si="25"/>
        <v/>
      </c>
      <c r="K796" s="8" t="b">
        <f>IF(D796&lt;3,FALSE,ISERROR(MATCH(J796,'Ontology and concepts per UC'!$A$2:$A$62,0)))</f>
        <v>0</v>
      </c>
      <c r="L796" s="2"/>
      <c r="M796" s="2" t="s">
        <v>2134</v>
      </c>
      <c r="N796" s="2"/>
      <c r="O796" s="1" t="b">
        <v>0</v>
      </c>
      <c r="P796" s="1">
        <v>0</v>
      </c>
      <c r="Q796" s="1">
        <v>0</v>
      </c>
      <c r="R796" s="1" t="b">
        <f t="shared" si="26"/>
        <v>0</v>
      </c>
      <c r="S796" s="2" t="s">
        <v>60</v>
      </c>
      <c r="T796" s="1" t="str">
        <f>IF(S796="","",VLOOKUP(S796,'Ontology and concepts per UC'!$F$2:$J$46,5,FALSE))</f>
        <v>Tratamiento/seguimiento</v>
      </c>
      <c r="U796" s="1" t="b">
        <f t="array" ref="U796">(INDEX('Ontology and concepts per UC'!$G$2:$I$46,MATCH($S796,'Ontology and concepts per UC'!$F$2:$F$46,0),MATCH(LEFT($A796,3),'Ontology and concepts per UC'!$G$1:$I$1,0))=0)</f>
        <v>0</v>
      </c>
      <c r="V796" s="1" t="b">
        <f t="shared" si="27"/>
        <v>0</v>
      </c>
      <c r="W796" s="1" t="b">
        <v>0</v>
      </c>
      <c r="X796" s="1" t="b">
        <v>0</v>
      </c>
      <c r="Y796" s="1" t="b">
        <v>0</v>
      </c>
      <c r="Z796" s="1" t="b">
        <v>0</v>
      </c>
      <c r="AA796" s="1"/>
    </row>
    <row r="797" spans="1:27" x14ac:dyDescent="0.25">
      <c r="A797" s="1" t="s">
        <v>2015</v>
      </c>
      <c r="B797" s="2" t="s">
        <v>2135</v>
      </c>
      <c r="C797" s="2" t="s">
        <v>1218</v>
      </c>
      <c r="D797" s="6">
        <f t="shared" si="21"/>
        <v>1</v>
      </c>
      <c r="E797" s="7" t="str">
        <f t="shared" si="22"/>
        <v>FollowUpTest</v>
      </c>
      <c r="F797" s="8" t="b">
        <f>IF(D797&lt;1,FALSE,ISERROR(MATCH(E797,'Ontology and concepts per UC'!$A$2:$A$62,0)))</f>
        <v>0</v>
      </c>
      <c r="G797" s="9" t="str">
        <f t="shared" si="23"/>
        <v/>
      </c>
      <c r="H797" s="9" t="str">
        <f t="shared" si="24"/>
        <v/>
      </c>
      <c r="I797" s="8" t="b">
        <f>IF(D797&lt;2,FALSE,ISERROR(MATCH(H797,'Ontology and concepts per UC'!$A$2:$A$62,0)))</f>
        <v>0</v>
      </c>
      <c r="J797" s="9" t="str">
        <f t="shared" si="25"/>
        <v/>
      </c>
      <c r="K797" s="8" t="b">
        <f>IF(D797&lt;3,FALSE,ISERROR(MATCH(J797,'Ontology and concepts per UC'!$A$2:$A$62,0)))</f>
        <v>0</v>
      </c>
      <c r="L797" s="2"/>
      <c r="M797" s="2" t="s">
        <v>2136</v>
      </c>
      <c r="N797" s="2"/>
      <c r="O797" s="1" t="b">
        <v>0</v>
      </c>
      <c r="P797" s="1">
        <v>0</v>
      </c>
      <c r="Q797" s="1">
        <v>0</v>
      </c>
      <c r="R797" s="1" t="b">
        <f t="shared" si="26"/>
        <v>0</v>
      </c>
      <c r="S797" s="2" t="s">
        <v>60</v>
      </c>
      <c r="T797" s="1" t="str">
        <f>IF(S797="","",VLOOKUP(S797,'Ontology and concepts per UC'!$F$2:$J$46,5,FALSE))</f>
        <v>Tratamiento/seguimiento</v>
      </c>
      <c r="U797" s="1" t="b">
        <f t="array" ref="U797">(INDEX('Ontology and concepts per UC'!$G$2:$I$46,MATCH($S797,'Ontology and concepts per UC'!$F$2:$F$46,0),MATCH(LEFT($A797,3),'Ontology and concepts per UC'!$G$1:$I$1,0))=0)</f>
        <v>0</v>
      </c>
      <c r="V797" s="1" t="b">
        <f t="shared" si="27"/>
        <v>0</v>
      </c>
      <c r="W797" s="1" t="b">
        <v>0</v>
      </c>
      <c r="X797" s="1" t="b">
        <v>0</v>
      </c>
      <c r="Y797" s="1" t="b">
        <v>0</v>
      </c>
      <c r="Z797" s="1" t="b">
        <v>0</v>
      </c>
      <c r="AA797" s="1"/>
    </row>
    <row r="798" spans="1:27" x14ac:dyDescent="0.25">
      <c r="A798" s="1" t="s">
        <v>2015</v>
      </c>
      <c r="B798" s="2" t="s">
        <v>2137</v>
      </c>
      <c r="C798" s="2" t="s">
        <v>1942</v>
      </c>
      <c r="D798" s="6">
        <f t="shared" si="21"/>
        <v>1</v>
      </c>
      <c r="E798" s="7" t="str">
        <f t="shared" si="22"/>
        <v>Guideline</v>
      </c>
      <c r="F798" s="8" t="b">
        <f>IF(D798&lt;1,FALSE,ISERROR(MATCH(E798,'Ontology and concepts per UC'!$A$2:$A$62,0)))</f>
        <v>0</v>
      </c>
      <c r="G798" s="9" t="str">
        <f t="shared" si="23"/>
        <v/>
      </c>
      <c r="H798" s="9" t="str">
        <f t="shared" si="24"/>
        <v/>
      </c>
      <c r="I798" s="8" t="b">
        <f>IF(D798&lt;2,FALSE,ISERROR(MATCH(H798,'Ontology and concepts per UC'!$A$2:$A$62,0)))</f>
        <v>0</v>
      </c>
      <c r="J798" s="9" t="str">
        <f t="shared" si="25"/>
        <v/>
      </c>
      <c r="K798" s="8" t="b">
        <f>IF(D798&lt;3,FALSE,ISERROR(MATCH(J798,'Ontology and concepts per UC'!$A$2:$A$62,0)))</f>
        <v>0</v>
      </c>
      <c r="L798" s="2" t="s">
        <v>2138</v>
      </c>
      <c r="M798" s="2" t="s">
        <v>2139</v>
      </c>
      <c r="N798" s="2"/>
      <c r="O798" s="1" t="b">
        <v>0</v>
      </c>
      <c r="P798" s="1">
        <v>0</v>
      </c>
      <c r="Q798" s="1">
        <v>0</v>
      </c>
      <c r="R798" s="1" t="b">
        <f t="shared" si="26"/>
        <v>0</v>
      </c>
      <c r="S798" s="2" t="s">
        <v>107</v>
      </c>
      <c r="T798" s="1" t="str">
        <f>IF(S798="","",VLOOKUP(S798,'Ontology and concepts per UC'!$F$2:$J$46,5,FALSE))</f>
        <v>Parcial</v>
      </c>
      <c r="U798" s="1" t="b">
        <f t="array" ref="U798">(INDEX('Ontology and concepts per UC'!$G$2:$I$46,MATCH($S798,'Ontology and concepts per UC'!$F$2:$F$46,0),MATCH(LEFT($A798,3),'Ontology and concepts per UC'!$G$1:$I$1,0))=0)</f>
        <v>0</v>
      </c>
      <c r="V798" s="1" t="b">
        <f t="shared" si="27"/>
        <v>0</v>
      </c>
      <c r="W798" s="1" t="b">
        <v>0</v>
      </c>
      <c r="X798" s="1" t="b">
        <v>0</v>
      </c>
      <c r="Y798" s="1" t="b">
        <v>0</v>
      </c>
      <c r="Z798" s="1" t="b">
        <v>0</v>
      </c>
    </row>
    <row r="799" spans="1:27" x14ac:dyDescent="0.25">
      <c r="A799" s="1" t="s">
        <v>2015</v>
      </c>
      <c r="B799" s="2" t="s">
        <v>2140</v>
      </c>
      <c r="C799" s="2" t="s">
        <v>1942</v>
      </c>
      <c r="D799" s="6">
        <f t="shared" si="21"/>
        <v>1</v>
      </c>
      <c r="E799" s="7" t="str">
        <f t="shared" si="22"/>
        <v>Guideline</v>
      </c>
      <c r="F799" s="8" t="b">
        <f>IF(D799&lt;1,FALSE,ISERROR(MATCH(E799,'Ontology and concepts per UC'!$A$2:$A$62,0)))</f>
        <v>0</v>
      </c>
      <c r="G799" s="9" t="str">
        <f t="shared" si="23"/>
        <v/>
      </c>
      <c r="H799" s="9" t="str">
        <f t="shared" si="24"/>
        <v/>
      </c>
      <c r="I799" s="8" t="b">
        <f>IF(D799&lt;2,FALSE,ISERROR(MATCH(H799,'Ontology and concepts per UC'!$A$2:$A$62,0)))</f>
        <v>0</v>
      </c>
      <c r="J799" s="9" t="str">
        <f t="shared" si="25"/>
        <v/>
      </c>
      <c r="K799" s="8" t="b">
        <f>IF(D799&lt;3,FALSE,ISERROR(MATCH(J799,'Ontology and concepts per UC'!$A$2:$A$62,0)))</f>
        <v>0</v>
      </c>
      <c r="L799" s="2" t="s">
        <v>2141</v>
      </c>
      <c r="M799" s="2" t="s">
        <v>2142</v>
      </c>
      <c r="N799" s="2"/>
      <c r="O799" s="1" t="b">
        <v>0</v>
      </c>
      <c r="P799" s="1">
        <v>0</v>
      </c>
      <c r="Q799" s="1">
        <v>0</v>
      </c>
      <c r="R799" s="1" t="b">
        <f t="shared" si="26"/>
        <v>0</v>
      </c>
      <c r="S799" s="2" t="s">
        <v>11</v>
      </c>
      <c r="T799" s="1" t="str">
        <f>IF(S799="","",VLOOKUP(S799,'Ontology and concepts per UC'!$F$2:$J$46,5,FALSE))</f>
        <v>Coste</v>
      </c>
      <c r="U799" s="1" t="b">
        <f t="array" ref="U799">(INDEX('Ontology and concepts per UC'!$G$2:$I$46,MATCH($S799,'Ontology and concepts per UC'!$F$2:$F$46,0),MATCH(LEFT($A799,3),'Ontology and concepts per UC'!$G$1:$I$1,0))=0)</f>
        <v>0</v>
      </c>
      <c r="V799" s="1" t="b">
        <f t="shared" si="27"/>
        <v>0</v>
      </c>
      <c r="W799" s="1" t="b">
        <v>0</v>
      </c>
      <c r="X799" s="1" t="b">
        <v>0</v>
      </c>
      <c r="Y799" s="1" t="b">
        <v>0</v>
      </c>
      <c r="Z799" s="1" t="b">
        <v>0</v>
      </c>
      <c r="AA799" s="1"/>
    </row>
    <row r="800" spans="1:27" x14ac:dyDescent="0.25">
      <c r="A800" s="1" t="s">
        <v>2015</v>
      </c>
      <c r="B800" s="2" t="s">
        <v>2143</v>
      </c>
      <c r="C800" s="2" t="s">
        <v>1942</v>
      </c>
      <c r="D800" s="6">
        <f t="shared" si="21"/>
        <v>1</v>
      </c>
      <c r="E800" s="7" t="str">
        <f t="shared" si="22"/>
        <v>Guideline</v>
      </c>
      <c r="F800" s="8" t="b">
        <f>IF(D800&lt;1,FALSE,ISERROR(MATCH(E800,'Ontology and concepts per UC'!$A$2:$A$62,0)))</f>
        <v>0</v>
      </c>
      <c r="G800" s="9" t="str">
        <f t="shared" si="23"/>
        <v/>
      </c>
      <c r="H800" s="9" t="str">
        <f t="shared" si="24"/>
        <v/>
      </c>
      <c r="I800" s="8" t="b">
        <f>IF(D800&lt;2,FALSE,ISERROR(MATCH(H800,'Ontology and concepts per UC'!$A$2:$A$62,0)))</f>
        <v>0</v>
      </c>
      <c r="J800" s="9" t="str">
        <f t="shared" si="25"/>
        <v/>
      </c>
      <c r="K800" s="8" t="b">
        <f>IF(D800&lt;3,FALSE,ISERROR(MATCH(J800,'Ontology and concepts per UC'!$A$2:$A$62,0)))</f>
        <v>0</v>
      </c>
      <c r="L800" s="2" t="s">
        <v>2144</v>
      </c>
      <c r="M800" s="2" t="s">
        <v>2145</v>
      </c>
      <c r="N800" s="2"/>
      <c r="O800" s="1" t="b">
        <v>0</v>
      </c>
      <c r="P800" s="1">
        <v>0</v>
      </c>
      <c r="Q800" s="1">
        <v>0</v>
      </c>
      <c r="R800" s="1" t="b">
        <f t="shared" si="26"/>
        <v>0</v>
      </c>
      <c r="S800" s="2" t="s">
        <v>11</v>
      </c>
      <c r="T800" s="1" t="str">
        <f>IF(S800="","",VLOOKUP(S800,'Ontology and concepts per UC'!$F$2:$J$46,5,FALSE))</f>
        <v>Coste</v>
      </c>
      <c r="U800" s="1" t="b">
        <f t="array" ref="U800">(INDEX('Ontology and concepts per UC'!$G$2:$I$46,MATCH($S800,'Ontology and concepts per UC'!$F$2:$F$46,0),MATCH(LEFT($A800,3),'Ontology and concepts per UC'!$G$1:$I$1,0))=0)</f>
        <v>0</v>
      </c>
      <c r="V800" s="1" t="b">
        <f t="shared" si="27"/>
        <v>0</v>
      </c>
      <c r="W800" s="1" t="b">
        <v>0</v>
      </c>
      <c r="X800" s="1" t="b">
        <v>0</v>
      </c>
      <c r="Y800" s="1" t="b">
        <v>0</v>
      </c>
      <c r="Z800" s="1" t="b">
        <v>0</v>
      </c>
      <c r="AA800" s="1"/>
    </row>
    <row r="801" spans="1:27" x14ac:dyDescent="0.25">
      <c r="A801" s="1" t="s">
        <v>2015</v>
      </c>
      <c r="B801" s="2" t="s">
        <v>2146</v>
      </c>
      <c r="C801" s="2" t="s">
        <v>1942</v>
      </c>
      <c r="D801" s="6">
        <f t="shared" si="21"/>
        <v>1</v>
      </c>
      <c r="E801" s="7" t="str">
        <f t="shared" si="22"/>
        <v>Guideline</v>
      </c>
      <c r="F801" s="8" t="b">
        <f>IF(D801&lt;1,FALSE,ISERROR(MATCH(E801,'Ontology and concepts per UC'!$A$2:$A$62,0)))</f>
        <v>0</v>
      </c>
      <c r="G801" s="9" t="str">
        <f t="shared" si="23"/>
        <v/>
      </c>
      <c r="H801" s="9" t="str">
        <f t="shared" si="24"/>
        <v/>
      </c>
      <c r="I801" s="8" t="b">
        <f>IF(D801&lt;2,FALSE,ISERROR(MATCH(H801,'Ontology and concepts per UC'!$A$2:$A$62,0)))</f>
        <v>0</v>
      </c>
      <c r="J801" s="9" t="str">
        <f t="shared" si="25"/>
        <v/>
      </c>
      <c r="K801" s="8" t="b">
        <f>IF(D801&lt;3,FALSE,ISERROR(MATCH(J801,'Ontology and concepts per UC'!$A$2:$A$62,0)))</f>
        <v>0</v>
      </c>
      <c r="L801" s="2" t="s">
        <v>2147</v>
      </c>
      <c r="M801" s="2" t="s">
        <v>2148</v>
      </c>
      <c r="N801" s="2"/>
      <c r="O801" s="1" t="b">
        <v>0</v>
      </c>
      <c r="P801" s="1">
        <v>0</v>
      </c>
      <c r="Q801" s="1">
        <v>0</v>
      </c>
      <c r="R801" s="1" t="b">
        <f t="shared" si="26"/>
        <v>0</v>
      </c>
      <c r="S801" s="2" t="s">
        <v>107</v>
      </c>
      <c r="T801" s="1" t="str">
        <f>IF(S801="","",VLOOKUP(S801,'Ontology and concepts per UC'!$F$2:$J$46,5,FALSE))</f>
        <v>Parcial</v>
      </c>
      <c r="U801" s="1" t="b">
        <f t="array" ref="U801">(INDEX('Ontology and concepts per UC'!$G$2:$I$46,MATCH($S801,'Ontology and concepts per UC'!$F$2:$F$46,0),MATCH(LEFT($A801,3),'Ontology and concepts per UC'!$G$1:$I$1,0))=0)</f>
        <v>0</v>
      </c>
      <c r="V801" s="1" t="b">
        <f t="shared" si="27"/>
        <v>0</v>
      </c>
      <c r="W801" s="1" t="b">
        <v>0</v>
      </c>
      <c r="X801" s="1" t="b">
        <v>0</v>
      </c>
      <c r="Y801" s="1" t="b">
        <v>0</v>
      </c>
      <c r="Z801" s="1" t="b">
        <v>0</v>
      </c>
    </row>
    <row r="802" spans="1:27" x14ac:dyDescent="0.25">
      <c r="A802" s="1" t="s">
        <v>2015</v>
      </c>
      <c r="B802" s="2" t="s">
        <v>2149</v>
      </c>
      <c r="C802" s="2" t="s">
        <v>1942</v>
      </c>
      <c r="D802" s="6">
        <f t="shared" si="21"/>
        <v>1</v>
      </c>
      <c r="E802" s="7" t="str">
        <f t="shared" si="22"/>
        <v>Guideline</v>
      </c>
      <c r="F802" s="8" t="b">
        <f>IF(D802&lt;1,FALSE,ISERROR(MATCH(E802,'Ontology and concepts per UC'!$A$2:$A$62,0)))</f>
        <v>0</v>
      </c>
      <c r="G802" s="9" t="str">
        <f t="shared" si="23"/>
        <v/>
      </c>
      <c r="H802" s="9" t="str">
        <f t="shared" si="24"/>
        <v/>
      </c>
      <c r="I802" s="8" t="b">
        <f>IF(D802&lt;2,FALSE,ISERROR(MATCH(H802,'Ontology and concepts per UC'!$A$2:$A$62,0)))</f>
        <v>0</v>
      </c>
      <c r="J802" s="9" t="str">
        <f t="shared" si="25"/>
        <v/>
      </c>
      <c r="K802" s="8" t="b">
        <f>IF(D802&lt;3,FALSE,ISERROR(MATCH(J802,'Ontology and concepts per UC'!$A$2:$A$62,0)))</f>
        <v>0</v>
      </c>
      <c r="L802" s="2" t="s">
        <v>2147</v>
      </c>
      <c r="M802" s="2" t="s">
        <v>2150</v>
      </c>
      <c r="N802" s="2"/>
      <c r="O802" s="1" t="b">
        <v>0</v>
      </c>
      <c r="P802" s="1">
        <v>0</v>
      </c>
      <c r="Q802" s="1">
        <v>0</v>
      </c>
      <c r="R802" s="1" t="b">
        <f t="shared" si="26"/>
        <v>0</v>
      </c>
      <c r="S802" s="2" t="s">
        <v>60</v>
      </c>
      <c r="T802" s="1" t="str">
        <f>IF(S802="","",VLOOKUP(S802,'Ontology and concepts per UC'!$F$2:$J$46,5,FALSE))</f>
        <v>Tratamiento/seguimiento</v>
      </c>
      <c r="U802" s="1" t="b">
        <f t="array" ref="U802">(INDEX('Ontology and concepts per UC'!$G$2:$I$46,MATCH($S802,'Ontology and concepts per UC'!$F$2:$F$46,0),MATCH(LEFT($A802,3),'Ontology and concepts per UC'!$G$1:$I$1,0))=0)</f>
        <v>0</v>
      </c>
      <c r="V802" s="1" t="b">
        <f t="shared" si="27"/>
        <v>0</v>
      </c>
      <c r="W802" s="1" t="b">
        <v>0</v>
      </c>
      <c r="X802" s="1" t="b">
        <v>0</v>
      </c>
      <c r="Y802" s="1" t="b">
        <v>0</v>
      </c>
      <c r="Z802" s="1" t="b">
        <v>0</v>
      </c>
      <c r="AA802" s="1"/>
    </row>
    <row r="803" spans="1:27" x14ac:dyDescent="0.25">
      <c r="A803" s="1" t="s">
        <v>2015</v>
      </c>
      <c r="B803" s="2" t="s">
        <v>2151</v>
      </c>
      <c r="C803" s="2" t="s">
        <v>125</v>
      </c>
      <c r="D803" s="6">
        <f t="shared" si="21"/>
        <v>1</v>
      </c>
      <c r="E803" s="7" t="str">
        <f t="shared" si="22"/>
        <v>Manifestation</v>
      </c>
      <c r="F803" s="8" t="b">
        <f>IF(D803&lt;1,FALSE,ISERROR(MATCH(E803,'Ontology and concepts per UC'!$A$2:$A$62,0)))</f>
        <v>0</v>
      </c>
      <c r="G803" s="9" t="str">
        <f t="shared" si="23"/>
        <v/>
      </c>
      <c r="H803" s="9" t="str">
        <f t="shared" si="24"/>
        <v/>
      </c>
      <c r="I803" s="8" t="b">
        <f>IF(D803&lt;2,FALSE,ISERROR(MATCH(H803,'Ontology and concepts per UC'!$A$2:$A$62,0)))</f>
        <v>0</v>
      </c>
      <c r="J803" s="9" t="str">
        <f t="shared" si="25"/>
        <v/>
      </c>
      <c r="K803" s="8" t="b">
        <f>IF(D803&lt;3,FALSE,ISERROR(MATCH(J803,'Ontology and concepts per UC'!$A$2:$A$62,0)))</f>
        <v>0</v>
      </c>
      <c r="L803" s="2" t="s">
        <v>2152</v>
      </c>
      <c r="M803" s="2" t="s">
        <v>2153</v>
      </c>
      <c r="N803" s="2"/>
      <c r="O803" s="1" t="b">
        <v>0</v>
      </c>
      <c r="P803" s="1">
        <v>0</v>
      </c>
      <c r="Q803" s="1">
        <v>0</v>
      </c>
      <c r="R803" s="1" t="b">
        <f t="shared" si="26"/>
        <v>0</v>
      </c>
      <c r="S803" s="2" t="s">
        <v>17</v>
      </c>
      <c r="T803" s="1" t="str">
        <f>IF(S803="","",VLOOKUP(S803,'Ontology and concepts per UC'!$F$2:$J$46,5,FALSE))</f>
        <v>Modelo Conceptual</v>
      </c>
      <c r="U803" s="1" t="b">
        <f t="array" ref="U803">(INDEX('Ontology and concepts per UC'!$G$2:$I$46,MATCH($S803,'Ontology and concepts per UC'!$F$2:$F$46,0),MATCH(LEFT($A803,3),'Ontology and concepts per UC'!$G$1:$I$1,0))=0)</f>
        <v>0</v>
      </c>
      <c r="V803" s="1" t="b">
        <f t="shared" si="27"/>
        <v>0</v>
      </c>
      <c r="W803" s="1" t="b">
        <v>0</v>
      </c>
      <c r="X803" s="1" t="b">
        <v>0</v>
      </c>
      <c r="Y803" s="1" t="b">
        <v>0</v>
      </c>
      <c r="Z803" s="1" t="b">
        <v>0</v>
      </c>
      <c r="AA803" s="1"/>
    </row>
    <row r="804" spans="1:27" x14ac:dyDescent="0.25">
      <c r="A804" s="1" t="s">
        <v>2015</v>
      </c>
      <c r="B804" s="2" t="s">
        <v>2154</v>
      </c>
      <c r="C804" s="2" t="s">
        <v>125</v>
      </c>
      <c r="D804" s="6">
        <f t="shared" si="21"/>
        <v>1</v>
      </c>
      <c r="E804" s="7" t="str">
        <f t="shared" si="22"/>
        <v>Manifestation</v>
      </c>
      <c r="F804" s="8" t="b">
        <f>IF(D804&lt;1,FALSE,ISERROR(MATCH(E804,'Ontology and concepts per UC'!$A$2:$A$62,0)))</f>
        <v>0</v>
      </c>
      <c r="G804" s="9" t="str">
        <f t="shared" si="23"/>
        <v/>
      </c>
      <c r="H804" s="9" t="str">
        <f t="shared" si="24"/>
        <v/>
      </c>
      <c r="I804" s="8" t="b">
        <f>IF(D804&lt;2,FALSE,ISERROR(MATCH(H804,'Ontology and concepts per UC'!$A$2:$A$62,0)))</f>
        <v>0</v>
      </c>
      <c r="J804" s="9" t="str">
        <f t="shared" si="25"/>
        <v/>
      </c>
      <c r="K804" s="8" t="b">
        <f>IF(D804&lt;3,FALSE,ISERROR(MATCH(J804,'Ontology and concepts per UC'!$A$2:$A$62,0)))</f>
        <v>0</v>
      </c>
      <c r="L804" s="2"/>
      <c r="M804" s="2" t="s">
        <v>2155</v>
      </c>
      <c r="N804" s="2"/>
      <c r="O804" s="1" t="b">
        <v>0</v>
      </c>
      <c r="P804" s="1">
        <v>0</v>
      </c>
      <c r="Q804" s="1">
        <v>0</v>
      </c>
      <c r="R804" s="1" t="b">
        <f t="shared" si="26"/>
        <v>0</v>
      </c>
      <c r="S804" s="2" t="s">
        <v>187</v>
      </c>
      <c r="T804" s="1" t="str">
        <f>IF(S804="","",VLOOKUP(S804,'Ontology and concepts per UC'!$F$2:$J$46,5,FALSE))</f>
        <v>Otros</v>
      </c>
      <c r="U804" s="1" t="b">
        <f t="array" ref="U804">(INDEX('Ontology and concepts per UC'!$G$2:$I$46,MATCH($S804,'Ontology and concepts per UC'!$F$2:$F$46,0),MATCH(LEFT($A804,3),'Ontology and concepts per UC'!$G$1:$I$1,0))=0)</f>
        <v>1</v>
      </c>
      <c r="V804" s="1" t="b">
        <f t="shared" si="27"/>
        <v>1</v>
      </c>
      <c r="W804" s="1" t="b">
        <v>0</v>
      </c>
      <c r="X804" s="1" t="b">
        <v>0</v>
      </c>
      <c r="Y804" s="1" t="b">
        <v>0</v>
      </c>
      <c r="Z804" s="1" t="b">
        <v>1</v>
      </c>
      <c r="AA804" s="1" t="s">
        <v>1111</v>
      </c>
    </row>
    <row r="805" spans="1:27" x14ac:dyDescent="0.25">
      <c r="A805" s="1" t="s">
        <v>2015</v>
      </c>
      <c r="B805" s="2" t="s">
        <v>2156</v>
      </c>
      <c r="C805" s="2" t="s">
        <v>157</v>
      </c>
      <c r="D805" s="6">
        <f t="shared" si="21"/>
        <v>2</v>
      </c>
      <c r="E805" s="7" t="str">
        <f t="shared" si="22"/>
        <v>Parameter</v>
      </c>
      <c r="F805" s="8" t="b">
        <f>IF(D805&lt;1,FALSE,ISERROR(MATCH(E805,'Ontology and concepts per UC'!$A$2:$A$62,0)))</f>
        <v>0</v>
      </c>
      <c r="G805" s="9" t="str">
        <f t="shared" si="23"/>
        <v>DeterministicParameter</v>
      </c>
      <c r="H805" s="9" t="str">
        <f t="shared" si="24"/>
        <v>DeterministicParameter</v>
      </c>
      <c r="I805" s="8" t="b">
        <f>IF(D805&lt;2,FALSE,ISERROR(MATCH(H805,'Ontology and concepts per UC'!$A$2:$A$62,0)))</f>
        <v>0</v>
      </c>
      <c r="J805" s="9" t="str">
        <f t="shared" si="25"/>
        <v/>
      </c>
      <c r="K805" s="8" t="b">
        <f>IF(D805&lt;3,FALSE,ISERROR(MATCH(J805,'Ontology and concepts per UC'!$A$2:$A$62,0)))</f>
        <v>0</v>
      </c>
      <c r="L805" s="2" t="s">
        <v>2091</v>
      </c>
      <c r="M805" s="2" t="s">
        <v>2157</v>
      </c>
      <c r="N805" s="2"/>
      <c r="O805" s="1" t="b">
        <v>0</v>
      </c>
      <c r="P805" s="1">
        <v>0</v>
      </c>
      <c r="Q805" s="1">
        <v>0</v>
      </c>
      <c r="R805" s="1" t="b">
        <f t="shared" si="26"/>
        <v>1</v>
      </c>
      <c r="S805" s="2" t="s">
        <v>367</v>
      </c>
      <c r="T805" s="1" t="str">
        <f>IF(S805="","",VLOOKUP(S805,'Ontology and concepts per UC'!$F$2:$J$46,5,FALSE))</f>
        <v>Parámetros de progresión</v>
      </c>
      <c r="U805" s="1" t="b">
        <f t="array" ref="U805">(INDEX('Ontology and concepts per UC'!$G$2:$I$46,MATCH($S805,'Ontology and concepts per UC'!$F$2:$F$46,0),MATCH(LEFT($A805,3),'Ontology and concepts per UC'!$G$1:$I$1,0))=0)</f>
        <v>0</v>
      </c>
      <c r="V805" s="1" t="b">
        <f t="shared" si="27"/>
        <v>0</v>
      </c>
      <c r="W805" s="1" t="b">
        <v>0</v>
      </c>
      <c r="X805" s="1" t="b">
        <v>0</v>
      </c>
      <c r="Y805" s="1" t="b">
        <v>0</v>
      </c>
      <c r="Z805" s="1" t="b">
        <v>0</v>
      </c>
      <c r="AA805" s="1"/>
    </row>
    <row r="806" spans="1:27" x14ac:dyDescent="0.25">
      <c r="A806" s="1" t="s">
        <v>2015</v>
      </c>
      <c r="B806" s="2" t="s">
        <v>2158</v>
      </c>
      <c r="C806" s="2" t="s">
        <v>157</v>
      </c>
      <c r="D806" s="6">
        <f t="shared" si="21"/>
        <v>2</v>
      </c>
      <c r="E806" s="7" t="str">
        <f t="shared" si="22"/>
        <v>Parameter</v>
      </c>
      <c r="F806" s="8" t="b">
        <f>IF(D806&lt;1,FALSE,ISERROR(MATCH(E806,'Ontology and concepts per UC'!$A$2:$A$62,0)))</f>
        <v>0</v>
      </c>
      <c r="G806" s="9" t="str">
        <f t="shared" si="23"/>
        <v>DeterministicParameter</v>
      </c>
      <c r="H806" s="9" t="str">
        <f t="shared" si="24"/>
        <v>DeterministicParameter</v>
      </c>
      <c r="I806" s="8" t="b">
        <f>IF(D806&lt;2,FALSE,ISERROR(MATCH(H806,'Ontology and concepts per UC'!$A$2:$A$62,0)))</f>
        <v>0</v>
      </c>
      <c r="J806" s="9" t="str">
        <f t="shared" si="25"/>
        <v/>
      </c>
      <c r="K806" s="8" t="b">
        <f>IF(D806&lt;3,FALSE,ISERROR(MATCH(J806,'Ontology and concepts per UC'!$A$2:$A$62,0)))</f>
        <v>0</v>
      </c>
      <c r="L806" s="2" t="s">
        <v>2091</v>
      </c>
      <c r="M806" s="2" t="s">
        <v>2159</v>
      </c>
      <c r="N806" s="2"/>
      <c r="O806" s="1" t="b">
        <v>0</v>
      </c>
      <c r="P806" s="1">
        <v>0</v>
      </c>
      <c r="Q806" s="1">
        <v>0</v>
      </c>
      <c r="R806" s="1" t="b">
        <f t="shared" si="26"/>
        <v>1</v>
      </c>
      <c r="S806" s="2" t="s">
        <v>367</v>
      </c>
      <c r="T806" s="1" t="str">
        <f>IF(S806="","",VLOOKUP(S806,'Ontology and concepts per UC'!$F$2:$J$46,5,FALSE))</f>
        <v>Parámetros de progresión</v>
      </c>
      <c r="U806" s="1" t="b">
        <f t="array" ref="U806">(INDEX('Ontology and concepts per UC'!$G$2:$I$46,MATCH($S806,'Ontology and concepts per UC'!$F$2:$F$46,0),MATCH(LEFT($A806,3),'Ontology and concepts per UC'!$G$1:$I$1,0))=0)</f>
        <v>0</v>
      </c>
      <c r="V806" s="1" t="b">
        <f t="shared" si="27"/>
        <v>0</v>
      </c>
      <c r="W806" s="1" t="b">
        <v>0</v>
      </c>
      <c r="X806" s="1" t="b">
        <v>0</v>
      </c>
      <c r="Y806" s="1" t="b">
        <v>0</v>
      </c>
      <c r="Z806" s="1" t="b">
        <v>0</v>
      </c>
      <c r="AA806" s="1"/>
    </row>
    <row r="807" spans="1:27" x14ac:dyDescent="0.25">
      <c r="A807" s="1" t="s">
        <v>2015</v>
      </c>
      <c r="B807" s="2" t="s">
        <v>2160</v>
      </c>
      <c r="C807" s="2" t="s">
        <v>157</v>
      </c>
      <c r="D807" s="6">
        <f t="shared" si="21"/>
        <v>2</v>
      </c>
      <c r="E807" s="7" t="str">
        <f t="shared" si="22"/>
        <v>Parameter</v>
      </c>
      <c r="F807" s="8" t="b">
        <f>IF(D807&lt;1,FALSE,ISERROR(MATCH(E807,'Ontology and concepts per UC'!$A$2:$A$62,0)))</f>
        <v>0</v>
      </c>
      <c r="G807" s="9" t="str">
        <f t="shared" si="23"/>
        <v>DeterministicParameter</v>
      </c>
      <c r="H807" s="9" t="str">
        <f t="shared" si="24"/>
        <v>DeterministicParameter</v>
      </c>
      <c r="I807" s="8" t="b">
        <f>IF(D807&lt;2,FALSE,ISERROR(MATCH(H807,'Ontology and concepts per UC'!$A$2:$A$62,0)))</f>
        <v>0</v>
      </c>
      <c r="J807" s="9" t="str">
        <f t="shared" si="25"/>
        <v/>
      </c>
      <c r="K807" s="8" t="b">
        <f>IF(D807&lt;3,FALSE,ISERROR(MATCH(J807,'Ontology and concepts per UC'!$A$2:$A$62,0)))</f>
        <v>0</v>
      </c>
      <c r="L807" s="2" t="s">
        <v>1586</v>
      </c>
      <c r="M807" s="2" t="s">
        <v>2161</v>
      </c>
      <c r="N807" s="2"/>
      <c r="O807" s="1" t="b">
        <v>0</v>
      </c>
      <c r="P807" s="1">
        <v>0</v>
      </c>
      <c r="Q807" s="1">
        <v>0</v>
      </c>
      <c r="R807" s="1" t="b">
        <f t="shared" si="26"/>
        <v>1</v>
      </c>
      <c r="S807" s="2" t="s">
        <v>17</v>
      </c>
      <c r="T807" s="1" t="str">
        <f>IF(S807="","",VLOOKUP(S807,'Ontology and concepts per UC'!$F$2:$J$46,5,FALSE))</f>
        <v>Modelo Conceptual</v>
      </c>
      <c r="U807" s="1" t="b">
        <f t="array" ref="U807">(INDEX('Ontology and concepts per UC'!$G$2:$I$46,MATCH($S807,'Ontology and concepts per UC'!$F$2:$F$46,0),MATCH(LEFT($A807,3),'Ontology and concepts per UC'!$G$1:$I$1,0))=0)</f>
        <v>0</v>
      </c>
      <c r="V807" s="1" t="b">
        <f t="shared" si="27"/>
        <v>0</v>
      </c>
      <c r="W807" s="1" t="b">
        <v>0</v>
      </c>
      <c r="X807" s="1" t="b">
        <v>0</v>
      </c>
      <c r="Y807" s="1" t="b">
        <v>0</v>
      </c>
      <c r="Z807" s="1" t="b">
        <v>0</v>
      </c>
      <c r="AA807" s="1"/>
    </row>
    <row r="808" spans="1:27" x14ac:dyDescent="0.25">
      <c r="A808" s="1" t="s">
        <v>2015</v>
      </c>
      <c r="B808" s="2" t="s">
        <v>2162</v>
      </c>
      <c r="C808" s="2" t="s">
        <v>157</v>
      </c>
      <c r="D808" s="6">
        <f t="shared" si="21"/>
        <v>2</v>
      </c>
      <c r="E808" s="7" t="str">
        <f t="shared" si="22"/>
        <v>Parameter</v>
      </c>
      <c r="F808" s="8" t="b">
        <f>IF(D808&lt;1,FALSE,ISERROR(MATCH(E808,'Ontology and concepts per UC'!$A$2:$A$62,0)))</f>
        <v>0</v>
      </c>
      <c r="G808" s="9" t="str">
        <f t="shared" si="23"/>
        <v>DeterministicParameter</v>
      </c>
      <c r="H808" s="9" t="str">
        <f t="shared" si="24"/>
        <v>DeterministicParameter</v>
      </c>
      <c r="I808" s="8" t="b">
        <f>IF(D808&lt;2,FALSE,ISERROR(MATCH(H808,'Ontology and concepts per UC'!$A$2:$A$62,0)))</f>
        <v>0</v>
      </c>
      <c r="J808" s="9" t="str">
        <f t="shared" si="25"/>
        <v/>
      </c>
      <c r="K808" s="8" t="b">
        <f>IF(D808&lt;3,FALSE,ISERROR(MATCH(J808,'Ontology and concepts per UC'!$A$2:$A$62,0)))</f>
        <v>0</v>
      </c>
      <c r="L808" s="2" t="s">
        <v>1638</v>
      </c>
      <c r="M808" s="2" t="s">
        <v>2163</v>
      </c>
      <c r="N808" s="2"/>
      <c r="O808" s="1" t="b">
        <v>0</v>
      </c>
      <c r="P808" s="1">
        <v>0</v>
      </c>
      <c r="Q808" s="1">
        <v>0</v>
      </c>
      <c r="R808" s="1" t="b">
        <f t="shared" si="26"/>
        <v>1</v>
      </c>
      <c r="S808" s="2" t="s">
        <v>367</v>
      </c>
      <c r="T808" s="1" t="str">
        <f>IF(S808="","",VLOOKUP(S808,'Ontology and concepts per UC'!$F$2:$J$46,5,FALSE))</f>
        <v>Parámetros de progresión</v>
      </c>
      <c r="U808" s="1" t="b">
        <f t="array" ref="U808">(INDEX('Ontology and concepts per UC'!$G$2:$I$46,MATCH($S808,'Ontology and concepts per UC'!$F$2:$F$46,0),MATCH(LEFT($A808,3),'Ontology and concepts per UC'!$G$1:$I$1,0))=0)</f>
        <v>0</v>
      </c>
      <c r="V808" s="1" t="b">
        <f t="shared" si="27"/>
        <v>0</v>
      </c>
      <c r="W808" s="1" t="b">
        <v>0</v>
      </c>
      <c r="X808" s="1" t="b">
        <v>0</v>
      </c>
      <c r="Y808" s="1" t="b">
        <v>0</v>
      </c>
      <c r="Z808" s="1" t="b">
        <v>0</v>
      </c>
      <c r="AA808" s="1"/>
    </row>
    <row r="809" spans="1:27" x14ac:dyDescent="0.25">
      <c r="A809" s="1" t="s">
        <v>2015</v>
      </c>
      <c r="B809" s="2" t="s">
        <v>2164</v>
      </c>
      <c r="C809" s="2" t="s">
        <v>157</v>
      </c>
      <c r="D809" s="6">
        <f t="shared" si="21"/>
        <v>2</v>
      </c>
      <c r="E809" s="7" t="str">
        <f t="shared" si="22"/>
        <v>Parameter</v>
      </c>
      <c r="F809" s="8" t="b">
        <f>IF(D809&lt;1,FALSE,ISERROR(MATCH(E809,'Ontology and concepts per UC'!$A$2:$A$62,0)))</f>
        <v>0</v>
      </c>
      <c r="G809" s="9" t="str">
        <f t="shared" si="23"/>
        <v>DeterministicParameter</v>
      </c>
      <c r="H809" s="9" t="str">
        <f t="shared" si="24"/>
        <v>DeterministicParameter</v>
      </c>
      <c r="I809" s="8" t="b">
        <f>IF(D809&lt;2,FALSE,ISERROR(MATCH(H809,'Ontology and concepts per UC'!$A$2:$A$62,0)))</f>
        <v>0</v>
      </c>
      <c r="J809" s="9" t="str">
        <f t="shared" si="25"/>
        <v/>
      </c>
      <c r="K809" s="8" t="b">
        <f>IF(D809&lt;3,FALSE,ISERROR(MATCH(J809,'Ontology and concepts per UC'!$A$2:$A$62,0)))</f>
        <v>0</v>
      </c>
      <c r="L809" s="2" t="s">
        <v>2080</v>
      </c>
      <c r="M809" s="2" t="s">
        <v>2165</v>
      </c>
      <c r="N809" s="2"/>
      <c r="O809" s="1" t="b">
        <v>0</v>
      </c>
      <c r="P809" s="1">
        <v>0</v>
      </c>
      <c r="Q809" s="1">
        <v>0</v>
      </c>
      <c r="R809" s="1" t="b">
        <f t="shared" si="26"/>
        <v>1</v>
      </c>
      <c r="S809" s="2" t="s">
        <v>51</v>
      </c>
      <c r="T809" s="1" t="str">
        <f>IF(S809="","",VLOOKUP(S809,'Ontology and concepts per UC'!$F$2:$J$46,5,FALSE))</f>
        <v>Parámetros de progresión</v>
      </c>
      <c r="U809" s="1" t="b">
        <f t="array" ref="U809">(INDEX('Ontology and concepts per UC'!$G$2:$I$46,MATCH($S809,'Ontology and concepts per UC'!$F$2:$F$46,0),MATCH(LEFT($A809,3),'Ontology and concepts per UC'!$G$1:$I$1,0))=0)</f>
        <v>0</v>
      </c>
      <c r="V809" s="1" t="b">
        <f t="shared" si="27"/>
        <v>0</v>
      </c>
      <c r="W809" s="1" t="b">
        <v>0</v>
      </c>
      <c r="X809" s="1" t="b">
        <v>0</v>
      </c>
      <c r="Y809" s="1" t="b">
        <v>0</v>
      </c>
      <c r="Z809" s="1" t="b">
        <v>0</v>
      </c>
      <c r="AA809" s="1"/>
    </row>
    <row r="810" spans="1:27" x14ac:dyDescent="0.25">
      <c r="A810" s="1" t="s">
        <v>2015</v>
      </c>
      <c r="B810" s="2" t="s">
        <v>2166</v>
      </c>
      <c r="C810" s="2" t="s">
        <v>157</v>
      </c>
      <c r="D810" s="6">
        <f t="shared" si="21"/>
        <v>2</v>
      </c>
      <c r="E810" s="7" t="str">
        <f t="shared" si="22"/>
        <v>Parameter</v>
      </c>
      <c r="F810" s="8" t="b">
        <f>IF(D810&lt;1,FALSE,ISERROR(MATCH(E810,'Ontology and concepts per UC'!$A$2:$A$62,0)))</f>
        <v>0</v>
      </c>
      <c r="G810" s="9" t="str">
        <f t="shared" si="23"/>
        <v>DeterministicParameter</v>
      </c>
      <c r="H810" s="9" t="str">
        <f t="shared" si="24"/>
        <v>DeterministicParameter</v>
      </c>
      <c r="I810" s="8" t="b">
        <f>IF(D810&lt;2,FALSE,ISERROR(MATCH(H810,'Ontology and concepts per UC'!$A$2:$A$62,0)))</f>
        <v>0</v>
      </c>
      <c r="J810" s="9" t="str">
        <f t="shared" si="25"/>
        <v/>
      </c>
      <c r="K810" s="8" t="b">
        <f>IF(D810&lt;3,FALSE,ISERROR(MATCH(J810,'Ontology and concepts per UC'!$A$2:$A$62,0)))</f>
        <v>0</v>
      </c>
      <c r="L810" s="2" t="s">
        <v>2080</v>
      </c>
      <c r="M810" s="2" t="s">
        <v>2167</v>
      </c>
      <c r="N810" s="2"/>
      <c r="O810" s="1" t="b">
        <v>0</v>
      </c>
      <c r="P810" s="1">
        <v>0</v>
      </c>
      <c r="Q810" s="1">
        <v>0</v>
      </c>
      <c r="R810" s="1" t="b">
        <f t="shared" si="26"/>
        <v>1</v>
      </c>
      <c r="S810" s="2" t="s">
        <v>367</v>
      </c>
      <c r="T810" s="1" t="str">
        <f>IF(S810="","",VLOOKUP(S810,'Ontology and concepts per UC'!$F$2:$J$46,5,FALSE))</f>
        <v>Parámetros de progresión</v>
      </c>
      <c r="U810" s="1" t="b">
        <f t="array" ref="U810">(INDEX('Ontology and concepts per UC'!$G$2:$I$46,MATCH($S810,'Ontology and concepts per UC'!$F$2:$F$46,0),MATCH(LEFT($A810,3),'Ontology and concepts per UC'!$G$1:$I$1,0))=0)</f>
        <v>0</v>
      </c>
      <c r="V810" s="1" t="b">
        <f t="shared" si="27"/>
        <v>0</v>
      </c>
      <c r="W810" s="1" t="b">
        <v>0</v>
      </c>
      <c r="X810" s="1" t="b">
        <v>0</v>
      </c>
      <c r="Y810" s="1" t="b">
        <v>0</v>
      </c>
      <c r="Z810" s="1" t="b">
        <v>0</v>
      </c>
      <c r="AA810" s="1"/>
    </row>
    <row r="811" spans="1:27" x14ac:dyDescent="0.25">
      <c r="A811" s="1" t="s">
        <v>2015</v>
      </c>
      <c r="B811" s="2" t="s">
        <v>2168</v>
      </c>
      <c r="C811" s="2" t="s">
        <v>157</v>
      </c>
      <c r="D811" s="6">
        <f t="shared" si="21"/>
        <v>2</v>
      </c>
      <c r="E811" s="7" t="str">
        <f t="shared" si="22"/>
        <v>Parameter</v>
      </c>
      <c r="F811" s="8" t="b">
        <f>IF(D811&lt;1,FALSE,ISERROR(MATCH(E811,'Ontology and concepts per UC'!$A$2:$A$62,0)))</f>
        <v>0</v>
      </c>
      <c r="G811" s="9" t="str">
        <f t="shared" si="23"/>
        <v>DeterministicParameter</v>
      </c>
      <c r="H811" s="9" t="str">
        <f t="shared" si="24"/>
        <v>DeterministicParameter</v>
      </c>
      <c r="I811" s="8" t="b">
        <f>IF(D811&lt;2,FALSE,ISERROR(MATCH(H811,'Ontology and concepts per UC'!$A$2:$A$62,0)))</f>
        <v>0</v>
      </c>
      <c r="J811" s="9" t="str">
        <f t="shared" si="25"/>
        <v/>
      </c>
      <c r="K811" s="8" t="b">
        <f>IF(D811&lt;3,FALSE,ISERROR(MATCH(J811,'Ontology and concepts per UC'!$A$2:$A$62,0)))</f>
        <v>0</v>
      </c>
      <c r="L811" s="2" t="s">
        <v>2080</v>
      </c>
      <c r="M811" s="2" t="s">
        <v>2169</v>
      </c>
      <c r="N811" s="2"/>
      <c r="O811" s="1" t="b">
        <v>0</v>
      </c>
      <c r="P811" s="1">
        <v>0</v>
      </c>
      <c r="Q811" s="1">
        <v>0</v>
      </c>
      <c r="R811" s="1" t="b">
        <f t="shared" si="26"/>
        <v>1</v>
      </c>
      <c r="S811" s="2" t="s">
        <v>367</v>
      </c>
      <c r="T811" s="1" t="str">
        <f>IF(S811="","",VLOOKUP(S811,'Ontology and concepts per UC'!$F$2:$J$46,5,FALSE))</f>
        <v>Parámetros de progresión</v>
      </c>
      <c r="U811" s="1" t="b">
        <f t="array" ref="U811">(INDEX('Ontology and concepts per UC'!$G$2:$I$46,MATCH($S811,'Ontology and concepts per UC'!$F$2:$F$46,0),MATCH(LEFT($A811,3),'Ontology and concepts per UC'!$G$1:$I$1,0))=0)</f>
        <v>0</v>
      </c>
      <c r="V811" s="1" t="b">
        <f t="shared" si="27"/>
        <v>0</v>
      </c>
      <c r="W811" s="1" t="b">
        <v>0</v>
      </c>
      <c r="X811" s="1" t="b">
        <v>0</v>
      </c>
      <c r="Y811" s="1" t="b">
        <v>0</v>
      </c>
      <c r="Z811" s="1" t="b">
        <v>0</v>
      </c>
      <c r="AA811" s="1"/>
    </row>
    <row r="812" spans="1:27" x14ac:dyDescent="0.25">
      <c r="A812" s="1" t="s">
        <v>2015</v>
      </c>
      <c r="B812" s="2" t="s">
        <v>2170</v>
      </c>
      <c r="C812" s="2" t="s">
        <v>157</v>
      </c>
      <c r="D812" s="6">
        <f t="shared" si="21"/>
        <v>2</v>
      </c>
      <c r="E812" s="7" t="str">
        <f t="shared" si="22"/>
        <v>Parameter</v>
      </c>
      <c r="F812" s="8" t="b">
        <f>IF(D812&lt;1,FALSE,ISERROR(MATCH(E812,'Ontology and concepts per UC'!$A$2:$A$62,0)))</f>
        <v>0</v>
      </c>
      <c r="G812" s="9" t="str">
        <f t="shared" si="23"/>
        <v>DeterministicParameter</v>
      </c>
      <c r="H812" s="9" t="str">
        <f t="shared" si="24"/>
        <v>DeterministicParameter</v>
      </c>
      <c r="I812" s="8" t="b">
        <f>IF(D812&lt;2,FALSE,ISERROR(MATCH(H812,'Ontology and concepts per UC'!$A$2:$A$62,0)))</f>
        <v>0</v>
      </c>
      <c r="J812" s="9" t="str">
        <f t="shared" si="25"/>
        <v/>
      </c>
      <c r="K812" s="8" t="b">
        <f>IF(D812&lt;3,FALSE,ISERROR(MATCH(J812,'Ontology and concepts per UC'!$A$2:$A$62,0)))</f>
        <v>0</v>
      </c>
      <c r="L812" s="2" t="s">
        <v>2080</v>
      </c>
      <c r="M812" s="2" t="s">
        <v>2171</v>
      </c>
      <c r="N812" s="2"/>
      <c r="O812" s="1" t="b">
        <v>0</v>
      </c>
      <c r="P812" s="1">
        <v>0</v>
      </c>
      <c r="Q812" s="1">
        <v>0</v>
      </c>
      <c r="R812" s="1" t="b">
        <f t="shared" si="26"/>
        <v>1</v>
      </c>
      <c r="S812" s="2" t="s">
        <v>55</v>
      </c>
      <c r="T812" s="1" t="str">
        <f>IF(S812="","",VLOOKUP(S812,'Ontology and concepts per UC'!$F$2:$J$46,5,FALSE))</f>
        <v>Parámetros de progresión</v>
      </c>
      <c r="U812" s="1" t="b">
        <f t="array" ref="U812">(INDEX('Ontology and concepts per UC'!$G$2:$I$46,MATCH($S812,'Ontology and concepts per UC'!$F$2:$F$46,0),MATCH(LEFT($A812,3),'Ontology and concepts per UC'!$G$1:$I$1,0))=0)</f>
        <v>0</v>
      </c>
      <c r="V812" s="1" t="b">
        <f t="shared" si="27"/>
        <v>0</v>
      </c>
      <c r="W812" s="1" t="b">
        <v>0</v>
      </c>
      <c r="X812" s="1" t="b">
        <v>0</v>
      </c>
      <c r="Y812" s="1" t="b">
        <v>0</v>
      </c>
      <c r="Z812" s="1" t="b">
        <v>0</v>
      </c>
      <c r="AA812" s="1"/>
    </row>
    <row r="813" spans="1:27" x14ac:dyDescent="0.25">
      <c r="A813" s="1" t="s">
        <v>2015</v>
      </c>
      <c r="B813" s="2" t="s">
        <v>2172</v>
      </c>
      <c r="C813" s="2" t="s">
        <v>157</v>
      </c>
      <c r="D813" s="6">
        <f t="shared" si="21"/>
        <v>2</v>
      </c>
      <c r="E813" s="7" t="str">
        <f t="shared" si="22"/>
        <v>Parameter</v>
      </c>
      <c r="F813" s="8" t="b">
        <f>IF(D813&lt;1,FALSE,ISERROR(MATCH(E813,'Ontology and concepts per UC'!$A$2:$A$62,0)))</f>
        <v>0</v>
      </c>
      <c r="G813" s="9" t="str">
        <f t="shared" si="23"/>
        <v>DeterministicParameter</v>
      </c>
      <c r="H813" s="9" t="str">
        <f t="shared" si="24"/>
        <v>DeterministicParameter</v>
      </c>
      <c r="I813" s="8" t="b">
        <f>IF(D813&lt;2,FALSE,ISERROR(MATCH(H813,'Ontology and concepts per UC'!$A$2:$A$62,0)))</f>
        <v>0</v>
      </c>
      <c r="J813" s="9" t="str">
        <f t="shared" si="25"/>
        <v/>
      </c>
      <c r="K813" s="8" t="b">
        <f>IF(D813&lt;3,FALSE,ISERROR(MATCH(J813,'Ontology and concepts per UC'!$A$2:$A$62,0)))</f>
        <v>0</v>
      </c>
      <c r="L813" s="2" t="s">
        <v>2080</v>
      </c>
      <c r="M813" s="2" t="s">
        <v>2173</v>
      </c>
      <c r="N813" s="2"/>
      <c r="O813" s="1" t="b">
        <v>0</v>
      </c>
      <c r="P813" s="1">
        <v>0</v>
      </c>
      <c r="Q813" s="1">
        <v>0</v>
      </c>
      <c r="R813" s="1" t="b">
        <f t="shared" si="26"/>
        <v>1</v>
      </c>
      <c r="S813" s="2" t="s">
        <v>50</v>
      </c>
      <c r="T813" s="1" t="str">
        <f>IF(S813="","",VLOOKUP(S813,'Ontology and concepts per UC'!$F$2:$J$46,5,FALSE))</f>
        <v>Parámetros de progresión</v>
      </c>
      <c r="U813" s="1" t="b">
        <f t="array" ref="U813">(INDEX('Ontology and concepts per UC'!$G$2:$I$46,MATCH($S813,'Ontology and concepts per UC'!$F$2:$F$46,0),MATCH(LEFT($A813,3),'Ontology and concepts per UC'!$G$1:$I$1,0))=0)</f>
        <v>0</v>
      </c>
      <c r="V813" s="1" t="b">
        <f t="shared" si="27"/>
        <v>0</v>
      </c>
      <c r="W813" s="1" t="b">
        <v>0</v>
      </c>
      <c r="X813" s="1" t="b">
        <v>0</v>
      </c>
      <c r="Y813" s="1" t="b">
        <v>0</v>
      </c>
      <c r="Z813" s="1" t="b">
        <v>0</v>
      </c>
      <c r="AA813" s="1"/>
    </row>
    <row r="814" spans="1:27" x14ac:dyDescent="0.25">
      <c r="A814" s="1" t="s">
        <v>2015</v>
      </c>
      <c r="B814" s="2" t="s">
        <v>2174</v>
      </c>
      <c r="C814" s="2" t="s">
        <v>157</v>
      </c>
      <c r="D814" s="6">
        <f t="shared" si="21"/>
        <v>2</v>
      </c>
      <c r="E814" s="7" t="str">
        <f t="shared" si="22"/>
        <v>Parameter</v>
      </c>
      <c r="F814" s="8" t="b">
        <f>IF(D814&lt;1,FALSE,ISERROR(MATCH(E814,'Ontology and concepts per UC'!$A$2:$A$62,0)))</f>
        <v>0</v>
      </c>
      <c r="G814" s="9" t="str">
        <f t="shared" si="23"/>
        <v>DeterministicParameter</v>
      </c>
      <c r="H814" s="9" t="str">
        <f t="shared" si="24"/>
        <v>DeterministicParameter</v>
      </c>
      <c r="I814" s="8" t="b">
        <f>IF(D814&lt;2,FALSE,ISERROR(MATCH(H814,'Ontology and concepts per UC'!$A$2:$A$62,0)))</f>
        <v>0</v>
      </c>
      <c r="J814" s="9" t="str">
        <f t="shared" si="25"/>
        <v/>
      </c>
      <c r="K814" s="8" t="b">
        <f>IF(D814&lt;3,FALSE,ISERROR(MATCH(J814,'Ontology and concepts per UC'!$A$2:$A$62,0)))</f>
        <v>0</v>
      </c>
      <c r="L814" s="2" t="s">
        <v>2080</v>
      </c>
      <c r="M814" s="2" t="s">
        <v>2175</v>
      </c>
      <c r="N814" s="2"/>
      <c r="O814" s="1" t="b">
        <v>0</v>
      </c>
      <c r="P814" s="1">
        <v>0</v>
      </c>
      <c r="Q814" s="1">
        <v>0</v>
      </c>
      <c r="R814" s="1" t="b">
        <f t="shared" si="26"/>
        <v>1</v>
      </c>
      <c r="S814" s="2" t="s">
        <v>51</v>
      </c>
      <c r="T814" s="1" t="str">
        <f>IF(S814="","",VLOOKUP(S814,'Ontology and concepts per UC'!$F$2:$J$46,5,FALSE))</f>
        <v>Parámetros de progresión</v>
      </c>
      <c r="U814" s="1" t="b">
        <f t="array" ref="U814">(INDEX('Ontology and concepts per UC'!$G$2:$I$46,MATCH($S814,'Ontology and concepts per UC'!$F$2:$F$46,0),MATCH(LEFT($A814,3),'Ontology and concepts per UC'!$G$1:$I$1,0))=0)</f>
        <v>0</v>
      </c>
      <c r="V814" s="1" t="b">
        <f t="shared" si="27"/>
        <v>0</v>
      </c>
      <c r="W814" s="1" t="b">
        <v>0</v>
      </c>
      <c r="X814" s="1" t="b">
        <v>0</v>
      </c>
      <c r="Y814" s="1" t="b">
        <v>0</v>
      </c>
      <c r="Z814" s="1" t="b">
        <v>0</v>
      </c>
      <c r="AA814" s="1"/>
    </row>
    <row r="815" spans="1:27" x14ac:dyDescent="0.25">
      <c r="A815" s="1" t="s">
        <v>2015</v>
      </c>
      <c r="B815" s="2" t="s">
        <v>2176</v>
      </c>
      <c r="C815" s="2" t="s">
        <v>157</v>
      </c>
      <c r="D815" s="6">
        <f t="shared" si="21"/>
        <v>2</v>
      </c>
      <c r="E815" s="7" t="str">
        <f t="shared" si="22"/>
        <v>Parameter</v>
      </c>
      <c r="F815" s="8" t="b">
        <f>IF(D815&lt;1,FALSE,ISERROR(MATCH(E815,'Ontology and concepts per UC'!$A$2:$A$62,0)))</f>
        <v>0</v>
      </c>
      <c r="G815" s="9" t="str">
        <f t="shared" si="23"/>
        <v>DeterministicParameter</v>
      </c>
      <c r="H815" s="9" t="str">
        <f t="shared" si="24"/>
        <v>DeterministicParameter</v>
      </c>
      <c r="I815" s="8" t="b">
        <f>IF(D815&lt;2,FALSE,ISERROR(MATCH(H815,'Ontology and concepts per UC'!$A$2:$A$62,0)))</f>
        <v>0</v>
      </c>
      <c r="J815" s="9" t="str">
        <f t="shared" si="25"/>
        <v/>
      </c>
      <c r="K815" s="8" t="b">
        <f>IF(D815&lt;3,FALSE,ISERROR(MATCH(J815,'Ontology and concepts per UC'!$A$2:$A$62,0)))</f>
        <v>0</v>
      </c>
      <c r="L815" s="2" t="s">
        <v>2080</v>
      </c>
      <c r="M815" s="2" t="s">
        <v>2177</v>
      </c>
      <c r="N815" s="2"/>
      <c r="O815" s="1" t="b">
        <v>0</v>
      </c>
      <c r="P815" s="1">
        <v>0</v>
      </c>
      <c r="Q815" s="1">
        <v>0</v>
      </c>
      <c r="R815" s="1" t="b">
        <f t="shared" si="26"/>
        <v>1</v>
      </c>
      <c r="S815" s="2" t="s">
        <v>367</v>
      </c>
      <c r="T815" s="1" t="str">
        <f>IF(S815="","",VLOOKUP(S815,'Ontology and concepts per UC'!$F$2:$J$46,5,FALSE))</f>
        <v>Parámetros de progresión</v>
      </c>
      <c r="U815" s="1" t="b">
        <f t="array" ref="U815">(INDEX('Ontology and concepts per UC'!$G$2:$I$46,MATCH($S815,'Ontology and concepts per UC'!$F$2:$F$46,0),MATCH(LEFT($A815,3),'Ontology and concepts per UC'!$G$1:$I$1,0))=0)</f>
        <v>0</v>
      </c>
      <c r="V815" s="1" t="b">
        <f t="shared" si="27"/>
        <v>0</v>
      </c>
      <c r="W815" s="1" t="b">
        <v>0</v>
      </c>
      <c r="X815" s="1" t="b">
        <v>0</v>
      </c>
      <c r="Y815" s="1" t="b">
        <v>0</v>
      </c>
      <c r="Z815" s="1" t="b">
        <v>0</v>
      </c>
      <c r="AA815" s="1"/>
    </row>
    <row r="816" spans="1:27" x14ac:dyDescent="0.25">
      <c r="A816" s="1" t="s">
        <v>2015</v>
      </c>
      <c r="B816" s="2" t="s">
        <v>2178</v>
      </c>
      <c r="C816" s="2" t="s">
        <v>157</v>
      </c>
      <c r="D816" s="6">
        <f t="shared" si="21"/>
        <v>2</v>
      </c>
      <c r="E816" s="7" t="str">
        <f t="shared" si="22"/>
        <v>Parameter</v>
      </c>
      <c r="F816" s="8" t="b">
        <f>IF(D816&lt;1,FALSE,ISERROR(MATCH(E816,'Ontology and concepts per UC'!$A$2:$A$62,0)))</f>
        <v>0</v>
      </c>
      <c r="G816" s="9" t="str">
        <f t="shared" si="23"/>
        <v>DeterministicParameter</v>
      </c>
      <c r="H816" s="9" t="str">
        <f t="shared" si="24"/>
        <v>DeterministicParameter</v>
      </c>
      <c r="I816" s="8" t="b">
        <f>IF(D816&lt;2,FALSE,ISERROR(MATCH(H816,'Ontology and concepts per UC'!$A$2:$A$62,0)))</f>
        <v>0</v>
      </c>
      <c r="J816" s="9" t="str">
        <f t="shared" si="25"/>
        <v/>
      </c>
      <c r="K816" s="8" t="b">
        <f>IF(D816&lt;3,FALSE,ISERROR(MATCH(J816,'Ontology and concepts per UC'!$A$2:$A$62,0)))</f>
        <v>0</v>
      </c>
      <c r="L816" s="2" t="s">
        <v>2080</v>
      </c>
      <c r="M816" s="2" t="s">
        <v>2179</v>
      </c>
      <c r="N816" s="2"/>
      <c r="O816" s="1" t="b">
        <v>0</v>
      </c>
      <c r="P816" s="1">
        <v>0</v>
      </c>
      <c r="Q816" s="1">
        <v>0</v>
      </c>
      <c r="R816" s="1" t="b">
        <f t="shared" si="26"/>
        <v>1</v>
      </c>
      <c r="S816" s="2" t="s">
        <v>58</v>
      </c>
      <c r="T816" s="1" t="str">
        <f>IF(S816="","",VLOOKUP(S816,'Ontology and concepts per UC'!$F$2:$J$46,5,FALSE))</f>
        <v>Parámetros de progresión</v>
      </c>
      <c r="U816" s="1" t="b">
        <f t="array" ref="U816">(INDEX('Ontology and concepts per UC'!$G$2:$I$46,MATCH($S816,'Ontology and concepts per UC'!$F$2:$F$46,0),MATCH(LEFT($A816,3),'Ontology and concepts per UC'!$G$1:$I$1,0))=0)</f>
        <v>0</v>
      </c>
      <c r="V816" s="1" t="b">
        <f t="shared" si="27"/>
        <v>0</v>
      </c>
      <c r="W816" s="1" t="b">
        <v>0</v>
      </c>
      <c r="X816" s="1" t="b">
        <v>0</v>
      </c>
      <c r="Y816" s="1" t="b">
        <v>0</v>
      </c>
      <c r="Z816" s="1" t="b">
        <v>0</v>
      </c>
      <c r="AA816" s="1"/>
    </row>
    <row r="817" spans="1:27" x14ac:dyDescent="0.25">
      <c r="A817" s="1" t="s">
        <v>2015</v>
      </c>
      <c r="B817" s="2" t="s">
        <v>2180</v>
      </c>
      <c r="C817" s="2" t="s">
        <v>157</v>
      </c>
      <c r="D817" s="6">
        <f t="shared" si="21"/>
        <v>2</v>
      </c>
      <c r="E817" s="7" t="str">
        <f t="shared" si="22"/>
        <v>Parameter</v>
      </c>
      <c r="F817" s="8" t="b">
        <f>IF(D817&lt;1,FALSE,ISERROR(MATCH(E817,'Ontology and concepts per UC'!$A$2:$A$62,0)))</f>
        <v>0</v>
      </c>
      <c r="G817" s="9" t="str">
        <f t="shared" si="23"/>
        <v>DeterministicParameter</v>
      </c>
      <c r="H817" s="9" t="str">
        <f t="shared" si="24"/>
        <v>DeterministicParameter</v>
      </c>
      <c r="I817" s="8" t="b">
        <f>IF(D817&lt;2,FALSE,ISERROR(MATCH(H817,'Ontology and concepts per UC'!$A$2:$A$62,0)))</f>
        <v>0</v>
      </c>
      <c r="J817" s="9" t="str">
        <f t="shared" si="25"/>
        <v/>
      </c>
      <c r="K817" s="8" t="b">
        <f>IF(D817&lt;3,FALSE,ISERROR(MATCH(J817,'Ontology and concepts per UC'!$A$2:$A$62,0)))</f>
        <v>0</v>
      </c>
      <c r="L817" s="2" t="s">
        <v>1635</v>
      </c>
      <c r="M817" s="2" t="s">
        <v>2181</v>
      </c>
      <c r="N817" s="2"/>
      <c r="O817" s="1" t="b">
        <v>0</v>
      </c>
      <c r="P817" s="1">
        <v>0</v>
      </c>
      <c r="Q817" s="1">
        <v>0</v>
      </c>
      <c r="R817" s="1" t="b">
        <f t="shared" si="26"/>
        <v>1</v>
      </c>
      <c r="S817" s="2" t="s">
        <v>107</v>
      </c>
      <c r="T817" s="1" t="str">
        <f>IF(S817="","",VLOOKUP(S817,'Ontology and concepts per UC'!$F$2:$J$46,5,FALSE))</f>
        <v>Parcial</v>
      </c>
      <c r="U817" s="1" t="b">
        <f t="array" ref="U817">(INDEX('Ontology and concepts per UC'!$G$2:$I$46,MATCH($S817,'Ontology and concepts per UC'!$F$2:$F$46,0),MATCH(LEFT($A817,3),'Ontology and concepts per UC'!$G$1:$I$1,0))=0)</f>
        <v>0</v>
      </c>
      <c r="V817" s="1" t="b">
        <f t="shared" si="27"/>
        <v>0</v>
      </c>
      <c r="W817" s="1" t="b">
        <v>0</v>
      </c>
      <c r="X817" s="1" t="b">
        <v>0</v>
      </c>
      <c r="Y817" s="1" t="b">
        <v>0</v>
      </c>
      <c r="Z817" s="1" t="b">
        <v>0</v>
      </c>
    </row>
    <row r="818" spans="1:27" x14ac:dyDescent="0.25">
      <c r="A818" s="1" t="s">
        <v>2015</v>
      </c>
      <c r="B818" s="2" t="s">
        <v>2182</v>
      </c>
      <c r="C818" s="2" t="s">
        <v>157</v>
      </c>
      <c r="D818" s="6">
        <f t="shared" si="21"/>
        <v>2</v>
      </c>
      <c r="E818" s="7" t="str">
        <f t="shared" si="22"/>
        <v>Parameter</v>
      </c>
      <c r="F818" s="8" t="b">
        <f>IF(D818&lt;1,FALSE,ISERROR(MATCH(E818,'Ontology and concepts per UC'!$A$2:$A$62,0)))</f>
        <v>0</v>
      </c>
      <c r="G818" s="9" t="str">
        <f t="shared" si="23"/>
        <v>DeterministicParameter</v>
      </c>
      <c r="H818" s="9" t="str">
        <f t="shared" si="24"/>
        <v>DeterministicParameter</v>
      </c>
      <c r="I818" s="8" t="b">
        <f>IF(D818&lt;2,FALSE,ISERROR(MATCH(H818,'Ontology and concepts per UC'!$A$2:$A$62,0)))</f>
        <v>0</v>
      </c>
      <c r="J818" s="9" t="str">
        <f t="shared" si="25"/>
        <v/>
      </c>
      <c r="K818" s="8" t="b">
        <f>IF(D818&lt;3,FALSE,ISERROR(MATCH(J818,'Ontology and concepts per UC'!$A$2:$A$62,0)))</f>
        <v>0</v>
      </c>
      <c r="L818" s="2" t="s">
        <v>1635</v>
      </c>
      <c r="M818" s="2" t="s">
        <v>2183</v>
      </c>
      <c r="N818" s="2"/>
      <c r="O818" s="1" t="b">
        <v>0</v>
      </c>
      <c r="P818" s="1">
        <v>0</v>
      </c>
      <c r="Q818" s="1">
        <v>0</v>
      </c>
      <c r="R818" s="1" t="b">
        <f t="shared" si="26"/>
        <v>1</v>
      </c>
      <c r="S818" s="2" t="s">
        <v>11</v>
      </c>
      <c r="T818" s="1" t="str">
        <f>IF(S818="","",VLOOKUP(S818,'Ontology and concepts per UC'!$F$2:$J$46,5,FALSE))</f>
        <v>Coste</v>
      </c>
      <c r="U818" s="1" t="b">
        <f t="array" ref="U818">(INDEX('Ontology and concepts per UC'!$G$2:$I$46,MATCH($S818,'Ontology and concepts per UC'!$F$2:$F$46,0),MATCH(LEFT($A818,3),'Ontology and concepts per UC'!$G$1:$I$1,0))=0)</f>
        <v>0</v>
      </c>
      <c r="V818" s="1" t="b">
        <f t="shared" si="27"/>
        <v>0</v>
      </c>
      <c r="W818" s="1" t="b">
        <v>0</v>
      </c>
      <c r="X818" s="1" t="b">
        <v>0</v>
      </c>
      <c r="Y818" s="1" t="b">
        <v>0</v>
      </c>
      <c r="Z818" s="1" t="b">
        <v>0</v>
      </c>
      <c r="AA818" s="1"/>
    </row>
    <row r="819" spans="1:27" x14ac:dyDescent="0.25">
      <c r="A819" s="1" t="s">
        <v>2015</v>
      </c>
      <c r="B819" s="2" t="s">
        <v>2184</v>
      </c>
      <c r="C819" s="2" t="s">
        <v>157</v>
      </c>
      <c r="D819" s="6">
        <f t="shared" si="21"/>
        <v>2</v>
      </c>
      <c r="E819" s="7" t="str">
        <f t="shared" si="22"/>
        <v>Parameter</v>
      </c>
      <c r="F819" s="8" t="b">
        <f>IF(D819&lt;1,FALSE,ISERROR(MATCH(E819,'Ontology and concepts per UC'!$A$2:$A$62,0)))</f>
        <v>0</v>
      </c>
      <c r="G819" s="9" t="str">
        <f t="shared" si="23"/>
        <v>DeterministicParameter</v>
      </c>
      <c r="H819" s="9" t="str">
        <f t="shared" si="24"/>
        <v>DeterministicParameter</v>
      </c>
      <c r="I819" s="8" t="b">
        <f>IF(D819&lt;2,FALSE,ISERROR(MATCH(H819,'Ontology and concepts per UC'!$A$2:$A$62,0)))</f>
        <v>0</v>
      </c>
      <c r="J819" s="9" t="str">
        <f t="shared" si="25"/>
        <v/>
      </c>
      <c r="K819" s="8" t="b">
        <f>IF(D819&lt;3,FALSE,ISERROR(MATCH(J819,'Ontology and concepts per UC'!$A$2:$A$62,0)))</f>
        <v>0</v>
      </c>
      <c r="L819" s="2" t="s">
        <v>2091</v>
      </c>
      <c r="M819" s="2" t="s">
        <v>2185</v>
      </c>
      <c r="N819" s="2"/>
      <c r="O819" s="1" t="b">
        <v>0</v>
      </c>
      <c r="P819" s="1">
        <v>0</v>
      </c>
      <c r="Q819" s="1">
        <v>0</v>
      </c>
      <c r="R819" s="1" t="b">
        <f t="shared" si="26"/>
        <v>0</v>
      </c>
      <c r="S819" s="2" t="s">
        <v>8</v>
      </c>
      <c r="T819" s="1" t="str">
        <f>IF(S819="","",VLOOKUP(S819,'Ontology and concepts per UC'!$F$2:$J$46,5,FALSE))</f>
        <v>Coste</v>
      </c>
      <c r="U819" s="1" t="b">
        <f t="array" ref="U819">(INDEX('Ontology and concepts per UC'!$G$2:$I$46,MATCH($S819,'Ontology and concepts per UC'!$F$2:$F$46,0),MATCH(LEFT($A819,3),'Ontology and concepts per UC'!$G$1:$I$1,0))=0)</f>
        <v>0</v>
      </c>
      <c r="V819" s="1" t="b">
        <f t="shared" si="27"/>
        <v>0</v>
      </c>
      <c r="W819" s="1" t="b">
        <v>0</v>
      </c>
      <c r="X819" s="1" t="b">
        <v>0</v>
      </c>
      <c r="Y819" s="1" t="b">
        <v>0</v>
      </c>
      <c r="Z819" s="1" t="b">
        <v>0</v>
      </c>
      <c r="AA819" s="1"/>
    </row>
    <row r="820" spans="1:27" x14ac:dyDescent="0.25">
      <c r="A820" s="1" t="s">
        <v>2015</v>
      </c>
      <c r="B820" s="2" t="s">
        <v>2186</v>
      </c>
      <c r="C820" s="2" t="s">
        <v>157</v>
      </c>
      <c r="D820" s="6">
        <f t="shared" si="21"/>
        <v>2</v>
      </c>
      <c r="E820" s="7" t="str">
        <f t="shared" si="22"/>
        <v>Parameter</v>
      </c>
      <c r="F820" s="8" t="b">
        <f>IF(D820&lt;1,FALSE,ISERROR(MATCH(E820,'Ontology and concepts per UC'!$A$2:$A$62,0)))</f>
        <v>0</v>
      </c>
      <c r="G820" s="9" t="str">
        <f t="shared" si="23"/>
        <v>DeterministicParameter</v>
      </c>
      <c r="H820" s="9" t="str">
        <f t="shared" si="24"/>
        <v>DeterministicParameter</v>
      </c>
      <c r="I820" s="8" t="b">
        <f>IF(D820&lt;2,FALSE,ISERROR(MATCH(H820,'Ontology and concepts per UC'!$A$2:$A$62,0)))</f>
        <v>0</v>
      </c>
      <c r="J820" s="9" t="str">
        <f t="shared" si="25"/>
        <v/>
      </c>
      <c r="K820" s="8" t="b">
        <f>IF(D820&lt;3,FALSE,ISERROR(MATCH(J820,'Ontology and concepts per UC'!$A$2:$A$62,0)))</f>
        <v>0</v>
      </c>
      <c r="L820" s="2" t="s">
        <v>1586</v>
      </c>
      <c r="M820" s="2" t="s">
        <v>2187</v>
      </c>
      <c r="N820" s="2"/>
      <c r="O820" s="1" t="b">
        <v>0</v>
      </c>
      <c r="P820" s="1">
        <v>0</v>
      </c>
      <c r="Q820" s="1">
        <v>0</v>
      </c>
      <c r="R820" s="1" t="b">
        <f t="shared" si="26"/>
        <v>1</v>
      </c>
      <c r="S820" s="2" t="s">
        <v>367</v>
      </c>
      <c r="T820" s="1" t="str">
        <f>IF(S820="","",VLOOKUP(S820,'Ontology and concepts per UC'!$F$2:$J$46,5,FALSE))</f>
        <v>Parámetros de progresión</v>
      </c>
      <c r="U820" s="1" t="b">
        <f t="array" ref="U820">(INDEX('Ontology and concepts per UC'!$G$2:$I$46,MATCH($S820,'Ontology and concepts per UC'!$F$2:$F$46,0),MATCH(LEFT($A820,3),'Ontology and concepts per UC'!$G$1:$I$1,0))=0)</f>
        <v>0</v>
      </c>
      <c r="V820" s="1" t="b">
        <f t="shared" si="27"/>
        <v>0</v>
      </c>
      <c r="W820" s="1" t="b">
        <v>0</v>
      </c>
      <c r="X820" s="1" t="b">
        <v>0</v>
      </c>
      <c r="Y820" s="1" t="b">
        <v>0</v>
      </c>
      <c r="Z820" s="1" t="b">
        <v>0</v>
      </c>
      <c r="AA820" s="1"/>
    </row>
    <row r="821" spans="1:27" x14ac:dyDescent="0.25">
      <c r="A821" s="1" t="s">
        <v>2015</v>
      </c>
      <c r="B821" s="2" t="s">
        <v>2188</v>
      </c>
      <c r="C821" s="2" t="s">
        <v>157</v>
      </c>
      <c r="D821" s="6">
        <f t="shared" si="21"/>
        <v>2</v>
      </c>
      <c r="E821" s="7" t="str">
        <f t="shared" si="22"/>
        <v>Parameter</v>
      </c>
      <c r="F821" s="8" t="b">
        <f>IF(D821&lt;1,FALSE,ISERROR(MATCH(E821,'Ontology and concepts per UC'!$A$2:$A$62,0)))</f>
        <v>0</v>
      </c>
      <c r="G821" s="9" t="str">
        <f t="shared" si="23"/>
        <v>DeterministicParameter</v>
      </c>
      <c r="H821" s="9" t="str">
        <f t="shared" si="24"/>
        <v>DeterministicParameter</v>
      </c>
      <c r="I821" s="8" t="b">
        <f>IF(D821&lt;2,FALSE,ISERROR(MATCH(H821,'Ontology and concepts per UC'!$A$2:$A$62,0)))</f>
        <v>0</v>
      </c>
      <c r="J821" s="9" t="str">
        <f t="shared" si="25"/>
        <v/>
      </c>
      <c r="K821" s="8" t="b">
        <f>IF(D821&lt;3,FALSE,ISERROR(MATCH(J821,'Ontology and concepts per UC'!$A$2:$A$62,0)))</f>
        <v>0</v>
      </c>
      <c r="L821" s="2" t="s">
        <v>1586</v>
      </c>
      <c r="M821" s="2" t="s">
        <v>2189</v>
      </c>
      <c r="N821" s="2"/>
      <c r="O821" s="1" t="b">
        <v>0</v>
      </c>
      <c r="P821" s="1">
        <v>0</v>
      </c>
      <c r="Q821" s="1">
        <v>0</v>
      </c>
      <c r="R821" s="1" t="b">
        <f t="shared" si="26"/>
        <v>1</v>
      </c>
      <c r="S821" s="2" t="s">
        <v>56</v>
      </c>
      <c r="T821" s="1" t="str">
        <f>IF(S821="","",VLOOKUP(S821,'Ontology and concepts per UC'!$F$2:$J$46,5,FALSE))</f>
        <v>Parámetros de progresión</v>
      </c>
      <c r="U821" s="1" t="b">
        <f t="array" ref="U821">(INDEX('Ontology and concepts per UC'!$G$2:$I$46,MATCH($S821,'Ontology and concepts per UC'!$F$2:$F$46,0),MATCH(LEFT($A821,3),'Ontology and concepts per UC'!$G$1:$I$1,0))=0)</f>
        <v>0</v>
      </c>
      <c r="V821" s="1" t="b">
        <f t="shared" si="27"/>
        <v>0</v>
      </c>
      <c r="W821" s="1" t="b">
        <v>0</v>
      </c>
      <c r="X821" s="1" t="b">
        <v>0</v>
      </c>
      <c r="Y821" s="1" t="b">
        <v>0</v>
      </c>
      <c r="Z821" s="1" t="b">
        <v>0</v>
      </c>
      <c r="AA821" s="1"/>
    </row>
    <row r="822" spans="1:27" x14ac:dyDescent="0.25">
      <c r="A822" s="1" t="s">
        <v>2015</v>
      </c>
      <c r="B822" s="2" t="s">
        <v>2190</v>
      </c>
      <c r="C822" s="2" t="s">
        <v>157</v>
      </c>
      <c r="D822" s="6">
        <f t="shared" si="21"/>
        <v>2</v>
      </c>
      <c r="E822" s="7" t="str">
        <f t="shared" si="22"/>
        <v>Parameter</v>
      </c>
      <c r="F822" s="8" t="b">
        <f>IF(D822&lt;1,FALSE,ISERROR(MATCH(E822,'Ontology and concepts per UC'!$A$2:$A$62,0)))</f>
        <v>0</v>
      </c>
      <c r="G822" s="9" t="str">
        <f t="shared" si="23"/>
        <v>DeterministicParameter</v>
      </c>
      <c r="H822" s="9" t="str">
        <f t="shared" si="24"/>
        <v>DeterministicParameter</v>
      </c>
      <c r="I822" s="8" t="b">
        <f>IF(D822&lt;2,FALSE,ISERROR(MATCH(H822,'Ontology and concepts per UC'!$A$2:$A$62,0)))</f>
        <v>0</v>
      </c>
      <c r="J822" s="9" t="str">
        <f t="shared" si="25"/>
        <v/>
      </c>
      <c r="K822" s="8" t="b">
        <f>IF(D822&lt;3,FALSE,ISERROR(MATCH(J822,'Ontology and concepts per UC'!$A$2:$A$62,0)))</f>
        <v>0</v>
      </c>
      <c r="L822" s="2" t="s">
        <v>1586</v>
      </c>
      <c r="M822" s="2" t="s">
        <v>2191</v>
      </c>
      <c r="N822" s="2"/>
      <c r="O822" s="1" t="b">
        <v>0</v>
      </c>
      <c r="P822" s="1">
        <v>0</v>
      </c>
      <c r="Q822" s="1">
        <v>0</v>
      </c>
      <c r="R822" s="1" t="b">
        <f t="shared" si="26"/>
        <v>1</v>
      </c>
      <c r="S822" s="2" t="s">
        <v>17</v>
      </c>
      <c r="T822" s="1" t="str">
        <f>IF(S822="","",VLOOKUP(S822,'Ontology and concepts per UC'!$F$2:$J$46,5,FALSE))</f>
        <v>Modelo Conceptual</v>
      </c>
      <c r="U822" s="1" t="b">
        <f t="array" ref="U822">(INDEX('Ontology and concepts per UC'!$G$2:$I$46,MATCH($S822,'Ontology and concepts per UC'!$F$2:$F$46,0),MATCH(LEFT($A822,3),'Ontology and concepts per UC'!$G$1:$I$1,0))=0)</f>
        <v>0</v>
      </c>
      <c r="V822" s="1" t="b">
        <f t="shared" si="27"/>
        <v>0</v>
      </c>
      <c r="W822" s="1" t="b">
        <v>0</v>
      </c>
      <c r="X822" s="1" t="b">
        <v>0</v>
      </c>
      <c r="Y822" s="1" t="b">
        <v>0</v>
      </c>
      <c r="Z822" s="1" t="b">
        <v>0</v>
      </c>
      <c r="AA822" s="1"/>
    </row>
    <row r="823" spans="1:27" x14ac:dyDescent="0.25">
      <c r="A823" s="1" t="s">
        <v>2015</v>
      </c>
      <c r="B823" s="2" t="s">
        <v>2192</v>
      </c>
      <c r="C823" s="2" t="s">
        <v>157</v>
      </c>
      <c r="D823" s="6">
        <f t="shared" si="21"/>
        <v>2</v>
      </c>
      <c r="E823" s="7" t="str">
        <f t="shared" si="22"/>
        <v>Parameter</v>
      </c>
      <c r="F823" s="8" t="b">
        <f>IF(D823&lt;1,FALSE,ISERROR(MATCH(E823,'Ontology and concepts per UC'!$A$2:$A$62,0)))</f>
        <v>0</v>
      </c>
      <c r="G823" s="9" t="str">
        <f t="shared" si="23"/>
        <v>DeterministicParameter</v>
      </c>
      <c r="H823" s="9" t="str">
        <f t="shared" si="24"/>
        <v>DeterministicParameter</v>
      </c>
      <c r="I823" s="8" t="b">
        <f>IF(D823&lt;2,FALSE,ISERROR(MATCH(H823,'Ontology and concepts per UC'!$A$2:$A$62,0)))</f>
        <v>0</v>
      </c>
      <c r="J823" s="9" t="str">
        <f t="shared" si="25"/>
        <v/>
      </c>
      <c r="K823" s="8" t="b">
        <f>IF(D823&lt;3,FALSE,ISERROR(MATCH(J823,'Ontology and concepts per UC'!$A$2:$A$62,0)))</f>
        <v>0</v>
      </c>
      <c r="L823" s="2" t="s">
        <v>1586</v>
      </c>
      <c r="M823" s="2" t="s">
        <v>2193</v>
      </c>
      <c r="N823" s="2"/>
      <c r="O823" s="1" t="b">
        <v>0</v>
      </c>
      <c r="P823" s="1">
        <v>0</v>
      </c>
      <c r="Q823" s="1">
        <v>0</v>
      </c>
      <c r="R823" s="1" t="b">
        <f t="shared" si="26"/>
        <v>1</v>
      </c>
      <c r="S823" s="2" t="s">
        <v>107</v>
      </c>
      <c r="T823" s="1" t="str">
        <f>IF(S823="","",VLOOKUP(S823,'Ontology and concepts per UC'!$F$2:$J$46,5,FALSE))</f>
        <v>Parcial</v>
      </c>
      <c r="U823" s="1" t="b">
        <f t="array" ref="U823">(INDEX('Ontology and concepts per UC'!$G$2:$I$46,MATCH($S823,'Ontology and concepts per UC'!$F$2:$F$46,0),MATCH(LEFT($A823,3),'Ontology and concepts per UC'!$G$1:$I$1,0))=0)</f>
        <v>0</v>
      </c>
      <c r="V823" s="1" t="b">
        <f t="shared" si="27"/>
        <v>0</v>
      </c>
      <c r="W823" s="1" t="b">
        <v>0</v>
      </c>
      <c r="X823" s="1" t="b">
        <v>0</v>
      </c>
      <c r="Y823" s="1" t="b">
        <v>0</v>
      </c>
      <c r="Z823" s="1" t="b">
        <v>0</v>
      </c>
    </row>
    <row r="824" spans="1:27" x14ac:dyDescent="0.25">
      <c r="A824" s="1" t="s">
        <v>2015</v>
      </c>
      <c r="B824" s="2" t="s">
        <v>2194</v>
      </c>
      <c r="C824" s="2" t="s">
        <v>157</v>
      </c>
      <c r="D824" s="6">
        <f t="shared" si="21"/>
        <v>2</v>
      </c>
      <c r="E824" s="7" t="str">
        <f t="shared" si="22"/>
        <v>Parameter</v>
      </c>
      <c r="F824" s="8" t="b">
        <f>IF(D824&lt;1,FALSE,ISERROR(MATCH(E824,'Ontology and concepts per UC'!$A$2:$A$62,0)))</f>
        <v>0</v>
      </c>
      <c r="G824" s="9" t="str">
        <f t="shared" si="23"/>
        <v>DeterministicParameter</v>
      </c>
      <c r="H824" s="9" t="str">
        <f t="shared" si="24"/>
        <v>DeterministicParameter</v>
      </c>
      <c r="I824" s="8" t="b">
        <f>IF(D824&lt;2,FALSE,ISERROR(MATCH(H824,'Ontology and concepts per UC'!$A$2:$A$62,0)))</f>
        <v>0</v>
      </c>
      <c r="J824" s="9" t="str">
        <f t="shared" si="25"/>
        <v/>
      </c>
      <c r="K824" s="8" t="b">
        <f>IF(D824&lt;3,FALSE,ISERROR(MATCH(J824,'Ontology and concepts per UC'!$A$2:$A$62,0)))</f>
        <v>0</v>
      </c>
      <c r="L824" s="2" t="s">
        <v>1586</v>
      </c>
      <c r="M824" s="2" t="s">
        <v>2195</v>
      </c>
      <c r="N824" s="2"/>
      <c r="O824" s="1" t="b">
        <v>0</v>
      </c>
      <c r="P824" s="1">
        <v>0</v>
      </c>
      <c r="Q824" s="1">
        <v>0</v>
      </c>
      <c r="R824" s="1" t="b">
        <f t="shared" si="26"/>
        <v>1</v>
      </c>
      <c r="S824" s="2" t="s">
        <v>107</v>
      </c>
      <c r="T824" s="1" t="str">
        <f>IF(S824="","",VLOOKUP(S824,'Ontology and concepts per UC'!$F$2:$J$46,5,FALSE))</f>
        <v>Parcial</v>
      </c>
      <c r="U824" s="1" t="b">
        <f t="array" ref="U824">(INDEX('Ontology and concepts per UC'!$G$2:$I$46,MATCH($S824,'Ontology and concepts per UC'!$F$2:$F$46,0),MATCH(LEFT($A824,3),'Ontology and concepts per UC'!$G$1:$I$1,0))=0)</f>
        <v>0</v>
      </c>
      <c r="V824" s="1" t="b">
        <f t="shared" si="27"/>
        <v>0</v>
      </c>
      <c r="W824" s="1" t="b">
        <v>0</v>
      </c>
      <c r="X824" s="1" t="b">
        <v>0</v>
      </c>
      <c r="Y824" s="1" t="b">
        <v>0</v>
      </c>
      <c r="Z824" s="1" t="b">
        <v>0</v>
      </c>
    </row>
    <row r="825" spans="1:27" x14ac:dyDescent="0.25">
      <c r="A825" s="1" t="s">
        <v>2015</v>
      </c>
      <c r="B825" s="2" t="s">
        <v>2196</v>
      </c>
      <c r="C825" s="2" t="s">
        <v>157</v>
      </c>
      <c r="D825" s="6">
        <f t="shared" si="21"/>
        <v>2</v>
      </c>
      <c r="E825" s="7" t="str">
        <f t="shared" si="22"/>
        <v>Parameter</v>
      </c>
      <c r="F825" s="8" t="b">
        <f>IF(D825&lt;1,FALSE,ISERROR(MATCH(E825,'Ontology and concepts per UC'!$A$2:$A$62,0)))</f>
        <v>0</v>
      </c>
      <c r="G825" s="9" t="str">
        <f t="shared" si="23"/>
        <v>DeterministicParameter</v>
      </c>
      <c r="H825" s="9" t="str">
        <f t="shared" si="24"/>
        <v>DeterministicParameter</v>
      </c>
      <c r="I825" s="8" t="b">
        <f>IF(D825&lt;2,FALSE,ISERROR(MATCH(H825,'Ontology and concepts per UC'!$A$2:$A$62,0)))</f>
        <v>0</v>
      </c>
      <c r="J825" s="9" t="str">
        <f t="shared" si="25"/>
        <v/>
      </c>
      <c r="K825" s="8" t="b">
        <f>IF(D825&lt;3,FALSE,ISERROR(MATCH(J825,'Ontology and concepts per UC'!$A$2:$A$62,0)))</f>
        <v>0</v>
      </c>
      <c r="L825" s="2" t="s">
        <v>1586</v>
      </c>
      <c r="M825" s="2" t="s">
        <v>2197</v>
      </c>
      <c r="N825" s="2"/>
      <c r="O825" s="1" t="b">
        <v>0</v>
      </c>
      <c r="P825" s="1">
        <v>0</v>
      </c>
      <c r="Q825" s="1">
        <v>0</v>
      </c>
      <c r="R825" s="1" t="b">
        <f t="shared" si="26"/>
        <v>1</v>
      </c>
      <c r="S825" s="2" t="s">
        <v>107</v>
      </c>
      <c r="T825" s="1" t="str">
        <f>IF(S825="","",VLOOKUP(S825,'Ontology and concepts per UC'!$F$2:$J$46,5,FALSE))</f>
        <v>Parcial</v>
      </c>
      <c r="U825" s="1" t="b">
        <f t="array" ref="U825">(INDEX('Ontology and concepts per UC'!$G$2:$I$46,MATCH($S825,'Ontology and concepts per UC'!$F$2:$F$46,0),MATCH(LEFT($A825,3),'Ontology and concepts per UC'!$G$1:$I$1,0))=0)</f>
        <v>0</v>
      </c>
      <c r="V825" s="1" t="b">
        <f t="shared" si="27"/>
        <v>0</v>
      </c>
      <c r="W825" s="1" t="b">
        <v>0</v>
      </c>
      <c r="X825" s="1" t="b">
        <v>0</v>
      </c>
      <c r="Y825" s="1" t="b">
        <v>0</v>
      </c>
      <c r="Z825" s="1" t="b">
        <v>0</v>
      </c>
    </row>
    <row r="826" spans="1:27" x14ac:dyDescent="0.25">
      <c r="A826" s="1" t="s">
        <v>2015</v>
      </c>
      <c r="B826" s="2" t="s">
        <v>2198</v>
      </c>
      <c r="C826" s="2" t="s">
        <v>157</v>
      </c>
      <c r="D826" s="6">
        <f t="shared" si="21"/>
        <v>2</v>
      </c>
      <c r="E826" s="7" t="str">
        <f t="shared" si="22"/>
        <v>Parameter</v>
      </c>
      <c r="F826" s="8" t="b">
        <f>IF(D826&lt;1,FALSE,ISERROR(MATCH(E826,'Ontology and concepts per UC'!$A$2:$A$62,0)))</f>
        <v>0</v>
      </c>
      <c r="G826" s="9" t="str">
        <f t="shared" si="23"/>
        <v>DeterministicParameter</v>
      </c>
      <c r="H826" s="9" t="str">
        <f t="shared" si="24"/>
        <v>DeterministicParameter</v>
      </c>
      <c r="I826" s="8" t="b">
        <f>IF(D826&lt;2,FALSE,ISERROR(MATCH(H826,'Ontology and concepts per UC'!$A$2:$A$62,0)))</f>
        <v>0</v>
      </c>
      <c r="J826" s="9" t="str">
        <f t="shared" si="25"/>
        <v/>
      </c>
      <c r="K826" s="8" t="b">
        <f>IF(D826&lt;3,FALSE,ISERROR(MATCH(J826,'Ontology and concepts per UC'!$A$2:$A$62,0)))</f>
        <v>0</v>
      </c>
      <c r="L826" s="2" t="s">
        <v>1586</v>
      </c>
      <c r="M826" s="2" t="s">
        <v>2199</v>
      </c>
      <c r="N826" s="2"/>
      <c r="O826" s="1" t="b">
        <v>0</v>
      </c>
      <c r="P826" s="1">
        <v>0</v>
      </c>
      <c r="Q826" s="1">
        <v>0</v>
      </c>
      <c r="R826" s="1" t="b">
        <f t="shared" si="26"/>
        <v>1</v>
      </c>
      <c r="S826" s="2" t="s">
        <v>107</v>
      </c>
      <c r="T826" s="1" t="str">
        <f>IF(S826="","",VLOOKUP(S826,'Ontology and concepts per UC'!$F$2:$J$46,5,FALSE))</f>
        <v>Parcial</v>
      </c>
      <c r="U826" s="1" t="b">
        <f t="array" ref="U826">(INDEX('Ontology and concepts per UC'!$G$2:$I$46,MATCH($S826,'Ontology and concepts per UC'!$F$2:$F$46,0),MATCH(LEFT($A826,3),'Ontology and concepts per UC'!$G$1:$I$1,0))=0)</f>
        <v>0</v>
      </c>
      <c r="V826" s="1" t="b">
        <f t="shared" si="27"/>
        <v>0</v>
      </c>
      <c r="W826" s="1" t="b">
        <v>0</v>
      </c>
      <c r="X826" s="1" t="b">
        <v>0</v>
      </c>
      <c r="Y826" s="1" t="b">
        <v>0</v>
      </c>
      <c r="Z826" s="1" t="b">
        <v>0</v>
      </c>
    </row>
    <row r="827" spans="1:27" x14ac:dyDescent="0.25">
      <c r="A827" s="1" t="s">
        <v>2015</v>
      </c>
      <c r="B827" s="2" t="s">
        <v>2200</v>
      </c>
      <c r="C827" s="2" t="s">
        <v>157</v>
      </c>
      <c r="D827" s="6">
        <f t="shared" si="21"/>
        <v>2</v>
      </c>
      <c r="E827" s="7" t="str">
        <f t="shared" si="22"/>
        <v>Parameter</v>
      </c>
      <c r="F827" s="8" t="b">
        <f>IF(D827&lt;1,FALSE,ISERROR(MATCH(E827,'Ontology and concepts per UC'!$A$2:$A$62,0)))</f>
        <v>0</v>
      </c>
      <c r="G827" s="9" t="str">
        <f t="shared" si="23"/>
        <v>DeterministicParameter</v>
      </c>
      <c r="H827" s="9" t="str">
        <f t="shared" si="24"/>
        <v>DeterministicParameter</v>
      </c>
      <c r="I827" s="8" t="b">
        <f>IF(D827&lt;2,FALSE,ISERROR(MATCH(H827,'Ontology and concepts per UC'!$A$2:$A$62,0)))</f>
        <v>0</v>
      </c>
      <c r="J827" s="9" t="str">
        <f t="shared" si="25"/>
        <v/>
      </c>
      <c r="K827" s="8" t="b">
        <f>IF(D827&lt;3,FALSE,ISERROR(MATCH(J827,'Ontology and concepts per UC'!$A$2:$A$62,0)))</f>
        <v>0</v>
      </c>
      <c r="L827" s="2" t="s">
        <v>1586</v>
      </c>
      <c r="M827" s="2" t="s">
        <v>2201</v>
      </c>
      <c r="N827" s="2"/>
      <c r="O827" s="1" t="b">
        <v>0</v>
      </c>
      <c r="P827" s="1">
        <v>0</v>
      </c>
      <c r="Q827" s="1">
        <v>0</v>
      </c>
      <c r="R827" s="1" t="b">
        <f t="shared" si="26"/>
        <v>1</v>
      </c>
      <c r="S827" s="2" t="s">
        <v>107</v>
      </c>
      <c r="T827" s="1" t="str">
        <f>IF(S827="","",VLOOKUP(S827,'Ontology and concepts per UC'!$F$2:$J$46,5,FALSE))</f>
        <v>Parcial</v>
      </c>
      <c r="U827" s="1" t="b">
        <f t="array" ref="U827">(INDEX('Ontology and concepts per UC'!$G$2:$I$46,MATCH($S827,'Ontology and concepts per UC'!$F$2:$F$46,0),MATCH(LEFT($A827,3),'Ontology and concepts per UC'!$G$1:$I$1,0))=0)</f>
        <v>0</v>
      </c>
      <c r="V827" s="1" t="b">
        <f t="shared" si="27"/>
        <v>0</v>
      </c>
      <c r="W827" s="1" t="b">
        <v>0</v>
      </c>
      <c r="X827" s="1" t="b">
        <v>0</v>
      </c>
      <c r="Y827" s="1" t="b">
        <v>0</v>
      </c>
      <c r="Z827" s="1" t="b">
        <v>0</v>
      </c>
    </row>
    <row r="828" spans="1:27" x14ac:dyDescent="0.25">
      <c r="A828" s="1" t="s">
        <v>2015</v>
      </c>
      <c r="B828" s="2" t="s">
        <v>2202</v>
      </c>
      <c r="C828" s="2" t="s">
        <v>157</v>
      </c>
      <c r="D828" s="6">
        <f t="shared" si="21"/>
        <v>2</v>
      </c>
      <c r="E828" s="7" t="str">
        <f t="shared" si="22"/>
        <v>Parameter</v>
      </c>
      <c r="F828" s="8" t="b">
        <f>IF(D828&lt;1,FALSE,ISERROR(MATCH(E828,'Ontology and concepts per UC'!$A$2:$A$62,0)))</f>
        <v>0</v>
      </c>
      <c r="G828" s="9" t="str">
        <f t="shared" si="23"/>
        <v>DeterministicParameter</v>
      </c>
      <c r="H828" s="9" t="str">
        <f t="shared" si="24"/>
        <v>DeterministicParameter</v>
      </c>
      <c r="I828" s="8" t="b">
        <f>IF(D828&lt;2,FALSE,ISERROR(MATCH(H828,'Ontology and concepts per UC'!$A$2:$A$62,0)))</f>
        <v>0</v>
      </c>
      <c r="J828" s="9" t="str">
        <f t="shared" si="25"/>
        <v/>
      </c>
      <c r="K828" s="8" t="b">
        <f>IF(D828&lt;3,FALSE,ISERROR(MATCH(J828,'Ontology and concepts per UC'!$A$2:$A$62,0)))</f>
        <v>0</v>
      </c>
      <c r="L828" s="2" t="s">
        <v>1586</v>
      </c>
      <c r="M828" s="2" t="s">
        <v>2203</v>
      </c>
      <c r="N828" s="2"/>
      <c r="O828" s="1" t="b">
        <v>0</v>
      </c>
      <c r="P828" s="1">
        <v>0</v>
      </c>
      <c r="Q828" s="1">
        <v>0</v>
      </c>
      <c r="R828" s="1" t="b">
        <f t="shared" si="26"/>
        <v>1</v>
      </c>
      <c r="S828" s="2" t="s">
        <v>107</v>
      </c>
      <c r="T828" s="1" t="str">
        <f>IF(S828="","",VLOOKUP(S828,'Ontology and concepts per UC'!$F$2:$J$46,5,FALSE))</f>
        <v>Parcial</v>
      </c>
      <c r="U828" s="1" t="b">
        <f t="array" ref="U828">(INDEX('Ontology and concepts per UC'!$G$2:$I$46,MATCH($S828,'Ontology and concepts per UC'!$F$2:$F$46,0),MATCH(LEFT($A828,3),'Ontology and concepts per UC'!$G$1:$I$1,0))=0)</f>
        <v>0</v>
      </c>
      <c r="V828" s="1" t="b">
        <f t="shared" si="27"/>
        <v>0</v>
      </c>
      <c r="W828" s="1" t="b">
        <v>0</v>
      </c>
      <c r="X828" s="1" t="b">
        <v>0</v>
      </c>
      <c r="Y828" s="1" t="b">
        <v>0</v>
      </c>
      <c r="Z828" s="1" t="b">
        <v>0</v>
      </c>
    </row>
    <row r="829" spans="1:27" x14ac:dyDescent="0.25">
      <c r="A829" s="1" t="s">
        <v>2015</v>
      </c>
      <c r="B829" s="2" t="s">
        <v>2204</v>
      </c>
      <c r="C829" s="2" t="s">
        <v>157</v>
      </c>
      <c r="D829" s="6">
        <f t="shared" si="21"/>
        <v>2</v>
      </c>
      <c r="E829" s="7" t="str">
        <f t="shared" si="22"/>
        <v>Parameter</v>
      </c>
      <c r="F829" s="8" t="b">
        <f>IF(D829&lt;1,FALSE,ISERROR(MATCH(E829,'Ontology and concepts per UC'!$A$2:$A$62,0)))</f>
        <v>0</v>
      </c>
      <c r="G829" s="9" t="str">
        <f t="shared" si="23"/>
        <v>DeterministicParameter</v>
      </c>
      <c r="H829" s="9" t="str">
        <f t="shared" si="24"/>
        <v>DeterministicParameter</v>
      </c>
      <c r="I829" s="8" t="b">
        <f>IF(D829&lt;2,FALSE,ISERROR(MATCH(H829,'Ontology and concepts per UC'!$A$2:$A$62,0)))</f>
        <v>0</v>
      </c>
      <c r="J829" s="9" t="str">
        <f t="shared" si="25"/>
        <v/>
      </c>
      <c r="K829" s="8" t="b">
        <f>IF(D829&lt;3,FALSE,ISERROR(MATCH(J829,'Ontology and concepts per UC'!$A$2:$A$62,0)))</f>
        <v>0</v>
      </c>
      <c r="L829" s="2" t="s">
        <v>1586</v>
      </c>
      <c r="M829" s="2" t="s">
        <v>2205</v>
      </c>
      <c r="N829" s="2"/>
      <c r="O829" s="1" t="b">
        <v>0</v>
      </c>
      <c r="P829" s="1">
        <v>0</v>
      </c>
      <c r="Q829" s="1">
        <v>0</v>
      </c>
      <c r="R829" s="1" t="b">
        <f t="shared" si="26"/>
        <v>1</v>
      </c>
      <c r="S829" s="2" t="s">
        <v>107</v>
      </c>
      <c r="T829" s="1" t="str">
        <f>IF(S829="","",VLOOKUP(S829,'Ontology and concepts per UC'!$F$2:$J$46,5,FALSE))</f>
        <v>Parcial</v>
      </c>
      <c r="U829" s="1" t="b">
        <f t="array" ref="U829">(INDEX('Ontology and concepts per UC'!$G$2:$I$46,MATCH($S829,'Ontology and concepts per UC'!$F$2:$F$46,0),MATCH(LEFT($A829,3),'Ontology and concepts per UC'!$G$1:$I$1,0))=0)</f>
        <v>0</v>
      </c>
      <c r="V829" s="1" t="b">
        <f t="shared" si="27"/>
        <v>0</v>
      </c>
      <c r="W829" s="1" t="b">
        <v>0</v>
      </c>
      <c r="X829" s="1" t="b">
        <v>0</v>
      </c>
      <c r="Y829" s="1" t="b">
        <v>0</v>
      </c>
      <c r="Z829" s="1" t="b">
        <v>0</v>
      </c>
    </row>
    <row r="830" spans="1:27" x14ac:dyDescent="0.25">
      <c r="A830" s="1" t="s">
        <v>2015</v>
      </c>
      <c r="B830" s="2" t="s">
        <v>2206</v>
      </c>
      <c r="C830" s="2" t="s">
        <v>36</v>
      </c>
      <c r="D830" s="6">
        <f t="shared" si="21"/>
        <v>1</v>
      </c>
      <c r="E830" s="7" t="str">
        <f t="shared" si="22"/>
        <v>RareDisease</v>
      </c>
      <c r="F830" s="8" t="b">
        <f>IF(D830&lt;1,FALSE,ISERROR(MATCH(E830,'Ontology and concepts per UC'!$A$2:$A$62,0)))</f>
        <v>0</v>
      </c>
      <c r="G830" s="9" t="str">
        <f t="shared" si="23"/>
        <v/>
      </c>
      <c r="H830" s="9" t="str">
        <f t="shared" si="24"/>
        <v/>
      </c>
      <c r="I830" s="8" t="b">
        <f>IF(D830&lt;2,FALSE,ISERROR(MATCH(H830,'Ontology and concepts per UC'!$A$2:$A$62,0)))</f>
        <v>0</v>
      </c>
      <c r="J830" s="9" t="str">
        <f t="shared" si="25"/>
        <v/>
      </c>
      <c r="K830" s="8" t="b">
        <f>IF(D830&lt;3,FALSE,ISERROR(MATCH(J830,'Ontology and concepts per UC'!$A$2:$A$62,0)))</f>
        <v>0</v>
      </c>
      <c r="L830" s="2" t="s">
        <v>2207</v>
      </c>
      <c r="M830" s="2" t="s">
        <v>2208</v>
      </c>
      <c r="N830" s="2"/>
      <c r="O830" s="1" t="b">
        <v>0</v>
      </c>
      <c r="P830" s="1">
        <v>0</v>
      </c>
      <c r="Q830" s="1">
        <v>0</v>
      </c>
      <c r="R830" s="1" t="b">
        <f t="shared" si="26"/>
        <v>0</v>
      </c>
      <c r="S830" s="2" t="s">
        <v>35</v>
      </c>
      <c r="T830" s="1" t="str">
        <f>IF(S830="","",VLOOKUP(S830,'Ontology and concepts per UC'!$F$2:$J$46,5,FALSE))</f>
        <v>Modelo Conceptual</v>
      </c>
      <c r="U830" s="1" t="b">
        <f t="array" ref="U830">(INDEX('Ontology and concepts per UC'!$G$2:$I$46,MATCH($S830,'Ontology and concepts per UC'!$F$2:$F$46,0),MATCH(LEFT($A830,3),'Ontology and concepts per UC'!$G$1:$I$1,0))=0)</f>
        <v>0</v>
      </c>
      <c r="V830" s="1" t="b">
        <f t="shared" si="27"/>
        <v>1</v>
      </c>
      <c r="W830" s="1" t="b">
        <v>0</v>
      </c>
      <c r="X830" s="1" t="b">
        <v>0</v>
      </c>
      <c r="Y830" s="1" t="b">
        <v>0</v>
      </c>
      <c r="Z830" s="1" t="b">
        <v>1</v>
      </c>
      <c r="AA830" s="1" t="s">
        <v>2209</v>
      </c>
    </row>
    <row r="831" spans="1:27" x14ac:dyDescent="0.25">
      <c r="A831" s="1" t="s">
        <v>2015</v>
      </c>
      <c r="B831" s="2" t="s">
        <v>2210</v>
      </c>
      <c r="C831" s="2" t="s">
        <v>25</v>
      </c>
      <c r="D831" s="6">
        <f t="shared" si="21"/>
        <v>1</v>
      </c>
      <c r="E831" s="7" t="str">
        <f t="shared" si="22"/>
        <v>ScreeningIntervention</v>
      </c>
      <c r="F831" s="8" t="b">
        <f>IF(D831&lt;1,FALSE,ISERROR(MATCH(E831,'Ontology and concepts per UC'!$A$2:$A$62,0)))</f>
        <v>0</v>
      </c>
      <c r="G831" s="9" t="str">
        <f t="shared" si="23"/>
        <v/>
      </c>
      <c r="H831" s="9" t="str">
        <f t="shared" si="24"/>
        <v/>
      </c>
      <c r="I831" s="8" t="b">
        <f>IF(D831&lt;2,FALSE,ISERROR(MATCH(H831,'Ontology and concepts per UC'!$A$2:$A$62,0)))</f>
        <v>0</v>
      </c>
      <c r="J831" s="9" t="str">
        <f t="shared" si="25"/>
        <v/>
      </c>
      <c r="K831" s="8" t="b">
        <f>IF(D831&lt;3,FALSE,ISERROR(MATCH(J831,'Ontology and concepts per UC'!$A$2:$A$62,0)))</f>
        <v>0</v>
      </c>
      <c r="L831" s="2"/>
      <c r="M831" s="2" t="s">
        <v>2211</v>
      </c>
      <c r="N831" s="2"/>
      <c r="O831" s="1" t="b">
        <v>0</v>
      </c>
      <c r="P831" s="1">
        <v>0</v>
      </c>
      <c r="Q831" s="1">
        <v>0</v>
      </c>
      <c r="R831" s="1" t="b">
        <f t="shared" si="26"/>
        <v>0</v>
      </c>
      <c r="S831" s="2" t="s">
        <v>24</v>
      </c>
      <c r="T831" s="1" t="str">
        <f>IF(S831="","",VLOOKUP(S831,'Ontology and concepts per UC'!$F$2:$J$46,5,FALSE))</f>
        <v>Modelo Conceptual</v>
      </c>
      <c r="U831" s="1" t="b">
        <f t="array" ref="U831">(INDEX('Ontology and concepts per UC'!$G$2:$I$46,MATCH($S831,'Ontology and concepts per UC'!$F$2:$F$46,0),MATCH(LEFT($A831,3),'Ontology and concepts per UC'!$G$1:$I$1,0))=0)</f>
        <v>0</v>
      </c>
      <c r="V831" s="1" t="b">
        <f t="shared" si="27"/>
        <v>0</v>
      </c>
      <c r="W831" s="1" t="b">
        <v>0</v>
      </c>
      <c r="X831" s="1" t="b">
        <v>0</v>
      </c>
      <c r="Y831" s="1" t="b">
        <v>0</v>
      </c>
      <c r="Z831" s="1" t="b">
        <v>0</v>
      </c>
      <c r="AA831" s="1"/>
    </row>
    <row r="832" spans="1:27" x14ac:dyDescent="0.25">
      <c r="A832" s="1" t="s">
        <v>2015</v>
      </c>
      <c r="B832" s="2" t="s">
        <v>2212</v>
      </c>
      <c r="C832" s="2" t="s">
        <v>581</v>
      </c>
      <c r="D832" s="6">
        <f t="shared" si="21"/>
        <v>1</v>
      </c>
      <c r="E832" s="7" t="str">
        <f t="shared" si="22"/>
        <v>Stage</v>
      </c>
      <c r="F832" s="8" t="b">
        <f>IF(D832&lt;1,FALSE,ISERROR(MATCH(E832,'Ontology and concepts per UC'!$A$2:$A$62,0)))</f>
        <v>0</v>
      </c>
      <c r="G832" s="9" t="str">
        <f t="shared" si="23"/>
        <v/>
      </c>
      <c r="H832" s="9" t="str">
        <f t="shared" si="24"/>
        <v/>
      </c>
      <c r="I832" s="8" t="b">
        <f>IF(D832&lt;2,FALSE,ISERROR(MATCH(H832,'Ontology and concepts per UC'!$A$2:$A$62,0)))</f>
        <v>0</v>
      </c>
      <c r="J832" s="9" t="str">
        <f t="shared" si="25"/>
        <v/>
      </c>
      <c r="K832" s="8" t="b">
        <f>IF(D832&lt;3,FALSE,ISERROR(MATCH(J832,'Ontology and concepts per UC'!$A$2:$A$62,0)))</f>
        <v>0</v>
      </c>
      <c r="L832" s="2" t="s">
        <v>2213</v>
      </c>
      <c r="M832" s="2" t="s">
        <v>2214</v>
      </c>
      <c r="N832" s="2"/>
      <c r="O832" s="1" t="b">
        <v>0</v>
      </c>
      <c r="P832" s="1">
        <v>0</v>
      </c>
      <c r="Q832" s="1">
        <v>0</v>
      </c>
      <c r="R832" s="1" t="b">
        <f t="shared" si="26"/>
        <v>0</v>
      </c>
      <c r="S832" s="2" t="s">
        <v>187</v>
      </c>
      <c r="T832" s="1" t="str">
        <f>IF(S832="","",VLOOKUP(S832,'Ontology and concepts per UC'!$F$2:$J$46,5,FALSE))</f>
        <v>Otros</v>
      </c>
      <c r="U832" s="1" t="b">
        <f t="array" ref="U832">(INDEX('Ontology and concepts per UC'!$G$2:$I$46,MATCH($S832,'Ontology and concepts per UC'!$F$2:$F$46,0),MATCH(LEFT($A832,3),'Ontology and concepts per UC'!$G$1:$I$1,0))=0)</f>
        <v>1</v>
      </c>
      <c r="V832" s="1" t="b">
        <f t="shared" si="27"/>
        <v>0</v>
      </c>
      <c r="W832" s="1" t="b">
        <v>0</v>
      </c>
      <c r="X832" s="1" t="b">
        <v>0</v>
      </c>
      <c r="Y832" s="1" t="b">
        <v>0</v>
      </c>
      <c r="Z832" s="1" t="b">
        <v>0</v>
      </c>
      <c r="AA832" s="1"/>
    </row>
    <row r="833" spans="1:27" x14ac:dyDescent="0.25">
      <c r="A833" s="1" t="s">
        <v>2015</v>
      </c>
      <c r="B833" s="2" t="s">
        <v>2215</v>
      </c>
      <c r="C833" s="2" t="s">
        <v>581</v>
      </c>
      <c r="D833" s="6">
        <f t="shared" si="21"/>
        <v>1</v>
      </c>
      <c r="E833" s="7" t="str">
        <f t="shared" si="22"/>
        <v>Stage</v>
      </c>
      <c r="F833" s="8" t="b">
        <f>IF(D833&lt;1,FALSE,ISERROR(MATCH(E833,'Ontology and concepts per UC'!$A$2:$A$62,0)))</f>
        <v>0</v>
      </c>
      <c r="G833" s="9" t="str">
        <f t="shared" si="23"/>
        <v/>
      </c>
      <c r="H833" s="9" t="str">
        <f t="shared" si="24"/>
        <v/>
      </c>
      <c r="I833" s="8" t="b">
        <f>IF(D833&lt;2,FALSE,ISERROR(MATCH(H833,'Ontology and concepts per UC'!$A$2:$A$62,0)))</f>
        <v>0</v>
      </c>
      <c r="J833" s="9" t="str">
        <f t="shared" si="25"/>
        <v/>
      </c>
      <c r="K833" s="8" t="b">
        <f>IF(D833&lt;3,FALSE,ISERROR(MATCH(J833,'Ontology and concepts per UC'!$A$2:$A$62,0)))</f>
        <v>0</v>
      </c>
      <c r="L833" s="2" t="s">
        <v>2216</v>
      </c>
      <c r="M833" s="2" t="s">
        <v>2217</v>
      </c>
      <c r="N833" s="2"/>
      <c r="O833" s="1" t="b">
        <v>0</v>
      </c>
      <c r="P833" s="1">
        <v>0</v>
      </c>
      <c r="Q833" s="1">
        <v>0</v>
      </c>
      <c r="R833" s="1" t="b">
        <f t="shared" si="26"/>
        <v>0</v>
      </c>
      <c r="S833" s="2" t="s">
        <v>187</v>
      </c>
      <c r="T833" s="1" t="str">
        <f>IF(S833="","",VLOOKUP(S833,'Ontology and concepts per UC'!$F$2:$J$46,5,FALSE))</f>
        <v>Otros</v>
      </c>
      <c r="U833" s="1" t="b">
        <f t="array" ref="U833">(INDEX('Ontology and concepts per UC'!$G$2:$I$46,MATCH($S833,'Ontology and concepts per UC'!$F$2:$F$46,0),MATCH(LEFT($A833,3),'Ontology and concepts per UC'!$G$1:$I$1,0))=0)</f>
        <v>1</v>
      </c>
      <c r="V833" s="1" t="b">
        <f t="shared" si="27"/>
        <v>0</v>
      </c>
      <c r="W833" s="1" t="b">
        <v>0</v>
      </c>
      <c r="X833" s="1" t="b">
        <v>0</v>
      </c>
      <c r="Y833" s="1" t="b">
        <v>0</v>
      </c>
      <c r="Z833" s="1" t="b">
        <v>0</v>
      </c>
      <c r="AA833" s="1"/>
    </row>
    <row r="834" spans="1:27" x14ac:dyDescent="0.25">
      <c r="A834" s="1" t="s">
        <v>2015</v>
      </c>
      <c r="B834" s="2" t="s">
        <v>2218</v>
      </c>
      <c r="C834" s="2" t="s">
        <v>581</v>
      </c>
      <c r="D834" s="6">
        <f t="shared" si="21"/>
        <v>1</v>
      </c>
      <c r="E834" s="7" t="str">
        <f t="shared" si="22"/>
        <v>Stage</v>
      </c>
      <c r="F834" s="8" t="b">
        <f>IF(D834&lt;1,FALSE,ISERROR(MATCH(E834,'Ontology and concepts per UC'!$A$2:$A$62,0)))</f>
        <v>0</v>
      </c>
      <c r="G834" s="9" t="str">
        <f t="shared" si="23"/>
        <v/>
      </c>
      <c r="H834" s="9" t="str">
        <f t="shared" si="24"/>
        <v/>
      </c>
      <c r="I834" s="8" t="b">
        <f>IF(D834&lt;2,FALSE,ISERROR(MATCH(H834,'Ontology and concepts per UC'!$A$2:$A$62,0)))</f>
        <v>0</v>
      </c>
      <c r="J834" s="9" t="str">
        <f t="shared" si="25"/>
        <v/>
      </c>
      <c r="K834" s="8" t="b">
        <f>IF(D834&lt;3,FALSE,ISERROR(MATCH(J834,'Ontology and concepts per UC'!$A$2:$A$62,0)))</f>
        <v>0</v>
      </c>
      <c r="L834" s="2" t="s">
        <v>2219</v>
      </c>
      <c r="M834" s="2" t="s">
        <v>2220</v>
      </c>
      <c r="N834" s="2"/>
      <c r="O834" s="1" t="b">
        <v>0</v>
      </c>
      <c r="P834" s="1">
        <v>0</v>
      </c>
      <c r="Q834" s="1">
        <v>0</v>
      </c>
      <c r="R834" s="1" t="b">
        <f t="shared" si="26"/>
        <v>0</v>
      </c>
      <c r="S834" s="2" t="s">
        <v>187</v>
      </c>
      <c r="T834" s="1" t="str">
        <f>IF(S834="","",VLOOKUP(S834,'Ontology and concepts per UC'!$F$2:$J$46,5,FALSE))</f>
        <v>Otros</v>
      </c>
      <c r="U834" s="1" t="b">
        <f t="array" ref="U834">(INDEX('Ontology and concepts per UC'!$G$2:$I$46,MATCH($S834,'Ontology and concepts per UC'!$F$2:$F$46,0),MATCH(LEFT($A834,3),'Ontology and concepts per UC'!$G$1:$I$1,0))=0)</f>
        <v>1</v>
      </c>
      <c r="V834" s="1" t="b">
        <f t="shared" si="27"/>
        <v>0</v>
      </c>
      <c r="W834" s="1" t="b">
        <v>0</v>
      </c>
      <c r="X834" s="1" t="b">
        <v>0</v>
      </c>
      <c r="Y834" s="1" t="b">
        <v>0</v>
      </c>
      <c r="Z834" s="1" t="b">
        <v>0</v>
      </c>
      <c r="AA834" s="1"/>
    </row>
    <row r="835" spans="1:27" x14ac:dyDescent="0.25">
      <c r="A835" s="1" t="s">
        <v>2015</v>
      </c>
      <c r="B835" s="2" t="s">
        <v>2221</v>
      </c>
      <c r="C835" s="2" t="s">
        <v>605</v>
      </c>
      <c r="D835" s="6">
        <f t="shared" si="21"/>
        <v>1</v>
      </c>
      <c r="E835" s="7" t="str">
        <f t="shared" si="22"/>
        <v>TherapeuticIntervention</v>
      </c>
      <c r="F835" s="8" t="b">
        <f>IF(D835&lt;1,FALSE,ISERROR(MATCH(E835,'Ontology and concepts per UC'!$A$2:$A$62,0)))</f>
        <v>0</v>
      </c>
      <c r="G835" s="9" t="str">
        <f t="shared" si="23"/>
        <v/>
      </c>
      <c r="H835" s="9" t="str">
        <f t="shared" si="24"/>
        <v/>
      </c>
      <c r="I835" s="8" t="b">
        <f>IF(D835&lt;2,FALSE,ISERROR(MATCH(H835,'Ontology and concepts per UC'!$A$2:$A$62,0)))</f>
        <v>0</v>
      </c>
      <c r="J835" s="9" t="str">
        <f t="shared" si="25"/>
        <v/>
      </c>
      <c r="K835" s="8" t="b">
        <f>IF(D835&lt;3,FALSE,ISERROR(MATCH(J835,'Ontology and concepts per UC'!$A$2:$A$62,0)))</f>
        <v>0</v>
      </c>
      <c r="L835" s="2"/>
      <c r="M835" s="2" t="s">
        <v>2222</v>
      </c>
      <c r="N835" s="2"/>
      <c r="O835" s="1" t="b">
        <v>0</v>
      </c>
      <c r="P835" s="1">
        <v>0</v>
      </c>
      <c r="Q835" s="1">
        <v>0</v>
      </c>
      <c r="R835" s="1" t="b">
        <f t="shared" si="26"/>
        <v>0</v>
      </c>
      <c r="S835" s="2" t="s">
        <v>62</v>
      </c>
      <c r="T835" s="1" t="str">
        <f>IF(S835="","",VLOOKUP(S835,'Ontology and concepts per UC'!$F$2:$J$46,5,FALSE))</f>
        <v>Tratamiento/seguimiento</v>
      </c>
      <c r="U835" s="1" t="b">
        <f t="array" ref="U835">(INDEX('Ontology and concepts per UC'!$G$2:$I$46,MATCH($S835,'Ontology and concepts per UC'!$F$2:$F$46,0),MATCH(LEFT($A835,3),'Ontology and concepts per UC'!$G$1:$I$1,0))=0)</f>
        <v>0</v>
      </c>
      <c r="V835" s="1" t="b">
        <f t="shared" si="27"/>
        <v>1</v>
      </c>
      <c r="W835" s="1" t="b">
        <v>0</v>
      </c>
      <c r="X835" s="1" t="b">
        <v>0</v>
      </c>
      <c r="Y835" s="1" t="b">
        <v>0</v>
      </c>
      <c r="Z835" s="1" t="b">
        <v>1</v>
      </c>
      <c r="AA835" s="1" t="s">
        <v>1954</v>
      </c>
    </row>
    <row r="836" spans="1:27" x14ac:dyDescent="0.25">
      <c r="A836" s="1" t="s">
        <v>2015</v>
      </c>
      <c r="B836" s="2" t="s">
        <v>2223</v>
      </c>
      <c r="C836" s="2" t="s">
        <v>605</v>
      </c>
      <c r="D836" s="6">
        <f t="shared" si="21"/>
        <v>1</v>
      </c>
      <c r="E836" s="7" t="str">
        <f t="shared" si="22"/>
        <v>TherapeuticIntervention</v>
      </c>
      <c r="F836" s="8" t="b">
        <f>IF(D836&lt;1,FALSE,ISERROR(MATCH(E836,'Ontology and concepts per UC'!$A$2:$A$62,0)))</f>
        <v>0</v>
      </c>
      <c r="G836" s="9" t="str">
        <f t="shared" si="23"/>
        <v/>
      </c>
      <c r="H836" s="9" t="str">
        <f t="shared" si="24"/>
        <v/>
      </c>
      <c r="I836" s="8" t="b">
        <f>IF(D836&lt;2,FALSE,ISERROR(MATCH(H836,'Ontology and concepts per UC'!$A$2:$A$62,0)))</f>
        <v>0</v>
      </c>
      <c r="J836" s="9" t="str">
        <f t="shared" si="25"/>
        <v/>
      </c>
      <c r="K836" s="8" t="b">
        <f>IF(D836&lt;3,FALSE,ISERROR(MATCH(J836,'Ontology and concepts per UC'!$A$2:$A$62,0)))</f>
        <v>0</v>
      </c>
      <c r="L836" s="2"/>
      <c r="M836" s="2" t="s">
        <v>2224</v>
      </c>
      <c r="N836" s="2"/>
      <c r="O836" s="1" t="b">
        <v>0</v>
      </c>
      <c r="P836" s="1">
        <v>0</v>
      </c>
      <c r="Q836" s="1">
        <v>0</v>
      </c>
      <c r="R836" s="1" t="b">
        <f t="shared" si="26"/>
        <v>0</v>
      </c>
      <c r="S836" s="2" t="s">
        <v>60</v>
      </c>
      <c r="T836" s="1" t="str">
        <f>IF(S836="","",VLOOKUP(S836,'Ontology and concepts per UC'!$F$2:$J$46,5,FALSE))</f>
        <v>Tratamiento/seguimiento</v>
      </c>
      <c r="U836" s="1" t="b">
        <f t="array" ref="U836">(INDEX('Ontology and concepts per UC'!$G$2:$I$46,MATCH($S836,'Ontology and concepts per UC'!$F$2:$F$46,0),MATCH(LEFT($A836,3),'Ontology and concepts per UC'!$G$1:$I$1,0))=0)</f>
        <v>0</v>
      </c>
      <c r="V836" s="1" t="b">
        <f t="shared" si="27"/>
        <v>1</v>
      </c>
      <c r="W836" s="1" t="b">
        <v>0</v>
      </c>
      <c r="X836" s="1" t="b">
        <v>0</v>
      </c>
      <c r="Y836" s="1" t="b">
        <v>0</v>
      </c>
      <c r="Z836" s="1" t="b">
        <v>1</v>
      </c>
      <c r="AA836" s="1" t="s">
        <v>1954</v>
      </c>
    </row>
    <row r="837" spans="1:27" x14ac:dyDescent="0.25">
      <c r="A837" s="1" t="s">
        <v>2015</v>
      </c>
      <c r="B837" s="2" t="s">
        <v>2225</v>
      </c>
      <c r="C837" s="2" t="s">
        <v>1308</v>
      </c>
      <c r="D837" s="6">
        <f t="shared" si="21"/>
        <v>1</v>
      </c>
      <c r="E837" s="7" t="str">
        <f t="shared" si="22"/>
        <v>Treatment</v>
      </c>
      <c r="F837" s="8" t="b">
        <f>IF(D837&lt;1,FALSE,ISERROR(MATCH(E837,'Ontology and concepts per UC'!$A$2:$A$62,0)))</f>
        <v>0</v>
      </c>
      <c r="G837" s="9" t="str">
        <f t="shared" si="23"/>
        <v/>
      </c>
      <c r="H837" s="9" t="str">
        <f t="shared" si="24"/>
        <v/>
      </c>
      <c r="I837" s="8" t="b">
        <f>IF(D837&lt;2,FALSE,ISERROR(MATCH(H837,'Ontology and concepts per UC'!$A$2:$A$62,0)))</f>
        <v>0</v>
      </c>
      <c r="J837" s="9" t="str">
        <f t="shared" si="25"/>
        <v/>
      </c>
      <c r="K837" s="8" t="b">
        <f>IF(D837&lt;3,FALSE,ISERROR(MATCH(J837,'Ontology and concepts per UC'!$A$2:$A$62,0)))</f>
        <v>0</v>
      </c>
      <c r="L837" s="2" t="s">
        <v>2226</v>
      </c>
      <c r="M837" s="2" t="s">
        <v>2227</v>
      </c>
      <c r="N837" s="2"/>
      <c r="O837" s="1" t="b">
        <v>0</v>
      </c>
      <c r="P837" s="1">
        <v>0</v>
      </c>
      <c r="Q837" s="1">
        <v>0</v>
      </c>
      <c r="R837" s="1" t="b">
        <f t="shared" si="26"/>
        <v>0</v>
      </c>
      <c r="S837" s="2" t="s">
        <v>107</v>
      </c>
      <c r="T837" s="1" t="str">
        <f>IF(S837="","",VLOOKUP(S837,'Ontology and concepts per UC'!$F$2:$J$46,5,FALSE))</f>
        <v>Parcial</v>
      </c>
      <c r="U837" s="1" t="b">
        <f t="array" ref="U837">(INDEX('Ontology and concepts per UC'!$G$2:$I$46,MATCH($S837,'Ontology and concepts per UC'!$F$2:$F$46,0),MATCH(LEFT($A837,3),'Ontology and concepts per UC'!$G$1:$I$1,0))=0)</f>
        <v>0</v>
      </c>
      <c r="V837" s="1" t="b">
        <f t="shared" si="27"/>
        <v>0</v>
      </c>
      <c r="W837" s="1" t="b">
        <v>0</v>
      </c>
      <c r="X837" s="1" t="b">
        <v>0</v>
      </c>
      <c r="Y837" s="1" t="b">
        <v>0</v>
      </c>
      <c r="Z837" s="1" t="b">
        <v>0</v>
      </c>
    </row>
    <row r="838" spans="1:27" x14ac:dyDescent="0.25">
      <c r="A838" s="1" t="s">
        <v>2015</v>
      </c>
      <c r="B838" s="2" t="s">
        <v>2228</v>
      </c>
      <c r="C838" s="2" t="s">
        <v>1308</v>
      </c>
      <c r="D838" s="6">
        <f t="shared" si="21"/>
        <v>1</v>
      </c>
      <c r="E838" s="7" t="str">
        <f t="shared" si="22"/>
        <v>Treatment</v>
      </c>
      <c r="F838" s="8" t="b">
        <f>IF(D838&lt;1,FALSE,ISERROR(MATCH(E838,'Ontology and concepts per UC'!$A$2:$A$62,0)))</f>
        <v>0</v>
      </c>
      <c r="G838" s="9" t="str">
        <f t="shared" si="23"/>
        <v/>
      </c>
      <c r="H838" s="9" t="str">
        <f t="shared" si="24"/>
        <v/>
      </c>
      <c r="I838" s="8" t="b">
        <f>IF(D838&lt;2,FALSE,ISERROR(MATCH(H838,'Ontology and concepts per UC'!$A$2:$A$62,0)))</f>
        <v>0</v>
      </c>
      <c r="J838" s="9" t="str">
        <f t="shared" si="25"/>
        <v/>
      </c>
      <c r="K838" s="8" t="b">
        <f>IF(D838&lt;3,FALSE,ISERROR(MATCH(J838,'Ontology and concepts per UC'!$A$2:$A$62,0)))</f>
        <v>0</v>
      </c>
      <c r="L838" s="2" t="s">
        <v>2229</v>
      </c>
      <c r="M838" s="2" t="s">
        <v>2230</v>
      </c>
      <c r="N838" s="2"/>
      <c r="O838" s="1" t="b">
        <v>0</v>
      </c>
      <c r="P838" s="1">
        <v>0</v>
      </c>
      <c r="Q838" s="1">
        <v>0</v>
      </c>
      <c r="R838" s="1" t="b">
        <f t="shared" si="26"/>
        <v>0</v>
      </c>
      <c r="S838" s="2" t="s">
        <v>62</v>
      </c>
      <c r="T838" s="1" t="str">
        <f>IF(S838="","",VLOOKUP(S838,'Ontology and concepts per UC'!$F$2:$J$46,5,FALSE))</f>
        <v>Tratamiento/seguimiento</v>
      </c>
      <c r="U838" s="1" t="b">
        <f t="array" ref="U838">(INDEX('Ontology and concepts per UC'!$G$2:$I$46,MATCH($S838,'Ontology and concepts per UC'!$F$2:$F$46,0),MATCH(LEFT($A838,3),'Ontology and concepts per UC'!$G$1:$I$1,0))=0)</f>
        <v>0</v>
      </c>
      <c r="V838" s="1" t="b">
        <f t="shared" si="27"/>
        <v>0</v>
      </c>
      <c r="W838" s="1" t="b">
        <v>0</v>
      </c>
      <c r="X838" s="1" t="b">
        <v>0</v>
      </c>
      <c r="Y838" s="1" t="b">
        <v>0</v>
      </c>
      <c r="Z838" s="1" t="b">
        <v>0</v>
      </c>
      <c r="AA838" s="1"/>
    </row>
    <row r="839" spans="1:27" x14ac:dyDescent="0.25">
      <c r="A839" s="1" t="s">
        <v>2015</v>
      </c>
      <c r="B839" s="2" t="s">
        <v>2231</v>
      </c>
      <c r="C839" s="2" t="s">
        <v>219</v>
      </c>
      <c r="D839" s="6">
        <f t="shared" si="21"/>
        <v>1</v>
      </c>
      <c r="E839" s="7" t="str">
        <f t="shared" si="22"/>
        <v>Utility</v>
      </c>
      <c r="F839" s="8" t="b">
        <f>IF(D839&lt;1,FALSE,ISERROR(MATCH(E839,'Ontology and concepts per UC'!$A$2:$A$62,0)))</f>
        <v>0</v>
      </c>
      <c r="G839" s="9" t="str">
        <f t="shared" si="23"/>
        <v/>
      </c>
      <c r="H839" s="9" t="str">
        <f t="shared" si="24"/>
        <v/>
      </c>
      <c r="I839" s="8" t="b">
        <f>IF(D839&lt;2,FALSE,ISERROR(MATCH(H839,'Ontology and concepts per UC'!$A$2:$A$62,0)))</f>
        <v>0</v>
      </c>
      <c r="J839" s="9" t="str">
        <f t="shared" si="25"/>
        <v/>
      </c>
      <c r="K839" s="8" t="b">
        <f>IF(D839&lt;3,FALSE,ISERROR(MATCH(J839,'Ontology and concepts per UC'!$A$2:$A$62,0)))</f>
        <v>0</v>
      </c>
      <c r="L839" s="2" t="s">
        <v>1154</v>
      </c>
      <c r="M839" s="2" t="s">
        <v>2232</v>
      </c>
      <c r="N839" s="2"/>
      <c r="O839" s="1" t="b">
        <v>0</v>
      </c>
      <c r="P839" s="1">
        <v>0</v>
      </c>
      <c r="Q839" s="1">
        <v>0</v>
      </c>
      <c r="R839" s="1" t="b">
        <f t="shared" si="26"/>
        <v>1</v>
      </c>
      <c r="S839" s="2" t="s">
        <v>174</v>
      </c>
      <c r="T839" s="1" t="str">
        <f>IF(S839="","",VLOOKUP(S839,'Ontology and concepts per UC'!$F$2:$J$46,5,FALSE))</f>
        <v>Utilidad</v>
      </c>
      <c r="U839" s="1" t="b">
        <f t="array" ref="U839">(INDEX('Ontology and concepts per UC'!$G$2:$I$46,MATCH($S839,'Ontology and concepts per UC'!$F$2:$F$46,0),MATCH(LEFT($A839,3),'Ontology and concepts per UC'!$G$1:$I$1,0))=0)</f>
        <v>0</v>
      </c>
      <c r="V839" s="1" t="b">
        <f t="shared" si="27"/>
        <v>0</v>
      </c>
      <c r="W839" s="1" t="b">
        <v>0</v>
      </c>
      <c r="X839" s="1" t="b">
        <v>0</v>
      </c>
      <c r="Y839" s="1" t="b">
        <v>0</v>
      </c>
      <c r="Z839" s="1" t="b">
        <v>0</v>
      </c>
      <c r="AA839" s="1"/>
    </row>
    <row r="840" spans="1:27" x14ac:dyDescent="0.25">
      <c r="A840" s="1" t="s">
        <v>2015</v>
      </c>
      <c r="B840" s="2" t="s">
        <v>2233</v>
      </c>
      <c r="C840" s="2" t="s">
        <v>219</v>
      </c>
      <c r="D840" s="6">
        <f t="shared" si="21"/>
        <v>1</v>
      </c>
      <c r="E840" s="7" t="str">
        <f t="shared" si="22"/>
        <v>Utility</v>
      </c>
      <c r="F840" s="8" t="b">
        <f>IF(D840&lt;1,FALSE,ISERROR(MATCH(E840,'Ontology and concepts per UC'!$A$2:$A$62,0)))</f>
        <v>0</v>
      </c>
      <c r="G840" s="9" t="str">
        <f t="shared" si="23"/>
        <v/>
      </c>
      <c r="H840" s="9" t="str">
        <f t="shared" si="24"/>
        <v/>
      </c>
      <c r="I840" s="8" t="b">
        <f>IF(D840&lt;2,FALSE,ISERROR(MATCH(H840,'Ontology and concepts per UC'!$A$2:$A$62,0)))</f>
        <v>0</v>
      </c>
      <c r="J840" s="9" t="str">
        <f t="shared" si="25"/>
        <v/>
      </c>
      <c r="K840" s="8" t="b">
        <f>IF(D840&lt;3,FALSE,ISERROR(MATCH(J840,'Ontology and concepts per UC'!$A$2:$A$62,0)))</f>
        <v>0</v>
      </c>
      <c r="L840" s="2" t="s">
        <v>1154</v>
      </c>
      <c r="M840" s="2" t="s">
        <v>2234</v>
      </c>
      <c r="N840" s="2"/>
      <c r="O840" s="1" t="b">
        <v>0</v>
      </c>
      <c r="P840" s="1">
        <v>0</v>
      </c>
      <c r="Q840" s="1">
        <v>0</v>
      </c>
      <c r="R840" s="1" t="b">
        <f t="shared" si="26"/>
        <v>1</v>
      </c>
      <c r="S840" s="2" t="s">
        <v>174</v>
      </c>
      <c r="T840" s="1" t="str">
        <f>IF(S840="","",VLOOKUP(S840,'Ontology and concepts per UC'!$F$2:$J$46,5,FALSE))</f>
        <v>Utilidad</v>
      </c>
      <c r="U840" s="1" t="b">
        <f t="array" ref="U840">(INDEX('Ontology and concepts per UC'!$G$2:$I$46,MATCH($S840,'Ontology and concepts per UC'!$F$2:$F$46,0),MATCH(LEFT($A840,3),'Ontology and concepts per UC'!$G$1:$I$1,0))=0)</f>
        <v>0</v>
      </c>
      <c r="V840" s="1" t="b">
        <f t="shared" si="27"/>
        <v>0</v>
      </c>
      <c r="W840" s="1" t="b">
        <v>0</v>
      </c>
      <c r="X840" s="1" t="b">
        <v>0</v>
      </c>
      <c r="Y840" s="1" t="b">
        <v>0</v>
      </c>
      <c r="Z840" s="1" t="b">
        <v>0</v>
      </c>
      <c r="AA840" s="1"/>
    </row>
    <row r="841" spans="1:27" x14ac:dyDescent="0.25">
      <c r="A841" s="1" t="s">
        <v>2015</v>
      </c>
      <c r="B841" s="2" t="s">
        <v>2235</v>
      </c>
      <c r="C841" s="2" t="s">
        <v>219</v>
      </c>
      <c r="D841" s="6">
        <f t="shared" si="21"/>
        <v>1</v>
      </c>
      <c r="E841" s="7" t="str">
        <f t="shared" si="22"/>
        <v>Utility</v>
      </c>
      <c r="F841" s="8" t="b">
        <f>IF(D841&lt;1,FALSE,ISERROR(MATCH(E841,'Ontology and concepts per UC'!$A$2:$A$62,0)))</f>
        <v>0</v>
      </c>
      <c r="G841" s="9" t="str">
        <f t="shared" si="23"/>
        <v/>
      </c>
      <c r="H841" s="9" t="str">
        <f t="shared" si="24"/>
        <v/>
      </c>
      <c r="I841" s="8" t="b">
        <f>IF(D841&lt;2,FALSE,ISERROR(MATCH(H841,'Ontology and concepts per UC'!$A$2:$A$62,0)))</f>
        <v>0</v>
      </c>
      <c r="J841" s="9" t="str">
        <f t="shared" si="25"/>
        <v/>
      </c>
      <c r="K841" s="8" t="b">
        <f>IF(D841&lt;3,FALSE,ISERROR(MATCH(J841,'Ontology and concepts per UC'!$A$2:$A$62,0)))</f>
        <v>0</v>
      </c>
      <c r="L841" s="2" t="s">
        <v>1154</v>
      </c>
      <c r="M841" s="2" t="s">
        <v>2236</v>
      </c>
      <c r="N841" s="2"/>
      <c r="O841" s="1" t="b">
        <v>0</v>
      </c>
      <c r="P841" s="1">
        <v>0</v>
      </c>
      <c r="Q841" s="1">
        <v>0</v>
      </c>
      <c r="R841" s="1" t="b">
        <f t="shared" si="26"/>
        <v>1</v>
      </c>
      <c r="S841" s="2" t="s">
        <v>68</v>
      </c>
      <c r="T841" s="1" t="str">
        <f>IF(S841="","",VLOOKUP(S841,'Ontology and concepts per UC'!$F$2:$J$46,5,FALSE))</f>
        <v>Utilidad</v>
      </c>
      <c r="U841" s="1" t="b">
        <f t="array" ref="U841">(INDEX('Ontology and concepts per UC'!$G$2:$I$46,MATCH($S841,'Ontology and concepts per UC'!$F$2:$F$46,0),MATCH(LEFT($A841,3),'Ontology and concepts per UC'!$G$1:$I$1,0))=0)</f>
        <v>0</v>
      </c>
      <c r="V841" s="1" t="b">
        <f t="shared" si="27"/>
        <v>0</v>
      </c>
      <c r="W841" s="1" t="b">
        <v>0</v>
      </c>
      <c r="X841" s="1" t="b">
        <v>0</v>
      </c>
      <c r="Y841" s="1" t="b">
        <v>0</v>
      </c>
      <c r="Z841" s="1" t="b">
        <v>0</v>
      </c>
      <c r="AA841" s="1"/>
    </row>
    <row r="842" spans="1:27" x14ac:dyDescent="0.25">
      <c r="A842" s="1" t="s">
        <v>2015</v>
      </c>
      <c r="B842" s="2" t="s">
        <v>2237</v>
      </c>
      <c r="C842" s="2" t="s">
        <v>219</v>
      </c>
      <c r="D842" s="6">
        <f t="shared" si="21"/>
        <v>1</v>
      </c>
      <c r="E842" s="7" t="str">
        <f t="shared" si="22"/>
        <v>Utility</v>
      </c>
      <c r="F842" s="8" t="b">
        <f>IF(D842&lt;1,FALSE,ISERROR(MATCH(E842,'Ontology and concepts per UC'!$A$2:$A$62,0)))</f>
        <v>0</v>
      </c>
      <c r="G842" s="9" t="str">
        <f t="shared" si="23"/>
        <v/>
      </c>
      <c r="H842" s="9" t="str">
        <f t="shared" si="24"/>
        <v/>
      </c>
      <c r="I842" s="8" t="b">
        <f>IF(D842&lt;2,FALSE,ISERROR(MATCH(H842,'Ontology and concepts per UC'!$A$2:$A$62,0)))</f>
        <v>0</v>
      </c>
      <c r="J842" s="9" t="str">
        <f t="shared" si="25"/>
        <v/>
      </c>
      <c r="K842" s="8" t="b">
        <f>IF(D842&lt;3,FALSE,ISERROR(MATCH(J842,'Ontology and concepts per UC'!$A$2:$A$62,0)))</f>
        <v>0</v>
      </c>
      <c r="L842" s="2" t="s">
        <v>1154</v>
      </c>
      <c r="M842" s="2" t="s">
        <v>2238</v>
      </c>
      <c r="N842" s="2"/>
      <c r="O842" s="1" t="b">
        <v>0</v>
      </c>
      <c r="P842" s="1">
        <v>0</v>
      </c>
      <c r="Q842" s="1">
        <v>0</v>
      </c>
      <c r="R842" s="1" t="b">
        <f t="shared" si="26"/>
        <v>1</v>
      </c>
      <c r="S842" s="2" t="s">
        <v>69</v>
      </c>
      <c r="T842" s="1" t="str">
        <f>IF(S842="","",VLOOKUP(S842,'Ontology and concepts per UC'!$F$2:$J$46,5,FALSE))</f>
        <v>Utilidad</v>
      </c>
      <c r="U842" s="1" t="b">
        <f t="array" ref="U842">(INDEX('Ontology and concepts per UC'!$G$2:$I$46,MATCH($S842,'Ontology and concepts per UC'!$F$2:$F$46,0),MATCH(LEFT($A842,3),'Ontology and concepts per UC'!$G$1:$I$1,0))=0)</f>
        <v>0</v>
      </c>
      <c r="V842" s="1" t="b">
        <f t="shared" si="27"/>
        <v>0</v>
      </c>
      <c r="W842" s="1" t="b">
        <v>0</v>
      </c>
      <c r="X842" s="1" t="b">
        <v>0</v>
      </c>
      <c r="Y842" s="1" t="b">
        <v>0</v>
      </c>
      <c r="Z842" s="1" t="b">
        <v>0</v>
      </c>
      <c r="AA842" s="1"/>
    </row>
    <row r="843" spans="1:27" x14ac:dyDescent="0.25">
      <c r="A843" s="1" t="s">
        <v>2015</v>
      </c>
      <c r="B843" s="2" t="s">
        <v>2239</v>
      </c>
      <c r="C843" s="2" t="s">
        <v>219</v>
      </c>
      <c r="D843" s="6">
        <f t="shared" si="21"/>
        <v>1</v>
      </c>
      <c r="E843" s="7" t="str">
        <f t="shared" si="22"/>
        <v>Utility</v>
      </c>
      <c r="F843" s="8" t="b">
        <f>IF(D843&lt;1,FALSE,ISERROR(MATCH(E843,'Ontology and concepts per UC'!$A$2:$A$62,0)))</f>
        <v>0</v>
      </c>
      <c r="G843" s="9" t="str">
        <f t="shared" si="23"/>
        <v/>
      </c>
      <c r="H843" s="9" t="str">
        <f t="shared" si="24"/>
        <v/>
      </c>
      <c r="I843" s="8" t="b">
        <f>IF(D843&lt;2,FALSE,ISERROR(MATCH(H843,'Ontology and concepts per UC'!$A$2:$A$62,0)))</f>
        <v>0</v>
      </c>
      <c r="J843" s="9" t="str">
        <f t="shared" si="25"/>
        <v/>
      </c>
      <c r="K843" s="8" t="b">
        <f>IF(D843&lt;3,FALSE,ISERROR(MATCH(J843,'Ontology and concepts per UC'!$A$2:$A$62,0)))</f>
        <v>0</v>
      </c>
      <c r="L843" s="2" t="s">
        <v>1154</v>
      </c>
      <c r="M843" s="2" t="s">
        <v>2240</v>
      </c>
      <c r="N843" s="2"/>
      <c r="O843" s="1" t="b">
        <v>0</v>
      </c>
      <c r="P843" s="1">
        <v>0</v>
      </c>
      <c r="Q843" s="1">
        <v>0</v>
      </c>
      <c r="R843" s="1" t="b">
        <f t="shared" si="26"/>
        <v>1</v>
      </c>
      <c r="S843" s="2" t="s">
        <v>174</v>
      </c>
      <c r="T843" s="1" t="str">
        <f>IF(S843="","",VLOOKUP(S843,'Ontology and concepts per UC'!$F$2:$J$46,5,FALSE))</f>
        <v>Utilidad</v>
      </c>
      <c r="U843" s="1" t="b">
        <f t="array" ref="U843">(INDEX('Ontology and concepts per UC'!$G$2:$I$46,MATCH($S843,'Ontology and concepts per UC'!$F$2:$F$46,0),MATCH(LEFT($A843,3),'Ontology and concepts per UC'!$G$1:$I$1,0))=0)</f>
        <v>0</v>
      </c>
      <c r="V843" s="1" t="b">
        <f t="shared" si="27"/>
        <v>0</v>
      </c>
      <c r="W843" s="1" t="b">
        <v>0</v>
      </c>
      <c r="X843" s="1" t="b">
        <v>0</v>
      </c>
      <c r="Y843" s="1" t="b">
        <v>0</v>
      </c>
      <c r="Z843" s="1" t="b">
        <v>0</v>
      </c>
      <c r="AA843" s="1"/>
    </row>
    <row r="844" spans="1:27" x14ac:dyDescent="0.25">
      <c r="A844" s="1" t="s">
        <v>2015</v>
      </c>
      <c r="B844" s="2" t="s">
        <v>2241</v>
      </c>
      <c r="C844" s="2" t="s">
        <v>219</v>
      </c>
      <c r="D844" s="6">
        <f t="shared" si="21"/>
        <v>1</v>
      </c>
      <c r="E844" s="7" t="str">
        <f t="shared" si="22"/>
        <v>Utility</v>
      </c>
      <c r="F844" s="8" t="b">
        <f>IF(D844&lt;1,FALSE,ISERROR(MATCH(E844,'Ontology and concepts per UC'!$A$2:$A$62,0)))</f>
        <v>0</v>
      </c>
      <c r="G844" s="9" t="str">
        <f t="shared" si="23"/>
        <v/>
      </c>
      <c r="H844" s="9" t="str">
        <f t="shared" si="24"/>
        <v/>
      </c>
      <c r="I844" s="8" t="b">
        <f>IF(D844&lt;2,FALSE,ISERROR(MATCH(H844,'Ontology and concepts per UC'!$A$2:$A$62,0)))</f>
        <v>0</v>
      </c>
      <c r="J844" s="9" t="str">
        <f t="shared" si="25"/>
        <v/>
      </c>
      <c r="K844" s="8" t="b">
        <f>IF(D844&lt;3,FALSE,ISERROR(MATCH(J844,'Ontology and concepts per UC'!$A$2:$A$62,0)))</f>
        <v>0</v>
      </c>
      <c r="L844" s="2" t="s">
        <v>1154</v>
      </c>
      <c r="M844" s="2" t="s">
        <v>2242</v>
      </c>
      <c r="N844" s="2"/>
      <c r="O844" s="1" t="b">
        <v>0</v>
      </c>
      <c r="P844" s="1">
        <v>0</v>
      </c>
      <c r="Q844" s="1">
        <v>0</v>
      </c>
      <c r="R844" s="1" t="b">
        <f t="shared" si="26"/>
        <v>1</v>
      </c>
      <c r="S844" s="2" t="s">
        <v>174</v>
      </c>
      <c r="T844" s="1" t="str">
        <f>IF(S844="","",VLOOKUP(S844,'Ontology and concepts per UC'!$F$2:$J$46,5,FALSE))</f>
        <v>Utilidad</v>
      </c>
      <c r="U844" s="1" t="b">
        <f t="array" ref="U844">(INDEX('Ontology and concepts per UC'!$G$2:$I$46,MATCH($S844,'Ontology and concepts per UC'!$F$2:$F$46,0),MATCH(LEFT($A844,3),'Ontology and concepts per UC'!$G$1:$I$1,0))=0)</f>
        <v>0</v>
      </c>
      <c r="V844" s="1" t="b">
        <f t="shared" si="27"/>
        <v>0</v>
      </c>
      <c r="W844" s="1" t="b">
        <v>0</v>
      </c>
      <c r="X844" s="1" t="b">
        <v>0</v>
      </c>
      <c r="Y844" s="1" t="b">
        <v>0</v>
      </c>
      <c r="Z844" s="1" t="b">
        <v>0</v>
      </c>
      <c r="AA844" s="1"/>
    </row>
    <row r="845" spans="1:27" x14ac:dyDescent="0.25">
      <c r="A845" s="1" t="s">
        <v>2015</v>
      </c>
      <c r="B845" s="2" t="s">
        <v>2243</v>
      </c>
      <c r="C845" s="2" t="s">
        <v>219</v>
      </c>
      <c r="D845" s="6">
        <f t="shared" si="21"/>
        <v>1</v>
      </c>
      <c r="E845" s="7" t="str">
        <f t="shared" si="22"/>
        <v>Utility</v>
      </c>
      <c r="F845" s="8" t="b">
        <f>IF(D845&lt;1,FALSE,ISERROR(MATCH(E845,'Ontology and concepts per UC'!$A$2:$A$62,0)))</f>
        <v>0</v>
      </c>
      <c r="G845" s="9" t="str">
        <f t="shared" si="23"/>
        <v/>
      </c>
      <c r="H845" s="9" t="str">
        <f t="shared" si="24"/>
        <v/>
      </c>
      <c r="I845" s="8" t="b">
        <f>IF(D845&lt;2,FALSE,ISERROR(MATCH(H845,'Ontology and concepts per UC'!$A$2:$A$62,0)))</f>
        <v>0</v>
      </c>
      <c r="J845" s="9" t="str">
        <f t="shared" si="25"/>
        <v/>
      </c>
      <c r="K845" s="8" t="b">
        <f>IF(D845&lt;3,FALSE,ISERROR(MATCH(J845,'Ontology and concepts per UC'!$A$2:$A$62,0)))</f>
        <v>0</v>
      </c>
      <c r="L845" s="2" t="s">
        <v>1154</v>
      </c>
      <c r="M845" s="2" t="s">
        <v>2244</v>
      </c>
      <c r="N845" s="2"/>
      <c r="O845" s="1" t="b">
        <v>0</v>
      </c>
      <c r="P845" s="1">
        <v>0</v>
      </c>
      <c r="Q845" s="1">
        <v>0</v>
      </c>
      <c r="R845" s="1" t="b">
        <f t="shared" si="26"/>
        <v>1</v>
      </c>
      <c r="S845" s="2" t="s">
        <v>65</v>
      </c>
      <c r="T845" s="1" t="str">
        <f>IF(S845="","",VLOOKUP(S845,'Ontology and concepts per UC'!$F$2:$J$46,5,FALSE))</f>
        <v>Utilidad</v>
      </c>
      <c r="U845" s="1" t="b">
        <f t="array" ref="U845">(INDEX('Ontology and concepts per UC'!$G$2:$I$46,MATCH($S845,'Ontology and concepts per UC'!$F$2:$F$46,0),MATCH(LEFT($A845,3),'Ontology and concepts per UC'!$G$1:$I$1,0))=0)</f>
        <v>0</v>
      </c>
      <c r="V845" s="1" t="b">
        <f t="shared" si="27"/>
        <v>1</v>
      </c>
      <c r="W845" s="1" t="b">
        <v>0</v>
      </c>
      <c r="X845" s="1" t="b">
        <v>0</v>
      </c>
      <c r="Y845" s="1" t="b">
        <v>0</v>
      </c>
      <c r="Z845" s="1" t="b">
        <v>1</v>
      </c>
      <c r="AA845" s="1" t="s">
        <v>2209</v>
      </c>
    </row>
    <row r="846" spans="1:27" x14ac:dyDescent="0.25">
      <c r="A846" s="1" t="s">
        <v>2015</v>
      </c>
      <c r="B846" s="2" t="s">
        <v>2245</v>
      </c>
      <c r="C846" s="2" t="s">
        <v>219</v>
      </c>
      <c r="D846" s="6">
        <f t="shared" si="21"/>
        <v>1</v>
      </c>
      <c r="E846" s="7" t="str">
        <f t="shared" si="22"/>
        <v>Utility</v>
      </c>
      <c r="F846" s="8" t="b">
        <f>IF(D846&lt;1,FALSE,ISERROR(MATCH(E846,'Ontology and concepts per UC'!$A$2:$A$62,0)))</f>
        <v>0</v>
      </c>
      <c r="G846" s="9" t="str">
        <f t="shared" si="23"/>
        <v/>
      </c>
      <c r="H846" s="9" t="str">
        <f t="shared" si="24"/>
        <v/>
      </c>
      <c r="I846" s="8" t="b">
        <f>IF(D846&lt;2,FALSE,ISERROR(MATCH(H846,'Ontology and concepts per UC'!$A$2:$A$62,0)))</f>
        <v>0</v>
      </c>
      <c r="J846" s="9" t="str">
        <f t="shared" si="25"/>
        <v/>
      </c>
      <c r="K846" s="8" t="b">
        <f>IF(D846&lt;3,FALSE,ISERROR(MATCH(J846,'Ontology and concepts per UC'!$A$2:$A$62,0)))</f>
        <v>0</v>
      </c>
      <c r="L846" s="2" t="s">
        <v>1420</v>
      </c>
      <c r="M846" s="2" t="s">
        <v>2246</v>
      </c>
      <c r="N846" s="2"/>
      <c r="O846" s="1" t="b">
        <v>0</v>
      </c>
      <c r="P846" s="1">
        <v>0</v>
      </c>
      <c r="Q846" s="1">
        <v>0</v>
      </c>
      <c r="R846" s="1" t="b">
        <f t="shared" si="26"/>
        <v>1</v>
      </c>
      <c r="S846" s="2" t="s">
        <v>20</v>
      </c>
      <c r="T846" s="1" t="str">
        <f>IF(S846="","",VLOOKUP(S846,'Ontology and concepts per UC'!$F$2:$J$46,5,FALSE))</f>
        <v>Modelo Conceptual</v>
      </c>
      <c r="U846" s="1" t="b">
        <f t="array" ref="U846">(INDEX('Ontology and concepts per UC'!$G$2:$I$46,MATCH($S846,'Ontology and concepts per UC'!$F$2:$F$46,0),MATCH(LEFT($A846,3),'Ontology and concepts per UC'!$G$1:$I$1,0))=0)</f>
        <v>0</v>
      </c>
      <c r="V846" s="1" t="b">
        <f t="shared" si="27"/>
        <v>0</v>
      </c>
      <c r="W846" s="1" t="b">
        <v>0</v>
      </c>
      <c r="X846" s="1" t="b">
        <v>0</v>
      </c>
      <c r="Y846" s="1" t="b">
        <v>0</v>
      </c>
      <c r="Z846" s="1" t="b">
        <v>0</v>
      </c>
      <c r="AA846" s="1"/>
    </row>
    <row r="847" spans="1:27" x14ac:dyDescent="0.25">
      <c r="A847" s="1" t="s">
        <v>2015</v>
      </c>
      <c r="B847" s="2" t="s">
        <v>2247</v>
      </c>
      <c r="C847" s="2" t="s">
        <v>219</v>
      </c>
      <c r="D847" s="6">
        <f t="shared" si="21"/>
        <v>1</v>
      </c>
      <c r="E847" s="7" t="str">
        <f t="shared" si="22"/>
        <v>Utility</v>
      </c>
      <c r="F847" s="8" t="b">
        <f>IF(D847&lt;1,FALSE,ISERROR(MATCH(E847,'Ontology and concepts per UC'!$A$2:$A$62,0)))</f>
        <v>0</v>
      </c>
      <c r="G847" s="9" t="str">
        <f t="shared" si="23"/>
        <v/>
      </c>
      <c r="H847" s="9" t="str">
        <f t="shared" si="24"/>
        <v/>
      </c>
      <c r="I847" s="8" t="b">
        <f>IF(D847&lt;2,FALSE,ISERROR(MATCH(H847,'Ontology and concepts per UC'!$A$2:$A$62,0)))</f>
        <v>0</v>
      </c>
      <c r="J847" s="9" t="str">
        <f t="shared" si="25"/>
        <v/>
      </c>
      <c r="K847" s="8" t="b">
        <f>IF(D847&lt;3,FALSE,ISERROR(MATCH(J847,'Ontology and concepts per UC'!$A$2:$A$62,0)))</f>
        <v>0</v>
      </c>
      <c r="L847" s="2" t="s">
        <v>1420</v>
      </c>
      <c r="M847" s="2" t="s">
        <v>2248</v>
      </c>
      <c r="N847" s="2"/>
      <c r="O847" s="1" t="b">
        <v>0</v>
      </c>
      <c r="P847" s="1">
        <v>0</v>
      </c>
      <c r="Q847" s="1">
        <v>0</v>
      </c>
      <c r="R847" s="1" t="b">
        <f t="shared" si="26"/>
        <v>1</v>
      </c>
      <c r="S847" s="2" t="s">
        <v>187</v>
      </c>
      <c r="T847" s="1" t="str">
        <f>IF(S847="","",VLOOKUP(S847,'Ontology and concepts per UC'!$F$2:$J$46,5,FALSE))</f>
        <v>Otros</v>
      </c>
      <c r="U847" s="1" t="b">
        <f t="array" ref="U847">(INDEX('Ontology and concepts per UC'!$G$2:$I$46,MATCH($S847,'Ontology and concepts per UC'!$F$2:$F$46,0),MATCH(LEFT($A847,3),'Ontology and concepts per UC'!$G$1:$I$1,0))=0)</f>
        <v>1</v>
      </c>
      <c r="V847" s="1" t="b">
        <f t="shared" si="27"/>
        <v>0</v>
      </c>
      <c r="W847" s="1" t="b">
        <v>0</v>
      </c>
      <c r="X847" s="1" t="b">
        <v>0</v>
      </c>
      <c r="Y847" s="1" t="b">
        <v>0</v>
      </c>
      <c r="Z847" s="1" t="b">
        <v>0</v>
      </c>
      <c r="AA847" s="1"/>
    </row>
    <row r="848" spans="1:27" x14ac:dyDescent="0.25">
      <c r="A848" s="1" t="s">
        <v>2015</v>
      </c>
      <c r="B848" s="2" t="s">
        <v>2249</v>
      </c>
      <c r="C848" s="2" t="s">
        <v>219</v>
      </c>
      <c r="D848" s="6">
        <f t="shared" si="21"/>
        <v>1</v>
      </c>
      <c r="E848" s="7" t="str">
        <f t="shared" si="22"/>
        <v>Utility</v>
      </c>
      <c r="F848" s="8" t="b">
        <f>IF(D848&lt;1,FALSE,ISERROR(MATCH(E848,'Ontology and concepts per UC'!$A$2:$A$62,0)))</f>
        <v>0</v>
      </c>
      <c r="G848" s="9" t="str">
        <f t="shared" si="23"/>
        <v/>
      </c>
      <c r="H848" s="9" t="str">
        <f t="shared" si="24"/>
        <v/>
      </c>
      <c r="I848" s="8" t="b">
        <f>IF(D848&lt;2,FALSE,ISERROR(MATCH(H848,'Ontology and concepts per UC'!$A$2:$A$62,0)))</f>
        <v>0</v>
      </c>
      <c r="J848" s="9" t="str">
        <f t="shared" si="25"/>
        <v/>
      </c>
      <c r="K848" s="8" t="b">
        <f>IF(D848&lt;3,FALSE,ISERROR(MATCH(J848,'Ontology and concepts per UC'!$A$2:$A$62,0)))</f>
        <v>0</v>
      </c>
      <c r="L848" s="2" t="s">
        <v>1420</v>
      </c>
      <c r="M848" s="2" t="s">
        <v>2250</v>
      </c>
      <c r="N848" s="2"/>
      <c r="O848" s="1" t="b">
        <v>0</v>
      </c>
      <c r="P848" s="1">
        <v>0</v>
      </c>
      <c r="Q848" s="1">
        <v>0</v>
      </c>
      <c r="R848" s="1" t="b">
        <f t="shared" si="26"/>
        <v>1</v>
      </c>
      <c r="S848" s="2" t="s">
        <v>20</v>
      </c>
      <c r="T848" s="1" t="str">
        <f>IF(S848="","",VLOOKUP(S848,'Ontology and concepts per UC'!$F$2:$J$46,5,FALSE))</f>
        <v>Modelo Conceptual</v>
      </c>
      <c r="U848" s="1" t="b">
        <f t="array" ref="U848">(INDEX('Ontology and concepts per UC'!$G$2:$I$46,MATCH($S848,'Ontology and concepts per UC'!$F$2:$F$46,0),MATCH(LEFT($A848,3),'Ontology and concepts per UC'!$G$1:$I$1,0))=0)</f>
        <v>0</v>
      </c>
      <c r="V848" s="1" t="b">
        <f t="shared" si="27"/>
        <v>0</v>
      </c>
      <c r="W848" s="1" t="b">
        <v>0</v>
      </c>
      <c r="X848" s="1" t="b">
        <v>0</v>
      </c>
      <c r="Y848" s="1" t="b">
        <v>0</v>
      </c>
      <c r="Z848" s="1" t="b">
        <v>0</v>
      </c>
      <c r="AA848" s="1"/>
    </row>
    <row r="849" spans="1:27" x14ac:dyDescent="0.25">
      <c r="A849" s="1" t="s">
        <v>2015</v>
      </c>
      <c r="B849" s="2" t="s">
        <v>2251</v>
      </c>
      <c r="C849" s="2"/>
      <c r="D849" s="6">
        <f t="shared" si="21"/>
        <v>0</v>
      </c>
      <c r="E849" s="7">
        <f t="shared" si="22"/>
        <v>0</v>
      </c>
      <c r="F849" s="8" t="b">
        <f>IF(D849&lt;1,FALSE,ISERROR(MATCH(E849,'Ontology and concepts per UC'!$A$2:$A$62,0)))</f>
        <v>0</v>
      </c>
      <c r="G849" s="9" t="str">
        <f t="shared" si="23"/>
        <v/>
      </c>
      <c r="H849" s="9" t="str">
        <f t="shared" si="24"/>
        <v/>
      </c>
      <c r="I849" s="8" t="b">
        <f>IF(D849&lt;2,FALSE,ISERROR(MATCH(H849,'Ontology and concepts per UC'!$A$2:$A$62,0)))</f>
        <v>0</v>
      </c>
      <c r="J849" s="9" t="str">
        <f t="shared" si="25"/>
        <v/>
      </c>
      <c r="K849" s="8" t="b">
        <f>IF(D849&lt;3,FALSE,ISERROR(MATCH(J849,'Ontology and concepts per UC'!$A$2:$A$62,0)))</f>
        <v>0</v>
      </c>
      <c r="L849" s="2"/>
      <c r="M849" s="2"/>
      <c r="N849" s="2"/>
      <c r="O849" s="1" t="b">
        <v>1</v>
      </c>
      <c r="P849" s="1">
        <v>0</v>
      </c>
      <c r="Q849" s="1">
        <v>0</v>
      </c>
      <c r="R849" s="1" t="b">
        <f t="shared" si="26"/>
        <v>0</v>
      </c>
      <c r="S849" s="2" t="s">
        <v>187</v>
      </c>
      <c r="T849" s="1" t="str">
        <f>IF(S849="","",VLOOKUP(S849,'Ontology and concepts per UC'!$F$2:$J$46,5,FALSE))</f>
        <v>Otros</v>
      </c>
      <c r="U849" s="1" t="b">
        <f t="array" ref="U849">(INDEX('Ontology and concepts per UC'!$G$2:$I$46,MATCH($S849,'Ontology and concepts per UC'!$F$2:$F$46,0),MATCH(LEFT($A849,3),'Ontology and concepts per UC'!$G$1:$I$1,0))=0)</f>
        <v>1</v>
      </c>
      <c r="V849" s="1" t="b">
        <f t="shared" si="27"/>
        <v>1</v>
      </c>
      <c r="W849" s="1" t="b">
        <v>1</v>
      </c>
      <c r="X849" s="1" t="b">
        <v>0</v>
      </c>
      <c r="Y849" s="1" t="b">
        <v>0</v>
      </c>
      <c r="Z849" s="1" t="b">
        <v>0</v>
      </c>
      <c r="AA849" s="1" t="s">
        <v>188</v>
      </c>
    </row>
    <row r="850" spans="1:27" x14ac:dyDescent="0.25">
      <c r="A850" s="1" t="s">
        <v>2015</v>
      </c>
      <c r="B850" s="2" t="s">
        <v>2252</v>
      </c>
      <c r="C850" s="2"/>
      <c r="D850" s="6">
        <f t="shared" si="21"/>
        <v>0</v>
      </c>
      <c r="E850" s="7">
        <f t="shared" si="22"/>
        <v>0</v>
      </c>
      <c r="F850" s="8" t="b">
        <f>IF(D850&lt;1,FALSE,ISERROR(MATCH(E850,'Ontology and concepts per UC'!$A$2:$A$62,0)))</f>
        <v>0</v>
      </c>
      <c r="G850" s="9" t="str">
        <f t="shared" si="23"/>
        <v/>
      </c>
      <c r="H850" s="9" t="str">
        <f t="shared" si="24"/>
        <v/>
      </c>
      <c r="I850" s="8" t="b">
        <f>IF(D850&lt;2,FALSE,ISERROR(MATCH(H850,'Ontology and concepts per UC'!$A$2:$A$62,0)))</f>
        <v>0</v>
      </c>
      <c r="J850" s="9" t="str">
        <f t="shared" si="25"/>
        <v/>
      </c>
      <c r="K850" s="8" t="b">
        <f>IF(D850&lt;3,FALSE,ISERROR(MATCH(J850,'Ontology and concepts per UC'!$A$2:$A$62,0)))</f>
        <v>0</v>
      </c>
      <c r="L850" s="2"/>
      <c r="M850" s="2"/>
      <c r="N850" s="2"/>
      <c r="O850" s="1" t="b">
        <v>1</v>
      </c>
      <c r="P850" s="1">
        <v>0</v>
      </c>
      <c r="Q850" s="1">
        <v>0</v>
      </c>
      <c r="R850" s="1" t="b">
        <f t="shared" si="26"/>
        <v>0</v>
      </c>
      <c r="S850" s="2" t="s">
        <v>51</v>
      </c>
      <c r="T850" s="1" t="str">
        <f>IF(S850="","",VLOOKUP(S850,'Ontology and concepts per UC'!$F$2:$J$46,5,FALSE))</f>
        <v>Parámetros de progresión</v>
      </c>
      <c r="U850" s="1" t="b">
        <f t="array" ref="U850">(INDEX('Ontology and concepts per UC'!$G$2:$I$46,MATCH($S850,'Ontology and concepts per UC'!$F$2:$F$46,0),MATCH(LEFT($A850,3),'Ontology and concepts per UC'!$G$1:$I$1,0))=0)</f>
        <v>0</v>
      </c>
      <c r="V850" s="1" t="b">
        <f t="shared" si="27"/>
        <v>1</v>
      </c>
      <c r="W850" s="1" t="b">
        <v>1</v>
      </c>
      <c r="X850" s="1" t="b">
        <v>0</v>
      </c>
      <c r="Y850" s="1" t="b">
        <v>0</v>
      </c>
      <c r="Z850" s="1" t="b">
        <v>0</v>
      </c>
      <c r="AA850" s="1" t="s">
        <v>188</v>
      </c>
    </row>
    <row r="851" spans="1:27" x14ac:dyDescent="0.25">
      <c r="A851" s="1" t="s">
        <v>2015</v>
      </c>
      <c r="B851" s="2" t="s">
        <v>2253</v>
      </c>
      <c r="C851" s="2"/>
      <c r="D851" s="6">
        <f t="shared" si="21"/>
        <v>0</v>
      </c>
      <c r="E851" s="7">
        <f t="shared" si="22"/>
        <v>0</v>
      </c>
      <c r="F851" s="8" t="b">
        <f>IF(D851&lt;1,FALSE,ISERROR(MATCH(E851,'Ontology and concepts per UC'!$A$2:$A$62,0)))</f>
        <v>0</v>
      </c>
      <c r="G851" s="9" t="str">
        <f t="shared" si="23"/>
        <v/>
      </c>
      <c r="H851" s="9" t="str">
        <f t="shared" si="24"/>
        <v/>
      </c>
      <c r="I851" s="8" t="b">
        <f>IF(D851&lt;2,FALSE,ISERROR(MATCH(H851,'Ontology and concepts per UC'!$A$2:$A$62,0)))</f>
        <v>0</v>
      </c>
      <c r="J851" s="9" t="str">
        <f t="shared" si="25"/>
        <v/>
      </c>
      <c r="K851" s="8" t="b">
        <f>IF(D851&lt;3,FALSE,ISERROR(MATCH(J851,'Ontology and concepts per UC'!$A$2:$A$62,0)))</f>
        <v>0</v>
      </c>
      <c r="L851" s="2"/>
      <c r="M851" s="2"/>
      <c r="N851" s="2"/>
      <c r="O851" s="1" t="b">
        <v>1</v>
      </c>
      <c r="P851" s="1">
        <v>0</v>
      </c>
      <c r="Q851" s="1">
        <v>0</v>
      </c>
      <c r="R851" s="1" t="b">
        <f t="shared" si="26"/>
        <v>0</v>
      </c>
      <c r="S851" s="2" t="s">
        <v>51</v>
      </c>
      <c r="T851" s="1" t="str">
        <f>IF(S851="","",VLOOKUP(S851,'Ontology and concepts per UC'!$F$2:$J$46,5,FALSE))</f>
        <v>Parámetros de progresión</v>
      </c>
      <c r="U851" s="1" t="b">
        <f t="array" ref="U851">(INDEX('Ontology and concepts per UC'!$G$2:$I$46,MATCH($S851,'Ontology and concepts per UC'!$F$2:$F$46,0),MATCH(LEFT($A851,3),'Ontology and concepts per UC'!$G$1:$I$1,0))=0)</f>
        <v>0</v>
      </c>
      <c r="V851" s="1" t="b">
        <f t="shared" si="27"/>
        <v>1</v>
      </c>
      <c r="W851" s="1" t="b">
        <v>1</v>
      </c>
      <c r="X851" s="1" t="b">
        <v>0</v>
      </c>
      <c r="Y851" s="1" t="b">
        <v>0</v>
      </c>
      <c r="Z851" s="1" t="b">
        <v>0</v>
      </c>
      <c r="AA851" s="1" t="s">
        <v>188</v>
      </c>
    </row>
    <row r="852" spans="1:27" x14ac:dyDescent="0.25">
      <c r="A852" s="1" t="s">
        <v>2015</v>
      </c>
      <c r="B852" s="2" t="s">
        <v>2254</v>
      </c>
      <c r="C852" s="2"/>
      <c r="D852" s="6">
        <f t="shared" si="21"/>
        <v>0</v>
      </c>
      <c r="E852" s="7">
        <f t="shared" si="22"/>
        <v>0</v>
      </c>
      <c r="F852" s="8" t="b">
        <f>IF(D852&lt;1,FALSE,ISERROR(MATCH(E852,'Ontology and concepts per UC'!$A$2:$A$62,0)))</f>
        <v>0</v>
      </c>
      <c r="G852" s="9" t="str">
        <f t="shared" si="23"/>
        <v/>
      </c>
      <c r="H852" s="9" t="str">
        <f t="shared" si="24"/>
        <v/>
      </c>
      <c r="I852" s="8" t="b">
        <f>IF(D852&lt;2,FALSE,ISERROR(MATCH(H852,'Ontology and concepts per UC'!$A$2:$A$62,0)))</f>
        <v>0</v>
      </c>
      <c r="J852" s="9" t="str">
        <f t="shared" si="25"/>
        <v/>
      </c>
      <c r="K852" s="8" t="b">
        <f>IF(D852&lt;3,FALSE,ISERROR(MATCH(J852,'Ontology and concepts per UC'!$A$2:$A$62,0)))</f>
        <v>0</v>
      </c>
      <c r="L852" s="2"/>
      <c r="M852" s="2"/>
      <c r="N852" s="2"/>
      <c r="O852" s="1" t="b">
        <v>1</v>
      </c>
      <c r="P852" s="1">
        <v>0</v>
      </c>
      <c r="Q852" s="1">
        <v>0</v>
      </c>
      <c r="R852" s="1" t="b">
        <f t="shared" si="26"/>
        <v>0</v>
      </c>
      <c r="S852" s="2" t="s">
        <v>367</v>
      </c>
      <c r="T852" s="1" t="str">
        <f>IF(S852="","",VLOOKUP(S852,'Ontology and concepts per UC'!$F$2:$J$46,5,FALSE))</f>
        <v>Parámetros de progresión</v>
      </c>
      <c r="U852" s="1" t="b">
        <f t="array" ref="U852">(INDEX('Ontology and concepts per UC'!$G$2:$I$46,MATCH($S852,'Ontology and concepts per UC'!$F$2:$F$46,0),MATCH(LEFT($A852,3),'Ontology and concepts per UC'!$G$1:$I$1,0))=0)</f>
        <v>0</v>
      </c>
      <c r="V852" s="1" t="b">
        <f t="shared" si="27"/>
        <v>1</v>
      </c>
      <c r="W852" s="1" t="b">
        <v>1</v>
      </c>
      <c r="X852" s="1" t="b">
        <v>0</v>
      </c>
      <c r="Y852" s="1" t="b">
        <v>0</v>
      </c>
      <c r="Z852" s="1" t="b">
        <v>0</v>
      </c>
      <c r="AA852" s="1" t="s">
        <v>188</v>
      </c>
    </row>
    <row r="853" spans="1:27" x14ac:dyDescent="0.25">
      <c r="A853" s="1" t="s">
        <v>2015</v>
      </c>
      <c r="B853" s="2" t="s">
        <v>2255</v>
      </c>
      <c r="C853" s="2"/>
      <c r="D853" s="6">
        <f t="shared" si="21"/>
        <v>0</v>
      </c>
      <c r="E853" s="7">
        <f t="shared" si="22"/>
        <v>0</v>
      </c>
      <c r="F853" s="8" t="b">
        <f>IF(D853&lt;1,FALSE,ISERROR(MATCH(E853,'Ontology and concepts per UC'!$A$2:$A$62,0)))</f>
        <v>0</v>
      </c>
      <c r="G853" s="9" t="str">
        <f t="shared" si="23"/>
        <v/>
      </c>
      <c r="H853" s="9" t="str">
        <f t="shared" si="24"/>
        <v/>
      </c>
      <c r="I853" s="8" t="b">
        <f>IF(D853&lt;2,FALSE,ISERROR(MATCH(H853,'Ontology and concepts per UC'!$A$2:$A$62,0)))</f>
        <v>0</v>
      </c>
      <c r="J853" s="9" t="str">
        <f t="shared" si="25"/>
        <v/>
      </c>
      <c r="K853" s="8" t="b">
        <f>IF(D853&lt;3,FALSE,ISERROR(MATCH(J853,'Ontology and concepts per UC'!$A$2:$A$62,0)))</f>
        <v>0</v>
      </c>
      <c r="L853" s="2"/>
      <c r="M853" s="2"/>
      <c r="N853" s="2"/>
      <c r="O853" s="1" t="b">
        <v>1</v>
      </c>
      <c r="P853" s="1">
        <v>0</v>
      </c>
      <c r="Q853" s="1">
        <v>0</v>
      </c>
      <c r="R853" s="1" t="b">
        <f t="shared" si="26"/>
        <v>0</v>
      </c>
      <c r="S853" s="2" t="s">
        <v>367</v>
      </c>
      <c r="T853" s="1" t="str">
        <f>IF(S853="","",VLOOKUP(S853,'Ontology and concepts per UC'!$F$2:$J$46,5,FALSE))</f>
        <v>Parámetros de progresión</v>
      </c>
      <c r="U853" s="1" t="b">
        <f t="array" ref="U853">(INDEX('Ontology and concepts per UC'!$G$2:$I$46,MATCH($S853,'Ontology and concepts per UC'!$F$2:$F$46,0),MATCH(LEFT($A853,3),'Ontology and concepts per UC'!$G$1:$I$1,0))=0)</f>
        <v>0</v>
      </c>
      <c r="V853" s="1" t="b">
        <f t="shared" si="27"/>
        <v>1</v>
      </c>
      <c r="W853" s="1" t="b">
        <v>1</v>
      </c>
      <c r="X853" s="1" t="b">
        <v>0</v>
      </c>
      <c r="Y853" s="1" t="b">
        <v>0</v>
      </c>
      <c r="Z853" s="1" t="b">
        <v>0</v>
      </c>
      <c r="AA853" s="1" t="s">
        <v>188</v>
      </c>
    </row>
    <row r="854" spans="1:27" x14ac:dyDescent="0.25">
      <c r="A854" s="1" t="s">
        <v>2015</v>
      </c>
      <c r="B854" s="2" t="s">
        <v>2256</v>
      </c>
      <c r="C854" s="2"/>
      <c r="D854" s="6">
        <f t="shared" si="21"/>
        <v>0</v>
      </c>
      <c r="E854" s="7">
        <f t="shared" si="22"/>
        <v>0</v>
      </c>
      <c r="F854" s="8" t="b">
        <f>IF(D854&lt;1,FALSE,ISERROR(MATCH(E854,'Ontology and concepts per UC'!$A$2:$A$62,0)))</f>
        <v>0</v>
      </c>
      <c r="G854" s="9" t="str">
        <f t="shared" si="23"/>
        <v/>
      </c>
      <c r="H854" s="9" t="str">
        <f t="shared" si="24"/>
        <v/>
      </c>
      <c r="I854" s="8" t="b">
        <f>IF(D854&lt;2,FALSE,ISERROR(MATCH(H854,'Ontology and concepts per UC'!$A$2:$A$62,0)))</f>
        <v>0</v>
      </c>
      <c r="J854" s="9" t="str">
        <f t="shared" si="25"/>
        <v/>
      </c>
      <c r="K854" s="8" t="b">
        <f>IF(D854&lt;3,FALSE,ISERROR(MATCH(J854,'Ontology and concepts per UC'!$A$2:$A$62,0)))</f>
        <v>0</v>
      </c>
      <c r="L854" s="2"/>
      <c r="M854" s="2"/>
      <c r="N854" s="2"/>
      <c r="O854" s="1" t="b">
        <v>1</v>
      </c>
      <c r="P854" s="1">
        <v>0</v>
      </c>
      <c r="Q854" s="1">
        <v>0</v>
      </c>
      <c r="R854" s="1" t="b">
        <f t="shared" si="26"/>
        <v>0</v>
      </c>
      <c r="S854" s="2" t="s">
        <v>55</v>
      </c>
      <c r="T854" s="1" t="str">
        <f>IF(S854="","",VLOOKUP(S854,'Ontology and concepts per UC'!$F$2:$J$46,5,FALSE))</f>
        <v>Parámetros de progresión</v>
      </c>
      <c r="U854" s="1" t="b">
        <f t="array" ref="U854">(INDEX('Ontology and concepts per UC'!$G$2:$I$46,MATCH($S854,'Ontology and concepts per UC'!$F$2:$F$46,0),MATCH(LEFT($A854,3),'Ontology and concepts per UC'!$G$1:$I$1,0))=0)</f>
        <v>0</v>
      </c>
      <c r="V854" s="1" t="b">
        <f t="shared" si="27"/>
        <v>1</v>
      </c>
      <c r="W854" s="1" t="b">
        <v>1</v>
      </c>
      <c r="X854" s="1" t="b">
        <v>0</v>
      </c>
      <c r="Y854" s="1" t="b">
        <v>0</v>
      </c>
      <c r="Z854" s="1" t="b">
        <v>0</v>
      </c>
      <c r="AA854" s="1" t="s">
        <v>188</v>
      </c>
    </row>
    <row r="855" spans="1:27" x14ac:dyDescent="0.25">
      <c r="A855" s="1" t="s">
        <v>2015</v>
      </c>
      <c r="B855" s="2" t="s">
        <v>2257</v>
      </c>
      <c r="C855" s="2"/>
      <c r="D855" s="6">
        <f t="shared" si="21"/>
        <v>0</v>
      </c>
      <c r="E855" s="7">
        <f t="shared" si="22"/>
        <v>0</v>
      </c>
      <c r="F855" s="8" t="b">
        <f>IF(D855&lt;1,FALSE,ISERROR(MATCH(E855,'Ontology and concepts per UC'!$A$2:$A$62,0)))</f>
        <v>0</v>
      </c>
      <c r="G855" s="9" t="str">
        <f t="shared" si="23"/>
        <v/>
      </c>
      <c r="H855" s="9" t="str">
        <f t="shared" si="24"/>
        <v/>
      </c>
      <c r="I855" s="8" t="b">
        <f>IF(D855&lt;2,FALSE,ISERROR(MATCH(H855,'Ontology and concepts per UC'!$A$2:$A$62,0)))</f>
        <v>0</v>
      </c>
      <c r="J855" s="9" t="str">
        <f t="shared" si="25"/>
        <v/>
      </c>
      <c r="K855" s="8" t="b">
        <f>IF(D855&lt;3,FALSE,ISERROR(MATCH(J855,'Ontology and concepts per UC'!$A$2:$A$62,0)))</f>
        <v>0</v>
      </c>
      <c r="L855" s="2"/>
      <c r="M855" s="2"/>
      <c r="N855" s="2"/>
      <c r="O855" s="1" t="b">
        <v>1</v>
      </c>
      <c r="P855" s="1">
        <v>0</v>
      </c>
      <c r="Q855" s="1">
        <v>0</v>
      </c>
      <c r="R855" s="1" t="b">
        <f t="shared" si="26"/>
        <v>0</v>
      </c>
      <c r="S855" s="2" t="s">
        <v>55</v>
      </c>
      <c r="T855" s="1" t="str">
        <f>IF(S855="","",VLOOKUP(S855,'Ontology and concepts per UC'!$F$2:$J$46,5,FALSE))</f>
        <v>Parámetros de progresión</v>
      </c>
      <c r="U855" s="1" t="b">
        <f t="array" ref="U855">(INDEX('Ontology and concepts per UC'!$G$2:$I$46,MATCH($S855,'Ontology and concepts per UC'!$F$2:$F$46,0),MATCH(LEFT($A855,3),'Ontology and concepts per UC'!$G$1:$I$1,0))=0)</f>
        <v>0</v>
      </c>
      <c r="V855" s="1" t="b">
        <f t="shared" si="27"/>
        <v>1</v>
      </c>
      <c r="W855" s="1" t="b">
        <v>1</v>
      </c>
      <c r="X855" s="1" t="b">
        <v>0</v>
      </c>
      <c r="Y855" s="1" t="b">
        <v>0</v>
      </c>
      <c r="Z855" s="1" t="b">
        <v>0</v>
      </c>
      <c r="AA855" s="1" t="s">
        <v>188</v>
      </c>
    </row>
    <row r="856" spans="1:27" x14ac:dyDescent="0.25">
      <c r="A856" s="1" t="s">
        <v>2015</v>
      </c>
      <c r="B856" s="2" t="s">
        <v>2258</v>
      </c>
      <c r="C856" s="2"/>
      <c r="D856" s="6">
        <f t="shared" si="21"/>
        <v>0</v>
      </c>
      <c r="E856" s="7">
        <f t="shared" si="22"/>
        <v>0</v>
      </c>
      <c r="F856" s="8" t="b">
        <f>IF(D856&lt;1,FALSE,ISERROR(MATCH(E856,'Ontology and concepts per UC'!$A$2:$A$62,0)))</f>
        <v>0</v>
      </c>
      <c r="G856" s="9" t="str">
        <f t="shared" si="23"/>
        <v/>
      </c>
      <c r="H856" s="9" t="str">
        <f t="shared" si="24"/>
        <v/>
      </c>
      <c r="I856" s="8" t="b">
        <f>IF(D856&lt;2,FALSE,ISERROR(MATCH(H856,'Ontology and concepts per UC'!$A$2:$A$62,0)))</f>
        <v>0</v>
      </c>
      <c r="J856" s="9" t="str">
        <f t="shared" si="25"/>
        <v/>
      </c>
      <c r="K856" s="8" t="b">
        <f>IF(D856&lt;3,FALSE,ISERROR(MATCH(J856,'Ontology and concepts per UC'!$A$2:$A$62,0)))</f>
        <v>0</v>
      </c>
      <c r="L856" s="2"/>
      <c r="M856" s="2"/>
      <c r="N856" s="2"/>
      <c r="O856" s="1" t="b">
        <v>1</v>
      </c>
      <c r="P856" s="1">
        <v>0</v>
      </c>
      <c r="Q856" s="1">
        <v>0</v>
      </c>
      <c r="R856" s="1" t="b">
        <f t="shared" si="26"/>
        <v>0</v>
      </c>
      <c r="S856" s="2" t="s">
        <v>367</v>
      </c>
      <c r="T856" s="1" t="str">
        <f>IF(S856="","",VLOOKUP(S856,'Ontology and concepts per UC'!$F$2:$J$46,5,FALSE))</f>
        <v>Parámetros de progresión</v>
      </c>
      <c r="U856" s="1" t="b">
        <f t="array" ref="U856">(INDEX('Ontology and concepts per UC'!$G$2:$I$46,MATCH($S856,'Ontology and concepts per UC'!$F$2:$F$46,0),MATCH(LEFT($A856,3),'Ontology and concepts per UC'!$G$1:$I$1,0))=0)</f>
        <v>0</v>
      </c>
      <c r="V856" s="1" t="b">
        <f t="shared" si="27"/>
        <v>1</v>
      </c>
      <c r="W856" s="1" t="b">
        <v>1</v>
      </c>
      <c r="X856" s="1" t="b">
        <v>0</v>
      </c>
      <c r="Y856" s="1" t="b">
        <v>0</v>
      </c>
      <c r="Z856" s="1" t="b">
        <v>0</v>
      </c>
      <c r="AA856" s="1" t="s">
        <v>188</v>
      </c>
    </row>
    <row r="857" spans="1:27" x14ac:dyDescent="0.25">
      <c r="A857" s="1" t="s">
        <v>2015</v>
      </c>
      <c r="B857" s="2" t="s">
        <v>2259</v>
      </c>
      <c r="C857" s="2"/>
      <c r="D857" s="6">
        <f t="shared" si="21"/>
        <v>0</v>
      </c>
      <c r="E857" s="7">
        <f t="shared" si="22"/>
        <v>0</v>
      </c>
      <c r="F857" s="8" t="b">
        <f>IF(D857&lt;1,FALSE,ISERROR(MATCH(E857,'Ontology and concepts per UC'!$A$2:$A$62,0)))</f>
        <v>0</v>
      </c>
      <c r="G857" s="9" t="str">
        <f t="shared" si="23"/>
        <v/>
      </c>
      <c r="H857" s="9" t="str">
        <f t="shared" si="24"/>
        <v/>
      </c>
      <c r="I857" s="8" t="b">
        <f>IF(D857&lt;2,FALSE,ISERROR(MATCH(H857,'Ontology and concepts per UC'!$A$2:$A$62,0)))</f>
        <v>0</v>
      </c>
      <c r="J857" s="9" t="str">
        <f t="shared" si="25"/>
        <v/>
      </c>
      <c r="K857" s="8" t="b">
        <f>IF(D857&lt;3,FALSE,ISERROR(MATCH(J857,'Ontology and concepts per UC'!$A$2:$A$62,0)))</f>
        <v>0</v>
      </c>
      <c r="L857" s="2"/>
      <c r="M857" s="2"/>
      <c r="N857" s="2"/>
      <c r="O857" s="1" t="b">
        <v>1</v>
      </c>
      <c r="P857" s="1">
        <v>0</v>
      </c>
      <c r="Q857" s="1">
        <v>0</v>
      </c>
      <c r="R857" s="1" t="b">
        <f t="shared" si="26"/>
        <v>0</v>
      </c>
      <c r="S857" s="2" t="s">
        <v>367</v>
      </c>
      <c r="T857" s="1" t="str">
        <f>IF(S857="","",VLOOKUP(S857,'Ontology and concepts per UC'!$F$2:$J$46,5,FALSE))</f>
        <v>Parámetros de progresión</v>
      </c>
      <c r="U857" s="1" t="b">
        <f t="array" ref="U857">(INDEX('Ontology and concepts per UC'!$G$2:$I$46,MATCH($S857,'Ontology and concepts per UC'!$F$2:$F$46,0),MATCH(LEFT($A857,3),'Ontology and concepts per UC'!$G$1:$I$1,0))=0)</f>
        <v>0</v>
      </c>
      <c r="V857" s="1" t="b">
        <f t="shared" si="27"/>
        <v>1</v>
      </c>
      <c r="W857" s="1" t="b">
        <v>1</v>
      </c>
      <c r="X857" s="1" t="b">
        <v>0</v>
      </c>
      <c r="Y857" s="1" t="b">
        <v>0</v>
      </c>
      <c r="Z857" s="1" t="b">
        <v>0</v>
      </c>
      <c r="AA857" s="1" t="s">
        <v>188</v>
      </c>
    </row>
    <row r="858" spans="1:27" x14ac:dyDescent="0.25">
      <c r="A858" s="1" t="s">
        <v>2260</v>
      </c>
      <c r="B858" s="2" t="s">
        <v>2261</v>
      </c>
      <c r="C858" s="2" t="s">
        <v>201</v>
      </c>
      <c r="D858" s="6">
        <f t="shared" si="21"/>
        <v>1</v>
      </c>
      <c r="E858" s="7" t="str">
        <f t="shared" si="22"/>
        <v>DeterministicParameter</v>
      </c>
      <c r="F858" s="8" t="b">
        <f>IF(D858&lt;1,FALSE,ISERROR(MATCH(E858,'Ontology and concepts per UC'!$A$2:$A$62,0)))</f>
        <v>0</v>
      </c>
      <c r="G858" s="9" t="str">
        <f t="shared" si="23"/>
        <v/>
      </c>
      <c r="H858" s="9" t="str">
        <f t="shared" si="24"/>
        <v/>
      </c>
      <c r="I858" s="8" t="b">
        <f>IF(D858&lt;2,FALSE,ISERROR(MATCH(H858,'Ontology and concepts per UC'!$A$2:$A$62,0)))</f>
        <v>0</v>
      </c>
      <c r="J858" s="9" t="str">
        <f t="shared" si="25"/>
        <v/>
      </c>
      <c r="K858" s="8" t="b">
        <f>IF(D858&lt;3,FALSE,ISERROR(MATCH(J858,'Ontology and concepts per UC'!$A$2:$A$62,0)))</f>
        <v>0</v>
      </c>
      <c r="L858" s="2"/>
      <c r="M858" s="2" t="s">
        <v>2262</v>
      </c>
      <c r="N858" s="2"/>
      <c r="O858" s="1" t="b">
        <v>0</v>
      </c>
      <c r="P858" s="1">
        <v>0</v>
      </c>
      <c r="Q858" s="1">
        <v>0</v>
      </c>
      <c r="R858" s="1" t="b">
        <f t="shared" si="26"/>
        <v>0</v>
      </c>
      <c r="S858" s="2" t="s">
        <v>50</v>
      </c>
      <c r="T858" s="1" t="str">
        <f>IF(S858="","",VLOOKUP(S858,'Ontology and concepts per UC'!$F$2:$J$46,5,FALSE))</f>
        <v>Parámetros de progresión</v>
      </c>
      <c r="U858" s="1" t="b">
        <f t="array" ref="U858">(INDEX('Ontology and concepts per UC'!$G$2:$I$46,MATCH($S858,'Ontology and concepts per UC'!$F$2:$F$46,0),MATCH(LEFT($A858,3),'Ontology and concepts per UC'!$G$1:$I$1,0))=0)</f>
        <v>0</v>
      </c>
      <c r="V858" s="1" t="b">
        <f t="shared" si="27"/>
        <v>0</v>
      </c>
      <c r="W858" s="1" t="b">
        <v>0</v>
      </c>
      <c r="X858" s="1" t="b">
        <v>0</v>
      </c>
      <c r="Y858" s="1" t="b">
        <v>0</v>
      </c>
      <c r="Z858" s="1" t="b">
        <v>0</v>
      </c>
      <c r="AA858" s="1"/>
    </row>
    <row r="859" spans="1:27" x14ac:dyDescent="0.25">
      <c r="A859" s="1" t="s">
        <v>2260</v>
      </c>
      <c r="B859" s="2" t="s">
        <v>2263</v>
      </c>
      <c r="C859" s="2" t="s">
        <v>201</v>
      </c>
      <c r="D859" s="6">
        <f t="shared" si="21"/>
        <v>1</v>
      </c>
      <c r="E859" s="7" t="str">
        <f t="shared" si="22"/>
        <v>DeterministicParameter</v>
      </c>
      <c r="F859" s="8" t="b">
        <f>IF(D859&lt;1,FALSE,ISERROR(MATCH(E859,'Ontology and concepts per UC'!$A$2:$A$62,0)))</f>
        <v>0</v>
      </c>
      <c r="G859" s="9" t="str">
        <f t="shared" si="23"/>
        <v/>
      </c>
      <c r="H859" s="9" t="str">
        <f t="shared" si="24"/>
        <v/>
      </c>
      <c r="I859" s="8" t="b">
        <f>IF(D859&lt;2,FALSE,ISERROR(MATCH(H859,'Ontology and concepts per UC'!$A$2:$A$62,0)))</f>
        <v>0</v>
      </c>
      <c r="J859" s="9" t="str">
        <f t="shared" si="25"/>
        <v/>
      </c>
      <c r="K859" s="8" t="b">
        <f>IF(D859&lt;3,FALSE,ISERROR(MATCH(J859,'Ontology and concepts per UC'!$A$2:$A$62,0)))</f>
        <v>0</v>
      </c>
      <c r="L859" s="2"/>
      <c r="M859" s="2" t="s">
        <v>2264</v>
      </c>
      <c r="N859" s="2"/>
      <c r="O859" s="1" t="b">
        <v>0</v>
      </c>
      <c r="P859" s="1">
        <v>0</v>
      </c>
      <c r="Q859" s="1">
        <v>0</v>
      </c>
      <c r="R859" s="1" t="b">
        <f t="shared" si="26"/>
        <v>0</v>
      </c>
      <c r="S859" s="2" t="s">
        <v>55</v>
      </c>
      <c r="T859" s="1" t="str">
        <f>IF(S859="","",VLOOKUP(S859,'Ontology and concepts per UC'!$F$2:$J$46,5,FALSE))</f>
        <v>Parámetros de progresión</v>
      </c>
      <c r="U859" s="1" t="b">
        <f t="array" ref="U859">(INDEX('Ontology and concepts per UC'!$G$2:$I$46,MATCH($S859,'Ontology and concepts per UC'!$F$2:$F$46,0),MATCH(LEFT($A859,3),'Ontology and concepts per UC'!$G$1:$I$1,0))=0)</f>
        <v>0</v>
      </c>
      <c r="V859" s="1" t="b">
        <f t="shared" si="27"/>
        <v>1</v>
      </c>
      <c r="W859" s="1" t="b">
        <v>0</v>
      </c>
      <c r="X859" s="1" t="b">
        <v>0</v>
      </c>
      <c r="Y859" s="1" t="b">
        <v>0</v>
      </c>
      <c r="Z859" s="1" t="b">
        <v>1</v>
      </c>
      <c r="AA859" s="1" t="s">
        <v>1111</v>
      </c>
    </row>
    <row r="860" spans="1:27" x14ac:dyDescent="0.25">
      <c r="A860" s="1" t="s">
        <v>2260</v>
      </c>
      <c r="B860" s="2" t="s">
        <v>2265</v>
      </c>
      <c r="C860" s="2" t="s">
        <v>201</v>
      </c>
      <c r="D860" s="6">
        <f t="shared" si="21"/>
        <v>1</v>
      </c>
      <c r="E860" s="7" t="str">
        <f t="shared" si="22"/>
        <v>DeterministicParameter</v>
      </c>
      <c r="F860" s="8" t="b">
        <f>IF(D860&lt;1,FALSE,ISERROR(MATCH(E860,'Ontology and concepts per UC'!$A$2:$A$62,0)))</f>
        <v>0</v>
      </c>
      <c r="G860" s="9" t="str">
        <f t="shared" si="23"/>
        <v/>
      </c>
      <c r="H860" s="9" t="str">
        <f t="shared" si="24"/>
        <v/>
      </c>
      <c r="I860" s="8" t="b">
        <f>IF(D860&lt;2,FALSE,ISERROR(MATCH(H860,'Ontology and concepts per UC'!$A$2:$A$62,0)))</f>
        <v>0</v>
      </c>
      <c r="J860" s="9" t="str">
        <f t="shared" si="25"/>
        <v/>
      </c>
      <c r="K860" s="8" t="b">
        <f>IF(D860&lt;3,FALSE,ISERROR(MATCH(J860,'Ontology and concepts per UC'!$A$2:$A$62,0)))</f>
        <v>0</v>
      </c>
      <c r="L860" s="2"/>
      <c r="M860" s="2" t="s">
        <v>2266</v>
      </c>
      <c r="N860" s="2"/>
      <c r="O860" s="1" t="b">
        <v>0</v>
      </c>
      <c r="P860" s="1">
        <v>0</v>
      </c>
      <c r="Q860" s="1">
        <v>0</v>
      </c>
      <c r="R860" s="1" t="b">
        <f t="shared" si="26"/>
        <v>1</v>
      </c>
      <c r="S860" s="2" t="s">
        <v>56</v>
      </c>
      <c r="T860" s="1" t="str">
        <f>IF(S860="","",VLOOKUP(S860,'Ontology and concepts per UC'!$F$2:$J$46,5,FALSE))</f>
        <v>Parámetros de progresión</v>
      </c>
      <c r="U860" s="1" t="b">
        <f t="array" ref="U860">(INDEX('Ontology and concepts per UC'!$G$2:$I$46,MATCH($S860,'Ontology and concepts per UC'!$F$2:$F$46,0),MATCH(LEFT($A860,3),'Ontology and concepts per UC'!$G$1:$I$1,0))=0)</f>
        <v>0</v>
      </c>
      <c r="V860" s="1" t="b">
        <f t="shared" si="27"/>
        <v>0</v>
      </c>
      <c r="W860" s="1" t="b">
        <v>0</v>
      </c>
      <c r="X860" s="1" t="b">
        <v>0</v>
      </c>
      <c r="Y860" s="1" t="b">
        <v>0</v>
      </c>
      <c r="Z860" s="1" t="b">
        <v>0</v>
      </c>
      <c r="AA860" s="1"/>
    </row>
    <row r="861" spans="1:27" x14ac:dyDescent="0.25">
      <c r="A861" s="1" t="s">
        <v>2260</v>
      </c>
      <c r="B861" s="2" t="s">
        <v>2267</v>
      </c>
      <c r="C861" s="2" t="s">
        <v>201</v>
      </c>
      <c r="D861" s="6">
        <f t="shared" si="21"/>
        <v>1</v>
      </c>
      <c r="E861" s="7" t="str">
        <f t="shared" si="22"/>
        <v>DeterministicParameter</v>
      </c>
      <c r="F861" s="8" t="b">
        <f>IF(D861&lt;1,FALSE,ISERROR(MATCH(E861,'Ontology and concepts per UC'!$A$2:$A$62,0)))</f>
        <v>0</v>
      </c>
      <c r="G861" s="9" t="str">
        <f t="shared" si="23"/>
        <v/>
      </c>
      <c r="H861" s="9" t="str">
        <f t="shared" si="24"/>
        <v/>
      </c>
      <c r="I861" s="8" t="b">
        <f>IF(D861&lt;2,FALSE,ISERROR(MATCH(H861,'Ontology and concepts per UC'!$A$2:$A$62,0)))</f>
        <v>0</v>
      </c>
      <c r="J861" s="9" t="str">
        <f t="shared" si="25"/>
        <v/>
      </c>
      <c r="K861" s="8" t="b">
        <f>IF(D861&lt;3,FALSE,ISERROR(MATCH(J861,'Ontology and concepts per UC'!$A$2:$A$62,0)))</f>
        <v>0</v>
      </c>
      <c r="L861" s="2"/>
      <c r="M861" s="2" t="s">
        <v>2268</v>
      </c>
      <c r="N861" s="2"/>
      <c r="O861" s="1" t="b">
        <v>0</v>
      </c>
      <c r="P861" s="1">
        <v>0</v>
      </c>
      <c r="Q861" s="1">
        <v>0</v>
      </c>
      <c r="R861" s="1" t="b">
        <f t="shared" si="26"/>
        <v>1</v>
      </c>
      <c r="S861" s="2" t="s">
        <v>58</v>
      </c>
      <c r="T861" s="1" t="str">
        <f>IF(S861="","",VLOOKUP(S861,'Ontology and concepts per UC'!$F$2:$J$46,5,FALSE))</f>
        <v>Parámetros de progresión</v>
      </c>
      <c r="U861" s="1" t="b">
        <f t="array" ref="U861">(INDEX('Ontology and concepts per UC'!$G$2:$I$46,MATCH($S861,'Ontology and concepts per UC'!$F$2:$F$46,0),MATCH(LEFT($A861,3),'Ontology and concepts per UC'!$G$1:$I$1,0))=0)</f>
        <v>0</v>
      </c>
      <c r="V861" s="1" t="b">
        <f t="shared" si="27"/>
        <v>0</v>
      </c>
      <c r="W861" s="1" t="b">
        <v>0</v>
      </c>
      <c r="X861" s="1" t="b">
        <v>0</v>
      </c>
      <c r="Y861" s="1" t="b">
        <v>0</v>
      </c>
      <c r="Z861" s="1" t="b">
        <v>0</v>
      </c>
      <c r="AA861" s="1"/>
    </row>
    <row r="862" spans="1:27" x14ac:dyDescent="0.25">
      <c r="A862" s="1" t="s">
        <v>2260</v>
      </c>
      <c r="B862" s="2" t="s">
        <v>2269</v>
      </c>
      <c r="C862" s="2" t="s">
        <v>208</v>
      </c>
      <c r="D862" s="6">
        <f t="shared" si="21"/>
        <v>1</v>
      </c>
      <c r="E862" s="7" t="str">
        <f t="shared" si="22"/>
        <v>EpidemiologicalParameter</v>
      </c>
      <c r="F862" s="8" t="b">
        <f>IF(D862&lt;1,FALSE,ISERROR(MATCH(E862,'Ontology and concepts per UC'!$A$2:$A$62,0)))</f>
        <v>0</v>
      </c>
      <c r="G862" s="9" t="str">
        <f t="shared" si="23"/>
        <v/>
      </c>
      <c r="H862" s="9" t="str">
        <f t="shared" si="24"/>
        <v/>
      </c>
      <c r="I862" s="8" t="b">
        <f>IF(D862&lt;2,FALSE,ISERROR(MATCH(H862,'Ontology and concepts per UC'!$A$2:$A$62,0)))</f>
        <v>0</v>
      </c>
      <c r="J862" s="9" t="str">
        <f t="shared" si="25"/>
        <v/>
      </c>
      <c r="K862" s="8" t="b">
        <f>IF(D862&lt;3,FALSE,ISERROR(MATCH(J862,'Ontology and concepts per UC'!$A$2:$A$62,0)))</f>
        <v>0</v>
      </c>
      <c r="L862" s="2"/>
      <c r="M862" s="2" t="s">
        <v>2270</v>
      </c>
      <c r="N862" s="2"/>
      <c r="O862" s="1" t="b">
        <v>0</v>
      </c>
      <c r="P862" s="1">
        <v>0</v>
      </c>
      <c r="Q862" s="1">
        <v>0</v>
      </c>
      <c r="R862" s="1" t="b">
        <f t="shared" si="26"/>
        <v>1</v>
      </c>
      <c r="S862" s="2" t="s">
        <v>38</v>
      </c>
      <c r="T862" s="1" t="str">
        <f>IF(S862="","",VLOOKUP(S862,'Ontology and concepts per UC'!$F$2:$J$46,5,FALSE))</f>
        <v>Parámetro epidemiológico</v>
      </c>
      <c r="U862" s="1" t="b">
        <f t="array" ref="U862">(INDEX('Ontology and concepts per UC'!$G$2:$I$46,MATCH($S862,'Ontology and concepts per UC'!$F$2:$F$46,0),MATCH(LEFT($A862,3),'Ontology and concepts per UC'!$G$1:$I$1,0))=0)</f>
        <v>0</v>
      </c>
      <c r="V862" s="1" t="b">
        <f t="shared" si="27"/>
        <v>1</v>
      </c>
      <c r="W862" s="1" t="b">
        <v>0</v>
      </c>
      <c r="X862" s="1" t="b">
        <v>0</v>
      </c>
      <c r="Y862" s="1" t="b">
        <v>0</v>
      </c>
      <c r="Z862" s="1" t="b">
        <v>1</v>
      </c>
      <c r="AA862" s="1" t="s">
        <v>197</v>
      </c>
    </row>
    <row r="863" spans="1:27" x14ac:dyDescent="0.25">
      <c r="A863" s="1" t="s">
        <v>2260</v>
      </c>
      <c r="B863" s="2" t="s">
        <v>2271</v>
      </c>
      <c r="C863" s="2" t="s">
        <v>208</v>
      </c>
      <c r="D863" s="6">
        <f t="shared" si="21"/>
        <v>1</v>
      </c>
      <c r="E863" s="7" t="str">
        <f t="shared" si="22"/>
        <v>EpidemiologicalParameter</v>
      </c>
      <c r="F863" s="8" t="b">
        <f>IF(D863&lt;1,FALSE,ISERROR(MATCH(E863,'Ontology and concepts per UC'!$A$2:$A$62,0)))</f>
        <v>0</v>
      </c>
      <c r="G863" s="9" t="str">
        <f t="shared" si="23"/>
        <v/>
      </c>
      <c r="H863" s="9" t="str">
        <f t="shared" si="24"/>
        <v/>
      </c>
      <c r="I863" s="8" t="b">
        <f>IF(D863&lt;2,FALSE,ISERROR(MATCH(H863,'Ontology and concepts per UC'!$A$2:$A$62,0)))</f>
        <v>0</v>
      </c>
      <c r="J863" s="9" t="str">
        <f t="shared" si="25"/>
        <v/>
      </c>
      <c r="K863" s="8" t="b">
        <f>IF(D863&lt;3,FALSE,ISERROR(MATCH(J863,'Ontology and concepts per UC'!$A$2:$A$62,0)))</f>
        <v>0</v>
      </c>
      <c r="L863" s="2"/>
      <c r="M863" s="2" t="s">
        <v>2272</v>
      </c>
      <c r="N863" s="2"/>
      <c r="O863" s="1" t="b">
        <v>0</v>
      </c>
      <c r="P863" s="1">
        <v>0</v>
      </c>
      <c r="Q863" s="1">
        <v>0</v>
      </c>
      <c r="R863" s="1" t="b">
        <f t="shared" si="26"/>
        <v>1</v>
      </c>
      <c r="S863" s="2" t="s">
        <v>50</v>
      </c>
      <c r="T863" s="1" t="str">
        <f>IF(S863="","",VLOOKUP(S863,'Ontology and concepts per UC'!$F$2:$J$46,5,FALSE))</f>
        <v>Parámetros de progresión</v>
      </c>
      <c r="U863" s="1" t="b">
        <f t="array" ref="U863">(INDEX('Ontology and concepts per UC'!$G$2:$I$46,MATCH($S863,'Ontology and concepts per UC'!$F$2:$F$46,0),MATCH(LEFT($A863,3),'Ontology and concepts per UC'!$G$1:$I$1,0))=0)</f>
        <v>0</v>
      </c>
      <c r="V863" s="1" t="b">
        <f t="shared" si="27"/>
        <v>1</v>
      </c>
      <c r="W863" s="1" t="b">
        <v>0</v>
      </c>
      <c r="X863" s="1" t="b">
        <v>0</v>
      </c>
      <c r="Y863" s="1" t="b">
        <v>0</v>
      </c>
      <c r="Z863" s="1" t="b">
        <v>1</v>
      </c>
      <c r="AA863" s="1" t="s">
        <v>197</v>
      </c>
    </row>
    <row r="864" spans="1:27" x14ac:dyDescent="0.25">
      <c r="A864" s="1" t="s">
        <v>2260</v>
      </c>
      <c r="B864" s="2" t="s">
        <v>2273</v>
      </c>
      <c r="C864" s="2" t="s">
        <v>208</v>
      </c>
      <c r="D864" s="6">
        <f t="shared" si="21"/>
        <v>1</v>
      </c>
      <c r="E864" s="7" t="str">
        <f t="shared" si="22"/>
        <v>EpidemiologicalParameter</v>
      </c>
      <c r="F864" s="8" t="b">
        <f>IF(D864&lt;1,FALSE,ISERROR(MATCH(E864,'Ontology and concepts per UC'!$A$2:$A$62,0)))</f>
        <v>0</v>
      </c>
      <c r="G864" s="9" t="str">
        <f t="shared" si="23"/>
        <v/>
      </c>
      <c r="H864" s="9" t="str">
        <f t="shared" si="24"/>
        <v/>
      </c>
      <c r="I864" s="8" t="b">
        <f>IF(D864&lt;2,FALSE,ISERROR(MATCH(H864,'Ontology and concepts per UC'!$A$2:$A$62,0)))</f>
        <v>0</v>
      </c>
      <c r="J864" s="9" t="str">
        <f t="shared" si="25"/>
        <v/>
      </c>
      <c r="K864" s="8" t="b">
        <f>IF(D864&lt;3,FALSE,ISERROR(MATCH(J864,'Ontology and concepts per UC'!$A$2:$A$62,0)))</f>
        <v>0</v>
      </c>
      <c r="L864" s="2"/>
      <c r="M864" s="2" t="s">
        <v>2274</v>
      </c>
      <c r="N864" s="2"/>
      <c r="O864" s="1" t="b">
        <v>0</v>
      </c>
      <c r="P864" s="1">
        <v>0</v>
      </c>
      <c r="Q864" s="1">
        <v>0</v>
      </c>
      <c r="R864" s="1" t="b">
        <f t="shared" si="26"/>
        <v>1</v>
      </c>
      <c r="S864" s="2" t="s">
        <v>51</v>
      </c>
      <c r="T864" s="1" t="str">
        <f>IF(S864="","",VLOOKUP(S864,'Ontology and concepts per UC'!$F$2:$J$46,5,FALSE))</f>
        <v>Parámetros de progresión</v>
      </c>
      <c r="U864" s="1" t="b">
        <f t="array" ref="U864">(INDEX('Ontology and concepts per UC'!$G$2:$I$46,MATCH($S864,'Ontology and concepts per UC'!$F$2:$F$46,0),MATCH(LEFT($A864,3),'Ontology and concepts per UC'!$G$1:$I$1,0))=0)</f>
        <v>0</v>
      </c>
      <c r="V864" s="1" t="b">
        <f t="shared" si="27"/>
        <v>0</v>
      </c>
      <c r="W864" s="1" t="b">
        <v>0</v>
      </c>
      <c r="X864" s="1" t="b">
        <v>0</v>
      </c>
      <c r="Y864" s="1" t="b">
        <v>0</v>
      </c>
      <c r="Z864" s="1" t="b">
        <v>0</v>
      </c>
      <c r="AA864" s="1"/>
    </row>
    <row r="865" spans="1:27" x14ac:dyDescent="0.25">
      <c r="A865" s="1" t="s">
        <v>2260</v>
      </c>
      <c r="B865" s="2" t="s">
        <v>2275</v>
      </c>
      <c r="C865" s="2" t="s">
        <v>208</v>
      </c>
      <c r="D865" s="6">
        <f t="shared" si="21"/>
        <v>1</v>
      </c>
      <c r="E865" s="7" t="str">
        <f t="shared" si="22"/>
        <v>EpidemiologicalParameter</v>
      </c>
      <c r="F865" s="8" t="b">
        <f>IF(D865&lt;1,FALSE,ISERROR(MATCH(E865,'Ontology and concepts per UC'!$A$2:$A$62,0)))</f>
        <v>0</v>
      </c>
      <c r="G865" s="9" t="str">
        <f t="shared" si="23"/>
        <v/>
      </c>
      <c r="H865" s="9" t="str">
        <f t="shared" si="24"/>
        <v/>
      </c>
      <c r="I865" s="8" t="b">
        <f>IF(D865&lt;2,FALSE,ISERROR(MATCH(H865,'Ontology and concepts per UC'!$A$2:$A$62,0)))</f>
        <v>0</v>
      </c>
      <c r="J865" s="9" t="str">
        <f t="shared" si="25"/>
        <v/>
      </c>
      <c r="K865" s="8" t="b">
        <f>IF(D865&lt;3,FALSE,ISERROR(MATCH(J865,'Ontology and concepts per UC'!$A$2:$A$62,0)))</f>
        <v>0</v>
      </c>
      <c r="L865" s="2"/>
      <c r="M865" s="2" t="s">
        <v>2276</v>
      </c>
      <c r="N865" s="2"/>
      <c r="O865" s="1" t="b">
        <v>0</v>
      </c>
      <c r="P865" s="1">
        <v>0</v>
      </c>
      <c r="Q865" s="1">
        <v>0</v>
      </c>
      <c r="R865" s="1" t="b">
        <f t="shared" si="26"/>
        <v>1</v>
      </c>
      <c r="S865" s="2" t="s">
        <v>55</v>
      </c>
      <c r="T865" s="1" t="str">
        <f>IF(S865="","",VLOOKUP(S865,'Ontology and concepts per UC'!$F$2:$J$46,5,FALSE))</f>
        <v>Parámetros de progresión</v>
      </c>
      <c r="U865" s="1" t="b">
        <f t="array" ref="U865">(INDEX('Ontology and concepts per UC'!$G$2:$I$46,MATCH($S865,'Ontology and concepts per UC'!$F$2:$F$46,0),MATCH(LEFT($A865,3),'Ontology and concepts per UC'!$G$1:$I$1,0))=0)</f>
        <v>0</v>
      </c>
      <c r="V865" s="1" t="b">
        <f t="shared" si="27"/>
        <v>0</v>
      </c>
      <c r="W865" s="1" t="b">
        <v>0</v>
      </c>
      <c r="X865" s="1" t="b">
        <v>0</v>
      </c>
      <c r="Y865" s="1" t="b">
        <v>0</v>
      </c>
      <c r="Z865" s="1" t="b">
        <v>0</v>
      </c>
      <c r="AA865" s="1"/>
    </row>
    <row r="866" spans="1:27" x14ac:dyDescent="0.25">
      <c r="A866" s="1" t="s">
        <v>2260</v>
      </c>
      <c r="B866" s="2" t="s">
        <v>2277</v>
      </c>
      <c r="C866" s="2" t="s">
        <v>208</v>
      </c>
      <c r="D866" s="6">
        <f t="shared" si="21"/>
        <v>1</v>
      </c>
      <c r="E866" s="7" t="str">
        <f t="shared" si="22"/>
        <v>EpidemiologicalParameter</v>
      </c>
      <c r="F866" s="8" t="b">
        <f>IF(D866&lt;1,FALSE,ISERROR(MATCH(E866,'Ontology and concepts per UC'!$A$2:$A$62,0)))</f>
        <v>0</v>
      </c>
      <c r="G866" s="9" t="str">
        <f t="shared" si="23"/>
        <v/>
      </c>
      <c r="H866" s="9" t="str">
        <f t="shared" si="24"/>
        <v/>
      </c>
      <c r="I866" s="8" t="b">
        <f>IF(D866&lt;2,FALSE,ISERROR(MATCH(H866,'Ontology and concepts per UC'!$A$2:$A$62,0)))</f>
        <v>0</v>
      </c>
      <c r="J866" s="9" t="str">
        <f t="shared" si="25"/>
        <v/>
      </c>
      <c r="K866" s="8" t="b">
        <f>IF(D866&lt;3,FALSE,ISERROR(MATCH(J866,'Ontology and concepts per UC'!$A$2:$A$62,0)))</f>
        <v>0</v>
      </c>
      <c r="L866" s="2"/>
      <c r="M866" s="2" t="s">
        <v>2278</v>
      </c>
      <c r="N866" s="2"/>
      <c r="O866" s="1" t="b">
        <v>0</v>
      </c>
      <c r="P866" s="1">
        <v>0</v>
      </c>
      <c r="Q866" s="1">
        <v>0</v>
      </c>
      <c r="R866" s="1" t="b">
        <f t="shared" si="26"/>
        <v>1</v>
      </c>
      <c r="S866" s="2" t="s">
        <v>56</v>
      </c>
      <c r="T866" s="1" t="str">
        <f>IF(S866="","",VLOOKUP(S866,'Ontology and concepts per UC'!$F$2:$J$46,5,FALSE))</f>
        <v>Parámetros de progresión</v>
      </c>
      <c r="U866" s="1" t="b">
        <f t="array" ref="U866">(INDEX('Ontology and concepts per UC'!$G$2:$I$46,MATCH($S866,'Ontology and concepts per UC'!$F$2:$F$46,0),MATCH(LEFT($A866,3),'Ontology and concepts per UC'!$G$1:$I$1,0))=0)</f>
        <v>0</v>
      </c>
      <c r="V866" s="1" t="b">
        <f t="shared" si="27"/>
        <v>1</v>
      </c>
      <c r="W866" s="1" t="b">
        <v>0</v>
      </c>
      <c r="X866" s="1" t="b">
        <v>0</v>
      </c>
      <c r="Y866" s="1" t="b">
        <v>0</v>
      </c>
      <c r="Z866" s="1" t="b">
        <v>1</v>
      </c>
      <c r="AA866" s="1" t="s">
        <v>197</v>
      </c>
    </row>
    <row r="867" spans="1:27" x14ac:dyDescent="0.25">
      <c r="A867" s="1" t="s">
        <v>2260</v>
      </c>
      <c r="B867" s="2" t="s">
        <v>2279</v>
      </c>
      <c r="C867" s="2" t="s">
        <v>208</v>
      </c>
      <c r="D867" s="6">
        <f t="shared" si="21"/>
        <v>1</v>
      </c>
      <c r="E867" s="7" t="str">
        <f t="shared" si="22"/>
        <v>EpidemiologicalParameter</v>
      </c>
      <c r="F867" s="8" t="b">
        <f>IF(D867&lt;1,FALSE,ISERROR(MATCH(E867,'Ontology and concepts per UC'!$A$2:$A$62,0)))</f>
        <v>0</v>
      </c>
      <c r="G867" s="9" t="str">
        <f t="shared" si="23"/>
        <v/>
      </c>
      <c r="H867" s="9" t="str">
        <f t="shared" si="24"/>
        <v/>
      </c>
      <c r="I867" s="8" t="b">
        <f>IF(D867&lt;2,FALSE,ISERROR(MATCH(H867,'Ontology and concepts per UC'!$A$2:$A$62,0)))</f>
        <v>0</v>
      </c>
      <c r="J867" s="9" t="str">
        <f t="shared" si="25"/>
        <v/>
      </c>
      <c r="K867" s="8" t="b">
        <f>IF(D867&lt;3,FALSE,ISERROR(MATCH(J867,'Ontology and concepts per UC'!$A$2:$A$62,0)))</f>
        <v>0</v>
      </c>
      <c r="L867" s="2"/>
      <c r="M867" s="2" t="s">
        <v>2280</v>
      </c>
      <c r="N867" s="2"/>
      <c r="O867" s="1" t="b">
        <v>0</v>
      </c>
      <c r="P867" s="1">
        <v>0</v>
      </c>
      <c r="Q867" s="1">
        <v>0</v>
      </c>
      <c r="R867" s="1" t="b">
        <f t="shared" si="26"/>
        <v>1</v>
      </c>
      <c r="S867" s="2" t="s">
        <v>58</v>
      </c>
      <c r="T867" s="1" t="str">
        <f>IF(S867="","",VLOOKUP(S867,'Ontology and concepts per UC'!$F$2:$J$46,5,FALSE))</f>
        <v>Parámetros de progresión</v>
      </c>
      <c r="U867" s="1" t="b">
        <f t="array" ref="U867">(INDEX('Ontology and concepts per UC'!$G$2:$I$46,MATCH($S867,'Ontology and concepts per UC'!$F$2:$F$46,0),MATCH(LEFT($A867,3),'Ontology and concepts per UC'!$G$1:$I$1,0))=0)</f>
        <v>0</v>
      </c>
      <c r="V867" s="1" t="b">
        <f t="shared" si="27"/>
        <v>0</v>
      </c>
      <c r="W867" s="1" t="b">
        <v>0</v>
      </c>
      <c r="X867" s="1" t="b">
        <v>0</v>
      </c>
      <c r="Y867" s="1" t="b">
        <v>0</v>
      </c>
      <c r="Z867" s="1" t="b">
        <v>0</v>
      </c>
      <c r="AA867" s="1"/>
    </row>
    <row r="868" spans="1:27" x14ac:dyDescent="0.25">
      <c r="A868" s="1" t="s">
        <v>2260</v>
      </c>
      <c r="B868" s="2" t="s">
        <v>2281</v>
      </c>
      <c r="C868" s="2" t="s">
        <v>2282</v>
      </c>
      <c r="D868" s="6">
        <f t="shared" si="21"/>
        <v>1</v>
      </c>
      <c r="E868" s="7" t="str">
        <f t="shared" si="22"/>
        <v>SecondOrderUncertaintyParameter</v>
      </c>
      <c r="F868" s="8" t="b">
        <f>IF(D868&lt;1,FALSE,ISERROR(MATCH(E868,'Ontology and concepts per UC'!$A$2:$A$62,0)))</f>
        <v>0</v>
      </c>
      <c r="G868" s="9" t="str">
        <f t="shared" si="23"/>
        <v/>
      </c>
      <c r="H868" s="9" t="str">
        <f t="shared" si="24"/>
        <v/>
      </c>
      <c r="I868" s="8" t="b">
        <f>IF(D868&lt;2,FALSE,ISERROR(MATCH(H868,'Ontology and concepts per UC'!$A$2:$A$62,0)))</f>
        <v>0</v>
      </c>
      <c r="J868" s="9" t="str">
        <f t="shared" si="25"/>
        <v/>
      </c>
      <c r="K868" s="8" t="b">
        <f>IF(D868&lt;3,FALSE,ISERROR(MATCH(J868,'Ontology and concepts per UC'!$A$2:$A$62,0)))</f>
        <v>0</v>
      </c>
      <c r="L868" s="2"/>
      <c r="M868" s="2" t="s">
        <v>2283</v>
      </c>
      <c r="N868" s="2"/>
      <c r="O868" s="1" t="b">
        <v>0</v>
      </c>
      <c r="P868" s="1">
        <v>0</v>
      </c>
      <c r="Q868" s="1">
        <v>0</v>
      </c>
      <c r="R868" s="1" t="b">
        <f t="shared" si="26"/>
        <v>0</v>
      </c>
      <c r="S868" s="2" t="s">
        <v>54</v>
      </c>
      <c r="T868" s="1" t="str">
        <f>IF(S868="","",VLOOKUP(S868,'Ontology and concepts per UC'!$F$2:$J$46,5,FALSE))</f>
        <v>Parámetros de progresión</v>
      </c>
      <c r="U868" s="1" t="b">
        <f t="array" ref="U868">(INDEX('Ontology and concepts per UC'!$G$2:$I$46,MATCH($S868,'Ontology and concepts per UC'!$F$2:$F$46,0),MATCH(LEFT($A868,3),'Ontology and concepts per UC'!$G$1:$I$1,0))=0)</f>
        <v>0</v>
      </c>
      <c r="V868" s="1" t="b">
        <f t="shared" si="27"/>
        <v>0</v>
      </c>
      <c r="W868" s="1" t="b">
        <v>0</v>
      </c>
      <c r="X868" s="1" t="b">
        <v>0</v>
      </c>
      <c r="Y868" s="1" t="b">
        <v>0</v>
      </c>
      <c r="Z868" s="1" t="b">
        <v>0</v>
      </c>
      <c r="AA868" s="1"/>
    </row>
    <row r="869" spans="1:27" x14ac:dyDescent="0.25">
      <c r="A869" s="1" t="s">
        <v>2260</v>
      </c>
      <c r="B869" s="2" t="s">
        <v>2284</v>
      </c>
      <c r="C869" s="2" t="s">
        <v>219</v>
      </c>
      <c r="D869" s="6">
        <f t="shared" si="21"/>
        <v>1</v>
      </c>
      <c r="E869" s="7" t="str">
        <f t="shared" si="22"/>
        <v>Utility</v>
      </c>
      <c r="F869" s="8" t="b">
        <f>IF(D869&lt;1,FALSE,ISERROR(MATCH(E869,'Ontology and concepts per UC'!$A$2:$A$62,0)))</f>
        <v>0</v>
      </c>
      <c r="G869" s="9" t="str">
        <f t="shared" si="23"/>
        <v/>
      </c>
      <c r="H869" s="9" t="str">
        <f t="shared" si="24"/>
        <v/>
      </c>
      <c r="I869" s="8" t="b">
        <f>IF(D869&lt;2,FALSE,ISERROR(MATCH(H869,'Ontology and concepts per UC'!$A$2:$A$62,0)))</f>
        <v>0</v>
      </c>
      <c r="J869" s="9" t="str">
        <f t="shared" si="25"/>
        <v/>
      </c>
      <c r="K869" s="8" t="b">
        <f>IF(D869&lt;3,FALSE,ISERROR(MATCH(J869,'Ontology and concepts per UC'!$A$2:$A$62,0)))</f>
        <v>0</v>
      </c>
      <c r="L869" s="2"/>
      <c r="M869" s="2" t="s">
        <v>2285</v>
      </c>
      <c r="N869" s="2"/>
      <c r="O869" s="1" t="b">
        <v>0</v>
      </c>
      <c r="P869" s="1">
        <v>0</v>
      </c>
      <c r="Q869" s="1">
        <v>0</v>
      </c>
      <c r="R869" s="1" t="b">
        <f t="shared" si="26"/>
        <v>0</v>
      </c>
      <c r="S869" s="2" t="s">
        <v>65</v>
      </c>
      <c r="T869" s="1" t="str">
        <f>IF(S869="","",VLOOKUP(S869,'Ontology and concepts per UC'!$F$2:$J$46,5,FALSE))</f>
        <v>Utilidad</v>
      </c>
      <c r="U869" s="1" t="b">
        <f t="array" ref="U869">(INDEX('Ontology and concepts per UC'!$G$2:$I$46,MATCH($S869,'Ontology and concepts per UC'!$F$2:$F$46,0),MATCH(LEFT($A869,3),'Ontology and concepts per UC'!$G$1:$I$1,0))=0)</f>
        <v>0</v>
      </c>
      <c r="V869" s="1" t="b">
        <f t="shared" si="27"/>
        <v>1</v>
      </c>
      <c r="W869" s="1" t="b">
        <v>0</v>
      </c>
      <c r="X869" s="1" t="b">
        <v>0</v>
      </c>
      <c r="Y869" s="1" t="b">
        <v>0</v>
      </c>
      <c r="Z869" s="1" t="b">
        <v>1</v>
      </c>
      <c r="AA869" s="1" t="s">
        <v>197</v>
      </c>
    </row>
    <row r="870" spans="1:27" x14ac:dyDescent="0.25">
      <c r="A870" s="1" t="s">
        <v>2260</v>
      </c>
      <c r="B870" s="2" t="s">
        <v>2286</v>
      </c>
      <c r="C870" s="2" t="s">
        <v>219</v>
      </c>
      <c r="D870" s="6">
        <f t="shared" si="21"/>
        <v>1</v>
      </c>
      <c r="E870" s="7" t="str">
        <f t="shared" si="22"/>
        <v>Utility</v>
      </c>
      <c r="F870" s="8" t="b">
        <f>IF(D870&lt;1,FALSE,ISERROR(MATCH(E870,'Ontology and concepts per UC'!$A$2:$A$62,0)))</f>
        <v>0</v>
      </c>
      <c r="G870" s="9" t="str">
        <f t="shared" si="23"/>
        <v/>
      </c>
      <c r="H870" s="9" t="str">
        <f t="shared" si="24"/>
        <v/>
      </c>
      <c r="I870" s="8" t="b">
        <f>IF(D870&lt;2,FALSE,ISERROR(MATCH(H870,'Ontology and concepts per UC'!$A$2:$A$62,0)))</f>
        <v>0</v>
      </c>
      <c r="J870" s="9" t="str">
        <f t="shared" si="25"/>
        <v/>
      </c>
      <c r="K870" s="8" t="b">
        <f>IF(D870&lt;3,FALSE,ISERROR(MATCH(J870,'Ontology and concepts per UC'!$A$2:$A$62,0)))</f>
        <v>0</v>
      </c>
      <c r="L870" s="2"/>
      <c r="M870" s="2" t="s">
        <v>2287</v>
      </c>
      <c r="N870" s="2"/>
      <c r="O870" s="1" t="b">
        <v>0</v>
      </c>
      <c r="P870" s="1">
        <v>0</v>
      </c>
      <c r="Q870" s="1">
        <v>0</v>
      </c>
      <c r="R870" s="1" t="b">
        <f t="shared" si="26"/>
        <v>1</v>
      </c>
      <c r="S870" s="2" t="s">
        <v>66</v>
      </c>
      <c r="T870" s="1" t="str">
        <f>IF(S870="","",VLOOKUP(S870,'Ontology and concepts per UC'!$F$2:$J$46,5,FALSE))</f>
        <v>Utilidad</v>
      </c>
      <c r="U870" s="1" t="b">
        <f t="array" ref="U870">(INDEX('Ontology and concepts per UC'!$G$2:$I$46,MATCH($S870,'Ontology and concepts per UC'!$F$2:$F$46,0),MATCH(LEFT($A870,3),'Ontology and concepts per UC'!$G$1:$I$1,0))=0)</f>
        <v>0</v>
      </c>
      <c r="V870" s="1" t="b">
        <f t="shared" si="27"/>
        <v>0</v>
      </c>
      <c r="W870" s="1" t="b">
        <v>0</v>
      </c>
      <c r="X870" s="1" t="b">
        <v>0</v>
      </c>
      <c r="Y870" s="1" t="b">
        <v>0</v>
      </c>
      <c r="Z870" s="1" t="b">
        <v>0</v>
      </c>
      <c r="AA870" s="1"/>
    </row>
    <row r="871" spans="1:27" x14ac:dyDescent="0.25">
      <c r="A871" s="1" t="s">
        <v>2260</v>
      </c>
      <c r="B871" s="2" t="s">
        <v>2288</v>
      </c>
      <c r="C871" s="2" t="s">
        <v>219</v>
      </c>
      <c r="D871" s="6">
        <f t="shared" si="21"/>
        <v>1</v>
      </c>
      <c r="E871" s="7" t="str">
        <f t="shared" si="22"/>
        <v>Utility</v>
      </c>
      <c r="F871" s="8" t="b">
        <f>IF(D871&lt;1,FALSE,ISERROR(MATCH(E871,'Ontology and concepts per UC'!$A$2:$A$62,0)))</f>
        <v>0</v>
      </c>
      <c r="G871" s="9" t="str">
        <f t="shared" si="23"/>
        <v/>
      </c>
      <c r="H871" s="9" t="str">
        <f t="shared" si="24"/>
        <v/>
      </c>
      <c r="I871" s="8" t="b">
        <f>IF(D871&lt;2,FALSE,ISERROR(MATCH(H871,'Ontology and concepts per UC'!$A$2:$A$62,0)))</f>
        <v>0</v>
      </c>
      <c r="J871" s="9" t="str">
        <f t="shared" si="25"/>
        <v/>
      </c>
      <c r="K871" s="8" t="b">
        <f>IF(D871&lt;3,FALSE,ISERROR(MATCH(J871,'Ontology and concepts per UC'!$A$2:$A$62,0)))</f>
        <v>0</v>
      </c>
      <c r="L871" s="2"/>
      <c r="M871" s="2" t="s">
        <v>2289</v>
      </c>
      <c r="N871" s="2"/>
      <c r="O871" s="1" t="b">
        <v>0</v>
      </c>
      <c r="P871" s="1">
        <v>0</v>
      </c>
      <c r="Q871" s="1">
        <v>0</v>
      </c>
      <c r="R871" s="1" t="b">
        <f t="shared" si="26"/>
        <v>1</v>
      </c>
      <c r="S871" s="2" t="s">
        <v>69</v>
      </c>
      <c r="T871" s="1" t="str">
        <f>IF(S871="","",VLOOKUP(S871,'Ontology and concepts per UC'!$F$2:$J$46,5,FALSE))</f>
        <v>Utilidad</v>
      </c>
      <c r="U871" s="1" t="b">
        <f t="array" ref="U871">(INDEX('Ontology and concepts per UC'!$G$2:$I$46,MATCH($S871,'Ontology and concepts per UC'!$F$2:$F$46,0),MATCH(LEFT($A871,3),'Ontology and concepts per UC'!$G$1:$I$1,0))=0)</f>
        <v>0</v>
      </c>
      <c r="V871" s="1" t="b">
        <f t="shared" si="27"/>
        <v>1</v>
      </c>
      <c r="W871" s="1" t="b">
        <v>0</v>
      </c>
      <c r="X871" s="1" t="b">
        <v>0</v>
      </c>
      <c r="Y871" s="1" t="b">
        <v>0</v>
      </c>
      <c r="Z871" s="1" t="b">
        <v>1</v>
      </c>
      <c r="AA871" s="1" t="s">
        <v>197</v>
      </c>
    </row>
    <row r="872" spans="1:27" x14ac:dyDescent="0.25">
      <c r="A872" s="1" t="s">
        <v>2260</v>
      </c>
      <c r="B872" s="2" t="s">
        <v>2290</v>
      </c>
      <c r="C872" s="2" t="s">
        <v>219</v>
      </c>
      <c r="D872" s="6">
        <f t="shared" si="21"/>
        <v>1</v>
      </c>
      <c r="E872" s="7" t="str">
        <f t="shared" si="22"/>
        <v>Utility</v>
      </c>
      <c r="F872" s="8" t="b">
        <f>IF(D872&lt;1,FALSE,ISERROR(MATCH(E872,'Ontology and concepts per UC'!$A$2:$A$62,0)))</f>
        <v>0</v>
      </c>
      <c r="G872" s="9" t="str">
        <f t="shared" si="23"/>
        <v/>
      </c>
      <c r="H872" s="9" t="str">
        <f t="shared" si="24"/>
        <v/>
      </c>
      <c r="I872" s="8" t="b">
        <f>IF(D872&lt;2,FALSE,ISERROR(MATCH(H872,'Ontology and concepts per UC'!$A$2:$A$62,0)))</f>
        <v>0</v>
      </c>
      <c r="J872" s="9" t="str">
        <f t="shared" si="25"/>
        <v/>
      </c>
      <c r="K872" s="8" t="b">
        <f>IF(D872&lt;3,FALSE,ISERROR(MATCH(J872,'Ontology and concepts per UC'!$A$2:$A$62,0)))</f>
        <v>0</v>
      </c>
      <c r="L872" s="2"/>
      <c r="M872" s="2" t="s">
        <v>2291</v>
      </c>
      <c r="N872" s="2"/>
      <c r="O872" s="1" t="b">
        <v>0</v>
      </c>
      <c r="P872" s="1">
        <v>0</v>
      </c>
      <c r="Q872" s="1">
        <v>0</v>
      </c>
      <c r="R872" s="1" t="b">
        <f t="shared" si="26"/>
        <v>1</v>
      </c>
      <c r="S872" s="2" t="s">
        <v>70</v>
      </c>
      <c r="T872" s="1" t="str">
        <f>IF(S872="","",VLOOKUP(S872,'Ontology and concepts per UC'!$F$2:$J$46,5,FALSE))</f>
        <v>Utilidad</v>
      </c>
      <c r="U872" s="1" t="b">
        <f t="array" ref="U872">(INDEX('Ontology and concepts per UC'!$G$2:$I$46,MATCH($S872,'Ontology and concepts per UC'!$F$2:$F$46,0),MATCH(LEFT($A872,3),'Ontology and concepts per UC'!$G$1:$I$1,0))=0)</f>
        <v>0</v>
      </c>
      <c r="V872" s="1" t="b">
        <f t="shared" si="27"/>
        <v>1</v>
      </c>
      <c r="W872" s="1" t="b">
        <v>0</v>
      </c>
      <c r="X872" s="1" t="b">
        <v>0</v>
      </c>
      <c r="Y872" s="1" t="b">
        <v>0</v>
      </c>
      <c r="Z872" s="1" t="b">
        <v>1</v>
      </c>
      <c r="AA872" s="1" t="s">
        <v>197</v>
      </c>
    </row>
    <row r="873" spans="1:27" x14ac:dyDescent="0.25">
      <c r="A873" s="1" t="s">
        <v>2260</v>
      </c>
      <c r="B873" s="2" t="s">
        <v>2292</v>
      </c>
      <c r="C873" s="2" t="s">
        <v>219</v>
      </c>
      <c r="D873" s="6">
        <f t="shared" si="21"/>
        <v>1</v>
      </c>
      <c r="E873" s="7" t="str">
        <f t="shared" si="22"/>
        <v>Utility</v>
      </c>
      <c r="F873" s="8" t="b">
        <f>IF(D873&lt;1,FALSE,ISERROR(MATCH(E873,'Ontology and concepts per UC'!$A$2:$A$62,0)))</f>
        <v>0</v>
      </c>
      <c r="G873" s="9" t="str">
        <f t="shared" si="23"/>
        <v/>
      </c>
      <c r="H873" s="9" t="str">
        <f t="shared" si="24"/>
        <v/>
      </c>
      <c r="I873" s="8" t="b">
        <f>IF(D873&lt;2,FALSE,ISERROR(MATCH(H873,'Ontology and concepts per UC'!$A$2:$A$62,0)))</f>
        <v>0</v>
      </c>
      <c r="J873" s="9" t="str">
        <f t="shared" si="25"/>
        <v/>
      </c>
      <c r="K873" s="8" t="b">
        <f>IF(D873&lt;3,FALSE,ISERROR(MATCH(J873,'Ontology and concepts per UC'!$A$2:$A$62,0)))</f>
        <v>0</v>
      </c>
      <c r="L873" s="2"/>
      <c r="M873" s="2" t="s">
        <v>2293</v>
      </c>
      <c r="N873" s="2"/>
      <c r="O873" s="1" t="b">
        <v>0</v>
      </c>
      <c r="P873" s="1">
        <v>0</v>
      </c>
      <c r="Q873" s="1">
        <v>0</v>
      </c>
      <c r="R873" s="1" t="b">
        <f t="shared" si="26"/>
        <v>1</v>
      </c>
      <c r="S873" s="2" t="s">
        <v>68</v>
      </c>
      <c r="T873" s="1" t="str">
        <f>IF(S873="","",VLOOKUP(S873,'Ontology and concepts per UC'!$F$2:$J$46,5,FALSE))</f>
        <v>Utilidad</v>
      </c>
      <c r="U873" s="1" t="b">
        <f t="array" ref="U873">(INDEX('Ontology and concepts per UC'!$G$2:$I$46,MATCH($S873,'Ontology and concepts per UC'!$F$2:$F$46,0),MATCH(LEFT($A873,3),'Ontology and concepts per UC'!$G$1:$I$1,0))=0)</f>
        <v>0</v>
      </c>
      <c r="V873" s="1" t="b">
        <f t="shared" si="27"/>
        <v>1</v>
      </c>
      <c r="W873" s="1" t="b">
        <v>0</v>
      </c>
      <c r="X873" s="1" t="b">
        <v>0</v>
      </c>
      <c r="Y873" s="1" t="b">
        <v>0</v>
      </c>
      <c r="Z873" s="1" t="b">
        <v>1</v>
      </c>
      <c r="AA873" s="1" t="s">
        <v>197</v>
      </c>
    </row>
    <row r="874" spans="1:27" x14ac:dyDescent="0.25">
      <c r="A874" s="1" t="s">
        <v>2260</v>
      </c>
      <c r="B874" s="2" t="s">
        <v>2294</v>
      </c>
      <c r="C874" s="2" t="s">
        <v>219</v>
      </c>
      <c r="D874" s="6">
        <f t="shared" si="21"/>
        <v>1</v>
      </c>
      <c r="E874" s="7" t="str">
        <f t="shared" si="22"/>
        <v>Utility</v>
      </c>
      <c r="F874" s="8" t="b">
        <f>IF(D874&lt;1,FALSE,ISERROR(MATCH(E874,'Ontology and concepts per UC'!$A$2:$A$62,0)))</f>
        <v>0</v>
      </c>
      <c r="G874" s="9" t="str">
        <f t="shared" si="23"/>
        <v/>
      </c>
      <c r="H874" s="9" t="str">
        <f t="shared" si="24"/>
        <v/>
      </c>
      <c r="I874" s="8" t="b">
        <f>IF(D874&lt;2,FALSE,ISERROR(MATCH(H874,'Ontology and concepts per UC'!$A$2:$A$62,0)))</f>
        <v>0</v>
      </c>
      <c r="J874" s="9" t="str">
        <f t="shared" si="25"/>
        <v/>
      </c>
      <c r="K874" s="8" t="b">
        <f>IF(D874&lt;3,FALSE,ISERROR(MATCH(J874,'Ontology and concepts per UC'!$A$2:$A$62,0)))</f>
        <v>0</v>
      </c>
      <c r="L874" s="2"/>
      <c r="M874" s="2" t="s">
        <v>2295</v>
      </c>
      <c r="N874" s="2"/>
      <c r="O874" s="1" t="b">
        <v>0</v>
      </c>
      <c r="P874" s="1">
        <v>0</v>
      </c>
      <c r="Q874" s="1">
        <v>0</v>
      </c>
      <c r="R874" s="1" t="b">
        <f t="shared" si="26"/>
        <v>1</v>
      </c>
      <c r="S874" s="2" t="s">
        <v>67</v>
      </c>
      <c r="T874" s="1" t="str">
        <f>IF(S874="","",VLOOKUP(S874,'Ontology and concepts per UC'!$F$2:$J$46,5,FALSE))</f>
        <v>Utilidad</v>
      </c>
      <c r="U874" s="1" t="b">
        <f t="array" ref="U874">(INDEX('Ontology and concepts per UC'!$G$2:$I$46,MATCH($S874,'Ontology and concepts per UC'!$F$2:$F$46,0),MATCH(LEFT($A874,3),'Ontology and concepts per UC'!$G$1:$I$1,0))=0)</f>
        <v>0</v>
      </c>
      <c r="V874" s="1" t="b">
        <f t="shared" si="27"/>
        <v>1</v>
      </c>
      <c r="W874" s="1" t="b">
        <v>0</v>
      </c>
      <c r="X874" s="1" t="b">
        <v>0</v>
      </c>
      <c r="Y874" s="1" t="b">
        <v>0</v>
      </c>
      <c r="Z874" s="1" t="b">
        <v>1</v>
      </c>
      <c r="AA874" s="1" t="s">
        <v>197</v>
      </c>
    </row>
    <row r="875" spans="1:27" x14ac:dyDescent="0.25">
      <c r="A875" s="1" t="s">
        <v>2296</v>
      </c>
      <c r="B875" s="2" t="s">
        <v>2297</v>
      </c>
      <c r="C875" s="2" t="s">
        <v>138</v>
      </c>
      <c r="D875" s="6">
        <f t="shared" si="21"/>
        <v>1</v>
      </c>
      <c r="E875" s="7" t="str">
        <f t="shared" si="22"/>
        <v>Parameter</v>
      </c>
      <c r="F875" s="8" t="b">
        <f>IF(D875&lt;1,FALSE,ISERROR(MATCH(E875,'Ontology and concepts per UC'!$A$2:$A$62,0)))</f>
        <v>0</v>
      </c>
      <c r="G875" s="9" t="str">
        <f t="shared" si="23"/>
        <v/>
      </c>
      <c r="H875" s="9" t="str">
        <f t="shared" si="24"/>
        <v/>
      </c>
      <c r="I875" s="8" t="b">
        <f>IF(D875&lt;2,FALSE,ISERROR(MATCH(H875,'Ontology and concepts per UC'!$A$2:$A$62,0)))</f>
        <v>0</v>
      </c>
      <c r="J875" s="9" t="str">
        <f t="shared" si="25"/>
        <v/>
      </c>
      <c r="K875" s="8" t="b">
        <f>IF(D875&lt;3,FALSE,ISERROR(MATCH(J875,'Ontology and concepts per UC'!$A$2:$A$62,0)))</f>
        <v>0</v>
      </c>
      <c r="L875" s="2"/>
      <c r="M875" s="2" t="s">
        <v>2298</v>
      </c>
      <c r="N875" s="2"/>
      <c r="O875" s="1" t="b">
        <v>0</v>
      </c>
      <c r="P875" s="1">
        <v>0</v>
      </c>
      <c r="Q875" s="1">
        <v>0</v>
      </c>
      <c r="R875" s="1" t="b">
        <f t="shared" si="26"/>
        <v>1</v>
      </c>
      <c r="S875" s="2" t="s">
        <v>50</v>
      </c>
      <c r="T875" s="1" t="str">
        <f>IF(S875="","",VLOOKUP(S875,'Ontology and concepts per UC'!$F$2:$J$46,5,FALSE))</f>
        <v>Parámetros de progresión</v>
      </c>
      <c r="U875" s="1" t="b">
        <f t="array" ref="U875">(INDEX('Ontology and concepts per UC'!$G$2:$I$46,MATCH($S875,'Ontology and concepts per UC'!$F$2:$F$46,0),MATCH(LEFT($A875,3),'Ontology and concepts per UC'!$G$1:$I$1,0))=0)</f>
        <v>0</v>
      </c>
      <c r="V875" s="1" t="b">
        <f t="shared" si="27"/>
        <v>1</v>
      </c>
      <c r="W875" s="1" t="b">
        <v>0</v>
      </c>
      <c r="X875" s="1" t="b">
        <v>0</v>
      </c>
      <c r="Y875" s="1" t="b">
        <v>0</v>
      </c>
      <c r="Z875" s="1" t="b">
        <v>1</v>
      </c>
      <c r="AA875" s="1" t="s">
        <v>197</v>
      </c>
    </row>
    <row r="876" spans="1:27" x14ac:dyDescent="0.25">
      <c r="A876" s="1" t="s">
        <v>2296</v>
      </c>
      <c r="B876" s="2" t="s">
        <v>2299</v>
      </c>
      <c r="C876" s="2" t="s">
        <v>138</v>
      </c>
      <c r="D876" s="6">
        <f t="shared" si="21"/>
        <v>1</v>
      </c>
      <c r="E876" s="7" t="str">
        <f t="shared" si="22"/>
        <v>Parameter</v>
      </c>
      <c r="F876" s="8" t="b">
        <f>IF(D876&lt;1,FALSE,ISERROR(MATCH(E876,'Ontology and concepts per UC'!$A$2:$A$62,0)))</f>
        <v>0</v>
      </c>
      <c r="G876" s="9" t="str">
        <f t="shared" si="23"/>
        <v/>
      </c>
      <c r="H876" s="9" t="str">
        <f t="shared" si="24"/>
        <v/>
      </c>
      <c r="I876" s="8" t="b">
        <f>IF(D876&lt;2,FALSE,ISERROR(MATCH(H876,'Ontology and concepts per UC'!$A$2:$A$62,0)))</f>
        <v>0</v>
      </c>
      <c r="J876" s="9" t="str">
        <f t="shared" si="25"/>
        <v/>
      </c>
      <c r="K876" s="8" t="b">
        <f>IF(D876&lt;3,FALSE,ISERROR(MATCH(J876,'Ontology and concepts per UC'!$A$2:$A$62,0)))</f>
        <v>0</v>
      </c>
      <c r="L876" s="2"/>
      <c r="M876" s="2" t="s">
        <v>2300</v>
      </c>
      <c r="N876" s="2"/>
      <c r="O876" s="1" t="b">
        <v>0</v>
      </c>
      <c r="P876" s="1">
        <v>0</v>
      </c>
      <c r="Q876" s="1">
        <v>0</v>
      </c>
      <c r="R876" s="1" t="b">
        <f t="shared" si="26"/>
        <v>1</v>
      </c>
      <c r="S876" s="2" t="s">
        <v>65</v>
      </c>
      <c r="T876" s="1" t="str">
        <f>IF(S876="","",VLOOKUP(S876,'Ontology and concepts per UC'!$F$2:$J$46,5,FALSE))</f>
        <v>Utilidad</v>
      </c>
      <c r="U876" s="1" t="b">
        <f t="array" ref="U876">(INDEX('Ontology and concepts per UC'!$G$2:$I$46,MATCH($S876,'Ontology and concepts per UC'!$F$2:$F$46,0),MATCH(LEFT($A876,3),'Ontology and concepts per UC'!$G$1:$I$1,0))=0)</f>
        <v>0</v>
      </c>
      <c r="V876" s="1" t="b">
        <f t="shared" si="27"/>
        <v>1</v>
      </c>
      <c r="W876" s="1" t="b">
        <v>0</v>
      </c>
      <c r="X876" s="1" t="b">
        <v>0</v>
      </c>
      <c r="Y876" s="1" t="b">
        <v>0</v>
      </c>
      <c r="Z876" s="1" t="b">
        <v>1</v>
      </c>
      <c r="AA876" s="1" t="s">
        <v>197</v>
      </c>
    </row>
    <row r="877" spans="1:27" x14ac:dyDescent="0.25">
      <c r="A877" s="1" t="s">
        <v>2296</v>
      </c>
      <c r="B877" s="2" t="s">
        <v>2301</v>
      </c>
      <c r="C877" s="2" t="s">
        <v>138</v>
      </c>
      <c r="D877" s="6">
        <f t="shared" si="21"/>
        <v>1</v>
      </c>
      <c r="E877" s="7" t="str">
        <f t="shared" si="22"/>
        <v>Parameter</v>
      </c>
      <c r="F877" s="8" t="b">
        <f>IF(D877&lt;1,FALSE,ISERROR(MATCH(E877,'Ontology and concepts per UC'!$A$2:$A$62,0)))</f>
        <v>0</v>
      </c>
      <c r="G877" s="9" t="str">
        <f t="shared" si="23"/>
        <v/>
      </c>
      <c r="H877" s="9" t="str">
        <f t="shared" si="24"/>
        <v/>
      </c>
      <c r="I877" s="8" t="b">
        <f>IF(D877&lt;2,FALSE,ISERROR(MATCH(H877,'Ontology and concepts per UC'!$A$2:$A$62,0)))</f>
        <v>0</v>
      </c>
      <c r="J877" s="9" t="str">
        <f t="shared" si="25"/>
        <v/>
      </c>
      <c r="K877" s="8" t="b">
        <f>IF(D877&lt;3,FALSE,ISERROR(MATCH(J877,'Ontology and concepts per UC'!$A$2:$A$62,0)))</f>
        <v>0</v>
      </c>
      <c r="L877" s="2"/>
      <c r="M877" s="2" t="s">
        <v>2302</v>
      </c>
      <c r="N877" s="2"/>
      <c r="O877" s="1" t="b">
        <v>0</v>
      </c>
      <c r="P877" s="1">
        <v>0</v>
      </c>
      <c r="Q877" s="1">
        <v>0</v>
      </c>
      <c r="R877" s="1" t="b">
        <f t="shared" si="26"/>
        <v>1</v>
      </c>
      <c r="S877" s="2" t="s">
        <v>51</v>
      </c>
      <c r="T877" s="1" t="str">
        <f>IF(S877="","",VLOOKUP(S877,'Ontology and concepts per UC'!$F$2:$J$46,5,FALSE))</f>
        <v>Parámetros de progresión</v>
      </c>
      <c r="U877" s="1" t="b">
        <f t="array" ref="U877">(INDEX('Ontology and concepts per UC'!$G$2:$I$46,MATCH($S877,'Ontology and concepts per UC'!$F$2:$F$46,0),MATCH(LEFT($A877,3),'Ontology and concepts per UC'!$G$1:$I$1,0))=0)</f>
        <v>0</v>
      </c>
      <c r="V877" s="1" t="b">
        <f t="shared" si="27"/>
        <v>1</v>
      </c>
      <c r="W877" s="1" t="b">
        <v>0</v>
      </c>
      <c r="X877" s="1" t="b">
        <v>0</v>
      </c>
      <c r="Y877" s="1" t="b">
        <v>0</v>
      </c>
      <c r="Z877" s="1" t="b">
        <v>1</v>
      </c>
      <c r="AA877" s="1" t="s">
        <v>197</v>
      </c>
    </row>
    <row r="878" spans="1:27" x14ac:dyDescent="0.25">
      <c r="A878" s="1" t="s">
        <v>2296</v>
      </c>
      <c r="B878" s="2" t="s">
        <v>2303</v>
      </c>
      <c r="C878" s="2" t="s">
        <v>138</v>
      </c>
      <c r="D878" s="6">
        <f t="shared" si="21"/>
        <v>1</v>
      </c>
      <c r="E878" s="7" t="str">
        <f t="shared" si="22"/>
        <v>Parameter</v>
      </c>
      <c r="F878" s="8" t="b">
        <f>IF(D878&lt;1,FALSE,ISERROR(MATCH(E878,'Ontology and concepts per UC'!$A$2:$A$62,0)))</f>
        <v>0</v>
      </c>
      <c r="G878" s="9" t="str">
        <f t="shared" si="23"/>
        <v/>
      </c>
      <c r="H878" s="9" t="str">
        <f t="shared" si="24"/>
        <v/>
      </c>
      <c r="I878" s="8" t="b">
        <f>IF(D878&lt;2,FALSE,ISERROR(MATCH(H878,'Ontology and concepts per UC'!$A$2:$A$62,0)))</f>
        <v>0</v>
      </c>
      <c r="J878" s="9" t="str">
        <f t="shared" si="25"/>
        <v/>
      </c>
      <c r="K878" s="8" t="b">
        <f>IF(D878&lt;3,FALSE,ISERROR(MATCH(J878,'Ontology and concepts per UC'!$A$2:$A$62,0)))</f>
        <v>0</v>
      </c>
      <c r="L878" s="2"/>
      <c r="M878" s="2" t="s">
        <v>2304</v>
      </c>
      <c r="N878" s="2"/>
      <c r="O878" s="1" t="b">
        <v>0</v>
      </c>
      <c r="P878" s="1">
        <v>0</v>
      </c>
      <c r="Q878" s="1">
        <v>0</v>
      </c>
      <c r="R878" s="1" t="b">
        <f t="shared" si="26"/>
        <v>1</v>
      </c>
      <c r="S878" s="2" t="s">
        <v>66</v>
      </c>
      <c r="T878" s="1" t="str">
        <f>IF(S878="","",VLOOKUP(S878,'Ontology and concepts per UC'!$F$2:$J$46,5,FALSE))</f>
        <v>Utilidad</v>
      </c>
      <c r="U878" s="1" t="b">
        <f t="array" ref="U878">(INDEX('Ontology and concepts per UC'!$G$2:$I$46,MATCH($S878,'Ontology and concepts per UC'!$F$2:$F$46,0),MATCH(LEFT($A878,3),'Ontology and concepts per UC'!$G$1:$I$1,0))=0)</f>
        <v>0</v>
      </c>
      <c r="V878" s="1" t="b">
        <f t="shared" si="27"/>
        <v>0</v>
      </c>
      <c r="W878" s="1" t="b">
        <v>0</v>
      </c>
      <c r="X878" s="1" t="b">
        <v>0</v>
      </c>
      <c r="Y878" s="1" t="b">
        <v>0</v>
      </c>
      <c r="Z878" s="1" t="b">
        <v>0</v>
      </c>
      <c r="AA878" s="1"/>
    </row>
    <row r="879" spans="1:27" x14ac:dyDescent="0.25">
      <c r="A879" s="1" t="s">
        <v>2296</v>
      </c>
      <c r="B879" s="2" t="s">
        <v>2305</v>
      </c>
      <c r="C879" s="2" t="s">
        <v>138</v>
      </c>
      <c r="D879" s="6">
        <f t="shared" si="21"/>
        <v>1</v>
      </c>
      <c r="E879" s="7" t="str">
        <f t="shared" si="22"/>
        <v>Parameter</v>
      </c>
      <c r="F879" s="8" t="b">
        <f>IF(D879&lt;1,FALSE,ISERROR(MATCH(E879,'Ontology and concepts per UC'!$A$2:$A$62,0)))</f>
        <v>0</v>
      </c>
      <c r="G879" s="9" t="str">
        <f t="shared" si="23"/>
        <v/>
      </c>
      <c r="H879" s="9" t="str">
        <f t="shared" si="24"/>
        <v/>
      </c>
      <c r="I879" s="8" t="b">
        <f>IF(D879&lt;2,FALSE,ISERROR(MATCH(H879,'Ontology and concepts per UC'!$A$2:$A$62,0)))</f>
        <v>0</v>
      </c>
      <c r="J879" s="9" t="str">
        <f t="shared" si="25"/>
        <v/>
      </c>
      <c r="K879" s="8" t="b">
        <f>IF(D879&lt;3,FALSE,ISERROR(MATCH(J879,'Ontology and concepts per UC'!$A$2:$A$62,0)))</f>
        <v>0</v>
      </c>
      <c r="L879" s="2"/>
      <c r="M879" s="2" t="s">
        <v>2306</v>
      </c>
      <c r="N879" s="2"/>
      <c r="O879" s="1" t="b">
        <v>0</v>
      </c>
      <c r="P879" s="1">
        <v>0</v>
      </c>
      <c r="Q879" s="1">
        <v>0</v>
      </c>
      <c r="R879" s="1" t="b">
        <f t="shared" si="26"/>
        <v>1</v>
      </c>
      <c r="S879" s="2" t="s">
        <v>54</v>
      </c>
      <c r="T879" s="1" t="str">
        <f>IF(S879="","",VLOOKUP(S879,'Ontology and concepts per UC'!$F$2:$J$46,5,FALSE))</f>
        <v>Parámetros de progresión</v>
      </c>
      <c r="U879" s="1" t="b">
        <f t="array" ref="U879">(INDEX('Ontology and concepts per UC'!$G$2:$I$46,MATCH($S879,'Ontology and concepts per UC'!$F$2:$F$46,0),MATCH(LEFT($A879,3),'Ontology and concepts per UC'!$G$1:$I$1,0))=0)</f>
        <v>0</v>
      </c>
      <c r="V879" s="1" t="b">
        <f t="shared" si="27"/>
        <v>0</v>
      </c>
      <c r="W879" s="1" t="b">
        <v>0</v>
      </c>
      <c r="X879" s="1" t="b">
        <v>0</v>
      </c>
      <c r="Y879" s="1" t="b">
        <v>0</v>
      </c>
      <c r="Z879" s="1" t="b">
        <v>0</v>
      </c>
      <c r="AA879" s="1"/>
    </row>
    <row r="880" spans="1:27" x14ac:dyDescent="0.25">
      <c r="A880" s="1" t="s">
        <v>2296</v>
      </c>
      <c r="B880" s="2" t="s">
        <v>2307</v>
      </c>
      <c r="C880" s="2" t="s">
        <v>138</v>
      </c>
      <c r="D880" s="6">
        <f t="shared" si="21"/>
        <v>1</v>
      </c>
      <c r="E880" s="7" t="str">
        <f t="shared" si="22"/>
        <v>Parameter</v>
      </c>
      <c r="F880" s="8" t="b">
        <f>IF(D880&lt;1,FALSE,ISERROR(MATCH(E880,'Ontology and concepts per UC'!$A$2:$A$62,0)))</f>
        <v>0</v>
      </c>
      <c r="G880" s="9" t="str">
        <f t="shared" si="23"/>
        <v/>
      </c>
      <c r="H880" s="9" t="str">
        <f t="shared" si="24"/>
        <v/>
      </c>
      <c r="I880" s="8" t="b">
        <f>IF(D880&lt;2,FALSE,ISERROR(MATCH(H880,'Ontology and concepts per UC'!$A$2:$A$62,0)))</f>
        <v>0</v>
      </c>
      <c r="J880" s="9" t="str">
        <f t="shared" si="25"/>
        <v/>
      </c>
      <c r="K880" s="8" t="b">
        <f>IF(D880&lt;3,FALSE,ISERROR(MATCH(J880,'Ontology and concepts per UC'!$A$2:$A$62,0)))</f>
        <v>0</v>
      </c>
      <c r="L880" s="2"/>
      <c r="M880" s="2" t="s">
        <v>2308</v>
      </c>
      <c r="N880" s="2"/>
      <c r="O880" s="1" t="b">
        <v>0</v>
      </c>
      <c r="P880" s="1">
        <v>0</v>
      </c>
      <c r="Q880" s="1">
        <v>0</v>
      </c>
      <c r="R880" s="1" t="b">
        <f t="shared" si="26"/>
        <v>1</v>
      </c>
      <c r="S880" s="2" t="s">
        <v>69</v>
      </c>
      <c r="T880" s="1" t="str">
        <f>IF(S880="","",VLOOKUP(S880,'Ontology and concepts per UC'!$F$2:$J$46,5,FALSE))</f>
        <v>Utilidad</v>
      </c>
      <c r="U880" s="1" t="b">
        <f t="array" ref="U880">(INDEX('Ontology and concepts per UC'!$G$2:$I$46,MATCH($S880,'Ontology and concepts per UC'!$F$2:$F$46,0),MATCH(LEFT($A880,3),'Ontology and concepts per UC'!$G$1:$I$1,0))=0)</f>
        <v>0</v>
      </c>
      <c r="V880" s="1" t="b">
        <f t="shared" si="27"/>
        <v>0</v>
      </c>
      <c r="W880" s="1" t="b">
        <v>0</v>
      </c>
      <c r="X880" s="1" t="b">
        <v>0</v>
      </c>
      <c r="Y880" s="1" t="b">
        <v>0</v>
      </c>
      <c r="Z880" s="1" t="b">
        <v>0</v>
      </c>
      <c r="AA880" s="1"/>
    </row>
    <row r="881" spans="1:27" x14ac:dyDescent="0.25">
      <c r="A881" s="1" t="s">
        <v>2296</v>
      </c>
      <c r="B881" s="2" t="s">
        <v>2309</v>
      </c>
      <c r="C881" s="2" t="s">
        <v>138</v>
      </c>
      <c r="D881" s="6">
        <f t="shared" si="21"/>
        <v>1</v>
      </c>
      <c r="E881" s="7" t="str">
        <f t="shared" si="22"/>
        <v>Parameter</v>
      </c>
      <c r="F881" s="8" t="b">
        <f>IF(D881&lt;1,FALSE,ISERROR(MATCH(E881,'Ontology and concepts per UC'!$A$2:$A$62,0)))</f>
        <v>0</v>
      </c>
      <c r="G881" s="9" t="str">
        <f t="shared" si="23"/>
        <v/>
      </c>
      <c r="H881" s="9" t="str">
        <f t="shared" si="24"/>
        <v/>
      </c>
      <c r="I881" s="8" t="b">
        <f>IF(D881&lt;2,FALSE,ISERROR(MATCH(H881,'Ontology and concepts per UC'!$A$2:$A$62,0)))</f>
        <v>0</v>
      </c>
      <c r="J881" s="9" t="str">
        <f t="shared" si="25"/>
        <v/>
      </c>
      <c r="K881" s="8" t="b">
        <f>IF(D881&lt;3,FALSE,ISERROR(MATCH(J881,'Ontology and concepts per UC'!$A$2:$A$62,0)))</f>
        <v>0</v>
      </c>
      <c r="L881" s="2"/>
      <c r="M881" s="2" t="s">
        <v>2310</v>
      </c>
      <c r="N881" s="2"/>
      <c r="O881" s="1" t="b">
        <v>0</v>
      </c>
      <c r="P881" s="1">
        <v>0</v>
      </c>
      <c r="Q881" s="1">
        <v>0</v>
      </c>
      <c r="R881" s="1" t="b">
        <f t="shared" si="26"/>
        <v>1</v>
      </c>
      <c r="S881" s="2" t="s">
        <v>55</v>
      </c>
      <c r="T881" s="1" t="str">
        <f>IF(S881="","",VLOOKUP(S881,'Ontology and concepts per UC'!$F$2:$J$46,5,FALSE))</f>
        <v>Parámetros de progresión</v>
      </c>
      <c r="U881" s="1" t="b">
        <f t="array" ref="U881">(INDEX('Ontology and concepts per UC'!$G$2:$I$46,MATCH($S881,'Ontology and concepts per UC'!$F$2:$F$46,0),MATCH(LEFT($A881,3),'Ontology and concepts per UC'!$G$1:$I$1,0))=0)</f>
        <v>0</v>
      </c>
      <c r="V881" s="1" t="b">
        <f t="shared" si="27"/>
        <v>1</v>
      </c>
      <c r="W881" s="1" t="b">
        <v>0</v>
      </c>
      <c r="X881" s="1" t="b">
        <v>0</v>
      </c>
      <c r="Y881" s="1" t="b">
        <v>0</v>
      </c>
      <c r="Z881" s="1" t="b">
        <v>1</v>
      </c>
      <c r="AA881" s="1" t="s">
        <v>197</v>
      </c>
    </row>
    <row r="882" spans="1:27" x14ac:dyDescent="0.25">
      <c r="A882" s="1" t="s">
        <v>2296</v>
      </c>
      <c r="B882" s="2" t="s">
        <v>2311</v>
      </c>
      <c r="C882" s="2" t="s">
        <v>138</v>
      </c>
      <c r="D882" s="6">
        <f t="shared" si="21"/>
        <v>1</v>
      </c>
      <c r="E882" s="7" t="str">
        <f t="shared" si="22"/>
        <v>Parameter</v>
      </c>
      <c r="F882" s="8" t="b">
        <f>IF(D882&lt;1,FALSE,ISERROR(MATCH(E882,'Ontology and concepts per UC'!$A$2:$A$62,0)))</f>
        <v>0</v>
      </c>
      <c r="G882" s="9" t="str">
        <f t="shared" si="23"/>
        <v/>
      </c>
      <c r="H882" s="9" t="str">
        <f t="shared" si="24"/>
        <v/>
      </c>
      <c r="I882" s="8" t="b">
        <f>IF(D882&lt;2,FALSE,ISERROR(MATCH(H882,'Ontology and concepts per UC'!$A$2:$A$62,0)))</f>
        <v>0</v>
      </c>
      <c r="J882" s="9" t="str">
        <f t="shared" si="25"/>
        <v/>
      </c>
      <c r="K882" s="8" t="b">
        <f>IF(D882&lt;3,FALSE,ISERROR(MATCH(J882,'Ontology and concepts per UC'!$A$2:$A$62,0)))</f>
        <v>0</v>
      </c>
      <c r="L882" s="2"/>
      <c r="M882" s="2" t="s">
        <v>2312</v>
      </c>
      <c r="N882" s="2"/>
      <c r="O882" s="1" t="b">
        <v>0</v>
      </c>
      <c r="P882" s="1">
        <v>0</v>
      </c>
      <c r="Q882" s="1">
        <v>0</v>
      </c>
      <c r="R882" s="1" t="b">
        <f t="shared" si="26"/>
        <v>1</v>
      </c>
      <c r="S882" s="2" t="s">
        <v>70</v>
      </c>
      <c r="T882" s="1" t="str">
        <f>IF(S882="","",VLOOKUP(S882,'Ontology and concepts per UC'!$F$2:$J$46,5,FALSE))</f>
        <v>Utilidad</v>
      </c>
      <c r="U882" s="1" t="b">
        <f t="array" ref="U882">(INDEX('Ontology and concepts per UC'!$G$2:$I$46,MATCH($S882,'Ontology and concepts per UC'!$F$2:$F$46,0),MATCH(LEFT($A882,3),'Ontology and concepts per UC'!$G$1:$I$1,0))=0)</f>
        <v>0</v>
      </c>
      <c r="V882" s="1" t="b">
        <f t="shared" si="27"/>
        <v>0</v>
      </c>
      <c r="W882" s="1" t="b">
        <v>0</v>
      </c>
      <c r="X882" s="1" t="b">
        <v>0</v>
      </c>
      <c r="Y882" s="1" t="b">
        <v>0</v>
      </c>
      <c r="Z882" s="1" t="b">
        <v>0</v>
      </c>
      <c r="AA882" s="1"/>
    </row>
    <row r="883" spans="1:27" x14ac:dyDescent="0.25">
      <c r="A883" s="1" t="s">
        <v>2296</v>
      </c>
      <c r="B883" s="2" t="s">
        <v>2313</v>
      </c>
      <c r="C883" s="2" t="s">
        <v>138</v>
      </c>
      <c r="D883" s="6">
        <f t="shared" si="21"/>
        <v>1</v>
      </c>
      <c r="E883" s="7" t="str">
        <f t="shared" si="22"/>
        <v>Parameter</v>
      </c>
      <c r="F883" s="8" t="b">
        <f>IF(D883&lt;1,FALSE,ISERROR(MATCH(E883,'Ontology and concepts per UC'!$A$2:$A$62,0)))</f>
        <v>0</v>
      </c>
      <c r="G883" s="9" t="str">
        <f t="shared" si="23"/>
        <v/>
      </c>
      <c r="H883" s="9" t="str">
        <f t="shared" si="24"/>
        <v/>
      </c>
      <c r="I883" s="8" t="b">
        <f>IF(D883&lt;2,FALSE,ISERROR(MATCH(H883,'Ontology and concepts per UC'!$A$2:$A$62,0)))</f>
        <v>0</v>
      </c>
      <c r="J883" s="9" t="str">
        <f t="shared" si="25"/>
        <v/>
      </c>
      <c r="K883" s="8" t="b">
        <f>IF(D883&lt;3,FALSE,ISERROR(MATCH(J883,'Ontology and concepts per UC'!$A$2:$A$62,0)))</f>
        <v>0</v>
      </c>
      <c r="L883" s="2"/>
      <c r="M883" s="2" t="s">
        <v>2314</v>
      </c>
      <c r="N883" s="2"/>
      <c r="O883" s="1" t="b">
        <v>0</v>
      </c>
      <c r="P883" s="1">
        <v>0</v>
      </c>
      <c r="Q883" s="1">
        <v>0</v>
      </c>
      <c r="R883" s="1" t="b">
        <f t="shared" si="26"/>
        <v>1</v>
      </c>
      <c r="S883" s="2" t="s">
        <v>56</v>
      </c>
      <c r="T883" s="1" t="str">
        <f>IF(S883="","",VLOOKUP(S883,'Ontology and concepts per UC'!$F$2:$J$46,5,FALSE))</f>
        <v>Parámetros de progresión</v>
      </c>
      <c r="U883" s="1" t="b">
        <f t="array" ref="U883">(INDEX('Ontology and concepts per UC'!$G$2:$I$46,MATCH($S883,'Ontology and concepts per UC'!$F$2:$F$46,0),MATCH(LEFT($A883,3),'Ontology and concepts per UC'!$G$1:$I$1,0))=0)</f>
        <v>0</v>
      </c>
      <c r="V883" s="1" t="b">
        <f t="shared" si="27"/>
        <v>1</v>
      </c>
      <c r="W883" s="1" t="b">
        <v>0</v>
      </c>
      <c r="X883" s="1" t="b">
        <v>0</v>
      </c>
      <c r="Y883" s="1" t="b">
        <v>0</v>
      </c>
      <c r="Z883" s="1" t="b">
        <v>1</v>
      </c>
      <c r="AA883" s="1" t="s">
        <v>197</v>
      </c>
    </row>
    <row r="884" spans="1:27" x14ac:dyDescent="0.25">
      <c r="A884" s="1" t="s">
        <v>2296</v>
      </c>
      <c r="B884" s="2" t="s">
        <v>2315</v>
      </c>
      <c r="C884" s="2" t="s">
        <v>138</v>
      </c>
      <c r="D884" s="6">
        <f t="shared" si="21"/>
        <v>1</v>
      </c>
      <c r="E884" s="7" t="str">
        <f t="shared" si="22"/>
        <v>Parameter</v>
      </c>
      <c r="F884" s="8" t="b">
        <f>IF(D884&lt;1,FALSE,ISERROR(MATCH(E884,'Ontology and concepts per UC'!$A$2:$A$62,0)))</f>
        <v>0</v>
      </c>
      <c r="G884" s="9" t="str">
        <f t="shared" si="23"/>
        <v/>
      </c>
      <c r="H884" s="9" t="str">
        <f t="shared" si="24"/>
        <v/>
      </c>
      <c r="I884" s="8" t="b">
        <f>IF(D884&lt;2,FALSE,ISERROR(MATCH(H884,'Ontology and concepts per UC'!$A$2:$A$62,0)))</f>
        <v>0</v>
      </c>
      <c r="J884" s="9" t="str">
        <f t="shared" si="25"/>
        <v/>
      </c>
      <c r="K884" s="8" t="b">
        <f>IF(D884&lt;3,FALSE,ISERROR(MATCH(J884,'Ontology and concepts per UC'!$A$2:$A$62,0)))</f>
        <v>0</v>
      </c>
      <c r="L884" s="2"/>
      <c r="M884" s="2" t="s">
        <v>2316</v>
      </c>
      <c r="N884" s="2"/>
      <c r="O884" s="1" t="b">
        <v>0</v>
      </c>
      <c r="P884" s="1">
        <v>0</v>
      </c>
      <c r="Q884" s="1">
        <v>0</v>
      </c>
      <c r="R884" s="1" t="b">
        <f t="shared" si="26"/>
        <v>1</v>
      </c>
      <c r="S884" s="2" t="s">
        <v>68</v>
      </c>
      <c r="T884" s="1" t="str">
        <f>IF(S884="","",VLOOKUP(S884,'Ontology and concepts per UC'!$F$2:$J$46,5,FALSE))</f>
        <v>Utilidad</v>
      </c>
      <c r="U884" s="1" t="b">
        <f t="array" ref="U884">(INDEX('Ontology and concepts per UC'!$G$2:$I$46,MATCH($S884,'Ontology and concepts per UC'!$F$2:$F$46,0),MATCH(LEFT($A884,3),'Ontology and concepts per UC'!$G$1:$I$1,0))=0)</f>
        <v>0</v>
      </c>
      <c r="V884" s="1" t="b">
        <f t="shared" si="27"/>
        <v>0</v>
      </c>
      <c r="W884" s="1" t="b">
        <v>0</v>
      </c>
      <c r="X884" s="1" t="b">
        <v>0</v>
      </c>
      <c r="Y884" s="1" t="b">
        <v>0</v>
      </c>
      <c r="Z884" s="1" t="b">
        <v>0</v>
      </c>
      <c r="AA884" s="1"/>
    </row>
    <row r="885" spans="1:27" x14ac:dyDescent="0.25">
      <c r="A885" s="1" t="s">
        <v>2296</v>
      </c>
      <c r="B885" s="2" t="s">
        <v>2317</v>
      </c>
      <c r="C885" s="2" t="s">
        <v>138</v>
      </c>
      <c r="D885" s="6">
        <f t="shared" si="21"/>
        <v>1</v>
      </c>
      <c r="E885" s="7" t="str">
        <f t="shared" si="22"/>
        <v>Parameter</v>
      </c>
      <c r="F885" s="8" t="b">
        <f>IF(D885&lt;1,FALSE,ISERROR(MATCH(E885,'Ontology and concepts per UC'!$A$2:$A$62,0)))</f>
        <v>0</v>
      </c>
      <c r="G885" s="9" t="str">
        <f t="shared" si="23"/>
        <v/>
      </c>
      <c r="H885" s="9" t="str">
        <f t="shared" si="24"/>
        <v/>
      </c>
      <c r="I885" s="8" t="b">
        <f>IF(D885&lt;2,FALSE,ISERROR(MATCH(H885,'Ontology and concepts per UC'!$A$2:$A$62,0)))</f>
        <v>0</v>
      </c>
      <c r="J885" s="9" t="str">
        <f t="shared" si="25"/>
        <v/>
      </c>
      <c r="K885" s="8" t="b">
        <f>IF(D885&lt;3,FALSE,ISERROR(MATCH(J885,'Ontology and concepts per UC'!$A$2:$A$62,0)))</f>
        <v>0</v>
      </c>
      <c r="L885" s="2"/>
      <c r="M885" s="2" t="s">
        <v>2318</v>
      </c>
      <c r="N885" s="2"/>
      <c r="O885" s="1" t="b">
        <v>0</v>
      </c>
      <c r="P885" s="1">
        <v>0</v>
      </c>
      <c r="Q885" s="1">
        <v>0</v>
      </c>
      <c r="R885" s="1" t="b">
        <f t="shared" si="26"/>
        <v>1</v>
      </c>
      <c r="S885" s="2" t="s">
        <v>58</v>
      </c>
      <c r="T885" s="1" t="str">
        <f>IF(S885="","",VLOOKUP(S885,'Ontology and concepts per UC'!$F$2:$J$46,5,FALSE))</f>
        <v>Parámetros de progresión</v>
      </c>
      <c r="U885" s="1" t="b">
        <f t="array" ref="U885">(INDEX('Ontology and concepts per UC'!$G$2:$I$46,MATCH($S885,'Ontology and concepts per UC'!$F$2:$F$46,0),MATCH(LEFT($A885,3),'Ontology and concepts per UC'!$G$1:$I$1,0))=0)</f>
        <v>0</v>
      </c>
      <c r="V885" s="1" t="b">
        <f t="shared" si="27"/>
        <v>1</v>
      </c>
      <c r="W885" s="1" t="b">
        <v>0</v>
      </c>
      <c r="X885" s="1" t="b">
        <v>0</v>
      </c>
      <c r="Y885" s="1" t="b">
        <v>0</v>
      </c>
      <c r="Z885" s="1" t="b">
        <v>1</v>
      </c>
      <c r="AA885" s="1" t="s">
        <v>197</v>
      </c>
    </row>
    <row r="886" spans="1:27" x14ac:dyDescent="0.25">
      <c r="A886" s="1" t="s">
        <v>2296</v>
      </c>
      <c r="B886" s="2" t="s">
        <v>2319</v>
      </c>
      <c r="C886" s="2" t="s">
        <v>138</v>
      </c>
      <c r="D886" s="6">
        <f t="shared" si="21"/>
        <v>1</v>
      </c>
      <c r="E886" s="7" t="str">
        <f t="shared" si="22"/>
        <v>Parameter</v>
      </c>
      <c r="F886" s="8" t="b">
        <f>IF(D886&lt;1,FALSE,ISERROR(MATCH(E886,'Ontology and concepts per UC'!$A$2:$A$62,0)))</f>
        <v>0</v>
      </c>
      <c r="G886" s="9" t="str">
        <f t="shared" si="23"/>
        <v/>
      </c>
      <c r="H886" s="9" t="str">
        <f t="shared" si="24"/>
        <v/>
      </c>
      <c r="I886" s="8" t="b">
        <f>IF(D886&lt;2,FALSE,ISERROR(MATCH(H886,'Ontology and concepts per UC'!$A$2:$A$62,0)))</f>
        <v>0</v>
      </c>
      <c r="J886" s="9" t="str">
        <f t="shared" si="25"/>
        <v/>
      </c>
      <c r="K886" s="8" t="b">
        <f>IF(D886&lt;3,FALSE,ISERROR(MATCH(J886,'Ontology and concepts per UC'!$A$2:$A$62,0)))</f>
        <v>0</v>
      </c>
      <c r="L886" s="2"/>
      <c r="M886" s="2" t="s">
        <v>2320</v>
      </c>
      <c r="N886" s="2"/>
      <c r="O886" s="1" t="b">
        <v>0</v>
      </c>
      <c r="P886" s="1">
        <v>0</v>
      </c>
      <c r="Q886" s="1">
        <v>0</v>
      </c>
      <c r="R886" s="1" t="b">
        <f t="shared" si="26"/>
        <v>1</v>
      </c>
      <c r="S886" s="2" t="s">
        <v>67</v>
      </c>
      <c r="T886" s="1" t="str">
        <f>IF(S886="","",VLOOKUP(S886,'Ontology and concepts per UC'!$F$2:$J$46,5,FALSE))</f>
        <v>Utilidad</v>
      </c>
      <c r="U886" s="1" t="b">
        <f t="array" ref="U886">(INDEX('Ontology and concepts per UC'!$G$2:$I$46,MATCH($S886,'Ontology and concepts per UC'!$F$2:$F$46,0),MATCH(LEFT($A886,3),'Ontology and concepts per UC'!$G$1:$I$1,0))=0)</f>
        <v>0</v>
      </c>
      <c r="V886" s="1" t="b">
        <f t="shared" si="27"/>
        <v>0</v>
      </c>
      <c r="W886" s="1" t="b">
        <v>0</v>
      </c>
      <c r="X886" s="1" t="b">
        <v>0</v>
      </c>
      <c r="Y886" s="1" t="b">
        <v>0</v>
      </c>
      <c r="Z886" s="1" t="b">
        <v>0</v>
      </c>
      <c r="AA886" s="1"/>
    </row>
    <row r="887" spans="1:27" x14ac:dyDescent="0.25">
      <c r="A887" s="1" t="s">
        <v>2321</v>
      </c>
      <c r="B887" s="2" t="s">
        <v>2322</v>
      </c>
      <c r="C887" s="2" t="s">
        <v>929</v>
      </c>
      <c r="D887" s="6">
        <f t="shared" si="21"/>
        <v>2</v>
      </c>
      <c r="E887" s="7" t="str">
        <f t="shared" si="22"/>
        <v>DeterministicParameter</v>
      </c>
      <c r="F887" s="8" t="b">
        <f>IF(D887&lt;1,FALSE,ISERROR(MATCH(E887,'Ontology and concepts per UC'!$A$2:$A$62,0)))</f>
        <v>0</v>
      </c>
      <c r="G887" s="9" t="str">
        <f t="shared" si="23"/>
        <v>EpidemiologicalParameter</v>
      </c>
      <c r="H887" s="9" t="str">
        <f t="shared" si="24"/>
        <v>EpidemiologicalParameter</v>
      </c>
      <c r="I887" s="8" t="b">
        <f>IF(D887&lt;2,FALSE,ISERROR(MATCH(H887,'Ontology and concepts per UC'!$A$2:$A$62,0)))</f>
        <v>0</v>
      </c>
      <c r="J887" s="9" t="str">
        <f t="shared" si="25"/>
        <v/>
      </c>
      <c r="K887" s="8" t="b">
        <f>IF(D887&lt;3,FALSE,ISERROR(MATCH(J887,'Ontology and concepts per UC'!$A$2:$A$62,0)))</f>
        <v>0</v>
      </c>
      <c r="L887" s="2"/>
      <c r="M887" s="2" t="s">
        <v>2323</v>
      </c>
      <c r="N887" s="2"/>
      <c r="O887" s="1" t="b">
        <v>0</v>
      </c>
      <c r="P887" s="1">
        <v>0</v>
      </c>
      <c r="Q887" s="1">
        <v>0</v>
      </c>
      <c r="R887" s="1" t="b">
        <f t="shared" si="26"/>
        <v>0</v>
      </c>
      <c r="S887" s="2" t="s">
        <v>50</v>
      </c>
      <c r="T887" s="1" t="str">
        <f>IF(S887="","",VLOOKUP(S887,'Ontology and concepts per UC'!$F$2:$J$46,5,FALSE))</f>
        <v>Parámetros de progresión</v>
      </c>
      <c r="U887" s="1" t="b">
        <f t="array" ref="U887">(INDEX('Ontology and concepts per UC'!$G$2:$I$46,MATCH($S887,'Ontology and concepts per UC'!$F$2:$F$46,0),MATCH(LEFT($A887,3),'Ontology and concepts per UC'!$G$1:$I$1,0))=0)</f>
        <v>0</v>
      </c>
      <c r="V887" s="1" t="b">
        <f t="shared" si="27"/>
        <v>1</v>
      </c>
      <c r="W887" s="1" t="b">
        <v>0</v>
      </c>
      <c r="X887" s="1" t="b">
        <v>0</v>
      </c>
      <c r="Y887" s="1" t="b">
        <v>0</v>
      </c>
      <c r="Z887" s="1" t="b">
        <v>1</v>
      </c>
      <c r="AA887" s="1" t="s">
        <v>197</v>
      </c>
    </row>
    <row r="888" spans="1:27" x14ac:dyDescent="0.25">
      <c r="A888" s="1" t="s">
        <v>2321</v>
      </c>
      <c r="B888" s="2" t="s">
        <v>2324</v>
      </c>
      <c r="C888" s="2" t="s">
        <v>929</v>
      </c>
      <c r="D888" s="6">
        <f t="shared" si="21"/>
        <v>2</v>
      </c>
      <c r="E888" s="7" t="str">
        <f t="shared" si="22"/>
        <v>DeterministicParameter</v>
      </c>
      <c r="F888" s="8" t="b">
        <f>IF(D888&lt;1,FALSE,ISERROR(MATCH(E888,'Ontology and concepts per UC'!$A$2:$A$62,0)))</f>
        <v>0</v>
      </c>
      <c r="G888" s="9" t="str">
        <f t="shared" si="23"/>
        <v>EpidemiologicalParameter</v>
      </c>
      <c r="H888" s="9" t="str">
        <f t="shared" si="24"/>
        <v>EpidemiologicalParameter</v>
      </c>
      <c r="I888" s="8" t="b">
        <f>IF(D888&lt;2,FALSE,ISERROR(MATCH(H888,'Ontology and concepts per UC'!$A$2:$A$62,0)))</f>
        <v>0</v>
      </c>
      <c r="J888" s="9" t="str">
        <f t="shared" si="25"/>
        <v/>
      </c>
      <c r="K888" s="8" t="b">
        <f>IF(D888&lt;3,FALSE,ISERROR(MATCH(J888,'Ontology and concepts per UC'!$A$2:$A$62,0)))</f>
        <v>0</v>
      </c>
      <c r="L888" s="2"/>
      <c r="M888" s="2" t="s">
        <v>2325</v>
      </c>
      <c r="N888" s="2"/>
      <c r="O888" s="1" t="b">
        <v>0</v>
      </c>
      <c r="P888" s="1">
        <v>0</v>
      </c>
      <c r="Q888" s="1">
        <v>0</v>
      </c>
      <c r="R888" s="1" t="b">
        <f t="shared" si="26"/>
        <v>0</v>
      </c>
      <c r="S888" s="2" t="s">
        <v>50</v>
      </c>
      <c r="T888" s="1" t="str">
        <f>IF(S888="","",VLOOKUP(S888,'Ontology and concepts per UC'!$F$2:$J$46,5,FALSE))</f>
        <v>Parámetros de progresión</v>
      </c>
      <c r="U888" s="1" t="b">
        <f t="array" ref="U888">(INDEX('Ontology and concepts per UC'!$G$2:$I$46,MATCH($S888,'Ontology and concepts per UC'!$F$2:$F$46,0),MATCH(LEFT($A888,3),'Ontology and concepts per UC'!$G$1:$I$1,0))=0)</f>
        <v>0</v>
      </c>
      <c r="V888" s="1" t="b">
        <f t="shared" si="27"/>
        <v>1</v>
      </c>
      <c r="W888" s="1" t="b">
        <v>0</v>
      </c>
      <c r="X888" s="1" t="b">
        <v>0</v>
      </c>
      <c r="Y888" s="1" t="b">
        <v>0</v>
      </c>
      <c r="Z888" s="1" t="b">
        <v>1</v>
      </c>
      <c r="AA888" s="1" t="s">
        <v>197</v>
      </c>
    </row>
    <row r="889" spans="1:27" x14ac:dyDescent="0.25">
      <c r="A889" s="1" t="s">
        <v>2321</v>
      </c>
      <c r="B889" s="2" t="s">
        <v>2326</v>
      </c>
      <c r="C889" s="2" t="s">
        <v>929</v>
      </c>
      <c r="D889" s="6">
        <f t="shared" si="21"/>
        <v>2</v>
      </c>
      <c r="E889" s="7" t="str">
        <f t="shared" si="22"/>
        <v>DeterministicParameter</v>
      </c>
      <c r="F889" s="8" t="b">
        <f>IF(D889&lt;1,FALSE,ISERROR(MATCH(E889,'Ontology and concepts per UC'!$A$2:$A$62,0)))</f>
        <v>0</v>
      </c>
      <c r="G889" s="9" t="str">
        <f t="shared" si="23"/>
        <v>EpidemiologicalParameter</v>
      </c>
      <c r="H889" s="9" t="str">
        <f t="shared" si="24"/>
        <v>EpidemiologicalParameter</v>
      </c>
      <c r="I889" s="8" t="b">
        <f>IF(D889&lt;2,FALSE,ISERROR(MATCH(H889,'Ontology and concepts per UC'!$A$2:$A$62,0)))</f>
        <v>0</v>
      </c>
      <c r="J889" s="9" t="str">
        <f t="shared" si="25"/>
        <v/>
      </c>
      <c r="K889" s="8" t="b">
        <f>IF(D889&lt;3,FALSE,ISERROR(MATCH(J889,'Ontology and concepts per UC'!$A$2:$A$62,0)))</f>
        <v>0</v>
      </c>
      <c r="L889" s="2"/>
      <c r="M889" s="2" t="s">
        <v>2327</v>
      </c>
      <c r="N889" s="2"/>
      <c r="O889" s="1" t="b">
        <v>0</v>
      </c>
      <c r="P889" s="1">
        <v>0</v>
      </c>
      <c r="Q889" s="1">
        <v>0</v>
      </c>
      <c r="R889" s="1" t="b">
        <f t="shared" si="26"/>
        <v>0</v>
      </c>
      <c r="S889" s="2" t="s">
        <v>58</v>
      </c>
      <c r="T889" s="1" t="str">
        <f>IF(S889="","",VLOOKUP(S889,'Ontology and concepts per UC'!$F$2:$J$46,5,FALSE))</f>
        <v>Parámetros de progresión</v>
      </c>
      <c r="U889" s="1" t="b">
        <f t="array" ref="U889">(INDEX('Ontology and concepts per UC'!$G$2:$I$46,MATCH($S889,'Ontology and concepts per UC'!$F$2:$F$46,0),MATCH(LEFT($A889,3),'Ontology and concepts per UC'!$G$1:$I$1,0))=0)</f>
        <v>0</v>
      </c>
      <c r="V889" s="1" t="b">
        <f t="shared" si="27"/>
        <v>0</v>
      </c>
      <c r="W889" s="1" t="b">
        <v>0</v>
      </c>
      <c r="X889" s="1" t="b">
        <v>0</v>
      </c>
      <c r="Y889" s="1" t="b">
        <v>0</v>
      </c>
      <c r="Z889" s="1" t="b">
        <v>0</v>
      </c>
      <c r="AA889" s="1"/>
    </row>
    <row r="890" spans="1:27" x14ac:dyDescent="0.25">
      <c r="A890" s="1" t="s">
        <v>2321</v>
      </c>
      <c r="B890" s="2" t="s">
        <v>2328</v>
      </c>
      <c r="C890" s="2" t="s">
        <v>929</v>
      </c>
      <c r="D890" s="6">
        <f t="shared" si="21"/>
        <v>2</v>
      </c>
      <c r="E890" s="7" t="str">
        <f t="shared" si="22"/>
        <v>DeterministicParameter</v>
      </c>
      <c r="F890" s="8" t="b">
        <f>IF(D890&lt;1,FALSE,ISERROR(MATCH(E890,'Ontology and concepts per UC'!$A$2:$A$62,0)))</f>
        <v>0</v>
      </c>
      <c r="G890" s="9" t="str">
        <f t="shared" si="23"/>
        <v>EpidemiologicalParameter</v>
      </c>
      <c r="H890" s="9" t="str">
        <f t="shared" si="24"/>
        <v>EpidemiologicalParameter</v>
      </c>
      <c r="I890" s="8" t="b">
        <f>IF(D890&lt;2,FALSE,ISERROR(MATCH(H890,'Ontology and concepts per UC'!$A$2:$A$62,0)))</f>
        <v>0</v>
      </c>
      <c r="J890" s="9" t="str">
        <f t="shared" si="25"/>
        <v/>
      </c>
      <c r="K890" s="8" t="b">
        <f>IF(D890&lt;3,FALSE,ISERROR(MATCH(J890,'Ontology and concepts per UC'!$A$2:$A$62,0)))</f>
        <v>0</v>
      </c>
      <c r="L890" s="2"/>
      <c r="M890" s="2" t="s">
        <v>2329</v>
      </c>
      <c r="N890" s="2"/>
      <c r="O890" s="1" t="b">
        <v>0</v>
      </c>
      <c r="P890" s="1">
        <v>0</v>
      </c>
      <c r="Q890" s="1">
        <v>0</v>
      </c>
      <c r="R890" s="1" t="b">
        <f t="shared" si="26"/>
        <v>0</v>
      </c>
      <c r="S890" s="2" t="s">
        <v>58</v>
      </c>
      <c r="T890" s="1" t="str">
        <f>IF(S890="","",VLOOKUP(S890,'Ontology and concepts per UC'!$F$2:$J$46,5,FALSE))</f>
        <v>Parámetros de progresión</v>
      </c>
      <c r="U890" s="1" t="b">
        <f t="array" ref="U890">(INDEX('Ontology and concepts per UC'!$G$2:$I$46,MATCH($S890,'Ontology and concepts per UC'!$F$2:$F$46,0),MATCH(LEFT($A890,3),'Ontology and concepts per UC'!$G$1:$I$1,0))=0)</f>
        <v>0</v>
      </c>
      <c r="V890" s="1" t="b">
        <f t="shared" si="27"/>
        <v>0</v>
      </c>
      <c r="W890" s="1" t="b">
        <v>0</v>
      </c>
      <c r="X890" s="1" t="b">
        <v>0</v>
      </c>
      <c r="Y890" s="1" t="b">
        <v>0</v>
      </c>
      <c r="Z890" s="1" t="b">
        <v>0</v>
      </c>
      <c r="AA890" s="1"/>
    </row>
    <row r="891" spans="1:27" x14ac:dyDescent="0.25">
      <c r="A891" s="1" t="s">
        <v>2321</v>
      </c>
      <c r="B891" s="2" t="s">
        <v>2330</v>
      </c>
      <c r="C891" s="2" t="s">
        <v>2331</v>
      </c>
      <c r="D891" s="6">
        <f t="shared" si="21"/>
        <v>2</v>
      </c>
      <c r="E891" s="7" t="str">
        <f t="shared" si="22"/>
        <v>EpidemiologicalParameter</v>
      </c>
      <c r="F891" s="8" t="b">
        <f>IF(D891&lt;1,FALSE,ISERROR(MATCH(E891,'Ontology and concepts per UC'!$A$2:$A$62,0)))</f>
        <v>0</v>
      </c>
      <c r="G891" s="9" t="str">
        <f t="shared" si="23"/>
        <v>SecondOrderUncertaintyParameter</v>
      </c>
      <c r="H891" s="9" t="str">
        <f t="shared" si="24"/>
        <v>SecondOrderUncertaintyParameter</v>
      </c>
      <c r="I891" s="8" t="b">
        <f>IF(D891&lt;2,FALSE,ISERROR(MATCH(H891,'Ontology and concepts per UC'!$A$2:$A$62,0)))</f>
        <v>0</v>
      </c>
      <c r="J891" s="9" t="str">
        <f t="shared" si="25"/>
        <v/>
      </c>
      <c r="K891" s="8" t="b">
        <f>IF(D891&lt;3,FALSE,ISERROR(MATCH(J891,'Ontology and concepts per UC'!$A$2:$A$62,0)))</f>
        <v>0</v>
      </c>
      <c r="L891" s="2"/>
      <c r="M891" s="2" t="s">
        <v>2332</v>
      </c>
      <c r="N891" s="2"/>
      <c r="O891" s="1" t="b">
        <v>0</v>
      </c>
      <c r="P891" s="1">
        <v>0</v>
      </c>
      <c r="Q891" s="1">
        <v>0</v>
      </c>
      <c r="R891" s="1" t="b">
        <f t="shared" si="26"/>
        <v>1</v>
      </c>
      <c r="S891" s="2" t="s">
        <v>45</v>
      </c>
      <c r="T891" s="1" t="str">
        <f>IF(S891="","",VLOOKUP(S891,'Ontology and concepts per UC'!$F$2:$J$46,5,FALSE))</f>
        <v>Parámetros de intervención</v>
      </c>
      <c r="U891" s="1" t="b">
        <f t="array" ref="U891">(INDEX('Ontology and concepts per UC'!$G$2:$I$46,MATCH($S891,'Ontology and concepts per UC'!$F$2:$F$46,0),MATCH(LEFT($A891,3),'Ontology and concepts per UC'!$G$1:$I$1,0))=0)</f>
        <v>0</v>
      </c>
      <c r="V891" s="1" t="b">
        <f t="shared" si="27"/>
        <v>0</v>
      </c>
      <c r="W891" s="1" t="b">
        <v>0</v>
      </c>
      <c r="X891" s="1" t="b">
        <v>0</v>
      </c>
      <c r="Y891" s="1" t="b">
        <v>0</v>
      </c>
      <c r="Z891" s="1" t="b">
        <v>0</v>
      </c>
      <c r="AA891" s="1"/>
    </row>
    <row r="892" spans="1:27" x14ac:dyDescent="0.25">
      <c r="A892" s="1" t="s">
        <v>2321</v>
      </c>
      <c r="B892" s="2" t="s">
        <v>2271</v>
      </c>
      <c r="C892" s="2" t="s">
        <v>2331</v>
      </c>
      <c r="D892" s="6">
        <f t="shared" si="21"/>
        <v>2</v>
      </c>
      <c r="E892" s="7" t="str">
        <f t="shared" si="22"/>
        <v>EpidemiologicalParameter</v>
      </c>
      <c r="F892" s="8" t="b">
        <f>IF(D892&lt;1,FALSE,ISERROR(MATCH(E892,'Ontology and concepts per UC'!$A$2:$A$62,0)))</f>
        <v>0</v>
      </c>
      <c r="G892" s="9" t="str">
        <f t="shared" si="23"/>
        <v>SecondOrderUncertaintyParameter</v>
      </c>
      <c r="H892" s="9" t="str">
        <f t="shared" si="24"/>
        <v>SecondOrderUncertaintyParameter</v>
      </c>
      <c r="I892" s="8" t="b">
        <f>IF(D892&lt;2,FALSE,ISERROR(MATCH(H892,'Ontology and concepts per UC'!$A$2:$A$62,0)))</f>
        <v>0</v>
      </c>
      <c r="J892" s="9" t="str">
        <f t="shared" si="25"/>
        <v/>
      </c>
      <c r="K892" s="8" t="b">
        <f>IF(D892&lt;3,FALSE,ISERROR(MATCH(J892,'Ontology and concepts per UC'!$A$2:$A$62,0)))</f>
        <v>0</v>
      </c>
      <c r="L892" s="2"/>
      <c r="M892" s="2" t="s">
        <v>2333</v>
      </c>
      <c r="N892" s="2"/>
      <c r="O892" s="1" t="b">
        <v>0</v>
      </c>
      <c r="P892" s="1">
        <v>0</v>
      </c>
      <c r="Q892" s="1">
        <v>0</v>
      </c>
      <c r="R892" s="1" t="b">
        <f t="shared" si="26"/>
        <v>1</v>
      </c>
      <c r="S892" s="2" t="s">
        <v>50</v>
      </c>
      <c r="T892" s="1" t="str">
        <f>IF(S892="","",VLOOKUP(S892,'Ontology and concepts per UC'!$F$2:$J$46,5,FALSE))</f>
        <v>Parámetros de progresión</v>
      </c>
      <c r="U892" s="1" t="b">
        <f t="array" ref="U892">(INDEX('Ontology and concepts per UC'!$G$2:$I$46,MATCH($S892,'Ontology and concepts per UC'!$F$2:$F$46,0),MATCH(LEFT($A892,3),'Ontology and concepts per UC'!$G$1:$I$1,0))=0)</f>
        <v>0</v>
      </c>
      <c r="V892" s="1" t="b">
        <f t="shared" si="27"/>
        <v>1</v>
      </c>
      <c r="W892" s="1" t="b">
        <v>0</v>
      </c>
      <c r="X892" s="1" t="b">
        <v>0</v>
      </c>
      <c r="Y892" s="1" t="b">
        <v>0</v>
      </c>
      <c r="Z892" s="1" t="b">
        <v>1</v>
      </c>
      <c r="AA892" s="1" t="s">
        <v>197</v>
      </c>
    </row>
    <row r="893" spans="1:27" x14ac:dyDescent="0.25">
      <c r="A893" s="1" t="s">
        <v>2321</v>
      </c>
      <c r="B893" s="2" t="s">
        <v>2273</v>
      </c>
      <c r="C893" s="2" t="s">
        <v>2331</v>
      </c>
      <c r="D893" s="6">
        <f t="shared" si="21"/>
        <v>2</v>
      </c>
      <c r="E893" s="7" t="str">
        <f t="shared" si="22"/>
        <v>EpidemiologicalParameter</v>
      </c>
      <c r="F893" s="8" t="b">
        <f>IF(D893&lt;1,FALSE,ISERROR(MATCH(E893,'Ontology and concepts per UC'!$A$2:$A$62,0)))</f>
        <v>0</v>
      </c>
      <c r="G893" s="9" t="str">
        <f t="shared" si="23"/>
        <v>SecondOrderUncertaintyParameter</v>
      </c>
      <c r="H893" s="9" t="str">
        <f t="shared" si="24"/>
        <v>SecondOrderUncertaintyParameter</v>
      </c>
      <c r="I893" s="8" t="b">
        <f>IF(D893&lt;2,FALSE,ISERROR(MATCH(H893,'Ontology and concepts per UC'!$A$2:$A$62,0)))</f>
        <v>0</v>
      </c>
      <c r="J893" s="9" t="str">
        <f t="shared" si="25"/>
        <v/>
      </c>
      <c r="K893" s="8" t="b">
        <f>IF(D893&lt;3,FALSE,ISERROR(MATCH(J893,'Ontology and concepts per UC'!$A$2:$A$62,0)))</f>
        <v>0</v>
      </c>
      <c r="L893" s="2"/>
      <c r="M893" s="2" t="s">
        <v>2334</v>
      </c>
      <c r="N893" s="2"/>
      <c r="O893" s="1" t="b">
        <v>0</v>
      </c>
      <c r="P893" s="1">
        <v>0</v>
      </c>
      <c r="Q893" s="1">
        <v>0</v>
      </c>
      <c r="R893" s="1" t="b">
        <f t="shared" si="26"/>
        <v>1</v>
      </c>
      <c r="S893" s="2" t="s">
        <v>51</v>
      </c>
      <c r="T893" s="1" t="str">
        <f>IF(S893="","",VLOOKUP(S893,'Ontology and concepts per UC'!$F$2:$J$46,5,FALSE))</f>
        <v>Parámetros de progresión</v>
      </c>
      <c r="U893" s="1" t="b">
        <f t="array" ref="U893">(INDEX('Ontology and concepts per UC'!$G$2:$I$46,MATCH($S893,'Ontology and concepts per UC'!$F$2:$F$46,0),MATCH(LEFT($A893,3),'Ontology and concepts per UC'!$G$1:$I$1,0))=0)</f>
        <v>0</v>
      </c>
      <c r="V893" s="1" t="b">
        <f t="shared" si="27"/>
        <v>1</v>
      </c>
      <c r="W893" s="1" t="b">
        <v>0</v>
      </c>
      <c r="X893" s="1" t="b">
        <v>0</v>
      </c>
      <c r="Y893" s="1" t="b">
        <v>0</v>
      </c>
      <c r="Z893" s="1" t="b">
        <v>1</v>
      </c>
      <c r="AA893" s="1" t="s">
        <v>197</v>
      </c>
    </row>
    <row r="894" spans="1:27" x14ac:dyDescent="0.25">
      <c r="A894" s="1" t="s">
        <v>2321</v>
      </c>
      <c r="B894" s="2" t="s">
        <v>2281</v>
      </c>
      <c r="C894" s="2" t="s">
        <v>2331</v>
      </c>
      <c r="D894" s="6">
        <f t="shared" si="21"/>
        <v>2</v>
      </c>
      <c r="E894" s="7" t="str">
        <f t="shared" si="22"/>
        <v>EpidemiologicalParameter</v>
      </c>
      <c r="F894" s="8" t="b">
        <f>IF(D894&lt;1,FALSE,ISERROR(MATCH(E894,'Ontology and concepts per UC'!$A$2:$A$62,0)))</f>
        <v>0</v>
      </c>
      <c r="G894" s="9" t="str">
        <f t="shared" si="23"/>
        <v>SecondOrderUncertaintyParameter</v>
      </c>
      <c r="H894" s="9" t="str">
        <f t="shared" si="24"/>
        <v>SecondOrderUncertaintyParameter</v>
      </c>
      <c r="I894" s="8" t="b">
        <f>IF(D894&lt;2,FALSE,ISERROR(MATCH(H894,'Ontology and concepts per UC'!$A$2:$A$62,0)))</f>
        <v>0</v>
      </c>
      <c r="J894" s="9" t="str">
        <f t="shared" si="25"/>
        <v/>
      </c>
      <c r="K894" s="8" t="b">
        <f>IF(D894&lt;3,FALSE,ISERROR(MATCH(J894,'Ontology and concepts per UC'!$A$2:$A$62,0)))</f>
        <v>0</v>
      </c>
      <c r="L894" s="2"/>
      <c r="M894" s="2" t="s">
        <v>2335</v>
      </c>
      <c r="N894" s="2"/>
      <c r="O894" s="1" t="b">
        <v>0</v>
      </c>
      <c r="P894" s="1">
        <v>0</v>
      </c>
      <c r="Q894" s="1">
        <v>0</v>
      </c>
      <c r="R894" s="1" t="b">
        <f t="shared" si="26"/>
        <v>1</v>
      </c>
      <c r="S894" s="2" t="s">
        <v>54</v>
      </c>
      <c r="T894" s="1" t="str">
        <f>IF(S894="","",VLOOKUP(S894,'Ontology and concepts per UC'!$F$2:$J$46,5,FALSE))</f>
        <v>Parámetros de progresión</v>
      </c>
      <c r="U894" s="1" t="b">
        <f t="array" ref="U894">(INDEX('Ontology and concepts per UC'!$G$2:$I$46,MATCH($S894,'Ontology and concepts per UC'!$F$2:$F$46,0),MATCH(LEFT($A894,3),'Ontology and concepts per UC'!$G$1:$I$1,0))=0)</f>
        <v>0</v>
      </c>
      <c r="V894" s="1" t="b">
        <f t="shared" si="27"/>
        <v>1</v>
      </c>
      <c r="W894" s="1" t="b">
        <v>0</v>
      </c>
      <c r="X894" s="1" t="b">
        <v>0</v>
      </c>
      <c r="Y894" s="1" t="b">
        <v>0</v>
      </c>
      <c r="Z894" s="1" t="b">
        <v>1</v>
      </c>
      <c r="AA894" s="1" t="s">
        <v>675</v>
      </c>
    </row>
    <row r="895" spans="1:27" x14ac:dyDescent="0.25">
      <c r="A895" s="1" t="s">
        <v>2321</v>
      </c>
      <c r="B895" s="2" t="s">
        <v>2275</v>
      </c>
      <c r="C895" s="2" t="s">
        <v>2331</v>
      </c>
      <c r="D895" s="6">
        <f t="shared" si="21"/>
        <v>2</v>
      </c>
      <c r="E895" s="7" t="str">
        <f t="shared" si="22"/>
        <v>EpidemiologicalParameter</v>
      </c>
      <c r="F895" s="8" t="b">
        <f>IF(D895&lt;1,FALSE,ISERROR(MATCH(E895,'Ontology and concepts per UC'!$A$2:$A$62,0)))</f>
        <v>0</v>
      </c>
      <c r="G895" s="9" t="str">
        <f t="shared" si="23"/>
        <v>SecondOrderUncertaintyParameter</v>
      </c>
      <c r="H895" s="9" t="str">
        <f t="shared" si="24"/>
        <v>SecondOrderUncertaintyParameter</v>
      </c>
      <c r="I895" s="8" t="b">
        <f>IF(D895&lt;2,FALSE,ISERROR(MATCH(H895,'Ontology and concepts per UC'!$A$2:$A$62,0)))</f>
        <v>0</v>
      </c>
      <c r="J895" s="9" t="str">
        <f t="shared" si="25"/>
        <v/>
      </c>
      <c r="K895" s="8" t="b">
        <f>IF(D895&lt;3,FALSE,ISERROR(MATCH(J895,'Ontology and concepts per UC'!$A$2:$A$62,0)))</f>
        <v>0</v>
      </c>
      <c r="L895" s="2"/>
      <c r="M895" s="2" t="s">
        <v>2336</v>
      </c>
      <c r="N895" s="2"/>
      <c r="O895" s="1" t="b">
        <v>0</v>
      </c>
      <c r="P895" s="1">
        <v>0</v>
      </c>
      <c r="Q895" s="1">
        <v>0</v>
      </c>
      <c r="R895" s="1" t="b">
        <f t="shared" si="26"/>
        <v>1</v>
      </c>
      <c r="S895" s="2" t="s">
        <v>55</v>
      </c>
      <c r="T895" s="1" t="str">
        <f>IF(S895="","",VLOOKUP(S895,'Ontology and concepts per UC'!$F$2:$J$46,5,FALSE))</f>
        <v>Parámetros de progresión</v>
      </c>
      <c r="U895" s="1" t="b">
        <f t="array" ref="U895">(INDEX('Ontology and concepts per UC'!$G$2:$I$46,MATCH($S895,'Ontology and concepts per UC'!$F$2:$F$46,0),MATCH(LEFT($A895,3),'Ontology and concepts per UC'!$G$1:$I$1,0))=0)</f>
        <v>0</v>
      </c>
      <c r="V895" s="1" t="b">
        <f t="shared" si="27"/>
        <v>0</v>
      </c>
      <c r="W895" s="1" t="b">
        <v>0</v>
      </c>
      <c r="X895" s="1" t="b">
        <v>0</v>
      </c>
      <c r="Y895" s="1" t="b">
        <v>0</v>
      </c>
      <c r="Z895" s="1" t="b">
        <v>0</v>
      </c>
      <c r="AA895" s="1"/>
    </row>
    <row r="896" spans="1:27" x14ac:dyDescent="0.25">
      <c r="A896" s="1" t="s">
        <v>2321</v>
      </c>
      <c r="B896" s="2" t="s">
        <v>2279</v>
      </c>
      <c r="C896" s="2" t="s">
        <v>2331</v>
      </c>
      <c r="D896" s="6">
        <f t="shared" si="21"/>
        <v>2</v>
      </c>
      <c r="E896" s="7" t="str">
        <f t="shared" si="22"/>
        <v>EpidemiologicalParameter</v>
      </c>
      <c r="F896" s="8" t="b">
        <f>IF(D896&lt;1,FALSE,ISERROR(MATCH(E896,'Ontology and concepts per UC'!$A$2:$A$62,0)))</f>
        <v>0</v>
      </c>
      <c r="G896" s="9" t="str">
        <f t="shared" si="23"/>
        <v>SecondOrderUncertaintyParameter</v>
      </c>
      <c r="H896" s="9" t="str">
        <f t="shared" si="24"/>
        <v>SecondOrderUncertaintyParameter</v>
      </c>
      <c r="I896" s="8" t="b">
        <f>IF(D896&lt;2,FALSE,ISERROR(MATCH(H896,'Ontology and concepts per UC'!$A$2:$A$62,0)))</f>
        <v>0</v>
      </c>
      <c r="J896" s="9" t="str">
        <f t="shared" si="25"/>
        <v/>
      </c>
      <c r="K896" s="8" t="b">
        <f>IF(D896&lt;3,FALSE,ISERROR(MATCH(J896,'Ontology and concepts per UC'!$A$2:$A$62,0)))</f>
        <v>0</v>
      </c>
      <c r="L896" s="2"/>
      <c r="M896" s="2" t="s">
        <v>2337</v>
      </c>
      <c r="N896" s="2"/>
      <c r="O896" s="1" t="b">
        <v>0</v>
      </c>
      <c r="P896" s="1">
        <v>0</v>
      </c>
      <c r="Q896" s="1">
        <v>0</v>
      </c>
      <c r="R896" s="1" t="b">
        <f t="shared" si="26"/>
        <v>1</v>
      </c>
      <c r="S896" s="2" t="s">
        <v>58</v>
      </c>
      <c r="T896" s="1" t="str">
        <f>IF(S896="","",VLOOKUP(S896,'Ontology and concepts per UC'!$F$2:$J$46,5,FALSE))</f>
        <v>Parámetros de progresión</v>
      </c>
      <c r="U896" s="1" t="b">
        <f t="array" ref="U896">(INDEX('Ontology and concepts per UC'!$G$2:$I$46,MATCH($S896,'Ontology and concepts per UC'!$F$2:$F$46,0),MATCH(LEFT($A896,3),'Ontology and concepts per UC'!$G$1:$I$1,0))=0)</f>
        <v>0</v>
      </c>
      <c r="V896" s="1" t="b">
        <f t="shared" si="27"/>
        <v>1</v>
      </c>
      <c r="W896" s="1" t="b">
        <v>0</v>
      </c>
      <c r="X896" s="1" t="b">
        <v>0</v>
      </c>
      <c r="Y896" s="1" t="b">
        <v>0</v>
      </c>
      <c r="Z896" s="1" t="b">
        <v>1</v>
      </c>
      <c r="AA896" s="1" t="s">
        <v>197</v>
      </c>
    </row>
    <row r="897" spans="1:27" x14ac:dyDescent="0.25">
      <c r="A897" s="1" t="s">
        <v>2321</v>
      </c>
      <c r="B897" s="2" t="s">
        <v>2338</v>
      </c>
      <c r="C897" s="2" t="s">
        <v>2339</v>
      </c>
      <c r="D897" s="6">
        <f t="shared" si="21"/>
        <v>1</v>
      </c>
      <c r="E897" s="7" t="str">
        <f t="shared" si="22"/>
        <v>MortalityParameter</v>
      </c>
      <c r="F897" s="8" t="b">
        <f>IF(D897&lt;1,FALSE,ISERROR(MATCH(E897,'Ontology and concepts per UC'!$A$2:$A$62,0)))</f>
        <v>1</v>
      </c>
      <c r="G897" s="9" t="str">
        <f t="shared" si="23"/>
        <v/>
      </c>
      <c r="H897" s="9" t="str">
        <f t="shared" si="24"/>
        <v/>
      </c>
      <c r="I897" s="8" t="b">
        <f>IF(D897&lt;2,FALSE,ISERROR(MATCH(H897,'Ontology and concepts per UC'!$A$2:$A$62,0)))</f>
        <v>0</v>
      </c>
      <c r="J897" s="9" t="str">
        <f t="shared" si="25"/>
        <v/>
      </c>
      <c r="K897" s="8" t="b">
        <f>IF(D897&lt;3,FALSE,ISERROR(MATCH(J897,'Ontology and concepts per UC'!$A$2:$A$62,0)))</f>
        <v>0</v>
      </c>
      <c r="L897" s="2"/>
      <c r="M897" s="2" t="s">
        <v>2340</v>
      </c>
      <c r="N897" s="2"/>
      <c r="O897" s="1" t="b">
        <v>0</v>
      </c>
      <c r="P897" s="1">
        <v>1</v>
      </c>
      <c r="Q897" s="1">
        <v>0</v>
      </c>
      <c r="R897" s="1" t="b">
        <f t="shared" si="26"/>
        <v>1</v>
      </c>
      <c r="S897" s="2" t="s">
        <v>17</v>
      </c>
      <c r="T897" s="1" t="str">
        <f>IF(S897="","",VLOOKUP(S897,'Ontology and concepts per UC'!$F$2:$J$46,5,FALSE))</f>
        <v>Modelo Conceptual</v>
      </c>
      <c r="U897" s="1" t="b">
        <f t="array" ref="U897">(INDEX('Ontology and concepts per UC'!$G$2:$I$46,MATCH($S897,'Ontology and concepts per UC'!$F$2:$F$46,0),MATCH(LEFT($A897,3),'Ontology and concepts per UC'!$G$1:$I$1,0))=0)</f>
        <v>1</v>
      </c>
      <c r="V897" s="1" t="b">
        <f t="shared" si="27"/>
        <v>1</v>
      </c>
      <c r="W897" s="1" t="b">
        <v>1</v>
      </c>
      <c r="X897" s="1" t="b">
        <v>0</v>
      </c>
      <c r="Y897" s="1" t="b">
        <v>0</v>
      </c>
      <c r="Z897" s="1" t="b">
        <v>0</v>
      </c>
      <c r="AA897" s="1" t="s">
        <v>2341</v>
      </c>
    </row>
    <row r="898" spans="1:27" x14ac:dyDescent="0.25">
      <c r="A898" s="1" t="s">
        <v>2321</v>
      </c>
      <c r="B898" s="2" t="s">
        <v>2277</v>
      </c>
      <c r="C898" s="2" t="s">
        <v>169</v>
      </c>
      <c r="D898" s="6">
        <f t="shared" si="21"/>
        <v>2</v>
      </c>
      <c r="E898" s="7" t="str">
        <f t="shared" si="22"/>
        <v>SecondOrderUncertaintyParameter</v>
      </c>
      <c r="F898" s="8" t="b">
        <f>IF(D898&lt;1,FALSE,ISERROR(MATCH(E898,'Ontology and concepts per UC'!$A$2:$A$62,0)))</f>
        <v>0</v>
      </c>
      <c r="G898" s="9" t="str">
        <f t="shared" si="23"/>
        <v>EpidemiologicalParameter</v>
      </c>
      <c r="H898" s="9" t="str">
        <f t="shared" si="24"/>
        <v>EpidemiologicalParameter</v>
      </c>
      <c r="I898" s="8" t="b">
        <f>IF(D898&lt;2,FALSE,ISERROR(MATCH(H898,'Ontology and concepts per UC'!$A$2:$A$62,0)))</f>
        <v>0</v>
      </c>
      <c r="J898" s="9" t="str">
        <f t="shared" si="25"/>
        <v/>
      </c>
      <c r="K898" s="8" t="b">
        <f>IF(D898&lt;3,FALSE,ISERROR(MATCH(J898,'Ontology and concepts per UC'!$A$2:$A$62,0)))</f>
        <v>0</v>
      </c>
      <c r="L898" s="2"/>
      <c r="M898" s="2" t="s">
        <v>2342</v>
      </c>
      <c r="N898" s="2"/>
      <c r="O898" s="1" t="b">
        <v>0</v>
      </c>
      <c r="P898" s="1">
        <v>0</v>
      </c>
      <c r="Q898" s="1">
        <v>0</v>
      </c>
      <c r="R898" s="1" t="b">
        <f t="shared" si="26"/>
        <v>1</v>
      </c>
      <c r="S898" s="2" t="s">
        <v>56</v>
      </c>
      <c r="T898" s="1" t="str">
        <f>IF(S898="","",VLOOKUP(S898,'Ontology and concepts per UC'!$F$2:$J$46,5,FALSE))</f>
        <v>Parámetros de progresión</v>
      </c>
      <c r="U898" s="1" t="b">
        <f t="array" ref="U898">(INDEX('Ontology and concepts per UC'!$G$2:$I$46,MATCH($S898,'Ontology and concepts per UC'!$F$2:$F$46,0),MATCH(LEFT($A898,3),'Ontology and concepts per UC'!$G$1:$I$1,0))=0)</f>
        <v>0</v>
      </c>
      <c r="V898" s="1" t="b">
        <f t="shared" si="27"/>
        <v>1</v>
      </c>
      <c r="W898" s="1" t="b">
        <v>0</v>
      </c>
      <c r="X898" s="1" t="b">
        <v>0</v>
      </c>
      <c r="Y898" s="1" t="b">
        <v>0</v>
      </c>
      <c r="Z898" s="1" t="b">
        <v>1</v>
      </c>
      <c r="AA898" s="1" t="s">
        <v>197</v>
      </c>
    </row>
    <row r="899" spans="1:27" x14ac:dyDescent="0.25">
      <c r="A899" s="1" t="s">
        <v>2321</v>
      </c>
      <c r="B899" s="2" t="s">
        <v>2343</v>
      </c>
      <c r="C899" s="2" t="s">
        <v>2344</v>
      </c>
      <c r="D899" s="6">
        <f t="shared" si="21"/>
        <v>1</v>
      </c>
      <c r="E899" s="7" t="str">
        <f t="shared" si="22"/>
        <v>TimeParameter</v>
      </c>
      <c r="F899" s="8" t="b">
        <f>IF(D899&lt;1,FALSE,ISERROR(MATCH(E899,'Ontology and concepts per UC'!$A$2:$A$62,0)))</f>
        <v>1</v>
      </c>
      <c r="G899" s="9" t="str">
        <f t="shared" si="23"/>
        <v/>
      </c>
      <c r="H899" s="9" t="str">
        <f t="shared" si="24"/>
        <v/>
      </c>
      <c r="I899" s="8" t="b">
        <f>IF(D899&lt;2,FALSE,ISERROR(MATCH(H899,'Ontology and concepts per UC'!$A$2:$A$62,0)))</f>
        <v>0</v>
      </c>
      <c r="J899" s="9" t="str">
        <f t="shared" si="25"/>
        <v/>
      </c>
      <c r="K899" s="8" t="b">
        <f>IF(D899&lt;3,FALSE,ISERROR(MATCH(J899,'Ontology and concepts per UC'!$A$2:$A$62,0)))</f>
        <v>0</v>
      </c>
      <c r="L899" s="2"/>
      <c r="M899" s="2" t="s">
        <v>2345</v>
      </c>
      <c r="N899" s="2"/>
      <c r="O899" s="1" t="b">
        <v>0</v>
      </c>
      <c r="P899" s="1">
        <v>1</v>
      </c>
      <c r="Q899" s="1">
        <v>0</v>
      </c>
      <c r="R899" s="1" t="b">
        <f t="shared" si="26"/>
        <v>1</v>
      </c>
      <c r="S899" s="2" t="s">
        <v>367</v>
      </c>
      <c r="T899" s="1" t="str">
        <f>IF(S899="","",VLOOKUP(S899,'Ontology and concepts per UC'!$F$2:$J$46,5,FALSE))</f>
        <v>Parámetros de progresión</v>
      </c>
      <c r="U899" s="1" t="b">
        <f t="array" ref="U899">(INDEX('Ontology and concepts per UC'!$G$2:$I$46,MATCH($S899,'Ontology and concepts per UC'!$F$2:$F$46,0),MATCH(LEFT($A899,3),'Ontology and concepts per UC'!$G$1:$I$1,0))=0)</f>
        <v>0</v>
      </c>
      <c r="V899" s="1" t="b">
        <f t="shared" si="27"/>
        <v>1</v>
      </c>
      <c r="W899" s="1" t="b">
        <v>1</v>
      </c>
      <c r="X899" s="1" t="b">
        <v>0</v>
      </c>
      <c r="Y899" s="1" t="b">
        <v>0</v>
      </c>
      <c r="Z899" s="1" t="b">
        <v>0</v>
      </c>
      <c r="AA899" s="1" t="s">
        <v>2346</v>
      </c>
    </row>
    <row r="900" spans="1:27" x14ac:dyDescent="0.25">
      <c r="A900" s="1" t="s">
        <v>2321</v>
      </c>
      <c r="B900" s="2" t="s">
        <v>2347</v>
      </c>
      <c r="C900" s="2" t="s">
        <v>172</v>
      </c>
      <c r="D900" s="6">
        <f t="shared" si="21"/>
        <v>1</v>
      </c>
      <c r="E900" s="7" t="str">
        <f t="shared" si="22"/>
        <v>UtilityParameter</v>
      </c>
      <c r="F900" s="8" t="b">
        <f>IF(D900&lt;1,FALSE,ISERROR(MATCH(E900,'Ontology and concepts per UC'!$A$2:$A$62,0)))</f>
        <v>1</v>
      </c>
      <c r="G900" s="9" t="str">
        <f t="shared" si="23"/>
        <v/>
      </c>
      <c r="H900" s="9" t="str">
        <f t="shared" si="24"/>
        <v/>
      </c>
      <c r="I900" s="8" t="b">
        <f>IF(D900&lt;2,FALSE,ISERROR(MATCH(H900,'Ontology and concepts per UC'!$A$2:$A$62,0)))</f>
        <v>0</v>
      </c>
      <c r="J900" s="9" t="str">
        <f t="shared" si="25"/>
        <v/>
      </c>
      <c r="K900" s="8" t="b">
        <f>IF(D900&lt;3,FALSE,ISERROR(MATCH(J900,'Ontology and concepts per UC'!$A$2:$A$62,0)))</f>
        <v>0</v>
      </c>
      <c r="L900" s="2"/>
      <c r="M900" s="2" t="s">
        <v>2348</v>
      </c>
      <c r="N900" s="2"/>
      <c r="O900" s="1" t="b">
        <v>0</v>
      </c>
      <c r="P900" s="1">
        <v>1</v>
      </c>
      <c r="Q900" s="1">
        <v>0</v>
      </c>
      <c r="R900" s="1" t="b">
        <f t="shared" si="26"/>
        <v>1</v>
      </c>
      <c r="S900" s="2" t="s">
        <v>20</v>
      </c>
      <c r="T900" s="1" t="str">
        <f>IF(S900="","",VLOOKUP(S900,'Ontology and concepts per UC'!$F$2:$J$46,5,FALSE))</f>
        <v>Modelo Conceptual</v>
      </c>
      <c r="U900" s="1" t="b">
        <f t="array" ref="U900">(INDEX('Ontology and concepts per UC'!$G$2:$I$46,MATCH($S900,'Ontology and concepts per UC'!$F$2:$F$46,0),MATCH(LEFT($A900,3),'Ontology and concepts per UC'!$G$1:$I$1,0))=0)</f>
        <v>1</v>
      </c>
      <c r="V900" s="1" t="b">
        <f t="shared" si="27"/>
        <v>1</v>
      </c>
      <c r="W900" s="1" t="b">
        <v>1</v>
      </c>
      <c r="X900" s="1" t="b">
        <v>0</v>
      </c>
      <c r="Y900" s="1" t="b">
        <v>0</v>
      </c>
      <c r="Z900" s="1" t="b">
        <v>0</v>
      </c>
      <c r="AA900" s="1" t="s">
        <v>2349</v>
      </c>
    </row>
    <row r="901" spans="1:27" x14ac:dyDescent="0.25">
      <c r="A901" s="1" t="s">
        <v>2321</v>
      </c>
      <c r="B901" s="2" t="s">
        <v>2350</v>
      </c>
      <c r="C901" s="2" t="s">
        <v>172</v>
      </c>
      <c r="D901" s="6">
        <f t="shared" si="21"/>
        <v>1</v>
      </c>
      <c r="E901" s="7" t="str">
        <f t="shared" si="22"/>
        <v>UtilityParameter</v>
      </c>
      <c r="F901" s="8" t="b">
        <f>IF(D901&lt;1,FALSE,ISERROR(MATCH(E901,'Ontology and concepts per UC'!$A$2:$A$62,0)))</f>
        <v>1</v>
      </c>
      <c r="G901" s="9" t="str">
        <f t="shared" si="23"/>
        <v/>
      </c>
      <c r="H901" s="9" t="str">
        <f t="shared" si="24"/>
        <v/>
      </c>
      <c r="I901" s="8" t="b">
        <f>IF(D901&lt;2,FALSE,ISERROR(MATCH(H901,'Ontology and concepts per UC'!$A$2:$A$62,0)))</f>
        <v>0</v>
      </c>
      <c r="J901" s="9" t="str">
        <f t="shared" si="25"/>
        <v/>
      </c>
      <c r="K901" s="8" t="b">
        <f>IF(D901&lt;3,FALSE,ISERROR(MATCH(J901,'Ontology and concepts per UC'!$A$2:$A$62,0)))</f>
        <v>0</v>
      </c>
      <c r="L901" s="2"/>
      <c r="M901" s="2" t="s">
        <v>2351</v>
      </c>
      <c r="N901" s="2"/>
      <c r="O901" s="1" t="b">
        <v>0</v>
      </c>
      <c r="P901" s="1">
        <v>1</v>
      </c>
      <c r="Q901" s="1">
        <v>0</v>
      </c>
      <c r="R901" s="1" t="b">
        <f t="shared" si="26"/>
        <v>1</v>
      </c>
      <c r="S901" s="2" t="s">
        <v>65</v>
      </c>
      <c r="T901" s="1" t="str">
        <f>IF(S901="","",VLOOKUP(S901,'Ontology and concepts per UC'!$F$2:$J$46,5,FALSE))</f>
        <v>Utilidad</v>
      </c>
      <c r="U901" s="1" t="b">
        <f t="array" ref="U901">(INDEX('Ontology and concepts per UC'!$G$2:$I$46,MATCH($S901,'Ontology and concepts per UC'!$F$2:$F$46,0),MATCH(LEFT($A901,3),'Ontology and concepts per UC'!$G$1:$I$1,0))=0)</f>
        <v>0</v>
      </c>
      <c r="V901" s="1" t="b">
        <f t="shared" si="27"/>
        <v>1</v>
      </c>
      <c r="W901" s="1" t="b">
        <v>1</v>
      </c>
      <c r="X901" s="1" t="b">
        <v>0</v>
      </c>
      <c r="Y901" s="1" t="b">
        <v>0</v>
      </c>
      <c r="Z901" s="1" t="b">
        <v>1</v>
      </c>
      <c r="AA901" s="1" t="s">
        <v>854</v>
      </c>
    </row>
    <row r="902" spans="1:27" x14ac:dyDescent="0.25">
      <c r="A902" s="1" t="s">
        <v>2321</v>
      </c>
      <c r="B902" s="2" t="s">
        <v>2352</v>
      </c>
      <c r="C902" s="2" t="s">
        <v>172</v>
      </c>
      <c r="D902" s="6">
        <f t="shared" si="21"/>
        <v>1</v>
      </c>
      <c r="E902" s="7" t="str">
        <f t="shared" si="22"/>
        <v>UtilityParameter</v>
      </c>
      <c r="F902" s="8" t="b">
        <f>IF(D902&lt;1,FALSE,ISERROR(MATCH(E902,'Ontology and concepts per UC'!$A$2:$A$62,0)))</f>
        <v>1</v>
      </c>
      <c r="G902" s="9" t="str">
        <f t="shared" si="23"/>
        <v/>
      </c>
      <c r="H902" s="9" t="str">
        <f t="shared" si="24"/>
        <v/>
      </c>
      <c r="I902" s="8" t="b">
        <f>IF(D902&lt;2,FALSE,ISERROR(MATCH(H902,'Ontology and concepts per UC'!$A$2:$A$62,0)))</f>
        <v>0</v>
      </c>
      <c r="J902" s="9" t="str">
        <f t="shared" si="25"/>
        <v/>
      </c>
      <c r="K902" s="8" t="b">
        <f>IF(D902&lt;3,FALSE,ISERROR(MATCH(J902,'Ontology and concepts per UC'!$A$2:$A$62,0)))</f>
        <v>0</v>
      </c>
      <c r="L902" s="2"/>
      <c r="M902" s="2" t="s">
        <v>2353</v>
      </c>
      <c r="N902" s="2"/>
      <c r="O902" s="1" t="b">
        <v>0</v>
      </c>
      <c r="P902" s="1">
        <v>1</v>
      </c>
      <c r="Q902" s="1">
        <v>0</v>
      </c>
      <c r="R902" s="1" t="b">
        <f t="shared" si="26"/>
        <v>1</v>
      </c>
      <c r="S902" s="2" t="s">
        <v>66</v>
      </c>
      <c r="T902" s="1" t="str">
        <f>IF(S902="","",VLOOKUP(S902,'Ontology and concepts per UC'!$F$2:$J$46,5,FALSE))</f>
        <v>Utilidad</v>
      </c>
      <c r="U902" s="1" t="b">
        <f t="array" ref="U902">(INDEX('Ontology and concepts per UC'!$G$2:$I$46,MATCH($S902,'Ontology and concepts per UC'!$F$2:$F$46,0),MATCH(LEFT($A902,3),'Ontology and concepts per UC'!$G$1:$I$1,0))=0)</f>
        <v>0</v>
      </c>
      <c r="V902" s="1" t="b">
        <f t="shared" si="27"/>
        <v>1</v>
      </c>
      <c r="W902" s="1" t="b">
        <v>1</v>
      </c>
      <c r="X902" s="1" t="b">
        <v>0</v>
      </c>
      <c r="Y902" s="1" t="b">
        <v>0</v>
      </c>
      <c r="Z902" s="1" t="b">
        <v>1</v>
      </c>
      <c r="AA902" s="1" t="s">
        <v>854</v>
      </c>
    </row>
    <row r="903" spans="1:27" x14ac:dyDescent="0.25">
      <c r="A903" s="1" t="s">
        <v>2321</v>
      </c>
      <c r="B903" s="2" t="s">
        <v>2354</v>
      </c>
      <c r="C903" s="2" t="s">
        <v>172</v>
      </c>
      <c r="D903" s="6">
        <f t="shared" si="21"/>
        <v>1</v>
      </c>
      <c r="E903" s="7" t="str">
        <f t="shared" si="22"/>
        <v>UtilityParameter</v>
      </c>
      <c r="F903" s="8" t="b">
        <f>IF(D903&lt;1,FALSE,ISERROR(MATCH(E903,'Ontology and concepts per UC'!$A$2:$A$62,0)))</f>
        <v>1</v>
      </c>
      <c r="G903" s="9" t="str">
        <f t="shared" si="23"/>
        <v/>
      </c>
      <c r="H903" s="9" t="str">
        <f t="shared" si="24"/>
        <v/>
      </c>
      <c r="I903" s="8" t="b">
        <f>IF(D903&lt;2,FALSE,ISERROR(MATCH(H903,'Ontology and concepts per UC'!$A$2:$A$62,0)))</f>
        <v>0</v>
      </c>
      <c r="J903" s="9" t="str">
        <f t="shared" si="25"/>
        <v/>
      </c>
      <c r="K903" s="8" t="b">
        <f>IF(D903&lt;3,FALSE,ISERROR(MATCH(J903,'Ontology and concepts per UC'!$A$2:$A$62,0)))</f>
        <v>0</v>
      </c>
      <c r="L903" s="2"/>
      <c r="M903" s="2" t="s">
        <v>2355</v>
      </c>
      <c r="N903" s="2"/>
      <c r="O903" s="1" t="b">
        <v>0</v>
      </c>
      <c r="P903" s="1">
        <v>1</v>
      </c>
      <c r="Q903" s="1">
        <v>0</v>
      </c>
      <c r="R903" s="1" t="b">
        <f t="shared" si="26"/>
        <v>1</v>
      </c>
      <c r="S903" s="2" t="s">
        <v>69</v>
      </c>
      <c r="T903" s="1" t="str">
        <f>IF(S903="","",VLOOKUP(S903,'Ontology and concepts per UC'!$F$2:$J$46,5,FALSE))</f>
        <v>Utilidad</v>
      </c>
      <c r="U903" s="1" t="b">
        <f t="array" ref="U903">(INDEX('Ontology and concepts per UC'!$G$2:$I$46,MATCH($S903,'Ontology and concepts per UC'!$F$2:$F$46,0),MATCH(LEFT($A903,3),'Ontology and concepts per UC'!$G$1:$I$1,0))=0)</f>
        <v>0</v>
      </c>
      <c r="V903" s="1" t="b">
        <f t="shared" si="27"/>
        <v>1</v>
      </c>
      <c r="W903" s="1" t="b">
        <v>1</v>
      </c>
      <c r="X903" s="1" t="b">
        <v>0</v>
      </c>
      <c r="Y903" s="1" t="b">
        <v>0</v>
      </c>
      <c r="Z903" s="1" t="b">
        <v>1</v>
      </c>
      <c r="AA903" s="1" t="s">
        <v>854</v>
      </c>
    </row>
    <row r="904" spans="1:27" x14ac:dyDescent="0.25">
      <c r="A904" s="1" t="s">
        <v>2321</v>
      </c>
      <c r="B904" s="2" t="s">
        <v>2356</v>
      </c>
      <c r="C904" s="2" t="s">
        <v>172</v>
      </c>
      <c r="D904" s="6">
        <f t="shared" si="21"/>
        <v>1</v>
      </c>
      <c r="E904" s="7" t="str">
        <f t="shared" si="22"/>
        <v>UtilityParameter</v>
      </c>
      <c r="F904" s="8" t="b">
        <f>IF(D904&lt;1,FALSE,ISERROR(MATCH(E904,'Ontology and concepts per UC'!$A$2:$A$62,0)))</f>
        <v>1</v>
      </c>
      <c r="G904" s="9" t="str">
        <f t="shared" si="23"/>
        <v/>
      </c>
      <c r="H904" s="9" t="str">
        <f t="shared" si="24"/>
        <v/>
      </c>
      <c r="I904" s="8" t="b">
        <f>IF(D904&lt;2,FALSE,ISERROR(MATCH(H904,'Ontology and concepts per UC'!$A$2:$A$62,0)))</f>
        <v>0</v>
      </c>
      <c r="J904" s="9" t="str">
        <f t="shared" si="25"/>
        <v/>
      </c>
      <c r="K904" s="8" t="b">
        <f>IF(D904&lt;3,FALSE,ISERROR(MATCH(J904,'Ontology and concepts per UC'!$A$2:$A$62,0)))</f>
        <v>0</v>
      </c>
      <c r="L904" s="2"/>
      <c r="M904" s="2" t="s">
        <v>2357</v>
      </c>
      <c r="N904" s="2"/>
      <c r="O904" s="1" t="b">
        <v>0</v>
      </c>
      <c r="P904" s="1">
        <v>1</v>
      </c>
      <c r="Q904" s="1">
        <v>0</v>
      </c>
      <c r="R904" s="1" t="b">
        <f t="shared" si="26"/>
        <v>1</v>
      </c>
      <c r="S904" s="2" t="s">
        <v>70</v>
      </c>
      <c r="T904" s="1" t="str">
        <f>IF(S904="","",VLOOKUP(S904,'Ontology and concepts per UC'!$F$2:$J$46,5,FALSE))</f>
        <v>Utilidad</v>
      </c>
      <c r="U904" s="1" t="b">
        <f t="array" ref="U904">(INDEX('Ontology and concepts per UC'!$G$2:$I$46,MATCH($S904,'Ontology and concepts per UC'!$F$2:$F$46,0),MATCH(LEFT($A904,3),'Ontology and concepts per UC'!$G$1:$I$1,0))=0)</f>
        <v>0</v>
      </c>
      <c r="V904" s="1" t="b">
        <f t="shared" si="27"/>
        <v>1</v>
      </c>
      <c r="W904" s="1" t="b">
        <v>1</v>
      </c>
      <c r="X904" s="1" t="b">
        <v>0</v>
      </c>
      <c r="Y904" s="1" t="b">
        <v>0</v>
      </c>
      <c r="Z904" s="1" t="b">
        <v>1</v>
      </c>
      <c r="AA904" s="1" t="s">
        <v>854</v>
      </c>
    </row>
    <row r="905" spans="1:27" x14ac:dyDescent="0.25">
      <c r="A905" s="1" t="s">
        <v>2321</v>
      </c>
      <c r="B905" s="2" t="s">
        <v>2358</v>
      </c>
      <c r="C905" s="2" t="s">
        <v>172</v>
      </c>
      <c r="D905" s="6">
        <f t="shared" si="21"/>
        <v>1</v>
      </c>
      <c r="E905" s="7" t="str">
        <f t="shared" si="22"/>
        <v>UtilityParameter</v>
      </c>
      <c r="F905" s="8" t="b">
        <f>IF(D905&lt;1,FALSE,ISERROR(MATCH(E905,'Ontology and concepts per UC'!$A$2:$A$62,0)))</f>
        <v>1</v>
      </c>
      <c r="G905" s="9" t="str">
        <f t="shared" si="23"/>
        <v/>
      </c>
      <c r="H905" s="9" t="str">
        <f t="shared" si="24"/>
        <v/>
      </c>
      <c r="I905" s="8" t="b">
        <f>IF(D905&lt;2,FALSE,ISERROR(MATCH(H905,'Ontology and concepts per UC'!$A$2:$A$62,0)))</f>
        <v>0</v>
      </c>
      <c r="J905" s="9" t="str">
        <f t="shared" si="25"/>
        <v/>
      </c>
      <c r="K905" s="8" t="b">
        <f>IF(D905&lt;3,FALSE,ISERROR(MATCH(J905,'Ontology and concepts per UC'!$A$2:$A$62,0)))</f>
        <v>0</v>
      </c>
      <c r="L905" s="2"/>
      <c r="M905" s="2" t="s">
        <v>2359</v>
      </c>
      <c r="N905" s="2"/>
      <c r="O905" s="1" t="b">
        <v>0</v>
      </c>
      <c r="P905" s="1">
        <v>1</v>
      </c>
      <c r="Q905" s="1">
        <v>0</v>
      </c>
      <c r="R905" s="1" t="b">
        <f t="shared" si="26"/>
        <v>1</v>
      </c>
      <c r="S905" s="2" t="s">
        <v>68</v>
      </c>
      <c r="T905" s="1" t="str">
        <f>IF(S905="","",VLOOKUP(S905,'Ontology and concepts per UC'!$F$2:$J$46,5,FALSE))</f>
        <v>Utilidad</v>
      </c>
      <c r="U905" s="1" t="b">
        <f t="array" ref="U905">(INDEX('Ontology and concepts per UC'!$G$2:$I$46,MATCH($S905,'Ontology and concepts per UC'!$F$2:$F$46,0),MATCH(LEFT($A905,3),'Ontology and concepts per UC'!$G$1:$I$1,0))=0)</f>
        <v>0</v>
      </c>
      <c r="V905" s="1" t="b">
        <f t="shared" si="27"/>
        <v>1</v>
      </c>
      <c r="W905" s="1" t="b">
        <v>1</v>
      </c>
      <c r="X905" s="1" t="b">
        <v>0</v>
      </c>
      <c r="Y905" s="1" t="b">
        <v>0</v>
      </c>
      <c r="Z905" s="1" t="b">
        <v>1</v>
      </c>
      <c r="AA905" s="1" t="s">
        <v>2360</v>
      </c>
    </row>
    <row r="906" spans="1:27" x14ac:dyDescent="0.25">
      <c r="A906" s="1" t="s">
        <v>2321</v>
      </c>
      <c r="B906" s="2" t="s">
        <v>2361</v>
      </c>
      <c r="C906" s="2" t="s">
        <v>172</v>
      </c>
      <c r="D906" s="6">
        <f t="shared" si="21"/>
        <v>1</v>
      </c>
      <c r="E906" s="7" t="str">
        <f t="shared" si="22"/>
        <v>UtilityParameter</v>
      </c>
      <c r="F906" s="8" t="b">
        <f>IF(D906&lt;1,FALSE,ISERROR(MATCH(E906,'Ontology and concepts per UC'!$A$2:$A$62,0)))</f>
        <v>1</v>
      </c>
      <c r="G906" s="9" t="str">
        <f t="shared" si="23"/>
        <v/>
      </c>
      <c r="H906" s="9" t="str">
        <f t="shared" si="24"/>
        <v/>
      </c>
      <c r="I906" s="8" t="b">
        <f>IF(D906&lt;2,FALSE,ISERROR(MATCH(H906,'Ontology and concepts per UC'!$A$2:$A$62,0)))</f>
        <v>0</v>
      </c>
      <c r="J906" s="9" t="str">
        <f t="shared" si="25"/>
        <v/>
      </c>
      <c r="K906" s="8" t="b">
        <f>IF(D906&lt;3,FALSE,ISERROR(MATCH(J906,'Ontology and concepts per UC'!$A$2:$A$62,0)))</f>
        <v>0</v>
      </c>
      <c r="L906" s="2"/>
      <c r="M906" s="2" t="s">
        <v>2362</v>
      </c>
      <c r="N906" s="2"/>
      <c r="O906" s="1" t="b">
        <v>0</v>
      </c>
      <c r="P906" s="1">
        <v>1</v>
      </c>
      <c r="Q906" s="1">
        <v>0</v>
      </c>
      <c r="R906" s="1" t="b">
        <f t="shared" si="26"/>
        <v>1</v>
      </c>
      <c r="S906" s="2" t="s">
        <v>67</v>
      </c>
      <c r="T906" s="1" t="str">
        <f>IF(S906="","",VLOOKUP(S906,'Ontology and concepts per UC'!$F$2:$J$46,5,FALSE))</f>
        <v>Utilidad</v>
      </c>
      <c r="U906" s="1" t="b">
        <f t="array" ref="U906">(INDEX('Ontology and concepts per UC'!$G$2:$I$46,MATCH($S906,'Ontology and concepts per UC'!$F$2:$F$46,0),MATCH(LEFT($A906,3),'Ontology and concepts per UC'!$G$1:$I$1,0))=0)</f>
        <v>0</v>
      </c>
      <c r="V906" s="1" t="b">
        <f t="shared" si="27"/>
        <v>1</v>
      </c>
      <c r="W906" s="1" t="b">
        <v>1</v>
      </c>
      <c r="X906" s="1" t="b">
        <v>0</v>
      </c>
      <c r="Y906" s="1" t="b">
        <v>0</v>
      </c>
      <c r="Z906" s="1" t="b">
        <v>1</v>
      </c>
      <c r="AA906" s="1" t="s">
        <v>2360</v>
      </c>
    </row>
    <row r="907" spans="1:27" x14ac:dyDescent="0.25">
      <c r="A907" s="1" t="s">
        <v>2363</v>
      </c>
      <c r="B907" s="2" t="s">
        <v>2364</v>
      </c>
      <c r="C907" s="2" t="s">
        <v>2365</v>
      </c>
      <c r="D907" s="6">
        <f t="shared" si="21"/>
        <v>2</v>
      </c>
      <c r="E907" s="7" t="str">
        <f t="shared" si="22"/>
        <v>Parameter</v>
      </c>
      <c r="F907" s="8" t="b">
        <f>IF(D907&lt;1,FALSE,ISERROR(MATCH(E907,'Ontology and concepts per UC'!$A$2:$A$62,0)))</f>
        <v>0</v>
      </c>
      <c r="G907" s="9" t="str">
        <f t="shared" si="23"/>
        <v>EpidemiologicalParameter</v>
      </c>
      <c r="H907" s="9" t="str">
        <f t="shared" si="24"/>
        <v>EpidemiologicalParameter</v>
      </c>
      <c r="I907" s="8" t="b">
        <f>IF(D907&lt;2,FALSE,ISERROR(MATCH(H907,'Ontology and concepts per UC'!$A$2:$A$62,0)))</f>
        <v>0</v>
      </c>
      <c r="J907" s="9" t="str">
        <f t="shared" si="25"/>
        <v/>
      </c>
      <c r="K907" s="8" t="b">
        <f>IF(D907&lt;3,FALSE,ISERROR(MATCH(J907,'Ontology and concepts per UC'!$A$2:$A$62,0)))</f>
        <v>0</v>
      </c>
      <c r="L907" s="2"/>
      <c r="M907" s="2" t="s">
        <v>2366</v>
      </c>
      <c r="N907" s="2"/>
      <c r="O907" s="1" t="b">
        <v>0</v>
      </c>
      <c r="P907" s="1">
        <v>0</v>
      </c>
      <c r="Q907" s="1">
        <v>2</v>
      </c>
      <c r="R907" s="1" t="b">
        <f t="shared" si="26"/>
        <v>1</v>
      </c>
      <c r="S907" s="2" t="s">
        <v>50</v>
      </c>
      <c r="T907" s="1" t="str">
        <f>IF(S907="","",VLOOKUP(S907,'Ontology and concepts per UC'!$F$2:$J$46,5,FALSE))</f>
        <v>Parámetros de progresión</v>
      </c>
      <c r="U907" s="1" t="b">
        <f t="array" ref="U907">(INDEX('Ontology and concepts per UC'!$G$2:$I$46,MATCH($S907,'Ontology and concepts per UC'!$F$2:$F$46,0),MATCH(LEFT($A907,3),'Ontology and concepts per UC'!$G$1:$I$1,0))=0)</f>
        <v>0</v>
      </c>
      <c r="V907" s="1" t="b">
        <f t="shared" si="27"/>
        <v>1</v>
      </c>
      <c r="W907" s="1" t="b">
        <v>1</v>
      </c>
      <c r="X907" s="1" t="b">
        <v>0</v>
      </c>
      <c r="Y907" s="1" t="b">
        <v>0</v>
      </c>
      <c r="Z907" s="1" t="b">
        <v>0</v>
      </c>
      <c r="AA907" s="1" t="s">
        <v>2367</v>
      </c>
    </row>
    <row r="908" spans="1:27" x14ac:dyDescent="0.25">
      <c r="A908" s="1" t="s">
        <v>2363</v>
      </c>
      <c r="B908" s="2" t="s">
        <v>2368</v>
      </c>
      <c r="C908" s="2" t="s">
        <v>2365</v>
      </c>
      <c r="D908" s="6">
        <f t="shared" si="21"/>
        <v>2</v>
      </c>
      <c r="E908" s="7" t="str">
        <f t="shared" si="22"/>
        <v>Parameter</v>
      </c>
      <c r="F908" s="8" t="b">
        <f>IF(D908&lt;1,FALSE,ISERROR(MATCH(E908,'Ontology and concepts per UC'!$A$2:$A$62,0)))</f>
        <v>0</v>
      </c>
      <c r="G908" s="9" t="str">
        <f t="shared" si="23"/>
        <v>EpidemiologicalParameter</v>
      </c>
      <c r="H908" s="9" t="str">
        <f t="shared" si="24"/>
        <v>EpidemiologicalParameter</v>
      </c>
      <c r="I908" s="8" t="b">
        <f>IF(D908&lt;2,FALSE,ISERROR(MATCH(H908,'Ontology and concepts per UC'!$A$2:$A$62,0)))</f>
        <v>0</v>
      </c>
      <c r="J908" s="9" t="str">
        <f t="shared" si="25"/>
        <v/>
      </c>
      <c r="K908" s="8" t="b">
        <f>IF(D908&lt;3,FALSE,ISERROR(MATCH(J908,'Ontology and concepts per UC'!$A$2:$A$62,0)))</f>
        <v>0</v>
      </c>
      <c r="L908" s="2"/>
      <c r="M908" s="2" t="s">
        <v>2369</v>
      </c>
      <c r="N908" s="2"/>
      <c r="O908" s="1" t="b">
        <v>0</v>
      </c>
      <c r="P908" s="1">
        <v>0</v>
      </c>
      <c r="Q908" s="1">
        <v>2</v>
      </c>
      <c r="R908" s="1" t="b">
        <f t="shared" si="26"/>
        <v>1</v>
      </c>
      <c r="S908" s="2" t="s">
        <v>51</v>
      </c>
      <c r="T908" s="1" t="str">
        <f>IF(S908="","",VLOOKUP(S908,'Ontology and concepts per UC'!$F$2:$J$46,5,FALSE))</f>
        <v>Parámetros de progresión</v>
      </c>
      <c r="U908" s="1" t="b">
        <f t="array" ref="U908">(INDEX('Ontology and concepts per UC'!$G$2:$I$46,MATCH($S908,'Ontology and concepts per UC'!$F$2:$F$46,0),MATCH(LEFT($A908,3),'Ontology and concepts per UC'!$G$1:$I$1,0))=0)</f>
        <v>0</v>
      </c>
      <c r="V908" s="1" t="b">
        <f t="shared" si="27"/>
        <v>1</v>
      </c>
      <c r="W908" s="1" t="b">
        <v>1</v>
      </c>
      <c r="X908" s="1" t="b">
        <v>0</v>
      </c>
      <c r="Y908" s="1" t="b">
        <v>0</v>
      </c>
      <c r="Z908" s="1" t="b">
        <v>1</v>
      </c>
      <c r="AA908" s="1" t="s">
        <v>2370</v>
      </c>
    </row>
    <row r="909" spans="1:27" x14ac:dyDescent="0.25">
      <c r="A909" s="1" t="s">
        <v>2363</v>
      </c>
      <c r="B909" s="2" t="s">
        <v>2371</v>
      </c>
      <c r="C909" s="2" t="s">
        <v>2365</v>
      </c>
      <c r="D909" s="6">
        <f t="shared" si="21"/>
        <v>2</v>
      </c>
      <c r="E909" s="7" t="str">
        <f t="shared" si="22"/>
        <v>Parameter</v>
      </c>
      <c r="F909" s="8" t="b">
        <f>IF(D909&lt;1,FALSE,ISERROR(MATCH(E909,'Ontology and concepts per UC'!$A$2:$A$62,0)))</f>
        <v>0</v>
      </c>
      <c r="G909" s="9" t="str">
        <f t="shared" si="23"/>
        <v>EpidemiologicalParameter</v>
      </c>
      <c r="H909" s="9" t="str">
        <f t="shared" si="24"/>
        <v>EpidemiologicalParameter</v>
      </c>
      <c r="I909" s="8" t="b">
        <f>IF(D909&lt;2,FALSE,ISERROR(MATCH(H909,'Ontology and concepts per UC'!$A$2:$A$62,0)))</f>
        <v>0</v>
      </c>
      <c r="J909" s="9" t="str">
        <f t="shared" si="25"/>
        <v/>
      </c>
      <c r="K909" s="8" t="b">
        <f>IF(D909&lt;3,FALSE,ISERROR(MATCH(J909,'Ontology and concepts per UC'!$A$2:$A$62,0)))</f>
        <v>0</v>
      </c>
      <c r="L909" s="2"/>
      <c r="M909" s="2" t="s">
        <v>2372</v>
      </c>
      <c r="N909" s="2"/>
      <c r="O909" s="1" t="b">
        <v>0</v>
      </c>
      <c r="P909" s="1">
        <v>0</v>
      </c>
      <c r="Q909" s="1">
        <v>2</v>
      </c>
      <c r="R909" s="1" t="b">
        <f t="shared" si="26"/>
        <v>1</v>
      </c>
      <c r="S909" s="2" t="s">
        <v>54</v>
      </c>
      <c r="T909" s="1" t="str">
        <f>IF(S909="","",VLOOKUP(S909,'Ontology and concepts per UC'!$F$2:$J$46,5,FALSE))</f>
        <v>Parámetros de progresión</v>
      </c>
      <c r="U909" s="1" t="b">
        <f t="array" ref="U909">(INDEX('Ontology and concepts per UC'!$G$2:$I$46,MATCH($S909,'Ontology and concepts per UC'!$F$2:$F$46,0),MATCH(LEFT($A909,3),'Ontology and concepts per UC'!$G$1:$I$1,0))=0)</f>
        <v>0</v>
      </c>
      <c r="V909" s="1" t="b">
        <f t="shared" si="27"/>
        <v>1</v>
      </c>
      <c r="W909" s="1" t="b">
        <v>1</v>
      </c>
      <c r="X909" s="1" t="b">
        <v>0</v>
      </c>
      <c r="Y909" s="1" t="b">
        <v>0</v>
      </c>
      <c r="Z909" s="1" t="b">
        <v>1</v>
      </c>
      <c r="AA909" s="1" t="s">
        <v>2373</v>
      </c>
    </row>
    <row r="910" spans="1:27" x14ac:dyDescent="0.25">
      <c r="A910" s="1" t="s">
        <v>2363</v>
      </c>
      <c r="B910" s="2" t="s">
        <v>2374</v>
      </c>
      <c r="C910" s="2" t="s">
        <v>2365</v>
      </c>
      <c r="D910" s="6">
        <f t="shared" si="21"/>
        <v>2</v>
      </c>
      <c r="E910" s="7" t="str">
        <f t="shared" si="22"/>
        <v>Parameter</v>
      </c>
      <c r="F910" s="8" t="b">
        <f>IF(D910&lt;1,FALSE,ISERROR(MATCH(E910,'Ontology and concepts per UC'!$A$2:$A$62,0)))</f>
        <v>0</v>
      </c>
      <c r="G910" s="9" t="str">
        <f t="shared" si="23"/>
        <v>EpidemiologicalParameter</v>
      </c>
      <c r="H910" s="9" t="str">
        <f t="shared" si="24"/>
        <v>EpidemiologicalParameter</v>
      </c>
      <c r="I910" s="8" t="b">
        <f>IF(D910&lt;2,FALSE,ISERROR(MATCH(H910,'Ontology and concepts per UC'!$A$2:$A$62,0)))</f>
        <v>0</v>
      </c>
      <c r="J910" s="9" t="str">
        <f t="shared" si="25"/>
        <v/>
      </c>
      <c r="K910" s="8" t="b">
        <f>IF(D910&lt;3,FALSE,ISERROR(MATCH(J910,'Ontology and concepts per UC'!$A$2:$A$62,0)))</f>
        <v>0</v>
      </c>
      <c r="L910" s="2"/>
      <c r="M910" s="2" t="s">
        <v>2375</v>
      </c>
      <c r="N910" s="2"/>
      <c r="O910" s="1" t="b">
        <v>0</v>
      </c>
      <c r="P910" s="1">
        <v>0</v>
      </c>
      <c r="Q910" s="1">
        <v>2</v>
      </c>
      <c r="R910" s="1" t="b">
        <f t="shared" si="26"/>
        <v>1</v>
      </c>
      <c r="S910" s="2" t="s">
        <v>55</v>
      </c>
      <c r="T910" s="1" t="str">
        <f>IF(S910="","",VLOOKUP(S910,'Ontology and concepts per UC'!$F$2:$J$46,5,FALSE))</f>
        <v>Parámetros de progresión</v>
      </c>
      <c r="U910" s="1" t="b">
        <f t="array" ref="U910">(INDEX('Ontology and concepts per UC'!$G$2:$I$46,MATCH($S910,'Ontology and concepts per UC'!$F$2:$F$46,0),MATCH(LEFT($A910,3),'Ontology and concepts per UC'!$G$1:$I$1,0))=0)</f>
        <v>0</v>
      </c>
      <c r="V910" s="1" t="b">
        <f t="shared" si="27"/>
        <v>1</v>
      </c>
      <c r="W910" s="1" t="b">
        <v>1</v>
      </c>
      <c r="X910" s="1" t="b">
        <v>0</v>
      </c>
      <c r="Y910" s="1" t="b">
        <v>0</v>
      </c>
      <c r="Z910" s="1" t="b">
        <v>1</v>
      </c>
      <c r="AA910" s="1" t="s">
        <v>2376</v>
      </c>
    </row>
    <row r="911" spans="1:27" x14ac:dyDescent="0.25">
      <c r="A911" s="1" t="s">
        <v>2363</v>
      </c>
      <c r="B911" s="2" t="s">
        <v>2377</v>
      </c>
      <c r="C911" s="2" t="s">
        <v>2365</v>
      </c>
      <c r="D911" s="6">
        <f t="shared" si="21"/>
        <v>2</v>
      </c>
      <c r="E911" s="7" t="str">
        <f t="shared" si="22"/>
        <v>Parameter</v>
      </c>
      <c r="F911" s="8" t="b">
        <f>IF(D911&lt;1,FALSE,ISERROR(MATCH(E911,'Ontology and concepts per UC'!$A$2:$A$62,0)))</f>
        <v>0</v>
      </c>
      <c r="G911" s="9" t="str">
        <f t="shared" si="23"/>
        <v>EpidemiologicalParameter</v>
      </c>
      <c r="H911" s="9" t="str">
        <f t="shared" si="24"/>
        <v>EpidemiologicalParameter</v>
      </c>
      <c r="I911" s="8" t="b">
        <f>IF(D911&lt;2,FALSE,ISERROR(MATCH(H911,'Ontology and concepts per UC'!$A$2:$A$62,0)))</f>
        <v>0</v>
      </c>
      <c r="J911" s="9" t="str">
        <f t="shared" si="25"/>
        <v/>
      </c>
      <c r="K911" s="8" t="b">
        <f>IF(D911&lt;3,FALSE,ISERROR(MATCH(J911,'Ontology and concepts per UC'!$A$2:$A$62,0)))</f>
        <v>0</v>
      </c>
      <c r="L911" s="2"/>
      <c r="M911" s="2" t="s">
        <v>2378</v>
      </c>
      <c r="N911" s="2"/>
      <c r="O911" s="1" t="b">
        <v>0</v>
      </c>
      <c r="P911" s="1">
        <v>0</v>
      </c>
      <c r="Q911" s="1">
        <v>2</v>
      </c>
      <c r="R911" s="1" t="b">
        <f t="shared" si="26"/>
        <v>1</v>
      </c>
      <c r="S911" s="2" t="s">
        <v>56</v>
      </c>
      <c r="T911" s="1" t="str">
        <f>IF(S911="","",VLOOKUP(S911,'Ontology and concepts per UC'!$F$2:$J$46,5,FALSE))</f>
        <v>Parámetros de progresión</v>
      </c>
      <c r="U911" s="1" t="b">
        <f t="array" ref="U911">(INDEX('Ontology and concepts per UC'!$G$2:$I$46,MATCH($S911,'Ontology and concepts per UC'!$F$2:$F$46,0),MATCH(LEFT($A911,3),'Ontology and concepts per UC'!$G$1:$I$1,0))=0)</f>
        <v>0</v>
      </c>
      <c r="V911" s="1" t="b">
        <f t="shared" si="27"/>
        <v>1</v>
      </c>
      <c r="W911" s="1" t="b">
        <v>1</v>
      </c>
      <c r="X911" s="1" t="b">
        <v>0</v>
      </c>
      <c r="Y911" s="1" t="b">
        <v>0</v>
      </c>
      <c r="Z911" s="1" t="b">
        <v>1</v>
      </c>
      <c r="AA911" s="1" t="s">
        <v>2370</v>
      </c>
    </row>
    <row r="912" spans="1:27" x14ac:dyDescent="0.25">
      <c r="A912" s="1" t="s">
        <v>2363</v>
      </c>
      <c r="B912" s="2" t="s">
        <v>2379</v>
      </c>
      <c r="C912" s="2" t="s">
        <v>2365</v>
      </c>
      <c r="D912" s="6">
        <f t="shared" si="21"/>
        <v>2</v>
      </c>
      <c r="E912" s="7" t="str">
        <f t="shared" si="22"/>
        <v>Parameter</v>
      </c>
      <c r="F912" s="8" t="b">
        <f>IF(D912&lt;1,FALSE,ISERROR(MATCH(E912,'Ontology and concepts per UC'!$A$2:$A$62,0)))</f>
        <v>0</v>
      </c>
      <c r="G912" s="9" t="str">
        <f t="shared" si="23"/>
        <v>EpidemiologicalParameter</v>
      </c>
      <c r="H912" s="9" t="str">
        <f t="shared" si="24"/>
        <v>EpidemiologicalParameter</v>
      </c>
      <c r="I912" s="8" t="b">
        <f>IF(D912&lt;2,FALSE,ISERROR(MATCH(H912,'Ontology and concepts per UC'!$A$2:$A$62,0)))</f>
        <v>0</v>
      </c>
      <c r="J912" s="9" t="str">
        <f t="shared" si="25"/>
        <v/>
      </c>
      <c r="K912" s="8" t="b">
        <f>IF(D912&lt;3,FALSE,ISERROR(MATCH(J912,'Ontology and concepts per UC'!$A$2:$A$62,0)))</f>
        <v>0</v>
      </c>
      <c r="L912" s="2"/>
      <c r="M912" s="2" t="s">
        <v>2380</v>
      </c>
      <c r="N912" s="2"/>
      <c r="O912" s="1" t="b">
        <v>0</v>
      </c>
      <c r="P912" s="1">
        <v>0</v>
      </c>
      <c r="Q912" s="1">
        <v>2</v>
      </c>
      <c r="R912" s="1" t="b">
        <f t="shared" si="26"/>
        <v>1</v>
      </c>
      <c r="S912" s="2" t="s">
        <v>58</v>
      </c>
      <c r="T912" s="1" t="str">
        <f>IF(S912="","",VLOOKUP(S912,'Ontology and concepts per UC'!$F$2:$J$46,5,FALSE))</f>
        <v>Parámetros de progresión</v>
      </c>
      <c r="U912" s="1" t="b">
        <f t="array" ref="U912">(INDEX('Ontology and concepts per UC'!$G$2:$I$46,MATCH($S912,'Ontology and concepts per UC'!$F$2:$F$46,0),MATCH(LEFT($A912,3),'Ontology and concepts per UC'!$G$1:$I$1,0))=0)</f>
        <v>0</v>
      </c>
      <c r="V912" s="1" t="b">
        <f t="shared" si="27"/>
        <v>1</v>
      </c>
      <c r="W912" s="1" t="b">
        <v>1</v>
      </c>
      <c r="X912" s="1" t="b">
        <v>0</v>
      </c>
      <c r="Y912" s="1" t="b">
        <v>0</v>
      </c>
      <c r="Z912" s="1" t="b">
        <v>1</v>
      </c>
      <c r="AA912" s="1" t="s">
        <v>2381</v>
      </c>
    </row>
    <row r="913" spans="1:27" x14ac:dyDescent="0.25">
      <c r="A913" s="1" t="s">
        <v>2363</v>
      </c>
      <c r="B913" s="2" t="s">
        <v>2350</v>
      </c>
      <c r="C913" s="2" t="s">
        <v>2382</v>
      </c>
      <c r="D913" s="6">
        <f t="shared" si="21"/>
        <v>2</v>
      </c>
      <c r="E913" s="7" t="str">
        <f t="shared" si="22"/>
        <v>Parameter</v>
      </c>
      <c r="F913" s="8" t="b">
        <f>IF(D913&lt;1,FALSE,ISERROR(MATCH(E913,'Ontology and concepts per UC'!$A$2:$A$62,0)))</f>
        <v>0</v>
      </c>
      <c r="G913" s="9" t="str">
        <f t="shared" si="23"/>
        <v>UtilityParameter</v>
      </c>
      <c r="H913" s="9" t="str">
        <f t="shared" si="24"/>
        <v>UtilityParameter</v>
      </c>
      <c r="I913" s="8" t="b">
        <f>IF(D913&lt;2,FALSE,ISERROR(MATCH(H913,'Ontology and concepts per UC'!$A$2:$A$62,0)))</f>
        <v>1</v>
      </c>
      <c r="J913" s="9" t="str">
        <f t="shared" si="25"/>
        <v/>
      </c>
      <c r="K913" s="8" t="b">
        <f>IF(D913&lt;3,FALSE,ISERROR(MATCH(J913,'Ontology and concepts per UC'!$A$2:$A$62,0)))</f>
        <v>0</v>
      </c>
      <c r="L913" s="2"/>
      <c r="M913" s="2" t="s">
        <v>2383</v>
      </c>
      <c r="N913" s="2"/>
      <c r="O913" s="1" t="b">
        <v>0</v>
      </c>
      <c r="P913" s="1">
        <v>1</v>
      </c>
      <c r="Q913" s="1">
        <v>2</v>
      </c>
      <c r="R913" s="1" t="b">
        <f t="shared" si="26"/>
        <v>1</v>
      </c>
      <c r="S913" s="2" t="s">
        <v>65</v>
      </c>
      <c r="T913" s="1" t="str">
        <f>IF(S913="","",VLOOKUP(S913,'Ontology and concepts per UC'!$F$2:$J$46,5,FALSE))</f>
        <v>Utilidad</v>
      </c>
      <c r="U913" s="1" t="b">
        <f t="array" ref="U913">(INDEX('Ontology and concepts per UC'!$G$2:$I$46,MATCH($S913,'Ontology and concepts per UC'!$F$2:$F$46,0),MATCH(LEFT($A913,3),'Ontology and concepts per UC'!$G$1:$I$1,0))=0)</f>
        <v>0</v>
      </c>
      <c r="V913" s="1" t="b">
        <f t="shared" si="27"/>
        <v>1</v>
      </c>
      <c r="W913" s="1" t="b">
        <v>1</v>
      </c>
      <c r="X913" s="1" t="b">
        <v>0</v>
      </c>
      <c r="Y913" s="1" t="b">
        <v>0</v>
      </c>
      <c r="Z913" s="1" t="b">
        <v>0</v>
      </c>
      <c r="AA913" s="1" t="s">
        <v>2384</v>
      </c>
    </row>
    <row r="914" spans="1:27" x14ac:dyDescent="0.25">
      <c r="A914" s="1" t="s">
        <v>2363</v>
      </c>
      <c r="B914" s="2" t="s">
        <v>2356</v>
      </c>
      <c r="C914" s="2" t="s">
        <v>2382</v>
      </c>
      <c r="D914" s="6">
        <f t="shared" si="21"/>
        <v>2</v>
      </c>
      <c r="E914" s="7" t="str">
        <f t="shared" si="22"/>
        <v>Parameter</v>
      </c>
      <c r="F914" s="8" t="b">
        <f>IF(D914&lt;1,FALSE,ISERROR(MATCH(E914,'Ontology and concepts per UC'!$A$2:$A$62,0)))</f>
        <v>0</v>
      </c>
      <c r="G914" s="9" t="str">
        <f t="shared" si="23"/>
        <v>UtilityParameter</v>
      </c>
      <c r="H914" s="9" t="str">
        <f t="shared" si="24"/>
        <v>UtilityParameter</v>
      </c>
      <c r="I914" s="8" t="b">
        <f>IF(D914&lt;2,FALSE,ISERROR(MATCH(H914,'Ontology and concepts per UC'!$A$2:$A$62,0)))</f>
        <v>1</v>
      </c>
      <c r="J914" s="9" t="str">
        <f t="shared" si="25"/>
        <v/>
      </c>
      <c r="K914" s="8" t="b">
        <f>IF(D914&lt;3,FALSE,ISERROR(MATCH(J914,'Ontology and concepts per UC'!$A$2:$A$62,0)))</f>
        <v>0</v>
      </c>
      <c r="L914" s="2"/>
      <c r="M914" s="2" t="s">
        <v>2385</v>
      </c>
      <c r="N914" s="2"/>
      <c r="O914" s="1" t="b">
        <v>0</v>
      </c>
      <c r="P914" s="1">
        <v>1</v>
      </c>
      <c r="Q914" s="1">
        <v>2</v>
      </c>
      <c r="R914" s="1" t="b">
        <f t="shared" si="26"/>
        <v>1</v>
      </c>
      <c r="S914" s="2" t="s">
        <v>70</v>
      </c>
      <c r="T914" s="1" t="str">
        <f>IF(S914="","",VLOOKUP(S914,'Ontology and concepts per UC'!$F$2:$J$46,5,FALSE))</f>
        <v>Utilidad</v>
      </c>
      <c r="U914" s="1" t="b">
        <f t="array" ref="U914">(INDEX('Ontology and concepts per UC'!$G$2:$I$46,MATCH($S914,'Ontology and concepts per UC'!$F$2:$F$46,0),MATCH(LEFT($A914,3),'Ontology and concepts per UC'!$G$1:$I$1,0))=0)</f>
        <v>0</v>
      </c>
      <c r="V914" s="1" t="b">
        <f t="shared" si="27"/>
        <v>1</v>
      </c>
      <c r="W914" s="1" t="b">
        <v>1</v>
      </c>
      <c r="X914" s="1" t="b">
        <v>0</v>
      </c>
      <c r="Y914" s="1" t="b">
        <v>0</v>
      </c>
      <c r="Z914" s="1" t="b">
        <v>1</v>
      </c>
      <c r="AA914" s="1" t="s">
        <v>2386</v>
      </c>
    </row>
    <row r="915" spans="1:27" x14ac:dyDescent="0.25">
      <c r="A915" s="1" t="s">
        <v>2363</v>
      </c>
      <c r="B915" s="2" t="s">
        <v>2352</v>
      </c>
      <c r="C915" s="2" t="s">
        <v>2387</v>
      </c>
      <c r="D915" s="6">
        <f t="shared" si="21"/>
        <v>2</v>
      </c>
      <c r="E915" s="7" t="str">
        <f t="shared" si="22"/>
        <v>UtilityParameter</v>
      </c>
      <c r="F915" s="8" t="b">
        <f>IF(D915&lt;1,FALSE,ISERROR(MATCH(E915,'Ontology and concepts per UC'!$A$2:$A$62,0)))</f>
        <v>1</v>
      </c>
      <c r="G915" s="9" t="str">
        <f t="shared" si="23"/>
        <v>Parameter</v>
      </c>
      <c r="H915" s="9" t="str">
        <f t="shared" si="24"/>
        <v>Parameter</v>
      </c>
      <c r="I915" s="8" t="b">
        <f>IF(D915&lt;2,FALSE,ISERROR(MATCH(H915,'Ontology and concepts per UC'!$A$2:$A$62,0)))</f>
        <v>0</v>
      </c>
      <c r="J915" s="9" t="str">
        <f t="shared" si="25"/>
        <v/>
      </c>
      <c r="K915" s="8" t="b">
        <f>IF(D915&lt;3,FALSE,ISERROR(MATCH(J915,'Ontology and concepts per UC'!$A$2:$A$62,0)))</f>
        <v>0</v>
      </c>
      <c r="L915" s="2"/>
      <c r="M915" s="2" t="s">
        <v>2388</v>
      </c>
      <c r="N915" s="2"/>
      <c r="O915" s="1" t="b">
        <v>0</v>
      </c>
      <c r="P915" s="1">
        <v>1</v>
      </c>
      <c r="Q915" s="1">
        <v>2</v>
      </c>
      <c r="R915" s="1" t="b">
        <f t="shared" si="26"/>
        <v>1</v>
      </c>
      <c r="S915" s="2" t="s">
        <v>66</v>
      </c>
      <c r="T915" s="1" t="str">
        <f>IF(S915="","",VLOOKUP(S915,'Ontology and concepts per UC'!$F$2:$J$46,5,FALSE))</f>
        <v>Utilidad</v>
      </c>
      <c r="U915" s="1" t="b">
        <f t="array" ref="U915">(INDEX('Ontology and concepts per UC'!$G$2:$I$46,MATCH($S915,'Ontology and concepts per UC'!$F$2:$F$46,0),MATCH(LEFT($A915,3),'Ontology and concepts per UC'!$G$1:$I$1,0))=0)</f>
        <v>0</v>
      </c>
      <c r="V915" s="1" t="b">
        <f t="shared" si="27"/>
        <v>1</v>
      </c>
      <c r="W915" s="1" t="b">
        <v>1</v>
      </c>
      <c r="X915" s="1" t="b">
        <v>0</v>
      </c>
      <c r="Y915" s="1" t="b">
        <v>0</v>
      </c>
      <c r="Z915" s="1" t="b">
        <v>1</v>
      </c>
      <c r="AA915" s="1" t="s">
        <v>2389</v>
      </c>
    </row>
    <row r="916" spans="1:27" x14ac:dyDescent="0.25">
      <c r="A916" s="1" t="s">
        <v>2363</v>
      </c>
      <c r="B916" s="2" t="s">
        <v>2354</v>
      </c>
      <c r="C916" s="2" t="s">
        <v>2387</v>
      </c>
      <c r="D916" s="6">
        <f t="shared" si="21"/>
        <v>2</v>
      </c>
      <c r="E916" s="7" t="str">
        <f t="shared" si="22"/>
        <v>UtilityParameter</v>
      </c>
      <c r="F916" s="8" t="b">
        <f>IF(D916&lt;1,FALSE,ISERROR(MATCH(E916,'Ontology and concepts per UC'!$A$2:$A$62,0)))</f>
        <v>1</v>
      </c>
      <c r="G916" s="9" t="str">
        <f t="shared" si="23"/>
        <v>Parameter</v>
      </c>
      <c r="H916" s="9" t="str">
        <f t="shared" si="24"/>
        <v>Parameter</v>
      </c>
      <c r="I916" s="8" t="b">
        <f>IF(D916&lt;2,FALSE,ISERROR(MATCH(H916,'Ontology and concepts per UC'!$A$2:$A$62,0)))</f>
        <v>0</v>
      </c>
      <c r="J916" s="9" t="str">
        <f t="shared" si="25"/>
        <v/>
      </c>
      <c r="K916" s="8" t="b">
        <f>IF(D916&lt;3,FALSE,ISERROR(MATCH(J916,'Ontology and concepts per UC'!$A$2:$A$62,0)))</f>
        <v>0</v>
      </c>
      <c r="L916" s="2"/>
      <c r="M916" s="2" t="s">
        <v>2390</v>
      </c>
      <c r="N916" s="2"/>
      <c r="O916" s="1" t="b">
        <v>0</v>
      </c>
      <c r="P916" s="1">
        <v>1</v>
      </c>
      <c r="Q916" s="1">
        <v>2</v>
      </c>
      <c r="R916" s="1" t="b">
        <f t="shared" si="26"/>
        <v>1</v>
      </c>
      <c r="S916" s="2" t="s">
        <v>69</v>
      </c>
      <c r="T916" s="1" t="str">
        <f>IF(S916="","",VLOOKUP(S916,'Ontology and concepts per UC'!$F$2:$J$46,5,FALSE))</f>
        <v>Utilidad</v>
      </c>
      <c r="U916" s="1" t="b">
        <f t="array" ref="U916">(INDEX('Ontology and concepts per UC'!$G$2:$I$46,MATCH($S916,'Ontology and concepts per UC'!$F$2:$F$46,0),MATCH(LEFT($A916,3),'Ontology and concepts per UC'!$G$1:$I$1,0))=0)</f>
        <v>0</v>
      </c>
      <c r="V916" s="1" t="b">
        <f t="shared" si="27"/>
        <v>1</v>
      </c>
      <c r="W916" s="1" t="b">
        <v>1</v>
      </c>
      <c r="X916" s="1" t="b">
        <v>0</v>
      </c>
      <c r="Y916" s="1" t="b">
        <v>0</v>
      </c>
      <c r="Z916" s="1" t="b">
        <v>0</v>
      </c>
      <c r="AA916" s="1" t="s">
        <v>2384</v>
      </c>
    </row>
    <row r="917" spans="1:27" x14ac:dyDescent="0.25">
      <c r="A917" s="1" t="s">
        <v>2363</v>
      </c>
      <c r="B917" s="2" t="s">
        <v>2358</v>
      </c>
      <c r="C917" s="2" t="s">
        <v>2387</v>
      </c>
      <c r="D917" s="6">
        <f t="shared" si="21"/>
        <v>2</v>
      </c>
      <c r="E917" s="7" t="str">
        <f t="shared" si="22"/>
        <v>UtilityParameter</v>
      </c>
      <c r="F917" s="8" t="b">
        <f>IF(D917&lt;1,FALSE,ISERROR(MATCH(E917,'Ontology and concepts per UC'!$A$2:$A$62,0)))</f>
        <v>1</v>
      </c>
      <c r="G917" s="9" t="str">
        <f t="shared" si="23"/>
        <v>Parameter</v>
      </c>
      <c r="H917" s="9" t="str">
        <f t="shared" si="24"/>
        <v>Parameter</v>
      </c>
      <c r="I917" s="8" t="b">
        <f>IF(D917&lt;2,FALSE,ISERROR(MATCH(H917,'Ontology and concepts per UC'!$A$2:$A$62,0)))</f>
        <v>0</v>
      </c>
      <c r="J917" s="9" t="str">
        <f t="shared" si="25"/>
        <v/>
      </c>
      <c r="K917" s="8" t="b">
        <f>IF(D917&lt;3,FALSE,ISERROR(MATCH(J917,'Ontology and concepts per UC'!$A$2:$A$62,0)))</f>
        <v>0</v>
      </c>
      <c r="L917" s="2"/>
      <c r="M917" s="2" t="s">
        <v>2391</v>
      </c>
      <c r="N917" s="2"/>
      <c r="O917" s="1" t="b">
        <v>0</v>
      </c>
      <c r="P917" s="1">
        <v>1</v>
      </c>
      <c r="Q917" s="1">
        <v>2</v>
      </c>
      <c r="R917" s="1" t="b">
        <f t="shared" si="26"/>
        <v>1</v>
      </c>
      <c r="S917" s="2" t="s">
        <v>68</v>
      </c>
      <c r="T917" s="1" t="str">
        <f>IF(S917="","",VLOOKUP(S917,'Ontology and concepts per UC'!$F$2:$J$46,5,FALSE))</f>
        <v>Utilidad</v>
      </c>
      <c r="U917" s="1" t="b">
        <f t="array" ref="U917">(INDEX('Ontology and concepts per UC'!$G$2:$I$46,MATCH($S917,'Ontology and concepts per UC'!$F$2:$F$46,0),MATCH(LEFT($A917,3),'Ontology and concepts per UC'!$G$1:$I$1,0))=0)</f>
        <v>0</v>
      </c>
      <c r="V917" s="1" t="b">
        <f t="shared" si="27"/>
        <v>1</v>
      </c>
      <c r="W917" s="1" t="b">
        <v>1</v>
      </c>
      <c r="X917" s="1" t="b">
        <v>0</v>
      </c>
      <c r="Y917" s="1" t="b">
        <v>0</v>
      </c>
      <c r="Z917" s="1" t="b">
        <v>0</v>
      </c>
      <c r="AA917" s="1" t="s">
        <v>2392</v>
      </c>
    </row>
    <row r="918" spans="1:27" x14ac:dyDescent="0.25">
      <c r="A918" s="1" t="s">
        <v>2363</v>
      </c>
      <c r="B918" s="2" t="s">
        <v>2361</v>
      </c>
      <c r="C918" s="2" t="s">
        <v>2387</v>
      </c>
      <c r="D918" s="6">
        <f t="shared" si="21"/>
        <v>2</v>
      </c>
      <c r="E918" s="7" t="str">
        <f t="shared" si="22"/>
        <v>UtilityParameter</v>
      </c>
      <c r="F918" s="8" t="b">
        <f>IF(D918&lt;1,FALSE,ISERROR(MATCH(E918,'Ontology and concepts per UC'!$A$2:$A$62,0)))</f>
        <v>1</v>
      </c>
      <c r="G918" s="9" t="str">
        <f t="shared" si="23"/>
        <v>Parameter</v>
      </c>
      <c r="H918" s="9" t="str">
        <f t="shared" si="24"/>
        <v>Parameter</v>
      </c>
      <c r="I918" s="8" t="b">
        <f>IF(D918&lt;2,FALSE,ISERROR(MATCH(H918,'Ontology and concepts per UC'!$A$2:$A$62,0)))</f>
        <v>0</v>
      </c>
      <c r="J918" s="9" t="str">
        <f t="shared" si="25"/>
        <v/>
      </c>
      <c r="K918" s="8" t="b">
        <f>IF(D918&lt;3,FALSE,ISERROR(MATCH(J918,'Ontology and concepts per UC'!$A$2:$A$62,0)))</f>
        <v>0</v>
      </c>
      <c r="L918" s="2"/>
      <c r="M918" s="2" t="s">
        <v>2393</v>
      </c>
      <c r="N918" s="2"/>
      <c r="O918" s="1" t="b">
        <v>0</v>
      </c>
      <c r="P918" s="1">
        <v>1</v>
      </c>
      <c r="Q918" s="1">
        <v>2</v>
      </c>
      <c r="R918" s="1" t="b">
        <f t="shared" si="26"/>
        <v>1</v>
      </c>
      <c r="S918" s="2" t="s">
        <v>67</v>
      </c>
      <c r="T918" s="1" t="str">
        <f>IF(S918="","",VLOOKUP(S918,'Ontology and concepts per UC'!$F$2:$J$46,5,FALSE))</f>
        <v>Utilidad</v>
      </c>
      <c r="U918" s="1" t="b">
        <f t="array" ref="U918">(INDEX('Ontology and concepts per UC'!$G$2:$I$46,MATCH($S918,'Ontology and concepts per UC'!$F$2:$F$46,0),MATCH(LEFT($A918,3),'Ontology and concepts per UC'!$G$1:$I$1,0))=0)</f>
        <v>0</v>
      </c>
      <c r="V918" s="1" t="b">
        <f t="shared" si="27"/>
        <v>1</v>
      </c>
      <c r="W918" s="1" t="b">
        <v>1</v>
      </c>
      <c r="X918" s="1" t="b">
        <v>0</v>
      </c>
      <c r="Y918" s="1" t="b">
        <v>0</v>
      </c>
      <c r="Z918" s="1" t="b">
        <v>0</v>
      </c>
      <c r="AA918" s="1" t="s">
        <v>2392</v>
      </c>
    </row>
    <row r="919" spans="1:27" x14ac:dyDescent="0.25">
      <c r="A919" s="1" t="s">
        <v>2394</v>
      </c>
      <c r="B919" s="2" t="s">
        <v>2395</v>
      </c>
      <c r="C919" s="2" t="s">
        <v>942</v>
      </c>
      <c r="D919" s="6">
        <f t="shared" si="21"/>
        <v>2</v>
      </c>
      <c r="E919" s="7" t="str">
        <f t="shared" si="22"/>
        <v>DeterministicParameter</v>
      </c>
      <c r="F919" s="8" t="b">
        <f>IF(D919&lt;1,FALSE,ISERROR(MATCH(E919,'Ontology and concepts per UC'!$A$2:$A$62,0)))</f>
        <v>0</v>
      </c>
      <c r="G919" s="9" t="str">
        <f t="shared" si="23"/>
        <v>Parameter</v>
      </c>
      <c r="H919" s="9" t="str">
        <f t="shared" si="24"/>
        <v>Parameter</v>
      </c>
      <c r="I919" s="8" t="b">
        <f>IF(D919&lt;2,FALSE,ISERROR(MATCH(H919,'Ontology and concepts per UC'!$A$2:$A$62,0)))</f>
        <v>0</v>
      </c>
      <c r="J919" s="9" t="str">
        <f t="shared" si="25"/>
        <v/>
      </c>
      <c r="K919" s="8" t="b">
        <f>IF(D919&lt;3,FALSE,ISERROR(MATCH(J919,'Ontology and concepts per UC'!$A$2:$A$62,0)))</f>
        <v>0</v>
      </c>
      <c r="L919" s="2" t="s">
        <v>2396</v>
      </c>
      <c r="M919" s="2" t="s">
        <v>2397</v>
      </c>
      <c r="N919" s="2"/>
      <c r="O919" s="1" t="b">
        <v>0</v>
      </c>
      <c r="P919" s="1">
        <v>0</v>
      </c>
      <c r="Q919" s="1">
        <v>0</v>
      </c>
      <c r="R919" s="1" t="b">
        <f t="shared" si="26"/>
        <v>1</v>
      </c>
      <c r="S919" s="2" t="s">
        <v>45</v>
      </c>
      <c r="T919" s="1" t="str">
        <f>IF(S919="","",VLOOKUP(S919,'Ontology and concepts per UC'!$F$2:$J$46,5,FALSE))</f>
        <v>Parámetros de intervención</v>
      </c>
      <c r="U919" s="1" t="b">
        <f t="array" ref="U919">(INDEX('Ontology and concepts per UC'!$G$2:$I$46,MATCH($S919,'Ontology and concepts per UC'!$F$2:$F$46,0),MATCH(LEFT($A919,3),'Ontology and concepts per UC'!$G$1:$I$1,0))=0)</f>
        <v>0</v>
      </c>
      <c r="V919" s="1" t="b">
        <f t="shared" si="27"/>
        <v>1</v>
      </c>
      <c r="W919" s="1" t="b">
        <v>0</v>
      </c>
      <c r="X919" s="1" t="b">
        <v>0</v>
      </c>
      <c r="Y919" s="1" t="b">
        <v>0</v>
      </c>
      <c r="Z919" s="1" t="b">
        <v>1</v>
      </c>
      <c r="AA919" s="1" t="s">
        <v>197</v>
      </c>
    </row>
    <row r="920" spans="1:27" x14ac:dyDescent="0.25">
      <c r="A920" s="1" t="s">
        <v>2394</v>
      </c>
      <c r="B920" s="2" t="s">
        <v>2398</v>
      </c>
      <c r="C920" s="2" t="s">
        <v>157</v>
      </c>
      <c r="D920" s="6">
        <f t="shared" si="21"/>
        <v>2</v>
      </c>
      <c r="E920" s="7" t="str">
        <f t="shared" si="22"/>
        <v>Parameter</v>
      </c>
      <c r="F920" s="8" t="b">
        <f>IF(D920&lt;1,FALSE,ISERROR(MATCH(E920,'Ontology and concepts per UC'!$A$2:$A$62,0)))</f>
        <v>0</v>
      </c>
      <c r="G920" s="9" t="str">
        <f t="shared" si="23"/>
        <v>DeterministicParameter</v>
      </c>
      <c r="H920" s="9" t="str">
        <f t="shared" si="24"/>
        <v>DeterministicParameter</v>
      </c>
      <c r="I920" s="8" t="b">
        <f>IF(D920&lt;2,FALSE,ISERROR(MATCH(H920,'Ontology and concepts per UC'!$A$2:$A$62,0)))</f>
        <v>0</v>
      </c>
      <c r="J920" s="9" t="str">
        <f t="shared" si="25"/>
        <v/>
      </c>
      <c r="K920" s="8" t="b">
        <f>IF(D920&lt;3,FALSE,ISERROR(MATCH(J920,'Ontology and concepts per UC'!$A$2:$A$62,0)))</f>
        <v>0</v>
      </c>
      <c r="L920" s="2" t="s">
        <v>2399</v>
      </c>
      <c r="M920" s="2" t="s">
        <v>2400</v>
      </c>
      <c r="N920" s="2"/>
      <c r="O920" s="1" t="b">
        <v>0</v>
      </c>
      <c r="P920" s="1">
        <v>0</v>
      </c>
      <c r="Q920" s="1">
        <v>0</v>
      </c>
      <c r="R920" s="1" t="b">
        <f t="shared" si="26"/>
        <v>1</v>
      </c>
      <c r="S920" s="2" t="s">
        <v>54</v>
      </c>
      <c r="T920" s="1" t="str">
        <f>IF(S920="","",VLOOKUP(S920,'Ontology and concepts per UC'!$F$2:$J$46,5,FALSE))</f>
        <v>Parámetros de progresión</v>
      </c>
      <c r="U920" s="1" t="b">
        <f t="array" ref="U920">(INDEX('Ontology and concepts per UC'!$G$2:$I$46,MATCH($S920,'Ontology and concepts per UC'!$F$2:$F$46,0),MATCH(LEFT($A920,3),'Ontology and concepts per UC'!$G$1:$I$1,0))=0)</f>
        <v>0</v>
      </c>
      <c r="V920" s="1" t="b">
        <f t="shared" si="27"/>
        <v>0</v>
      </c>
      <c r="W920" s="1" t="b">
        <v>0</v>
      </c>
      <c r="X920" s="1" t="b">
        <v>0</v>
      </c>
      <c r="Y920" s="1" t="b">
        <v>0</v>
      </c>
      <c r="Z920" s="1" t="b">
        <v>0</v>
      </c>
      <c r="AA920" s="1"/>
    </row>
    <row r="921" spans="1:27" x14ac:dyDescent="0.25">
      <c r="A921" s="1" t="s">
        <v>2394</v>
      </c>
      <c r="B921" s="2" t="s">
        <v>2401</v>
      </c>
      <c r="C921" s="2" t="s">
        <v>157</v>
      </c>
      <c r="D921" s="6">
        <f t="shared" si="21"/>
        <v>2</v>
      </c>
      <c r="E921" s="7" t="str">
        <f t="shared" si="22"/>
        <v>Parameter</v>
      </c>
      <c r="F921" s="8" t="b">
        <f>IF(D921&lt;1,FALSE,ISERROR(MATCH(E921,'Ontology and concepts per UC'!$A$2:$A$62,0)))</f>
        <v>0</v>
      </c>
      <c r="G921" s="9" t="str">
        <f t="shared" si="23"/>
        <v>DeterministicParameter</v>
      </c>
      <c r="H921" s="9" t="str">
        <f t="shared" si="24"/>
        <v>DeterministicParameter</v>
      </c>
      <c r="I921" s="8" t="b">
        <f>IF(D921&lt;2,FALSE,ISERROR(MATCH(H921,'Ontology and concepts per UC'!$A$2:$A$62,0)))</f>
        <v>0</v>
      </c>
      <c r="J921" s="9" t="str">
        <f t="shared" si="25"/>
        <v/>
      </c>
      <c r="K921" s="8" t="b">
        <f>IF(D921&lt;3,FALSE,ISERROR(MATCH(J921,'Ontology and concepts per UC'!$A$2:$A$62,0)))</f>
        <v>0</v>
      </c>
      <c r="L921" s="2" t="s">
        <v>2396</v>
      </c>
      <c r="M921" s="2" t="s">
        <v>2402</v>
      </c>
      <c r="N921" s="2"/>
      <c r="O921" s="1" t="b">
        <v>0</v>
      </c>
      <c r="P921" s="1">
        <v>0</v>
      </c>
      <c r="Q921" s="1">
        <v>0</v>
      </c>
      <c r="R921" s="1" t="b">
        <f t="shared" si="26"/>
        <v>1</v>
      </c>
      <c r="S921" s="2" t="s">
        <v>50</v>
      </c>
      <c r="T921" s="1" t="str">
        <f>IF(S921="","",VLOOKUP(S921,'Ontology and concepts per UC'!$F$2:$J$46,5,FALSE))</f>
        <v>Parámetros de progresión</v>
      </c>
      <c r="U921" s="1" t="b">
        <f t="array" ref="U921">(INDEX('Ontology and concepts per UC'!$G$2:$I$46,MATCH($S921,'Ontology and concepts per UC'!$F$2:$F$46,0),MATCH(LEFT($A921,3),'Ontology and concepts per UC'!$G$1:$I$1,0))=0)</f>
        <v>0</v>
      </c>
      <c r="V921" s="1" t="b">
        <f t="shared" si="27"/>
        <v>1</v>
      </c>
      <c r="W921" s="1" t="b">
        <v>0</v>
      </c>
      <c r="X921" s="1" t="b">
        <v>0</v>
      </c>
      <c r="Y921" s="1" t="b">
        <v>0</v>
      </c>
      <c r="Z921" s="1" t="b">
        <v>1</v>
      </c>
      <c r="AA921" s="1" t="s">
        <v>197</v>
      </c>
    </row>
    <row r="922" spans="1:27" x14ac:dyDescent="0.25">
      <c r="A922" s="1" t="s">
        <v>2394</v>
      </c>
      <c r="B922" s="2" t="s">
        <v>2403</v>
      </c>
      <c r="C922" s="2" t="s">
        <v>157</v>
      </c>
      <c r="D922" s="6">
        <f t="shared" si="21"/>
        <v>2</v>
      </c>
      <c r="E922" s="7" t="str">
        <f t="shared" si="22"/>
        <v>Parameter</v>
      </c>
      <c r="F922" s="8" t="b">
        <f>IF(D922&lt;1,FALSE,ISERROR(MATCH(E922,'Ontology and concepts per UC'!$A$2:$A$62,0)))</f>
        <v>0</v>
      </c>
      <c r="G922" s="9" t="str">
        <f t="shared" si="23"/>
        <v>DeterministicParameter</v>
      </c>
      <c r="H922" s="9" t="str">
        <f t="shared" si="24"/>
        <v>DeterministicParameter</v>
      </c>
      <c r="I922" s="8" t="b">
        <f>IF(D922&lt;2,FALSE,ISERROR(MATCH(H922,'Ontology and concepts per UC'!$A$2:$A$62,0)))</f>
        <v>0</v>
      </c>
      <c r="J922" s="9" t="str">
        <f t="shared" si="25"/>
        <v/>
      </c>
      <c r="K922" s="8" t="b">
        <f>IF(D922&lt;3,FALSE,ISERROR(MATCH(J922,'Ontology and concepts per UC'!$A$2:$A$62,0)))</f>
        <v>0</v>
      </c>
      <c r="L922" s="2" t="s">
        <v>2399</v>
      </c>
      <c r="M922" s="2" t="s">
        <v>2404</v>
      </c>
      <c r="N922" s="2"/>
      <c r="O922" s="1" t="b">
        <v>0</v>
      </c>
      <c r="P922" s="1">
        <v>0</v>
      </c>
      <c r="Q922" s="1">
        <v>0</v>
      </c>
      <c r="R922" s="1" t="b">
        <f t="shared" si="26"/>
        <v>1</v>
      </c>
      <c r="S922" s="2" t="s">
        <v>58</v>
      </c>
      <c r="T922" s="1" t="str">
        <f>IF(S922="","",VLOOKUP(S922,'Ontology and concepts per UC'!$F$2:$J$46,5,FALSE))</f>
        <v>Parámetros de progresión</v>
      </c>
      <c r="U922" s="1" t="b">
        <f t="array" ref="U922">(INDEX('Ontology and concepts per UC'!$G$2:$I$46,MATCH($S922,'Ontology and concepts per UC'!$F$2:$F$46,0),MATCH(LEFT($A922,3),'Ontology and concepts per UC'!$G$1:$I$1,0))=0)</f>
        <v>0</v>
      </c>
      <c r="V922" s="1" t="b">
        <f t="shared" si="27"/>
        <v>0</v>
      </c>
      <c r="W922" s="1" t="b">
        <v>0</v>
      </c>
      <c r="X922" s="1" t="b">
        <v>0</v>
      </c>
      <c r="Y922" s="1" t="b">
        <v>0</v>
      </c>
      <c r="Z922" s="1" t="b">
        <v>0</v>
      </c>
      <c r="AA922" s="1"/>
    </row>
    <row r="923" spans="1:27" x14ac:dyDescent="0.25">
      <c r="A923" s="1" t="s">
        <v>2394</v>
      </c>
      <c r="B923" s="2" t="s">
        <v>2405</v>
      </c>
      <c r="C923" s="2" t="s">
        <v>157</v>
      </c>
      <c r="D923" s="6">
        <f t="shared" si="21"/>
        <v>2</v>
      </c>
      <c r="E923" s="7" t="str">
        <f t="shared" si="22"/>
        <v>Parameter</v>
      </c>
      <c r="F923" s="8" t="b">
        <f>IF(D923&lt;1,FALSE,ISERROR(MATCH(E923,'Ontology and concepts per UC'!$A$2:$A$62,0)))</f>
        <v>0</v>
      </c>
      <c r="G923" s="9" t="str">
        <f t="shared" si="23"/>
        <v>DeterministicParameter</v>
      </c>
      <c r="H923" s="9" t="str">
        <f t="shared" si="24"/>
        <v>DeterministicParameter</v>
      </c>
      <c r="I923" s="8" t="b">
        <f>IF(D923&lt;2,FALSE,ISERROR(MATCH(H923,'Ontology and concepts per UC'!$A$2:$A$62,0)))</f>
        <v>0</v>
      </c>
      <c r="J923" s="9" t="str">
        <f t="shared" si="25"/>
        <v/>
      </c>
      <c r="K923" s="8" t="b">
        <f>IF(D923&lt;3,FALSE,ISERROR(MATCH(J923,'Ontology and concepts per UC'!$A$2:$A$62,0)))</f>
        <v>0</v>
      </c>
      <c r="L923" s="2" t="s">
        <v>2399</v>
      </c>
      <c r="M923" s="2" t="s">
        <v>2406</v>
      </c>
      <c r="N923" s="2"/>
      <c r="O923" s="1" t="b">
        <v>0</v>
      </c>
      <c r="P923" s="1">
        <v>0</v>
      </c>
      <c r="Q923" s="1">
        <v>0</v>
      </c>
      <c r="R923" s="1" t="b">
        <f t="shared" si="26"/>
        <v>1</v>
      </c>
      <c r="S923" s="2" t="s">
        <v>45</v>
      </c>
      <c r="T923" s="1" t="str">
        <f>IF(S923="","",VLOOKUP(S923,'Ontology and concepts per UC'!$F$2:$J$46,5,FALSE))</f>
        <v>Parámetros de intervención</v>
      </c>
      <c r="U923" s="1" t="b">
        <f t="array" ref="U923">(INDEX('Ontology and concepts per UC'!$G$2:$I$46,MATCH($S923,'Ontology and concepts per UC'!$F$2:$F$46,0),MATCH(LEFT($A923,3),'Ontology and concepts per UC'!$G$1:$I$1,0))=0)</f>
        <v>0</v>
      </c>
      <c r="V923" s="1" t="b">
        <f t="shared" si="27"/>
        <v>1</v>
      </c>
      <c r="W923" s="1" t="b">
        <v>0</v>
      </c>
      <c r="X923" s="1" t="b">
        <v>0</v>
      </c>
      <c r="Y923" s="1" t="b">
        <v>0</v>
      </c>
      <c r="Z923" s="1" t="b">
        <v>1</v>
      </c>
      <c r="AA923" s="1" t="s">
        <v>197</v>
      </c>
    </row>
    <row r="924" spans="1:27" x14ac:dyDescent="0.25">
      <c r="A924" s="1" t="s">
        <v>2394</v>
      </c>
      <c r="B924" s="2" t="s">
        <v>2407</v>
      </c>
      <c r="C924" s="2" t="s">
        <v>1115</v>
      </c>
      <c r="D924" s="6">
        <f t="shared" si="21"/>
        <v>2</v>
      </c>
      <c r="E924" s="7" t="str">
        <f t="shared" si="22"/>
        <v>Utility</v>
      </c>
      <c r="F924" s="8" t="b">
        <f>IF(D924&lt;1,FALSE,ISERROR(MATCH(E924,'Ontology and concepts per UC'!$A$2:$A$62,0)))</f>
        <v>0</v>
      </c>
      <c r="G924" s="9" t="str">
        <f t="shared" si="23"/>
        <v>DeterministicParameter</v>
      </c>
      <c r="H924" s="9" t="str">
        <f t="shared" si="24"/>
        <v>DeterministicParameter</v>
      </c>
      <c r="I924" s="8" t="b">
        <f>IF(D924&lt;2,FALSE,ISERROR(MATCH(H924,'Ontology and concepts per UC'!$A$2:$A$62,0)))</f>
        <v>0</v>
      </c>
      <c r="J924" s="9" t="str">
        <f t="shared" si="25"/>
        <v/>
      </c>
      <c r="K924" s="8" t="b">
        <f>IF(D924&lt;3,FALSE,ISERROR(MATCH(J924,'Ontology and concepts per UC'!$A$2:$A$62,0)))</f>
        <v>0</v>
      </c>
      <c r="L924" s="2" t="s">
        <v>2408</v>
      </c>
      <c r="M924" s="2" t="s">
        <v>2409</v>
      </c>
      <c r="N924" s="2"/>
      <c r="O924" s="1" t="b">
        <v>0</v>
      </c>
      <c r="P924" s="1">
        <v>0</v>
      </c>
      <c r="Q924" s="1">
        <v>0</v>
      </c>
      <c r="R924" s="1" t="b">
        <f t="shared" si="26"/>
        <v>1</v>
      </c>
      <c r="S924" s="2" t="s">
        <v>65</v>
      </c>
      <c r="T924" s="1" t="str">
        <f>IF(S924="","",VLOOKUP(S924,'Ontology and concepts per UC'!$F$2:$J$46,5,FALSE))</f>
        <v>Utilidad</v>
      </c>
      <c r="U924" s="1" t="b">
        <f t="array" ref="U924">(INDEX('Ontology and concepts per UC'!$G$2:$I$46,MATCH($S924,'Ontology and concepts per UC'!$F$2:$F$46,0),MATCH(LEFT($A924,3),'Ontology and concepts per UC'!$G$1:$I$1,0))=0)</f>
        <v>0</v>
      </c>
      <c r="V924" s="1" t="b">
        <f t="shared" si="27"/>
        <v>1</v>
      </c>
      <c r="W924" s="1" t="b">
        <v>0</v>
      </c>
      <c r="X924" s="1" t="b">
        <v>0</v>
      </c>
      <c r="Y924" s="1" t="b">
        <v>0</v>
      </c>
      <c r="Z924" s="1" t="b">
        <v>1</v>
      </c>
      <c r="AA924" s="1" t="s">
        <v>197</v>
      </c>
    </row>
    <row r="925" spans="1:27" x14ac:dyDescent="0.25">
      <c r="A925" s="1" t="s">
        <v>2394</v>
      </c>
      <c r="B925" s="2" t="s">
        <v>2410</v>
      </c>
      <c r="C925" s="2" t="s">
        <v>1115</v>
      </c>
      <c r="D925" s="6">
        <f t="shared" si="21"/>
        <v>2</v>
      </c>
      <c r="E925" s="7" t="str">
        <f t="shared" si="22"/>
        <v>Utility</v>
      </c>
      <c r="F925" s="8" t="b">
        <f>IF(D925&lt;1,FALSE,ISERROR(MATCH(E925,'Ontology and concepts per UC'!$A$2:$A$62,0)))</f>
        <v>0</v>
      </c>
      <c r="G925" s="9" t="str">
        <f t="shared" si="23"/>
        <v>DeterministicParameter</v>
      </c>
      <c r="H925" s="9" t="str">
        <f t="shared" si="24"/>
        <v>DeterministicParameter</v>
      </c>
      <c r="I925" s="8" t="b">
        <f>IF(D925&lt;2,FALSE,ISERROR(MATCH(H925,'Ontology and concepts per UC'!$A$2:$A$62,0)))</f>
        <v>0</v>
      </c>
      <c r="J925" s="9" t="str">
        <f t="shared" si="25"/>
        <v/>
      </c>
      <c r="K925" s="8" t="b">
        <f>IF(D925&lt;3,FALSE,ISERROR(MATCH(J925,'Ontology and concepts per UC'!$A$2:$A$62,0)))</f>
        <v>0</v>
      </c>
      <c r="L925" s="2" t="s">
        <v>2411</v>
      </c>
      <c r="M925" s="2" t="s">
        <v>2412</v>
      </c>
      <c r="N925" s="2"/>
      <c r="O925" s="1" t="b">
        <v>0</v>
      </c>
      <c r="P925" s="1">
        <v>0</v>
      </c>
      <c r="Q925" s="1">
        <v>0</v>
      </c>
      <c r="R925" s="1" t="b">
        <f t="shared" si="26"/>
        <v>1</v>
      </c>
      <c r="S925" s="2" t="s">
        <v>67</v>
      </c>
      <c r="T925" s="1" t="str">
        <f>IF(S925="","",VLOOKUP(S925,'Ontology and concepts per UC'!$F$2:$J$46,5,FALSE))</f>
        <v>Utilidad</v>
      </c>
      <c r="U925" s="1" t="b">
        <f t="array" ref="U925">(INDEX('Ontology and concepts per UC'!$G$2:$I$46,MATCH($S925,'Ontology and concepts per UC'!$F$2:$F$46,0),MATCH(LEFT($A925,3),'Ontology and concepts per UC'!$G$1:$I$1,0))=0)</f>
        <v>0</v>
      </c>
      <c r="V925" s="1" t="b">
        <f t="shared" si="27"/>
        <v>0</v>
      </c>
      <c r="W925" s="1" t="b">
        <v>0</v>
      </c>
      <c r="X925" s="1" t="b">
        <v>0</v>
      </c>
      <c r="Y925" s="1" t="b">
        <v>0</v>
      </c>
      <c r="Z925" s="1" t="b">
        <v>0</v>
      </c>
      <c r="AA925" s="1"/>
    </row>
    <row r="926" spans="1:27" x14ac:dyDescent="0.25">
      <c r="A926" s="1" t="s">
        <v>2394</v>
      </c>
      <c r="B926" s="2" t="s">
        <v>2413</v>
      </c>
      <c r="C926" s="2" t="s">
        <v>1115</v>
      </c>
      <c r="D926" s="6">
        <f t="shared" si="21"/>
        <v>2</v>
      </c>
      <c r="E926" s="7" t="str">
        <f t="shared" si="22"/>
        <v>Utility</v>
      </c>
      <c r="F926" s="8" t="b">
        <f>IF(D926&lt;1,FALSE,ISERROR(MATCH(E926,'Ontology and concepts per UC'!$A$2:$A$62,0)))</f>
        <v>0</v>
      </c>
      <c r="G926" s="9" t="str">
        <f t="shared" si="23"/>
        <v>DeterministicParameter</v>
      </c>
      <c r="H926" s="9" t="str">
        <f t="shared" si="24"/>
        <v>DeterministicParameter</v>
      </c>
      <c r="I926" s="8" t="b">
        <f>IF(D926&lt;2,FALSE,ISERROR(MATCH(H926,'Ontology and concepts per UC'!$A$2:$A$62,0)))</f>
        <v>0</v>
      </c>
      <c r="J926" s="9" t="str">
        <f t="shared" si="25"/>
        <v/>
      </c>
      <c r="K926" s="8" t="b">
        <f>IF(D926&lt;3,FALSE,ISERROR(MATCH(J926,'Ontology and concepts per UC'!$A$2:$A$62,0)))</f>
        <v>0</v>
      </c>
      <c r="L926" s="2" t="s">
        <v>2414</v>
      </c>
      <c r="M926" s="2" t="s">
        <v>2415</v>
      </c>
      <c r="N926" s="2"/>
      <c r="O926" s="1" t="b">
        <v>0</v>
      </c>
      <c r="P926" s="1">
        <v>0</v>
      </c>
      <c r="Q926" s="1">
        <v>0</v>
      </c>
      <c r="R926" s="1" t="b">
        <f t="shared" si="26"/>
        <v>1</v>
      </c>
      <c r="S926" s="2" t="s">
        <v>20</v>
      </c>
      <c r="T926" s="1" t="str">
        <f>IF(S926="","",VLOOKUP(S926,'Ontology and concepts per UC'!$F$2:$J$46,5,FALSE))</f>
        <v>Modelo Conceptual</v>
      </c>
      <c r="U926" s="1" t="b">
        <f t="array" ref="U926">(INDEX('Ontology and concepts per UC'!$G$2:$I$46,MATCH($S926,'Ontology and concepts per UC'!$F$2:$F$46,0),MATCH(LEFT($A926,3),'Ontology and concepts per UC'!$G$1:$I$1,0))=0)</f>
        <v>1</v>
      </c>
      <c r="V926" s="1" t="b">
        <f t="shared" si="27"/>
        <v>0</v>
      </c>
      <c r="W926" s="1" t="b">
        <v>0</v>
      </c>
      <c r="X926" s="1" t="b">
        <v>0</v>
      </c>
      <c r="Y926" s="1" t="b">
        <v>0</v>
      </c>
      <c r="Z926" s="1" t="b">
        <v>0</v>
      </c>
      <c r="AA926" s="1"/>
    </row>
    <row r="927" spans="1:27" x14ac:dyDescent="0.25">
      <c r="A927" s="1" t="s">
        <v>2394</v>
      </c>
      <c r="B927" s="2" t="s">
        <v>2416</v>
      </c>
      <c r="C927" s="2"/>
      <c r="D927" s="6">
        <f t="shared" si="21"/>
        <v>0</v>
      </c>
      <c r="E927" s="7">
        <f t="shared" si="22"/>
        <v>0</v>
      </c>
      <c r="F927" s="8" t="b">
        <f>IF(D927&lt;1,FALSE,ISERROR(MATCH(E927,'Ontology and concepts per UC'!$A$2:$A$62,0)))</f>
        <v>0</v>
      </c>
      <c r="G927" s="9" t="str">
        <f t="shared" si="23"/>
        <v/>
      </c>
      <c r="H927" s="9" t="str">
        <f t="shared" si="24"/>
        <v/>
      </c>
      <c r="I927" s="8" t="b">
        <f>IF(D927&lt;2,FALSE,ISERROR(MATCH(H927,'Ontology and concepts per UC'!$A$2:$A$62,0)))</f>
        <v>0</v>
      </c>
      <c r="J927" s="9" t="str">
        <f t="shared" si="25"/>
        <v/>
      </c>
      <c r="K927" s="8" t="b">
        <f>IF(D927&lt;3,FALSE,ISERROR(MATCH(J927,'Ontology and concepts per UC'!$A$2:$A$62,0)))</f>
        <v>0</v>
      </c>
      <c r="L927" s="2"/>
      <c r="M927" s="2"/>
      <c r="N927" s="2"/>
      <c r="O927" s="1" t="b">
        <v>1</v>
      </c>
      <c r="P927" s="1">
        <v>0</v>
      </c>
      <c r="Q927" s="1">
        <v>0</v>
      </c>
      <c r="R927" s="1" t="b">
        <f t="shared" si="26"/>
        <v>0</v>
      </c>
      <c r="S927" s="2" t="s">
        <v>33</v>
      </c>
      <c r="T927" s="1" t="str">
        <f>IF(S927="","",VLOOKUP(S927,'Ontology and concepts per UC'!$F$2:$J$46,5,FALSE))</f>
        <v>Modelo Conceptual</v>
      </c>
      <c r="U927" s="1" t="b">
        <f t="array" ref="U927">(INDEX('Ontology and concepts per UC'!$G$2:$I$46,MATCH($S927,'Ontology and concepts per UC'!$F$2:$F$46,0),MATCH(LEFT($A927,3),'Ontology and concepts per UC'!$G$1:$I$1,0))=0)</f>
        <v>1</v>
      </c>
      <c r="V927" s="1" t="b">
        <f t="shared" si="27"/>
        <v>1</v>
      </c>
      <c r="W927" s="1" t="b">
        <v>1</v>
      </c>
      <c r="X927" s="1" t="b">
        <v>0</v>
      </c>
      <c r="Y927" s="1" t="b">
        <v>0</v>
      </c>
      <c r="Z927" s="1" t="b">
        <v>0</v>
      </c>
      <c r="AA927" s="1" t="s">
        <v>2417</v>
      </c>
    </row>
    <row r="928" spans="1:27" x14ac:dyDescent="0.25">
      <c r="A928" s="1" t="s">
        <v>2418</v>
      </c>
      <c r="B928" s="2" t="s">
        <v>2419</v>
      </c>
      <c r="C928" s="2" t="s">
        <v>942</v>
      </c>
      <c r="D928" s="6">
        <f t="shared" si="21"/>
        <v>2</v>
      </c>
      <c r="E928" s="7" t="str">
        <f t="shared" si="22"/>
        <v>DeterministicParameter</v>
      </c>
      <c r="F928" s="8" t="b">
        <f>IF(D928&lt;1,FALSE,ISERROR(MATCH(E928,'Ontology and concepts per UC'!$A$2:$A$62,0)))</f>
        <v>0</v>
      </c>
      <c r="G928" s="9" t="str">
        <f t="shared" si="23"/>
        <v>Parameter</v>
      </c>
      <c r="H928" s="9" t="str">
        <f t="shared" si="24"/>
        <v>Parameter</v>
      </c>
      <c r="I928" s="8" t="b">
        <f>IF(D928&lt;2,FALSE,ISERROR(MATCH(H928,'Ontology and concepts per UC'!$A$2:$A$62,0)))</f>
        <v>0</v>
      </c>
      <c r="J928" s="9" t="str">
        <f t="shared" si="25"/>
        <v/>
      </c>
      <c r="K928" s="8" t="b">
        <f>IF(D928&lt;3,FALSE,ISERROR(MATCH(J928,'Ontology and concepts per UC'!$A$2:$A$62,0)))</f>
        <v>0</v>
      </c>
      <c r="L928" s="2" t="s">
        <v>2420</v>
      </c>
      <c r="M928" s="2" t="s">
        <v>2421</v>
      </c>
      <c r="N928" s="2"/>
      <c r="O928" s="1" t="b">
        <v>0</v>
      </c>
      <c r="P928" s="1">
        <v>0</v>
      </c>
      <c r="Q928" s="1">
        <v>0</v>
      </c>
      <c r="R928" s="1" t="b">
        <f t="shared" si="26"/>
        <v>1</v>
      </c>
      <c r="S928" s="2" t="s">
        <v>54</v>
      </c>
      <c r="T928" s="1" t="str">
        <f>IF(S928="","",VLOOKUP(S928,'Ontology and concepts per UC'!$F$2:$J$46,5,FALSE))</f>
        <v>Parámetros de progresión</v>
      </c>
      <c r="U928" s="1" t="b">
        <f t="array" ref="U928">(INDEX('Ontology and concepts per UC'!$G$2:$I$46,MATCH($S928,'Ontology and concepts per UC'!$F$2:$F$46,0),MATCH(LEFT($A928,3),'Ontology and concepts per UC'!$G$1:$I$1,0))=0)</f>
        <v>0</v>
      </c>
      <c r="V928" s="1" t="b">
        <f t="shared" si="27"/>
        <v>0</v>
      </c>
      <c r="W928" s="1" t="b">
        <v>0</v>
      </c>
      <c r="X928" s="1" t="b">
        <v>0</v>
      </c>
      <c r="Y928" s="1" t="b">
        <v>0</v>
      </c>
      <c r="Z928" s="1" t="b">
        <v>0</v>
      </c>
      <c r="AA928" s="1"/>
    </row>
    <row r="929" spans="1:27" x14ac:dyDescent="0.25">
      <c r="A929" s="1" t="s">
        <v>2418</v>
      </c>
      <c r="B929" s="2" t="s">
        <v>2422</v>
      </c>
      <c r="C929" s="2" t="s">
        <v>942</v>
      </c>
      <c r="D929" s="6">
        <f t="shared" si="21"/>
        <v>2</v>
      </c>
      <c r="E929" s="7" t="str">
        <f t="shared" si="22"/>
        <v>DeterministicParameter</v>
      </c>
      <c r="F929" s="8" t="b">
        <f>IF(D929&lt;1,FALSE,ISERROR(MATCH(E929,'Ontology and concepts per UC'!$A$2:$A$62,0)))</f>
        <v>0</v>
      </c>
      <c r="G929" s="9" t="str">
        <f t="shared" si="23"/>
        <v>Parameter</v>
      </c>
      <c r="H929" s="9" t="str">
        <f t="shared" si="24"/>
        <v>Parameter</v>
      </c>
      <c r="I929" s="8" t="b">
        <f>IF(D929&lt;2,FALSE,ISERROR(MATCH(H929,'Ontology and concepts per UC'!$A$2:$A$62,0)))</f>
        <v>0</v>
      </c>
      <c r="J929" s="9" t="str">
        <f t="shared" si="25"/>
        <v/>
      </c>
      <c r="K929" s="8" t="b">
        <f>IF(D929&lt;3,FALSE,ISERROR(MATCH(J929,'Ontology and concepts per UC'!$A$2:$A$62,0)))</f>
        <v>0</v>
      </c>
      <c r="L929" s="2" t="s">
        <v>2420</v>
      </c>
      <c r="M929" s="2" t="s">
        <v>2423</v>
      </c>
      <c r="N929" s="2"/>
      <c r="O929" s="1" t="b">
        <v>0</v>
      </c>
      <c r="P929" s="1">
        <v>0</v>
      </c>
      <c r="Q929" s="1">
        <v>0</v>
      </c>
      <c r="R929" s="1" t="b">
        <f t="shared" si="26"/>
        <v>1</v>
      </c>
      <c r="S929" s="2" t="s">
        <v>55</v>
      </c>
      <c r="T929" s="1" t="str">
        <f>IF(S929="","",VLOOKUP(S929,'Ontology and concepts per UC'!$F$2:$J$46,5,FALSE))</f>
        <v>Parámetros de progresión</v>
      </c>
      <c r="U929" s="1" t="b">
        <f t="array" ref="U929">(INDEX('Ontology and concepts per UC'!$G$2:$I$46,MATCH($S929,'Ontology and concepts per UC'!$F$2:$F$46,0),MATCH(LEFT($A929,3),'Ontology and concepts per UC'!$G$1:$I$1,0))=0)</f>
        <v>0</v>
      </c>
      <c r="V929" s="1" t="b">
        <f t="shared" si="27"/>
        <v>0</v>
      </c>
      <c r="W929" s="1" t="b">
        <v>0</v>
      </c>
      <c r="X929" s="1" t="b">
        <v>0</v>
      </c>
      <c r="Y929" s="1" t="b">
        <v>0</v>
      </c>
      <c r="Z929" s="1" t="b">
        <v>0</v>
      </c>
      <c r="AA929" s="1"/>
    </row>
    <row r="930" spans="1:27" x14ac:dyDescent="0.25">
      <c r="A930" s="1" t="s">
        <v>2418</v>
      </c>
      <c r="B930" s="2" t="s">
        <v>2424</v>
      </c>
      <c r="C930" s="2" t="s">
        <v>942</v>
      </c>
      <c r="D930" s="6">
        <f t="shared" si="21"/>
        <v>2</v>
      </c>
      <c r="E930" s="7" t="str">
        <f t="shared" si="22"/>
        <v>DeterministicParameter</v>
      </c>
      <c r="F930" s="8" t="b">
        <f>IF(D930&lt;1,FALSE,ISERROR(MATCH(E930,'Ontology and concepts per UC'!$A$2:$A$62,0)))</f>
        <v>0</v>
      </c>
      <c r="G930" s="9" t="str">
        <f t="shared" si="23"/>
        <v>Parameter</v>
      </c>
      <c r="H930" s="9" t="str">
        <f t="shared" si="24"/>
        <v>Parameter</v>
      </c>
      <c r="I930" s="8" t="b">
        <f>IF(D930&lt;2,FALSE,ISERROR(MATCH(H930,'Ontology and concepts per UC'!$A$2:$A$62,0)))</f>
        <v>0</v>
      </c>
      <c r="J930" s="9" t="str">
        <f t="shared" si="25"/>
        <v/>
      </c>
      <c r="K930" s="8" t="b">
        <f>IF(D930&lt;3,FALSE,ISERROR(MATCH(J930,'Ontology and concepts per UC'!$A$2:$A$62,0)))</f>
        <v>0</v>
      </c>
      <c r="L930" s="2" t="s">
        <v>2425</v>
      </c>
      <c r="M930" s="2" t="s">
        <v>2426</v>
      </c>
      <c r="N930" s="2"/>
      <c r="O930" s="1" t="b">
        <v>0</v>
      </c>
      <c r="P930" s="1">
        <v>0</v>
      </c>
      <c r="Q930" s="1">
        <v>0</v>
      </c>
      <c r="R930" s="1" t="b">
        <f t="shared" si="26"/>
        <v>1</v>
      </c>
      <c r="S930" s="2" t="s">
        <v>56</v>
      </c>
      <c r="T930" s="1" t="str">
        <f>IF(S930="","",VLOOKUP(S930,'Ontology and concepts per UC'!$F$2:$J$46,5,FALSE))</f>
        <v>Parámetros de progresión</v>
      </c>
      <c r="U930" s="1" t="b">
        <f t="array" ref="U930">(INDEX('Ontology and concepts per UC'!$G$2:$I$46,MATCH($S930,'Ontology and concepts per UC'!$F$2:$F$46,0),MATCH(LEFT($A930,3),'Ontology and concepts per UC'!$G$1:$I$1,0))=0)</f>
        <v>0</v>
      </c>
      <c r="V930" s="1" t="b">
        <f t="shared" si="27"/>
        <v>0</v>
      </c>
      <c r="W930" s="1" t="b">
        <v>0</v>
      </c>
      <c r="X930" s="1" t="b">
        <v>0</v>
      </c>
      <c r="Y930" s="1" t="b">
        <v>0</v>
      </c>
      <c r="Z930" s="1" t="b">
        <v>0</v>
      </c>
      <c r="AA930" s="1"/>
    </row>
    <row r="931" spans="1:27" x14ac:dyDescent="0.25">
      <c r="A931" s="1" t="s">
        <v>2418</v>
      </c>
      <c r="B931" s="2" t="s">
        <v>2350</v>
      </c>
      <c r="C931" s="2" t="s">
        <v>1106</v>
      </c>
      <c r="D931" s="6">
        <f t="shared" si="21"/>
        <v>2</v>
      </c>
      <c r="E931" s="7" t="str">
        <f t="shared" si="22"/>
        <v>DeterministicParameter</v>
      </c>
      <c r="F931" s="8" t="b">
        <f>IF(D931&lt;1,FALSE,ISERROR(MATCH(E931,'Ontology and concepts per UC'!$A$2:$A$62,0)))</f>
        <v>0</v>
      </c>
      <c r="G931" s="9" t="str">
        <f t="shared" si="23"/>
        <v>Utility</v>
      </c>
      <c r="H931" s="9" t="str">
        <f t="shared" si="24"/>
        <v>Utility</v>
      </c>
      <c r="I931" s="8" t="b">
        <f>IF(D931&lt;2,FALSE,ISERROR(MATCH(H931,'Ontology and concepts per UC'!$A$2:$A$62,0)))</f>
        <v>0</v>
      </c>
      <c r="J931" s="9" t="str">
        <f t="shared" si="25"/>
        <v/>
      </c>
      <c r="K931" s="8" t="b">
        <f>IF(D931&lt;3,FALSE,ISERROR(MATCH(J931,'Ontology and concepts per UC'!$A$2:$A$62,0)))</f>
        <v>0</v>
      </c>
      <c r="L931" s="2" t="s">
        <v>2427</v>
      </c>
      <c r="M931" s="2" t="s">
        <v>2428</v>
      </c>
      <c r="N931" s="2"/>
      <c r="O931" s="1" t="b">
        <v>0</v>
      </c>
      <c r="P931" s="1">
        <v>0</v>
      </c>
      <c r="Q931" s="1">
        <v>0</v>
      </c>
      <c r="R931" s="1" t="b">
        <f t="shared" si="26"/>
        <v>1</v>
      </c>
      <c r="S931" s="2" t="s">
        <v>65</v>
      </c>
      <c r="T931" s="1" t="str">
        <f>IF(S931="","",VLOOKUP(S931,'Ontology and concepts per UC'!$F$2:$J$46,5,FALSE))</f>
        <v>Utilidad</v>
      </c>
      <c r="U931" s="1" t="b">
        <f t="array" ref="U931">(INDEX('Ontology and concepts per UC'!$G$2:$I$46,MATCH($S931,'Ontology and concepts per UC'!$F$2:$F$46,0),MATCH(LEFT($A931,3),'Ontology and concepts per UC'!$G$1:$I$1,0))=0)</f>
        <v>0</v>
      </c>
      <c r="V931" s="1" t="b">
        <f t="shared" si="27"/>
        <v>1</v>
      </c>
      <c r="W931" s="1" t="b">
        <v>0</v>
      </c>
      <c r="X931" s="1" t="b">
        <v>0</v>
      </c>
      <c r="Y931" s="1" t="b">
        <v>0</v>
      </c>
      <c r="Z931" s="1" t="b">
        <v>1</v>
      </c>
      <c r="AA931" s="1" t="s">
        <v>197</v>
      </c>
    </row>
    <row r="932" spans="1:27" x14ac:dyDescent="0.25">
      <c r="A932" s="1" t="s">
        <v>2418</v>
      </c>
      <c r="B932" s="2" t="s">
        <v>2354</v>
      </c>
      <c r="C932" s="2" t="s">
        <v>1106</v>
      </c>
      <c r="D932" s="6">
        <f t="shared" si="21"/>
        <v>2</v>
      </c>
      <c r="E932" s="7" t="str">
        <f t="shared" si="22"/>
        <v>DeterministicParameter</v>
      </c>
      <c r="F932" s="8" t="b">
        <f>IF(D932&lt;1,FALSE,ISERROR(MATCH(E932,'Ontology and concepts per UC'!$A$2:$A$62,0)))</f>
        <v>0</v>
      </c>
      <c r="G932" s="9" t="str">
        <f t="shared" si="23"/>
        <v>Utility</v>
      </c>
      <c r="H932" s="9" t="str">
        <f t="shared" si="24"/>
        <v>Utility</v>
      </c>
      <c r="I932" s="8" t="b">
        <f>IF(D932&lt;2,FALSE,ISERROR(MATCH(H932,'Ontology and concepts per UC'!$A$2:$A$62,0)))</f>
        <v>0</v>
      </c>
      <c r="J932" s="9" t="str">
        <f t="shared" si="25"/>
        <v/>
      </c>
      <c r="K932" s="8" t="b">
        <f>IF(D932&lt;3,FALSE,ISERROR(MATCH(J932,'Ontology and concepts per UC'!$A$2:$A$62,0)))</f>
        <v>0</v>
      </c>
      <c r="L932" s="2" t="s">
        <v>2429</v>
      </c>
      <c r="M932" s="2" t="s">
        <v>2430</v>
      </c>
      <c r="N932" s="2"/>
      <c r="O932" s="1" t="b">
        <v>0</v>
      </c>
      <c r="P932" s="1">
        <v>0</v>
      </c>
      <c r="Q932" s="1">
        <v>0</v>
      </c>
      <c r="R932" s="1" t="b">
        <f t="shared" si="26"/>
        <v>1</v>
      </c>
      <c r="S932" s="2" t="s">
        <v>69</v>
      </c>
      <c r="T932" s="1" t="str">
        <f>IF(S932="","",VLOOKUP(S932,'Ontology and concepts per UC'!$F$2:$J$46,5,FALSE))</f>
        <v>Utilidad</v>
      </c>
      <c r="U932" s="1" t="b">
        <f t="array" ref="U932">(INDEX('Ontology and concepts per UC'!$G$2:$I$46,MATCH($S932,'Ontology and concepts per UC'!$F$2:$F$46,0),MATCH(LEFT($A932,3),'Ontology and concepts per UC'!$G$1:$I$1,0))=0)</f>
        <v>0</v>
      </c>
      <c r="V932" s="1" t="b">
        <f t="shared" si="27"/>
        <v>1</v>
      </c>
      <c r="W932" s="1" t="b">
        <v>0</v>
      </c>
      <c r="X932" s="1" t="b">
        <v>0</v>
      </c>
      <c r="Y932" s="1" t="b">
        <v>0</v>
      </c>
      <c r="Z932" s="1" t="b">
        <v>1</v>
      </c>
      <c r="AA932" s="1" t="s">
        <v>197</v>
      </c>
    </row>
    <row r="933" spans="1:27" x14ac:dyDescent="0.25">
      <c r="A933" s="1" t="s">
        <v>2418</v>
      </c>
      <c r="B933" s="2" t="s">
        <v>2356</v>
      </c>
      <c r="C933" s="2" t="s">
        <v>1106</v>
      </c>
      <c r="D933" s="6">
        <f t="shared" si="21"/>
        <v>2</v>
      </c>
      <c r="E933" s="7" t="str">
        <f t="shared" si="22"/>
        <v>DeterministicParameter</v>
      </c>
      <c r="F933" s="8" t="b">
        <f>IF(D933&lt;1,FALSE,ISERROR(MATCH(E933,'Ontology and concepts per UC'!$A$2:$A$62,0)))</f>
        <v>0</v>
      </c>
      <c r="G933" s="9" t="str">
        <f t="shared" si="23"/>
        <v>Utility</v>
      </c>
      <c r="H933" s="9" t="str">
        <f t="shared" si="24"/>
        <v>Utility</v>
      </c>
      <c r="I933" s="8" t="b">
        <f>IF(D933&lt;2,FALSE,ISERROR(MATCH(H933,'Ontology and concepts per UC'!$A$2:$A$62,0)))</f>
        <v>0</v>
      </c>
      <c r="J933" s="9" t="str">
        <f t="shared" si="25"/>
        <v/>
      </c>
      <c r="K933" s="8" t="b">
        <f>IF(D933&lt;3,FALSE,ISERROR(MATCH(J933,'Ontology and concepts per UC'!$A$2:$A$62,0)))</f>
        <v>0</v>
      </c>
      <c r="L933" s="2" t="s">
        <v>2429</v>
      </c>
      <c r="M933" s="2" t="s">
        <v>2431</v>
      </c>
      <c r="N933" s="2"/>
      <c r="O933" s="1" t="b">
        <v>0</v>
      </c>
      <c r="P933" s="1">
        <v>0</v>
      </c>
      <c r="Q933" s="1">
        <v>0</v>
      </c>
      <c r="R933" s="1" t="b">
        <f t="shared" si="26"/>
        <v>1</v>
      </c>
      <c r="S933" s="2" t="s">
        <v>70</v>
      </c>
      <c r="T933" s="1" t="str">
        <f>IF(S933="","",VLOOKUP(S933,'Ontology and concepts per UC'!$F$2:$J$46,5,FALSE))</f>
        <v>Utilidad</v>
      </c>
      <c r="U933" s="1" t="b">
        <f t="array" ref="U933">(INDEX('Ontology and concepts per UC'!$G$2:$I$46,MATCH($S933,'Ontology and concepts per UC'!$F$2:$F$46,0),MATCH(LEFT($A933,3),'Ontology and concepts per UC'!$G$1:$I$1,0))=0)</f>
        <v>0</v>
      </c>
      <c r="V933" s="1" t="b">
        <f t="shared" si="27"/>
        <v>0</v>
      </c>
      <c r="W933" s="1" t="b">
        <v>0</v>
      </c>
      <c r="X933" s="1" t="b">
        <v>0</v>
      </c>
      <c r="Y933" s="1" t="b">
        <v>0</v>
      </c>
      <c r="Z933" s="1" t="b">
        <v>0</v>
      </c>
      <c r="AA933" s="1"/>
    </row>
    <row r="934" spans="1:27" x14ac:dyDescent="0.25">
      <c r="A934" s="1" t="s">
        <v>2418</v>
      </c>
      <c r="B934" s="2" t="s">
        <v>2432</v>
      </c>
      <c r="C934" s="2" t="s">
        <v>157</v>
      </c>
      <c r="D934" s="6">
        <f t="shared" si="21"/>
        <v>2</v>
      </c>
      <c r="E934" s="7" t="str">
        <f t="shared" si="22"/>
        <v>Parameter</v>
      </c>
      <c r="F934" s="8" t="b">
        <f>IF(D934&lt;1,FALSE,ISERROR(MATCH(E934,'Ontology and concepts per UC'!$A$2:$A$62,0)))</f>
        <v>0</v>
      </c>
      <c r="G934" s="9" t="str">
        <f t="shared" si="23"/>
        <v>DeterministicParameter</v>
      </c>
      <c r="H934" s="9" t="str">
        <f t="shared" si="24"/>
        <v>DeterministicParameter</v>
      </c>
      <c r="I934" s="8" t="b">
        <f>IF(D934&lt;2,FALSE,ISERROR(MATCH(H934,'Ontology and concepts per UC'!$A$2:$A$62,0)))</f>
        <v>0</v>
      </c>
      <c r="J934" s="9" t="str">
        <f t="shared" si="25"/>
        <v/>
      </c>
      <c r="K934" s="8" t="b">
        <f>IF(D934&lt;3,FALSE,ISERROR(MATCH(J934,'Ontology and concepts per UC'!$A$2:$A$62,0)))</f>
        <v>0</v>
      </c>
      <c r="L934" s="2" t="s">
        <v>2425</v>
      </c>
      <c r="M934" s="2" t="s">
        <v>2433</v>
      </c>
      <c r="N934" s="2"/>
      <c r="O934" s="1" t="b">
        <v>0</v>
      </c>
      <c r="P934" s="1">
        <v>0</v>
      </c>
      <c r="Q934" s="1">
        <v>0</v>
      </c>
      <c r="R934" s="1" t="b">
        <f t="shared" si="26"/>
        <v>1</v>
      </c>
      <c r="S934" s="2" t="s">
        <v>50</v>
      </c>
      <c r="T934" s="1" t="str">
        <f>IF(S934="","",VLOOKUP(S934,'Ontology and concepts per UC'!$F$2:$J$46,5,FALSE))</f>
        <v>Parámetros de progresión</v>
      </c>
      <c r="U934" s="1" t="b">
        <f t="array" ref="U934">(INDEX('Ontology and concepts per UC'!$G$2:$I$46,MATCH($S934,'Ontology and concepts per UC'!$F$2:$F$46,0),MATCH(LEFT($A934,3),'Ontology and concepts per UC'!$G$1:$I$1,0))=0)</f>
        <v>0</v>
      </c>
      <c r="V934" s="1" t="b">
        <f t="shared" si="27"/>
        <v>0</v>
      </c>
      <c r="W934" s="1" t="b">
        <v>0</v>
      </c>
      <c r="X934" s="1" t="b">
        <v>0</v>
      </c>
      <c r="Y934" s="1" t="b">
        <v>0</v>
      </c>
      <c r="Z934" s="1" t="b">
        <v>0</v>
      </c>
    </row>
    <row r="935" spans="1:27" x14ac:dyDescent="0.25">
      <c r="A935" s="1" t="s">
        <v>2418</v>
      </c>
      <c r="B935" s="2" t="s">
        <v>2434</v>
      </c>
      <c r="C935" s="2" t="s">
        <v>157</v>
      </c>
      <c r="D935" s="6">
        <f t="shared" si="21"/>
        <v>2</v>
      </c>
      <c r="E935" s="7" t="str">
        <f t="shared" si="22"/>
        <v>Parameter</v>
      </c>
      <c r="F935" s="8" t="b">
        <f>IF(D935&lt;1,FALSE,ISERROR(MATCH(E935,'Ontology and concepts per UC'!$A$2:$A$62,0)))</f>
        <v>0</v>
      </c>
      <c r="G935" s="9" t="str">
        <f t="shared" si="23"/>
        <v>DeterministicParameter</v>
      </c>
      <c r="H935" s="9" t="str">
        <f t="shared" si="24"/>
        <v>DeterministicParameter</v>
      </c>
      <c r="I935" s="8" t="b">
        <f>IF(D935&lt;2,FALSE,ISERROR(MATCH(H935,'Ontology and concepts per UC'!$A$2:$A$62,0)))</f>
        <v>0</v>
      </c>
      <c r="J935" s="9" t="str">
        <f t="shared" si="25"/>
        <v/>
      </c>
      <c r="K935" s="8" t="b">
        <f>IF(D935&lt;3,FALSE,ISERROR(MATCH(J935,'Ontology and concepts per UC'!$A$2:$A$62,0)))</f>
        <v>0</v>
      </c>
      <c r="L935" s="2" t="s">
        <v>2420</v>
      </c>
      <c r="M935" s="2" t="s">
        <v>2435</v>
      </c>
      <c r="N935" s="2"/>
      <c r="O935" s="1" t="b">
        <v>0</v>
      </c>
      <c r="P935" s="1">
        <v>0</v>
      </c>
      <c r="Q935" s="1">
        <v>0</v>
      </c>
      <c r="R935" s="1" t="b">
        <f t="shared" si="26"/>
        <v>1</v>
      </c>
      <c r="S935" s="2" t="s">
        <v>51</v>
      </c>
      <c r="T935" s="1" t="str">
        <f>IF(S935="","",VLOOKUP(S935,'Ontology and concepts per UC'!$F$2:$J$46,5,FALSE))</f>
        <v>Parámetros de progresión</v>
      </c>
      <c r="U935" s="1" t="b">
        <f t="array" ref="U935">(INDEX('Ontology and concepts per UC'!$G$2:$I$46,MATCH($S935,'Ontology and concepts per UC'!$F$2:$F$46,0),MATCH(LEFT($A935,3),'Ontology and concepts per UC'!$G$1:$I$1,0))=0)</f>
        <v>0</v>
      </c>
      <c r="V935" s="1" t="b">
        <f t="shared" si="27"/>
        <v>0</v>
      </c>
      <c r="W935" s="1" t="b">
        <v>0</v>
      </c>
      <c r="X935" s="1" t="b">
        <v>0</v>
      </c>
      <c r="Y935" s="1" t="b">
        <v>0</v>
      </c>
      <c r="Z935" s="1" t="b">
        <v>0</v>
      </c>
    </row>
    <row r="936" spans="1:27" x14ac:dyDescent="0.25">
      <c r="A936" s="1" t="s">
        <v>2418</v>
      </c>
      <c r="B936" s="2" t="s">
        <v>2436</v>
      </c>
      <c r="C936" s="2" t="s">
        <v>157</v>
      </c>
      <c r="D936" s="6">
        <f t="shared" si="21"/>
        <v>2</v>
      </c>
      <c r="E936" s="7" t="str">
        <f t="shared" si="22"/>
        <v>Parameter</v>
      </c>
      <c r="F936" s="8" t="b">
        <f>IF(D936&lt;1,FALSE,ISERROR(MATCH(E936,'Ontology and concepts per UC'!$A$2:$A$62,0)))</f>
        <v>0</v>
      </c>
      <c r="G936" s="9" t="str">
        <f t="shared" si="23"/>
        <v>DeterministicParameter</v>
      </c>
      <c r="H936" s="9" t="str">
        <f t="shared" si="24"/>
        <v>DeterministicParameter</v>
      </c>
      <c r="I936" s="8" t="b">
        <f>IF(D936&lt;2,FALSE,ISERROR(MATCH(H936,'Ontology and concepts per UC'!$A$2:$A$62,0)))</f>
        <v>0</v>
      </c>
      <c r="J936" s="9" t="str">
        <f t="shared" si="25"/>
        <v/>
      </c>
      <c r="K936" s="8" t="b">
        <f>IF(D936&lt;3,FALSE,ISERROR(MATCH(J936,'Ontology and concepts per UC'!$A$2:$A$62,0)))</f>
        <v>0</v>
      </c>
      <c r="L936" s="2" t="s">
        <v>2425</v>
      </c>
      <c r="M936" s="2" t="s">
        <v>2437</v>
      </c>
      <c r="N936" s="2"/>
      <c r="O936" s="1" t="b">
        <v>0</v>
      </c>
      <c r="P936" s="1">
        <v>0</v>
      </c>
      <c r="Q936" s="1">
        <v>0</v>
      </c>
      <c r="R936" s="1" t="b">
        <f t="shared" si="26"/>
        <v>1</v>
      </c>
      <c r="S936" s="2" t="s">
        <v>58</v>
      </c>
      <c r="T936" s="1" t="str">
        <f>IF(S936="","",VLOOKUP(S936,'Ontology and concepts per UC'!$F$2:$J$46,5,FALSE))</f>
        <v>Parámetros de progresión</v>
      </c>
      <c r="U936" s="1" t="b">
        <f t="array" ref="U936">(INDEX('Ontology and concepts per UC'!$G$2:$I$46,MATCH($S936,'Ontology and concepts per UC'!$F$2:$F$46,0),MATCH(LEFT($A936,3),'Ontology and concepts per UC'!$G$1:$I$1,0))=0)</f>
        <v>0</v>
      </c>
      <c r="V936" s="1" t="b">
        <f t="shared" si="27"/>
        <v>1</v>
      </c>
      <c r="W936" s="1" t="b">
        <v>0</v>
      </c>
      <c r="X936" s="1" t="b">
        <v>0</v>
      </c>
      <c r="Y936" s="1" t="b">
        <v>0</v>
      </c>
      <c r="Z936" s="1" t="b">
        <v>1</v>
      </c>
      <c r="AA936" s="1" t="s">
        <v>197</v>
      </c>
    </row>
    <row r="937" spans="1:27" x14ac:dyDescent="0.25">
      <c r="A937" s="1" t="s">
        <v>2418</v>
      </c>
      <c r="B937" s="2" t="s">
        <v>2352</v>
      </c>
      <c r="C937" s="2" t="s">
        <v>1115</v>
      </c>
      <c r="D937" s="6">
        <f t="shared" si="21"/>
        <v>2</v>
      </c>
      <c r="E937" s="7" t="str">
        <f t="shared" si="22"/>
        <v>Utility</v>
      </c>
      <c r="F937" s="8" t="b">
        <f>IF(D937&lt;1,FALSE,ISERROR(MATCH(E937,'Ontology and concepts per UC'!$A$2:$A$62,0)))</f>
        <v>0</v>
      </c>
      <c r="G937" s="9" t="str">
        <f t="shared" si="23"/>
        <v>DeterministicParameter</v>
      </c>
      <c r="H937" s="9" t="str">
        <f t="shared" si="24"/>
        <v>DeterministicParameter</v>
      </c>
      <c r="I937" s="8" t="b">
        <f>IF(D937&lt;2,FALSE,ISERROR(MATCH(H937,'Ontology and concepts per UC'!$A$2:$A$62,0)))</f>
        <v>0</v>
      </c>
      <c r="J937" s="9" t="str">
        <f t="shared" si="25"/>
        <v/>
      </c>
      <c r="K937" s="8" t="b">
        <f>IF(D937&lt;3,FALSE,ISERROR(MATCH(J937,'Ontology and concepts per UC'!$A$2:$A$62,0)))</f>
        <v>0</v>
      </c>
      <c r="L937" s="2" t="s">
        <v>2429</v>
      </c>
      <c r="M937" s="2" t="s">
        <v>2438</v>
      </c>
      <c r="N937" s="2"/>
      <c r="O937" s="1" t="b">
        <v>0</v>
      </c>
      <c r="P937" s="1">
        <v>0</v>
      </c>
      <c r="Q937" s="1">
        <v>0</v>
      </c>
      <c r="R937" s="1" t="b">
        <f t="shared" si="26"/>
        <v>1</v>
      </c>
      <c r="S937" s="2" t="s">
        <v>66</v>
      </c>
      <c r="T937" s="1" t="str">
        <f>IF(S937="","",VLOOKUP(S937,'Ontology and concepts per UC'!$F$2:$J$46,5,FALSE))</f>
        <v>Utilidad</v>
      </c>
      <c r="U937" s="1" t="b">
        <f t="array" ref="U937">(INDEX('Ontology and concepts per UC'!$G$2:$I$46,MATCH($S937,'Ontology and concepts per UC'!$F$2:$F$46,0),MATCH(LEFT($A937,3),'Ontology and concepts per UC'!$G$1:$I$1,0))=0)</f>
        <v>0</v>
      </c>
      <c r="V937" s="1" t="b">
        <f t="shared" si="27"/>
        <v>0</v>
      </c>
      <c r="W937" s="1" t="b">
        <v>0</v>
      </c>
      <c r="X937" s="1" t="b">
        <v>0</v>
      </c>
      <c r="Y937" s="1" t="b">
        <v>0</v>
      </c>
      <c r="Z937" s="1" t="b">
        <v>0</v>
      </c>
      <c r="AA937" s="1"/>
    </row>
    <row r="938" spans="1:27" x14ac:dyDescent="0.25">
      <c r="A938" s="1" t="s">
        <v>2418</v>
      </c>
      <c r="B938" s="2" t="s">
        <v>2358</v>
      </c>
      <c r="C938" s="2" t="s">
        <v>1115</v>
      </c>
      <c r="D938" s="6">
        <f t="shared" si="21"/>
        <v>2</v>
      </c>
      <c r="E938" s="7" t="str">
        <f t="shared" si="22"/>
        <v>Utility</v>
      </c>
      <c r="F938" s="8" t="b">
        <f>IF(D938&lt;1,FALSE,ISERROR(MATCH(E938,'Ontology and concepts per UC'!$A$2:$A$62,0)))</f>
        <v>0</v>
      </c>
      <c r="G938" s="9" t="str">
        <f t="shared" si="23"/>
        <v>DeterministicParameter</v>
      </c>
      <c r="H938" s="9" t="str">
        <f t="shared" si="24"/>
        <v>DeterministicParameter</v>
      </c>
      <c r="I938" s="8" t="b">
        <f>IF(D938&lt;2,FALSE,ISERROR(MATCH(H938,'Ontology and concepts per UC'!$A$2:$A$62,0)))</f>
        <v>0</v>
      </c>
      <c r="J938" s="9" t="str">
        <f t="shared" si="25"/>
        <v/>
      </c>
      <c r="K938" s="8" t="b">
        <f>IF(D938&lt;3,FALSE,ISERROR(MATCH(J938,'Ontology and concepts per UC'!$A$2:$A$62,0)))</f>
        <v>0</v>
      </c>
      <c r="L938" s="2" t="s">
        <v>2429</v>
      </c>
      <c r="M938" s="2" t="s">
        <v>2439</v>
      </c>
      <c r="N938" s="2"/>
      <c r="O938" s="1" t="b">
        <v>0</v>
      </c>
      <c r="P938" s="1">
        <v>0</v>
      </c>
      <c r="Q938" s="1">
        <v>0</v>
      </c>
      <c r="R938" s="1" t="b">
        <f t="shared" si="26"/>
        <v>1</v>
      </c>
      <c r="S938" s="2" t="s">
        <v>68</v>
      </c>
      <c r="T938" s="1" t="str">
        <f>IF(S938="","",VLOOKUP(S938,'Ontology and concepts per UC'!$F$2:$J$46,5,FALSE))</f>
        <v>Utilidad</v>
      </c>
      <c r="U938" s="1" t="b">
        <f t="array" ref="U938">(INDEX('Ontology and concepts per UC'!$G$2:$I$46,MATCH($S938,'Ontology and concepts per UC'!$F$2:$F$46,0),MATCH(LEFT($A938,3),'Ontology and concepts per UC'!$G$1:$I$1,0))=0)</f>
        <v>0</v>
      </c>
      <c r="V938" s="1" t="b">
        <f t="shared" si="27"/>
        <v>0</v>
      </c>
      <c r="W938" s="1" t="b">
        <v>0</v>
      </c>
      <c r="X938" s="1" t="b">
        <v>0</v>
      </c>
      <c r="Y938" s="1" t="b">
        <v>0</v>
      </c>
      <c r="Z938" s="1" t="b">
        <v>0</v>
      </c>
      <c r="AA938" s="1"/>
    </row>
    <row r="939" spans="1:27" x14ac:dyDescent="0.25">
      <c r="A939" s="1" t="s">
        <v>2418</v>
      </c>
      <c r="B939" s="2" t="s">
        <v>2361</v>
      </c>
      <c r="C939" s="2" t="s">
        <v>1115</v>
      </c>
      <c r="D939" s="6">
        <f t="shared" si="21"/>
        <v>2</v>
      </c>
      <c r="E939" s="7" t="str">
        <f t="shared" si="22"/>
        <v>Utility</v>
      </c>
      <c r="F939" s="8" t="b">
        <f>IF(D939&lt;1,FALSE,ISERROR(MATCH(E939,'Ontology and concepts per UC'!$A$2:$A$62,0)))</f>
        <v>0</v>
      </c>
      <c r="G939" s="9" t="str">
        <f t="shared" si="23"/>
        <v>DeterministicParameter</v>
      </c>
      <c r="H939" s="9" t="str">
        <f t="shared" si="24"/>
        <v>DeterministicParameter</v>
      </c>
      <c r="I939" s="8" t="b">
        <f>IF(D939&lt;2,FALSE,ISERROR(MATCH(H939,'Ontology and concepts per UC'!$A$2:$A$62,0)))</f>
        <v>0</v>
      </c>
      <c r="J939" s="9" t="str">
        <f t="shared" si="25"/>
        <v/>
      </c>
      <c r="K939" s="8" t="b">
        <f>IF(D939&lt;3,FALSE,ISERROR(MATCH(J939,'Ontology and concepts per UC'!$A$2:$A$62,0)))</f>
        <v>0</v>
      </c>
      <c r="L939" s="2" t="s">
        <v>2427</v>
      </c>
      <c r="M939" s="2" t="s">
        <v>2440</v>
      </c>
      <c r="N939" s="2"/>
      <c r="O939" s="1" t="b">
        <v>0</v>
      </c>
      <c r="P939" s="1">
        <v>0</v>
      </c>
      <c r="Q939" s="1">
        <v>0</v>
      </c>
      <c r="R939" s="1" t="b">
        <f t="shared" si="26"/>
        <v>1</v>
      </c>
      <c r="S939" s="2" t="s">
        <v>67</v>
      </c>
      <c r="T939" s="1" t="str">
        <f>IF(S939="","",VLOOKUP(S939,'Ontology and concepts per UC'!$F$2:$J$46,5,FALSE))</f>
        <v>Utilidad</v>
      </c>
      <c r="U939" s="1" t="b">
        <f t="array" ref="U939">(INDEX('Ontology and concepts per UC'!$G$2:$I$46,MATCH($S939,'Ontology and concepts per UC'!$F$2:$F$46,0),MATCH(LEFT($A939,3),'Ontology and concepts per UC'!$G$1:$I$1,0))=0)</f>
        <v>0</v>
      </c>
      <c r="V939" s="1" t="b">
        <f t="shared" si="27"/>
        <v>0</v>
      </c>
      <c r="W939" s="1" t="b">
        <v>0</v>
      </c>
      <c r="X939" s="1" t="b">
        <v>0</v>
      </c>
      <c r="Y939" s="1" t="b">
        <v>0</v>
      </c>
      <c r="Z939" s="1" t="b">
        <v>0</v>
      </c>
      <c r="AA939" s="1"/>
    </row>
    <row r="940" spans="1:27" x14ac:dyDescent="0.25">
      <c r="A940" s="1" t="s">
        <v>2418</v>
      </c>
      <c r="B940" s="2" t="s">
        <v>1575</v>
      </c>
      <c r="C940" s="2"/>
      <c r="D940" s="6">
        <f t="shared" si="21"/>
        <v>0</v>
      </c>
      <c r="E940" s="7">
        <f t="shared" si="22"/>
        <v>0</v>
      </c>
      <c r="F940" s="8" t="b">
        <f>IF(D940&lt;1,FALSE,ISERROR(MATCH(E940,'Ontology and concepts per UC'!$A$2:$A$62,0)))</f>
        <v>0</v>
      </c>
      <c r="G940" s="9" t="str">
        <f t="shared" si="23"/>
        <v/>
      </c>
      <c r="H940" s="9" t="str">
        <f t="shared" si="24"/>
        <v/>
      </c>
      <c r="I940" s="8" t="b">
        <f>IF(D940&lt;2,FALSE,ISERROR(MATCH(H940,'Ontology and concepts per UC'!$A$2:$A$62,0)))</f>
        <v>0</v>
      </c>
      <c r="J940" s="9" t="str">
        <f t="shared" si="25"/>
        <v/>
      </c>
      <c r="K940" s="8" t="b">
        <f>IF(D940&lt;3,FALSE,ISERROR(MATCH(J940,'Ontology and concepts per UC'!$A$2:$A$62,0)))</f>
        <v>0</v>
      </c>
      <c r="L940" s="2"/>
      <c r="M940" s="2"/>
      <c r="N940" s="2"/>
      <c r="O940" s="1" t="b">
        <v>1</v>
      </c>
      <c r="P940" s="1">
        <v>0</v>
      </c>
      <c r="Q940" s="1">
        <v>0</v>
      </c>
      <c r="R940" s="1" t="b">
        <f t="shared" si="26"/>
        <v>0</v>
      </c>
      <c r="S940" s="2" t="s">
        <v>33</v>
      </c>
      <c r="T940" s="1" t="str">
        <f>IF(S940="","",VLOOKUP(S940,'Ontology and concepts per UC'!$F$2:$J$46,5,FALSE))</f>
        <v>Modelo Conceptual</v>
      </c>
      <c r="U940" s="1" t="b">
        <f t="array" ref="U940">(INDEX('Ontology and concepts per UC'!$G$2:$I$46,MATCH($S940,'Ontology and concepts per UC'!$F$2:$F$46,0),MATCH(LEFT($A940,3),'Ontology and concepts per UC'!$G$1:$I$1,0))=0)</f>
        <v>1</v>
      </c>
      <c r="V940" s="1" t="b">
        <f t="shared" si="27"/>
        <v>1</v>
      </c>
      <c r="W940" s="1" t="b">
        <v>1</v>
      </c>
      <c r="X940" s="1" t="b">
        <v>0</v>
      </c>
      <c r="Y940" s="1" t="b">
        <v>1</v>
      </c>
      <c r="Z940" s="1" t="b">
        <v>0</v>
      </c>
      <c r="AA940" s="1" t="s">
        <v>2417</v>
      </c>
    </row>
    <row r="941" spans="1:27" x14ac:dyDescent="0.25">
      <c r="A941" s="1" t="s">
        <v>2441</v>
      </c>
      <c r="B941" s="2" t="s">
        <v>2442</v>
      </c>
      <c r="C941" s="2" t="s">
        <v>929</v>
      </c>
      <c r="D941" s="6">
        <f t="shared" si="21"/>
        <v>2</v>
      </c>
      <c r="E941" s="7" t="str">
        <f t="shared" si="22"/>
        <v>DeterministicParameter</v>
      </c>
      <c r="F941" s="8" t="b">
        <f>IF(D941&lt;1,FALSE,ISERROR(MATCH(E941,'Ontology and concepts per UC'!$A$2:$A$62,0)))</f>
        <v>0</v>
      </c>
      <c r="G941" s="9" t="str">
        <f t="shared" si="23"/>
        <v>EpidemiologicalParameter</v>
      </c>
      <c r="H941" s="9" t="str">
        <f t="shared" si="24"/>
        <v>EpidemiologicalParameter</v>
      </c>
      <c r="I941" s="8" t="b">
        <f>IF(D941&lt;2,FALSE,ISERROR(MATCH(H941,'Ontology and concepts per UC'!$A$2:$A$62,0)))</f>
        <v>0</v>
      </c>
      <c r="J941" s="9" t="str">
        <f t="shared" si="25"/>
        <v/>
      </c>
      <c r="K941" s="8" t="b">
        <f>IF(D941&lt;3,FALSE,ISERROR(MATCH(J941,'Ontology and concepts per UC'!$A$2:$A$62,0)))</f>
        <v>0</v>
      </c>
      <c r="L941" s="2" t="s">
        <v>2425</v>
      </c>
      <c r="M941" s="2" t="s">
        <v>2443</v>
      </c>
      <c r="N941" s="2"/>
      <c r="O941" s="1" t="b">
        <v>0</v>
      </c>
      <c r="P941" s="1">
        <v>0</v>
      </c>
      <c r="Q941" s="1">
        <v>0</v>
      </c>
      <c r="R941" s="1" t="b">
        <f t="shared" si="26"/>
        <v>1</v>
      </c>
      <c r="S941" s="2" t="s">
        <v>54</v>
      </c>
      <c r="T941" s="1" t="str">
        <f>IF(S941="","",VLOOKUP(S941,'Ontology and concepts per UC'!$F$2:$J$46,5,FALSE))</f>
        <v>Parámetros de progresión</v>
      </c>
      <c r="U941" s="1" t="b">
        <f t="array" ref="U941">(INDEX('Ontology and concepts per UC'!$G$2:$I$46,MATCH($S941,'Ontology and concepts per UC'!$F$2:$F$46,0),MATCH(LEFT($A941,3),'Ontology and concepts per UC'!$G$1:$I$1,0))=0)</f>
        <v>0</v>
      </c>
      <c r="V941" s="1" t="b">
        <f t="shared" si="27"/>
        <v>0</v>
      </c>
      <c r="W941" s="1" t="b">
        <v>0</v>
      </c>
      <c r="X941" s="1" t="b">
        <v>0</v>
      </c>
      <c r="Y941" s="1" t="b">
        <v>0</v>
      </c>
      <c r="Z941" s="1" t="b">
        <v>0</v>
      </c>
      <c r="AA941" s="1"/>
    </row>
    <row r="942" spans="1:27" x14ac:dyDescent="0.25">
      <c r="A942" s="1" t="s">
        <v>2441</v>
      </c>
      <c r="B942" s="2" t="s">
        <v>2444</v>
      </c>
      <c r="C942" s="2" t="s">
        <v>1437</v>
      </c>
      <c r="D942" s="6">
        <f t="shared" si="21"/>
        <v>2</v>
      </c>
      <c r="E942" s="7" t="str">
        <f t="shared" si="22"/>
        <v>EpidemiologicalParameter</v>
      </c>
      <c r="F942" s="8" t="b">
        <f>IF(D942&lt;1,FALSE,ISERROR(MATCH(E942,'Ontology and concepts per UC'!$A$2:$A$62,0)))</f>
        <v>0</v>
      </c>
      <c r="G942" s="9" t="str">
        <f t="shared" si="23"/>
        <v>DeterministicParameter</v>
      </c>
      <c r="H942" s="9" t="str">
        <f t="shared" si="24"/>
        <v>DeterministicParameter</v>
      </c>
      <c r="I942" s="8" t="b">
        <f>IF(D942&lt;2,FALSE,ISERROR(MATCH(H942,'Ontology and concepts per UC'!$A$2:$A$62,0)))</f>
        <v>0</v>
      </c>
      <c r="J942" s="9" t="str">
        <f t="shared" si="25"/>
        <v/>
      </c>
      <c r="K942" s="8" t="b">
        <f>IF(D942&lt;3,FALSE,ISERROR(MATCH(J942,'Ontology and concepts per UC'!$A$2:$A$62,0)))</f>
        <v>0</v>
      </c>
      <c r="L942" s="2" t="s">
        <v>2420</v>
      </c>
      <c r="M942" s="2" t="s">
        <v>2445</v>
      </c>
      <c r="N942" s="2"/>
      <c r="O942" s="1" t="b">
        <v>0</v>
      </c>
      <c r="P942" s="1">
        <v>0</v>
      </c>
      <c r="Q942" s="1">
        <v>0</v>
      </c>
      <c r="R942" s="1" t="b">
        <f t="shared" si="26"/>
        <v>1</v>
      </c>
      <c r="S942" s="2" t="s">
        <v>56</v>
      </c>
      <c r="T942" s="1" t="str">
        <f>IF(S942="","",VLOOKUP(S942,'Ontology and concepts per UC'!$F$2:$J$46,5,FALSE))</f>
        <v>Parámetros de progresión</v>
      </c>
      <c r="U942" s="1" t="b">
        <f t="array" ref="U942">(INDEX('Ontology and concepts per UC'!$G$2:$I$46,MATCH($S942,'Ontology and concepts per UC'!$F$2:$F$46,0),MATCH(LEFT($A942,3),'Ontology and concepts per UC'!$G$1:$I$1,0))=0)</f>
        <v>0</v>
      </c>
      <c r="V942" s="1" t="b">
        <f t="shared" si="27"/>
        <v>0</v>
      </c>
      <c r="W942" s="1" t="b">
        <v>0</v>
      </c>
      <c r="X942" s="1" t="b">
        <v>0</v>
      </c>
      <c r="Y942" s="1" t="b">
        <v>0</v>
      </c>
      <c r="Z942" s="1" t="b">
        <v>0</v>
      </c>
      <c r="AA942" s="1"/>
    </row>
    <row r="943" spans="1:27" x14ac:dyDescent="0.25">
      <c r="A943" s="1" t="s">
        <v>2441</v>
      </c>
      <c r="B943" s="2" t="s">
        <v>2446</v>
      </c>
      <c r="C943" s="2" t="s">
        <v>1437</v>
      </c>
      <c r="D943" s="6">
        <f t="shared" si="21"/>
        <v>2</v>
      </c>
      <c r="E943" s="7" t="str">
        <f t="shared" si="22"/>
        <v>EpidemiologicalParameter</v>
      </c>
      <c r="F943" s="8" t="b">
        <f>IF(D943&lt;1,FALSE,ISERROR(MATCH(E943,'Ontology and concepts per UC'!$A$2:$A$62,0)))</f>
        <v>0</v>
      </c>
      <c r="G943" s="9" t="str">
        <f t="shared" si="23"/>
        <v>DeterministicParameter</v>
      </c>
      <c r="H943" s="9" t="str">
        <f t="shared" si="24"/>
        <v>DeterministicParameter</v>
      </c>
      <c r="I943" s="8" t="b">
        <f>IF(D943&lt;2,FALSE,ISERROR(MATCH(H943,'Ontology and concepts per UC'!$A$2:$A$62,0)))</f>
        <v>0</v>
      </c>
      <c r="J943" s="9" t="str">
        <f t="shared" si="25"/>
        <v/>
      </c>
      <c r="K943" s="8" t="b">
        <f>IF(D943&lt;3,FALSE,ISERROR(MATCH(J943,'Ontology and concepts per UC'!$A$2:$A$62,0)))</f>
        <v>0</v>
      </c>
      <c r="L943" s="2" t="s">
        <v>2425</v>
      </c>
      <c r="M943" s="2" t="s">
        <v>2447</v>
      </c>
      <c r="N943" s="2"/>
      <c r="O943" s="1" t="b">
        <v>0</v>
      </c>
      <c r="P943" s="1">
        <v>0</v>
      </c>
      <c r="Q943" s="1">
        <v>0</v>
      </c>
      <c r="R943" s="1" t="b">
        <f t="shared" si="26"/>
        <v>1</v>
      </c>
      <c r="S943" s="2" t="s">
        <v>50</v>
      </c>
      <c r="T943" s="1" t="str">
        <f>IF(S943="","",VLOOKUP(S943,'Ontology and concepts per UC'!$F$2:$J$46,5,FALSE))</f>
        <v>Parámetros de progresión</v>
      </c>
      <c r="U943" s="1" t="b">
        <f t="array" ref="U943">(INDEX('Ontology and concepts per UC'!$G$2:$I$46,MATCH($S943,'Ontology and concepts per UC'!$F$2:$F$46,0),MATCH(LEFT($A943,3),'Ontology and concepts per UC'!$G$1:$I$1,0))=0)</f>
        <v>0</v>
      </c>
      <c r="V943" s="1" t="b">
        <f t="shared" si="27"/>
        <v>0</v>
      </c>
      <c r="W943" s="1" t="b">
        <v>0</v>
      </c>
      <c r="X943" s="1" t="b">
        <v>0</v>
      </c>
      <c r="Y943" s="1" t="b">
        <v>0</v>
      </c>
      <c r="Z943" s="1" t="b">
        <v>0</v>
      </c>
      <c r="AA943" s="1"/>
    </row>
    <row r="944" spans="1:27" x14ac:dyDescent="0.25">
      <c r="A944" s="1" t="s">
        <v>2441</v>
      </c>
      <c r="B944" s="2" t="s">
        <v>2448</v>
      </c>
      <c r="C944" s="2" t="s">
        <v>1437</v>
      </c>
      <c r="D944" s="6">
        <f t="shared" si="21"/>
        <v>2</v>
      </c>
      <c r="E944" s="7" t="str">
        <f t="shared" si="22"/>
        <v>EpidemiologicalParameter</v>
      </c>
      <c r="F944" s="8" t="b">
        <f>IF(D944&lt;1,FALSE,ISERROR(MATCH(E944,'Ontology and concepts per UC'!$A$2:$A$62,0)))</f>
        <v>0</v>
      </c>
      <c r="G944" s="9" t="str">
        <f t="shared" si="23"/>
        <v>DeterministicParameter</v>
      </c>
      <c r="H944" s="9" t="str">
        <f t="shared" si="24"/>
        <v>DeterministicParameter</v>
      </c>
      <c r="I944" s="8" t="b">
        <f>IF(D944&lt;2,FALSE,ISERROR(MATCH(H944,'Ontology and concepts per UC'!$A$2:$A$62,0)))</f>
        <v>0</v>
      </c>
      <c r="J944" s="9" t="str">
        <f t="shared" si="25"/>
        <v/>
      </c>
      <c r="K944" s="8" t="b">
        <f>IF(D944&lt;3,FALSE,ISERROR(MATCH(J944,'Ontology and concepts per UC'!$A$2:$A$62,0)))</f>
        <v>0</v>
      </c>
      <c r="L944" s="2" t="s">
        <v>2425</v>
      </c>
      <c r="M944" s="2" t="s">
        <v>2449</v>
      </c>
      <c r="N944" s="2"/>
      <c r="O944" s="1" t="b">
        <v>0</v>
      </c>
      <c r="P944" s="1">
        <v>0</v>
      </c>
      <c r="Q944" s="1">
        <v>0</v>
      </c>
      <c r="R944" s="1" t="b">
        <f t="shared" si="26"/>
        <v>1</v>
      </c>
      <c r="S944" s="2" t="s">
        <v>55</v>
      </c>
      <c r="T944" s="1" t="str">
        <f>IF(S944="","",VLOOKUP(S944,'Ontology and concepts per UC'!$F$2:$J$46,5,FALSE))</f>
        <v>Parámetros de progresión</v>
      </c>
      <c r="U944" s="1" t="b">
        <f t="array" ref="U944">(INDEX('Ontology and concepts per UC'!$G$2:$I$46,MATCH($S944,'Ontology and concepts per UC'!$F$2:$F$46,0),MATCH(LEFT($A944,3),'Ontology and concepts per UC'!$G$1:$I$1,0))=0)</f>
        <v>0</v>
      </c>
      <c r="V944" s="1" t="b">
        <f t="shared" si="27"/>
        <v>0</v>
      </c>
      <c r="W944" s="1" t="b">
        <v>0</v>
      </c>
      <c r="X944" s="1" t="b">
        <v>0</v>
      </c>
      <c r="Y944" s="1" t="b">
        <v>0</v>
      </c>
      <c r="Z944" s="1" t="b">
        <v>0</v>
      </c>
      <c r="AA944" s="1"/>
    </row>
    <row r="945" spans="1:27" x14ac:dyDescent="0.25">
      <c r="A945" s="1" t="s">
        <v>2441</v>
      </c>
      <c r="B945" s="2" t="s">
        <v>2450</v>
      </c>
      <c r="C945" s="2" t="s">
        <v>1437</v>
      </c>
      <c r="D945" s="6">
        <f t="shared" si="21"/>
        <v>2</v>
      </c>
      <c r="E945" s="7" t="str">
        <f t="shared" si="22"/>
        <v>EpidemiologicalParameter</v>
      </c>
      <c r="F945" s="8" t="b">
        <f>IF(D945&lt;1,FALSE,ISERROR(MATCH(E945,'Ontology and concepts per UC'!$A$2:$A$62,0)))</f>
        <v>0</v>
      </c>
      <c r="G945" s="9" t="str">
        <f t="shared" si="23"/>
        <v>DeterministicParameter</v>
      </c>
      <c r="H945" s="9" t="str">
        <f t="shared" si="24"/>
        <v>DeterministicParameter</v>
      </c>
      <c r="I945" s="8" t="b">
        <f>IF(D945&lt;2,FALSE,ISERROR(MATCH(H945,'Ontology and concepts per UC'!$A$2:$A$62,0)))</f>
        <v>0</v>
      </c>
      <c r="J945" s="9" t="str">
        <f t="shared" si="25"/>
        <v/>
      </c>
      <c r="K945" s="8" t="b">
        <f>IF(D945&lt;3,FALSE,ISERROR(MATCH(J945,'Ontology and concepts per UC'!$A$2:$A$62,0)))</f>
        <v>0</v>
      </c>
      <c r="L945" s="2" t="s">
        <v>2425</v>
      </c>
      <c r="M945" s="2" t="s">
        <v>2451</v>
      </c>
      <c r="N945" s="2"/>
      <c r="O945" s="1" t="b">
        <v>0</v>
      </c>
      <c r="P945" s="1">
        <v>0</v>
      </c>
      <c r="Q945" s="1">
        <v>0</v>
      </c>
      <c r="R945" s="1" t="b">
        <f t="shared" si="26"/>
        <v>1</v>
      </c>
      <c r="S945" s="2" t="s">
        <v>58</v>
      </c>
      <c r="T945" s="1" t="str">
        <f>IF(S945="","",VLOOKUP(S945,'Ontology and concepts per UC'!$F$2:$J$46,5,FALSE))</f>
        <v>Parámetros de progresión</v>
      </c>
      <c r="U945" s="1" t="b">
        <f t="array" ref="U945">(INDEX('Ontology and concepts per UC'!$G$2:$I$46,MATCH($S945,'Ontology and concepts per UC'!$F$2:$F$46,0),MATCH(LEFT($A945,3),'Ontology and concepts per UC'!$G$1:$I$1,0))=0)</f>
        <v>0</v>
      </c>
      <c r="V945" s="1" t="b">
        <f t="shared" si="27"/>
        <v>0</v>
      </c>
      <c r="W945" s="1" t="b">
        <v>0</v>
      </c>
      <c r="X945" s="1" t="b">
        <v>0</v>
      </c>
      <c r="Y945" s="1" t="b">
        <v>0</v>
      </c>
      <c r="Z945" s="1" t="b">
        <v>0</v>
      </c>
      <c r="AA945" s="1"/>
    </row>
    <row r="946" spans="1:27" x14ac:dyDescent="0.25">
      <c r="A946" s="1" t="s">
        <v>2441</v>
      </c>
      <c r="B946" s="2" t="s">
        <v>2452</v>
      </c>
      <c r="C946" s="2" t="s">
        <v>219</v>
      </c>
      <c r="D946" s="6">
        <f t="shared" si="21"/>
        <v>1</v>
      </c>
      <c r="E946" s="7" t="str">
        <f t="shared" si="22"/>
        <v>Utility</v>
      </c>
      <c r="F946" s="8" t="b">
        <f>IF(D946&lt;1,FALSE,ISERROR(MATCH(E946,'Ontology and concepts per UC'!$A$2:$A$62,0)))</f>
        <v>0</v>
      </c>
      <c r="G946" s="9" t="str">
        <f t="shared" si="23"/>
        <v/>
      </c>
      <c r="H946" s="9" t="str">
        <f t="shared" si="24"/>
        <v/>
      </c>
      <c r="I946" s="8" t="b">
        <f>IF(D946&lt;2,FALSE,ISERROR(MATCH(H946,'Ontology and concepts per UC'!$A$2:$A$62,0)))</f>
        <v>0</v>
      </c>
      <c r="J946" s="9" t="str">
        <f t="shared" si="25"/>
        <v/>
      </c>
      <c r="K946" s="8" t="b">
        <f>IF(D946&lt;3,FALSE,ISERROR(MATCH(J946,'Ontology and concepts per UC'!$A$2:$A$62,0)))</f>
        <v>0</v>
      </c>
      <c r="L946" s="2" t="s">
        <v>2453</v>
      </c>
      <c r="M946" s="2" t="s">
        <v>2454</v>
      </c>
      <c r="N946" s="2"/>
      <c r="O946" s="1" t="b">
        <v>0</v>
      </c>
      <c r="P946" s="1">
        <v>0</v>
      </c>
      <c r="Q946" s="1">
        <v>0</v>
      </c>
      <c r="R946" s="1" t="b">
        <f t="shared" si="26"/>
        <v>1</v>
      </c>
      <c r="S946" s="2" t="s">
        <v>69</v>
      </c>
      <c r="T946" s="1" t="str">
        <f>IF(S946="","",VLOOKUP(S946,'Ontology and concepts per UC'!$F$2:$J$46,5,FALSE))</f>
        <v>Utilidad</v>
      </c>
      <c r="U946" s="1" t="b">
        <f t="array" ref="U946">(INDEX('Ontology and concepts per UC'!$G$2:$I$46,MATCH($S946,'Ontology and concepts per UC'!$F$2:$F$46,0),MATCH(LEFT($A946,3),'Ontology and concepts per UC'!$G$1:$I$1,0))=0)</f>
        <v>0</v>
      </c>
      <c r="V946" s="1" t="b">
        <f t="shared" si="27"/>
        <v>0</v>
      </c>
      <c r="W946" s="1" t="b">
        <v>0</v>
      </c>
      <c r="X946" s="1" t="b">
        <v>0</v>
      </c>
      <c r="Y946" s="1" t="b">
        <v>0</v>
      </c>
      <c r="Z946" s="1" t="b">
        <v>0</v>
      </c>
      <c r="AA946" s="1"/>
    </row>
    <row r="947" spans="1:27" x14ac:dyDescent="0.25">
      <c r="A947" s="1" t="s">
        <v>2441</v>
      </c>
      <c r="B947" s="2" t="s">
        <v>2455</v>
      </c>
      <c r="C947" s="2" t="s">
        <v>219</v>
      </c>
      <c r="D947" s="6">
        <f t="shared" si="21"/>
        <v>1</v>
      </c>
      <c r="E947" s="7" t="str">
        <f t="shared" si="22"/>
        <v>Utility</v>
      </c>
      <c r="F947" s="8" t="b">
        <f>IF(D947&lt;1,FALSE,ISERROR(MATCH(E947,'Ontology and concepts per UC'!$A$2:$A$62,0)))</f>
        <v>0</v>
      </c>
      <c r="G947" s="9" t="str">
        <f t="shared" si="23"/>
        <v/>
      </c>
      <c r="H947" s="9" t="str">
        <f t="shared" si="24"/>
        <v/>
      </c>
      <c r="I947" s="8" t="b">
        <f>IF(D947&lt;2,FALSE,ISERROR(MATCH(H947,'Ontology and concepts per UC'!$A$2:$A$62,0)))</f>
        <v>0</v>
      </c>
      <c r="J947" s="9" t="str">
        <f t="shared" si="25"/>
        <v/>
      </c>
      <c r="K947" s="8" t="b">
        <f>IF(D947&lt;3,FALSE,ISERROR(MATCH(J947,'Ontology and concepts per UC'!$A$2:$A$62,0)))</f>
        <v>0</v>
      </c>
      <c r="L947" s="2" t="s">
        <v>2453</v>
      </c>
      <c r="M947" s="2" t="s">
        <v>2456</v>
      </c>
      <c r="N947" s="2"/>
      <c r="O947" s="1" t="b">
        <v>0</v>
      </c>
      <c r="P947" s="1">
        <v>0</v>
      </c>
      <c r="Q947" s="1">
        <v>0</v>
      </c>
      <c r="R947" s="1" t="b">
        <f t="shared" si="26"/>
        <v>1</v>
      </c>
      <c r="S947" s="2" t="s">
        <v>70</v>
      </c>
      <c r="T947" s="1" t="str">
        <f>IF(S947="","",VLOOKUP(S947,'Ontology and concepts per UC'!$F$2:$J$46,5,FALSE))</f>
        <v>Utilidad</v>
      </c>
      <c r="U947" s="1" t="b">
        <f t="array" ref="U947">(INDEX('Ontology and concepts per UC'!$G$2:$I$46,MATCH($S947,'Ontology and concepts per UC'!$F$2:$F$46,0),MATCH(LEFT($A947,3),'Ontology and concepts per UC'!$G$1:$I$1,0))=0)</f>
        <v>0</v>
      </c>
      <c r="V947" s="1" t="b">
        <f t="shared" si="27"/>
        <v>0</v>
      </c>
      <c r="W947" s="1" t="b">
        <v>0</v>
      </c>
      <c r="X947" s="1" t="b">
        <v>0</v>
      </c>
      <c r="Y947" s="1" t="b">
        <v>0</v>
      </c>
      <c r="Z947" s="1" t="b">
        <v>0</v>
      </c>
      <c r="AA947" s="1"/>
    </row>
    <row r="948" spans="1:27" x14ac:dyDescent="0.25">
      <c r="A948" s="1" t="s">
        <v>2441</v>
      </c>
      <c r="B948" s="2" t="s">
        <v>2457</v>
      </c>
      <c r="C948" s="2" t="s">
        <v>219</v>
      </c>
      <c r="D948" s="6">
        <f t="shared" si="21"/>
        <v>1</v>
      </c>
      <c r="E948" s="7" t="str">
        <f t="shared" si="22"/>
        <v>Utility</v>
      </c>
      <c r="F948" s="8" t="b">
        <f>IF(D948&lt;1,FALSE,ISERROR(MATCH(E948,'Ontology and concepts per UC'!$A$2:$A$62,0)))</f>
        <v>0</v>
      </c>
      <c r="G948" s="9" t="str">
        <f t="shared" si="23"/>
        <v/>
      </c>
      <c r="H948" s="9" t="str">
        <f t="shared" si="24"/>
        <v/>
      </c>
      <c r="I948" s="8" t="b">
        <f>IF(D948&lt;2,FALSE,ISERROR(MATCH(H948,'Ontology and concepts per UC'!$A$2:$A$62,0)))</f>
        <v>0</v>
      </c>
      <c r="J948" s="9" t="str">
        <f t="shared" si="25"/>
        <v/>
      </c>
      <c r="K948" s="8" t="b">
        <f>IF(D948&lt;3,FALSE,ISERROR(MATCH(J948,'Ontology and concepts per UC'!$A$2:$A$62,0)))</f>
        <v>0</v>
      </c>
      <c r="L948" s="2" t="s">
        <v>2453</v>
      </c>
      <c r="M948" s="2" t="s">
        <v>2458</v>
      </c>
      <c r="N948" s="2"/>
      <c r="O948" s="1" t="b">
        <v>0</v>
      </c>
      <c r="P948" s="1">
        <v>0</v>
      </c>
      <c r="Q948" s="1">
        <v>0</v>
      </c>
      <c r="R948" s="1" t="b">
        <f t="shared" si="26"/>
        <v>1</v>
      </c>
      <c r="S948" s="2" t="s">
        <v>20</v>
      </c>
      <c r="T948" s="1" t="str">
        <f>IF(S948="","",VLOOKUP(S948,'Ontology and concepts per UC'!$F$2:$J$46,5,FALSE))</f>
        <v>Modelo Conceptual</v>
      </c>
      <c r="U948" s="1" t="b">
        <f t="array" ref="U948">(INDEX('Ontology and concepts per UC'!$G$2:$I$46,MATCH($S948,'Ontology and concepts per UC'!$F$2:$F$46,0),MATCH(LEFT($A948,3),'Ontology and concepts per UC'!$G$1:$I$1,0))=0)</f>
        <v>1</v>
      </c>
      <c r="V948" s="1" t="b">
        <f t="shared" si="27"/>
        <v>0</v>
      </c>
      <c r="W948" s="1" t="b">
        <v>0</v>
      </c>
      <c r="X948" s="1" t="b">
        <v>0</v>
      </c>
      <c r="Y948" s="1" t="b">
        <v>0</v>
      </c>
      <c r="Z948" s="1" t="b">
        <v>0</v>
      </c>
      <c r="AA948" s="1"/>
    </row>
    <row r="949" spans="1:27" x14ac:dyDescent="0.25">
      <c r="A949" s="1" t="s">
        <v>2441</v>
      </c>
      <c r="B949" s="2" t="s">
        <v>2459</v>
      </c>
      <c r="C949" s="2" t="s">
        <v>219</v>
      </c>
      <c r="D949" s="6">
        <f t="shared" si="21"/>
        <v>1</v>
      </c>
      <c r="E949" s="7" t="str">
        <f t="shared" si="22"/>
        <v>Utility</v>
      </c>
      <c r="F949" s="8" t="b">
        <f>IF(D949&lt;1,FALSE,ISERROR(MATCH(E949,'Ontology and concepts per UC'!$A$2:$A$62,0)))</f>
        <v>0</v>
      </c>
      <c r="G949" s="9" t="str">
        <f t="shared" si="23"/>
        <v/>
      </c>
      <c r="H949" s="9" t="str">
        <f t="shared" si="24"/>
        <v/>
      </c>
      <c r="I949" s="8" t="b">
        <f>IF(D949&lt;2,FALSE,ISERROR(MATCH(H949,'Ontology and concepts per UC'!$A$2:$A$62,0)))</f>
        <v>0</v>
      </c>
      <c r="J949" s="9" t="str">
        <f t="shared" si="25"/>
        <v/>
      </c>
      <c r="K949" s="8" t="b">
        <f>IF(D949&lt;3,FALSE,ISERROR(MATCH(J949,'Ontology and concepts per UC'!$A$2:$A$62,0)))</f>
        <v>0</v>
      </c>
      <c r="L949" s="2" t="s">
        <v>2453</v>
      </c>
      <c r="M949" s="2" t="s">
        <v>2460</v>
      </c>
      <c r="N949" s="2"/>
      <c r="O949" s="1" t="b">
        <v>0</v>
      </c>
      <c r="P949" s="1">
        <v>0</v>
      </c>
      <c r="Q949" s="1">
        <v>0</v>
      </c>
      <c r="R949" s="1" t="b">
        <f t="shared" si="26"/>
        <v>1</v>
      </c>
      <c r="S949" s="2" t="s">
        <v>65</v>
      </c>
      <c r="T949" s="1" t="str">
        <f>IF(S949="","",VLOOKUP(S949,'Ontology and concepts per UC'!$F$2:$J$46,5,FALSE))</f>
        <v>Utilidad</v>
      </c>
      <c r="U949" s="1" t="b">
        <f t="array" ref="U949">(INDEX('Ontology and concepts per UC'!$G$2:$I$46,MATCH($S949,'Ontology and concepts per UC'!$F$2:$F$46,0),MATCH(LEFT($A949,3),'Ontology and concepts per UC'!$G$1:$I$1,0))=0)</f>
        <v>0</v>
      </c>
      <c r="V949" s="1" t="b">
        <f t="shared" si="27"/>
        <v>1</v>
      </c>
      <c r="W949" s="1" t="b">
        <v>0</v>
      </c>
      <c r="X949" s="1" t="b">
        <v>0</v>
      </c>
      <c r="Y949" s="1" t="b">
        <v>0</v>
      </c>
      <c r="Z949" s="1" t="b">
        <v>1</v>
      </c>
      <c r="AA949" s="1" t="s">
        <v>197</v>
      </c>
    </row>
    <row r="950" spans="1:27" x14ac:dyDescent="0.25">
      <c r="A950" s="1" t="s">
        <v>2441</v>
      </c>
      <c r="B950" s="2" t="s">
        <v>2461</v>
      </c>
      <c r="C950" s="2" t="s">
        <v>219</v>
      </c>
      <c r="D950" s="6">
        <f t="shared" si="21"/>
        <v>1</v>
      </c>
      <c r="E950" s="7" t="str">
        <f t="shared" si="22"/>
        <v>Utility</v>
      </c>
      <c r="F950" s="8" t="b">
        <f>IF(D950&lt;1,FALSE,ISERROR(MATCH(E950,'Ontology and concepts per UC'!$A$2:$A$62,0)))</f>
        <v>0</v>
      </c>
      <c r="G950" s="9" t="str">
        <f t="shared" si="23"/>
        <v/>
      </c>
      <c r="H950" s="9" t="str">
        <f t="shared" si="24"/>
        <v/>
      </c>
      <c r="I950" s="8" t="b">
        <f>IF(D950&lt;2,FALSE,ISERROR(MATCH(H950,'Ontology and concepts per UC'!$A$2:$A$62,0)))</f>
        <v>0</v>
      </c>
      <c r="J950" s="9" t="str">
        <f t="shared" si="25"/>
        <v/>
      </c>
      <c r="K950" s="8" t="b">
        <f>IF(D950&lt;3,FALSE,ISERROR(MATCH(J950,'Ontology and concepts per UC'!$A$2:$A$62,0)))</f>
        <v>0</v>
      </c>
      <c r="L950" s="2" t="s">
        <v>2453</v>
      </c>
      <c r="M950" s="2" t="s">
        <v>2462</v>
      </c>
      <c r="N950" s="2"/>
      <c r="O950" s="1" t="b">
        <v>0</v>
      </c>
      <c r="P950" s="1">
        <v>0</v>
      </c>
      <c r="Q950" s="1">
        <v>0</v>
      </c>
      <c r="R950" s="1" t="b">
        <f t="shared" si="26"/>
        <v>1</v>
      </c>
      <c r="S950" s="2" t="s">
        <v>67</v>
      </c>
      <c r="T950" s="1" t="str">
        <f>IF(S950="","",VLOOKUP(S950,'Ontology and concepts per UC'!$F$2:$J$46,5,FALSE))</f>
        <v>Utilidad</v>
      </c>
      <c r="U950" s="1" t="b">
        <f t="array" ref="U950">(INDEX('Ontology and concepts per UC'!$G$2:$I$46,MATCH($S950,'Ontology and concepts per UC'!$F$2:$F$46,0),MATCH(LEFT($A950,3),'Ontology and concepts per UC'!$G$1:$I$1,0))=0)</f>
        <v>0</v>
      </c>
      <c r="V950" s="1" t="b">
        <f t="shared" si="27"/>
        <v>0</v>
      </c>
      <c r="W950" s="1" t="b">
        <v>0</v>
      </c>
      <c r="X950" s="1" t="b">
        <v>0</v>
      </c>
      <c r="Y950" s="1" t="b">
        <v>0</v>
      </c>
      <c r="Z950" s="1" t="b">
        <v>0</v>
      </c>
      <c r="AA950" s="1"/>
    </row>
    <row r="951" spans="1:27" x14ac:dyDescent="0.25">
      <c r="A951" s="1" t="s">
        <v>2441</v>
      </c>
      <c r="B951" s="2" t="s">
        <v>1575</v>
      </c>
      <c r="C951" s="2"/>
      <c r="D951" s="6">
        <f t="shared" si="21"/>
        <v>0</v>
      </c>
      <c r="E951" s="7">
        <f t="shared" si="22"/>
        <v>0</v>
      </c>
      <c r="F951" s="8" t="b">
        <f>IF(D951&lt;1,FALSE,ISERROR(MATCH(E951,'Ontology and concepts per UC'!$A$2:$A$62,0)))</f>
        <v>0</v>
      </c>
      <c r="G951" s="9" t="str">
        <f t="shared" si="23"/>
        <v/>
      </c>
      <c r="H951" s="9" t="str">
        <f t="shared" si="24"/>
        <v/>
      </c>
      <c r="I951" s="8" t="b">
        <f>IF(D951&lt;2,FALSE,ISERROR(MATCH(H951,'Ontology and concepts per UC'!$A$2:$A$62,0)))</f>
        <v>0</v>
      </c>
      <c r="J951" s="9" t="str">
        <f t="shared" si="25"/>
        <v/>
      </c>
      <c r="K951" s="8" t="b">
        <f>IF(D951&lt;3,FALSE,ISERROR(MATCH(J951,'Ontology and concepts per UC'!$A$2:$A$62,0)))</f>
        <v>0</v>
      </c>
      <c r="L951" s="2"/>
      <c r="M951" s="2"/>
      <c r="N951" s="2"/>
      <c r="O951" s="1" t="b">
        <v>1</v>
      </c>
      <c r="P951" s="1">
        <v>0</v>
      </c>
      <c r="Q951" s="1">
        <v>0</v>
      </c>
      <c r="R951" s="1" t="b">
        <f t="shared" si="26"/>
        <v>0</v>
      </c>
      <c r="S951" s="2" t="s">
        <v>33</v>
      </c>
      <c r="T951" s="1" t="str">
        <f>IF(S951="","",VLOOKUP(S951,'Ontology and concepts per UC'!$F$2:$J$46,5,FALSE))</f>
        <v>Modelo Conceptual</v>
      </c>
      <c r="U951" s="1" t="b">
        <f t="array" ref="U951">(INDEX('Ontology and concepts per UC'!$G$2:$I$46,MATCH($S951,'Ontology and concepts per UC'!$F$2:$F$46,0),MATCH(LEFT($A951,3),'Ontology and concepts per UC'!$G$1:$I$1,0))=0)</f>
        <v>1</v>
      </c>
      <c r="V951" s="1" t="b">
        <f t="shared" si="27"/>
        <v>1</v>
      </c>
      <c r="W951" s="1" t="b">
        <v>1</v>
      </c>
      <c r="X951" s="1" t="b">
        <v>0</v>
      </c>
      <c r="Y951" s="1" t="b">
        <v>1</v>
      </c>
      <c r="Z951" s="1" t="b">
        <v>0</v>
      </c>
      <c r="AA951" s="1" t="s">
        <v>2417</v>
      </c>
    </row>
    <row r="952" spans="1:27" x14ac:dyDescent="0.25">
      <c r="A952" s="1" t="s">
        <v>2463</v>
      </c>
      <c r="B952" s="2" t="s">
        <v>2324</v>
      </c>
      <c r="C952" s="2" t="s">
        <v>942</v>
      </c>
      <c r="D952" s="6">
        <f t="shared" si="21"/>
        <v>2</v>
      </c>
      <c r="E952" s="7" t="str">
        <f t="shared" si="22"/>
        <v>DeterministicParameter</v>
      </c>
      <c r="F952" s="8" t="b">
        <f>IF(D952&lt;1,FALSE,ISERROR(MATCH(E952,'Ontology and concepts per UC'!$A$2:$A$62,0)))</f>
        <v>0</v>
      </c>
      <c r="G952" s="9" t="str">
        <f t="shared" si="23"/>
        <v>Parameter</v>
      </c>
      <c r="H952" s="9" t="str">
        <f t="shared" si="24"/>
        <v>Parameter</v>
      </c>
      <c r="I952" s="8" t="b">
        <f>IF(D952&lt;2,FALSE,ISERROR(MATCH(H952,'Ontology and concepts per UC'!$A$2:$A$62,0)))</f>
        <v>0</v>
      </c>
      <c r="J952" s="9" t="str">
        <f t="shared" si="25"/>
        <v/>
      </c>
      <c r="K952" s="8" t="b">
        <f>IF(D952&lt;3,FALSE,ISERROR(MATCH(J952,'Ontology and concepts per UC'!$A$2:$A$62,0)))</f>
        <v>0</v>
      </c>
      <c r="L952" s="2" t="s">
        <v>2464</v>
      </c>
      <c r="M952" s="2" t="s">
        <v>2465</v>
      </c>
      <c r="N952" s="2"/>
      <c r="O952" s="1" t="b">
        <v>0</v>
      </c>
      <c r="P952" s="1">
        <v>0</v>
      </c>
      <c r="Q952" s="1">
        <v>0</v>
      </c>
      <c r="R952" s="1" t="b">
        <f t="shared" si="26"/>
        <v>1</v>
      </c>
      <c r="S952" s="2" t="s">
        <v>50</v>
      </c>
      <c r="T952" s="1" t="str">
        <f>IF(S952="","",VLOOKUP(S952,'Ontology and concepts per UC'!$F$2:$J$46,5,FALSE))</f>
        <v>Parámetros de progresión</v>
      </c>
      <c r="U952" s="1" t="b">
        <f t="array" ref="U952">(INDEX('Ontology and concepts per UC'!$G$2:$I$46,MATCH($S952,'Ontology and concepts per UC'!$F$2:$F$46,0),MATCH(LEFT($A952,3),'Ontology and concepts per UC'!$G$1:$I$1,0))=0)</f>
        <v>0</v>
      </c>
      <c r="V952" s="1" t="b">
        <f t="shared" si="27"/>
        <v>1</v>
      </c>
      <c r="W952" s="1" t="b">
        <v>0</v>
      </c>
      <c r="X952" s="1" t="b">
        <v>0</v>
      </c>
      <c r="Y952" s="1" t="b">
        <v>0</v>
      </c>
      <c r="Z952" s="1" t="b">
        <v>1</v>
      </c>
      <c r="AA952" s="1" t="s">
        <v>197</v>
      </c>
    </row>
    <row r="953" spans="1:27" x14ac:dyDescent="0.25">
      <c r="A953" s="1" t="s">
        <v>2463</v>
      </c>
      <c r="B953" s="2" t="s">
        <v>2466</v>
      </c>
      <c r="C953" s="2" t="s">
        <v>942</v>
      </c>
      <c r="D953" s="6">
        <f t="shared" si="21"/>
        <v>2</v>
      </c>
      <c r="E953" s="7" t="str">
        <f t="shared" si="22"/>
        <v>DeterministicParameter</v>
      </c>
      <c r="F953" s="8" t="b">
        <f>IF(D953&lt;1,FALSE,ISERROR(MATCH(E953,'Ontology and concepts per UC'!$A$2:$A$62,0)))</f>
        <v>0</v>
      </c>
      <c r="G953" s="9" t="str">
        <f t="shared" si="23"/>
        <v>Parameter</v>
      </c>
      <c r="H953" s="9" t="str">
        <f t="shared" si="24"/>
        <v>Parameter</v>
      </c>
      <c r="I953" s="8" t="b">
        <f>IF(D953&lt;2,FALSE,ISERROR(MATCH(H953,'Ontology and concepts per UC'!$A$2:$A$62,0)))</f>
        <v>0</v>
      </c>
      <c r="J953" s="9" t="str">
        <f t="shared" si="25"/>
        <v/>
      </c>
      <c r="K953" s="8" t="b">
        <f>IF(D953&lt;3,FALSE,ISERROR(MATCH(J953,'Ontology and concepts per UC'!$A$2:$A$62,0)))</f>
        <v>0</v>
      </c>
      <c r="L953" s="2" t="s">
        <v>2467</v>
      </c>
      <c r="M953" s="2" t="s">
        <v>2468</v>
      </c>
      <c r="N953" s="2"/>
      <c r="O953" s="1" t="b">
        <v>0</v>
      </c>
      <c r="P953" s="1">
        <v>0</v>
      </c>
      <c r="Q953" s="1">
        <v>0</v>
      </c>
      <c r="R953" s="1" t="b">
        <f t="shared" si="26"/>
        <v>1</v>
      </c>
      <c r="S953" s="2" t="s">
        <v>54</v>
      </c>
      <c r="T953" s="1" t="str">
        <f>IF(S953="","",VLOOKUP(S953,'Ontology and concepts per UC'!$F$2:$J$46,5,FALSE))</f>
        <v>Parámetros de progresión</v>
      </c>
      <c r="U953" s="1" t="b">
        <f t="array" ref="U953">(INDEX('Ontology and concepts per UC'!$G$2:$I$46,MATCH($S953,'Ontology and concepts per UC'!$F$2:$F$46,0),MATCH(LEFT($A953,3),'Ontology and concepts per UC'!$G$1:$I$1,0))=0)</f>
        <v>0</v>
      </c>
      <c r="V953" s="1" t="b">
        <f t="shared" si="27"/>
        <v>0</v>
      </c>
      <c r="W953" s="1" t="b">
        <v>0</v>
      </c>
      <c r="X953" s="1" t="b">
        <v>0</v>
      </c>
      <c r="Y953" s="1" t="b">
        <v>0</v>
      </c>
      <c r="Z953" s="1" t="b">
        <v>0</v>
      </c>
      <c r="AA953" s="1"/>
    </row>
    <row r="954" spans="1:27" x14ac:dyDescent="0.25">
      <c r="A954" s="1" t="s">
        <v>2463</v>
      </c>
      <c r="B954" s="2" t="s">
        <v>2469</v>
      </c>
      <c r="C954" s="2" t="s">
        <v>942</v>
      </c>
      <c r="D954" s="6">
        <f t="shared" si="21"/>
        <v>2</v>
      </c>
      <c r="E954" s="7" t="str">
        <f t="shared" si="22"/>
        <v>DeterministicParameter</v>
      </c>
      <c r="F954" s="8" t="b">
        <f>IF(D954&lt;1,FALSE,ISERROR(MATCH(E954,'Ontology and concepts per UC'!$A$2:$A$62,0)))</f>
        <v>0</v>
      </c>
      <c r="G954" s="9" t="str">
        <f t="shared" si="23"/>
        <v>Parameter</v>
      </c>
      <c r="H954" s="9" t="str">
        <f t="shared" si="24"/>
        <v>Parameter</v>
      </c>
      <c r="I954" s="8" t="b">
        <f>IF(D954&lt;2,FALSE,ISERROR(MATCH(H954,'Ontology and concepts per UC'!$A$2:$A$62,0)))</f>
        <v>0</v>
      </c>
      <c r="J954" s="9" t="str">
        <f t="shared" si="25"/>
        <v/>
      </c>
      <c r="K954" s="8" t="b">
        <f>IF(D954&lt;3,FALSE,ISERROR(MATCH(J954,'Ontology and concepts per UC'!$A$2:$A$62,0)))</f>
        <v>0</v>
      </c>
      <c r="L954" s="2" t="s">
        <v>2470</v>
      </c>
      <c r="M954" s="2" t="s">
        <v>2471</v>
      </c>
      <c r="N954" s="2"/>
      <c r="O954" s="1" t="b">
        <v>0</v>
      </c>
      <c r="P954" s="1">
        <v>0</v>
      </c>
      <c r="Q954" s="1">
        <v>0</v>
      </c>
      <c r="R954" s="1" t="b">
        <f t="shared" si="26"/>
        <v>1</v>
      </c>
      <c r="S954" s="2" t="s">
        <v>55</v>
      </c>
      <c r="T954" s="1" t="str">
        <f>IF(S954="","",VLOOKUP(S954,'Ontology and concepts per UC'!$F$2:$J$46,5,FALSE))</f>
        <v>Parámetros de progresión</v>
      </c>
      <c r="U954" s="1" t="b">
        <f t="array" ref="U954">(INDEX('Ontology and concepts per UC'!$G$2:$I$46,MATCH($S954,'Ontology and concepts per UC'!$F$2:$F$46,0),MATCH(LEFT($A954,3),'Ontology and concepts per UC'!$G$1:$I$1,0))=0)</f>
        <v>0</v>
      </c>
      <c r="V954" s="1" t="b">
        <f t="shared" si="27"/>
        <v>0</v>
      </c>
      <c r="W954" s="1" t="b">
        <v>0</v>
      </c>
      <c r="X954" s="1" t="b">
        <v>0</v>
      </c>
      <c r="Y954" s="1" t="b">
        <v>0</v>
      </c>
      <c r="Z954" s="1" t="b">
        <v>0</v>
      </c>
      <c r="AA954" s="1"/>
    </row>
    <row r="955" spans="1:27" x14ac:dyDescent="0.25">
      <c r="A955" s="1" t="s">
        <v>2463</v>
      </c>
      <c r="B955" s="2" t="s">
        <v>2326</v>
      </c>
      <c r="C955" s="2" t="s">
        <v>942</v>
      </c>
      <c r="D955" s="6">
        <f t="shared" si="21"/>
        <v>2</v>
      </c>
      <c r="E955" s="7" t="str">
        <f t="shared" si="22"/>
        <v>DeterministicParameter</v>
      </c>
      <c r="F955" s="8" t="b">
        <f>IF(D955&lt;1,FALSE,ISERROR(MATCH(E955,'Ontology and concepts per UC'!$A$2:$A$62,0)))</f>
        <v>0</v>
      </c>
      <c r="G955" s="9" t="str">
        <f t="shared" si="23"/>
        <v>Parameter</v>
      </c>
      <c r="H955" s="9" t="str">
        <f t="shared" si="24"/>
        <v>Parameter</v>
      </c>
      <c r="I955" s="8" t="b">
        <f>IF(D955&lt;2,FALSE,ISERROR(MATCH(H955,'Ontology and concepts per UC'!$A$2:$A$62,0)))</f>
        <v>0</v>
      </c>
      <c r="J955" s="9" t="str">
        <f t="shared" si="25"/>
        <v/>
      </c>
      <c r="K955" s="8" t="b">
        <f>IF(D955&lt;3,FALSE,ISERROR(MATCH(J955,'Ontology and concepts per UC'!$A$2:$A$62,0)))</f>
        <v>0</v>
      </c>
      <c r="L955" s="2" t="s">
        <v>2467</v>
      </c>
      <c r="M955" s="2" t="s">
        <v>2472</v>
      </c>
      <c r="N955" s="2"/>
      <c r="O955" s="1" t="b">
        <v>0</v>
      </c>
      <c r="P955" s="1">
        <v>0</v>
      </c>
      <c r="Q955" s="1">
        <v>0</v>
      </c>
      <c r="R955" s="1" t="b">
        <f t="shared" si="26"/>
        <v>1</v>
      </c>
      <c r="S955" s="2" t="s">
        <v>58</v>
      </c>
      <c r="T955" s="1" t="str">
        <f>IF(S955="","",VLOOKUP(S955,'Ontology and concepts per UC'!$F$2:$J$46,5,FALSE))</f>
        <v>Parámetros de progresión</v>
      </c>
      <c r="U955" s="1" t="b">
        <f t="array" ref="U955">(INDEX('Ontology and concepts per UC'!$G$2:$I$46,MATCH($S955,'Ontology and concepts per UC'!$F$2:$F$46,0),MATCH(LEFT($A955,3),'Ontology and concepts per UC'!$G$1:$I$1,0))=0)</f>
        <v>0</v>
      </c>
      <c r="V955" s="1" t="b">
        <f t="shared" si="27"/>
        <v>0</v>
      </c>
      <c r="W955" s="1" t="b">
        <v>0</v>
      </c>
      <c r="X955" s="1" t="b">
        <v>0</v>
      </c>
      <c r="Y955" s="1" t="b">
        <v>0</v>
      </c>
      <c r="Z955" s="1" t="b">
        <v>0</v>
      </c>
      <c r="AA955" s="1"/>
    </row>
    <row r="956" spans="1:27" x14ac:dyDescent="0.25">
      <c r="A956" s="1" t="s">
        <v>2463</v>
      </c>
      <c r="B956" s="2" t="s">
        <v>2284</v>
      </c>
      <c r="C956" s="2" t="s">
        <v>1106</v>
      </c>
      <c r="D956" s="6">
        <f t="shared" si="21"/>
        <v>2</v>
      </c>
      <c r="E956" s="7" t="str">
        <f t="shared" si="22"/>
        <v>DeterministicParameter</v>
      </c>
      <c r="F956" s="8" t="b">
        <f>IF(D956&lt;1,FALSE,ISERROR(MATCH(E956,'Ontology and concepts per UC'!$A$2:$A$62,0)))</f>
        <v>0</v>
      </c>
      <c r="G956" s="9" t="str">
        <f t="shared" si="23"/>
        <v>Utility</v>
      </c>
      <c r="H956" s="9" t="str">
        <f t="shared" si="24"/>
        <v>Utility</v>
      </c>
      <c r="I956" s="8" t="b">
        <f>IF(D956&lt;2,FALSE,ISERROR(MATCH(H956,'Ontology and concepts per UC'!$A$2:$A$62,0)))</f>
        <v>0</v>
      </c>
      <c r="J956" s="9" t="str">
        <f t="shared" si="25"/>
        <v/>
      </c>
      <c r="K956" s="8" t="b">
        <f>IF(D956&lt;3,FALSE,ISERROR(MATCH(J956,'Ontology and concepts per UC'!$A$2:$A$62,0)))</f>
        <v>0</v>
      </c>
      <c r="L956" s="2" t="s">
        <v>2473</v>
      </c>
      <c r="M956" s="2" t="s">
        <v>2474</v>
      </c>
      <c r="N956" s="2"/>
      <c r="O956" s="1" t="b">
        <v>0</v>
      </c>
      <c r="P956" s="1">
        <v>0</v>
      </c>
      <c r="Q956" s="1">
        <v>0</v>
      </c>
      <c r="R956" s="1" t="b">
        <f t="shared" si="26"/>
        <v>1</v>
      </c>
      <c r="S956" s="2" t="s">
        <v>65</v>
      </c>
      <c r="T956" s="1" t="str">
        <f>IF(S956="","",VLOOKUP(S956,'Ontology and concepts per UC'!$F$2:$J$46,5,FALSE))</f>
        <v>Utilidad</v>
      </c>
      <c r="U956" s="1" t="b">
        <f t="array" ref="U956">(INDEX('Ontology and concepts per UC'!$G$2:$I$46,MATCH($S956,'Ontology and concepts per UC'!$F$2:$F$46,0),MATCH(LEFT($A956,3),'Ontology and concepts per UC'!$G$1:$I$1,0))=0)</f>
        <v>0</v>
      </c>
      <c r="V956" s="1" t="b">
        <f t="shared" si="27"/>
        <v>1</v>
      </c>
      <c r="W956" s="1" t="b">
        <v>0</v>
      </c>
      <c r="X956" s="1" t="b">
        <v>0</v>
      </c>
      <c r="Y956" s="1" t="b">
        <v>0</v>
      </c>
      <c r="Z956" s="1" t="b">
        <v>1</v>
      </c>
      <c r="AA956" s="1" t="s">
        <v>197</v>
      </c>
    </row>
    <row r="957" spans="1:27" x14ac:dyDescent="0.25">
      <c r="A957" s="1" t="s">
        <v>2463</v>
      </c>
      <c r="B957" s="2" t="s">
        <v>2286</v>
      </c>
      <c r="C957" s="2" t="s">
        <v>1106</v>
      </c>
      <c r="D957" s="6">
        <f t="shared" si="21"/>
        <v>2</v>
      </c>
      <c r="E957" s="7" t="str">
        <f t="shared" si="22"/>
        <v>DeterministicParameter</v>
      </c>
      <c r="F957" s="8" t="b">
        <f>IF(D957&lt;1,FALSE,ISERROR(MATCH(E957,'Ontology and concepts per UC'!$A$2:$A$62,0)))</f>
        <v>0</v>
      </c>
      <c r="G957" s="9" t="str">
        <f t="shared" si="23"/>
        <v>Utility</v>
      </c>
      <c r="H957" s="9" t="str">
        <f t="shared" si="24"/>
        <v>Utility</v>
      </c>
      <c r="I957" s="8" t="b">
        <f>IF(D957&lt;2,FALSE,ISERROR(MATCH(H957,'Ontology and concepts per UC'!$A$2:$A$62,0)))</f>
        <v>0</v>
      </c>
      <c r="J957" s="9" t="str">
        <f t="shared" si="25"/>
        <v/>
      </c>
      <c r="K957" s="8" t="b">
        <f>IF(D957&lt;3,FALSE,ISERROR(MATCH(J957,'Ontology and concepts per UC'!$A$2:$A$62,0)))</f>
        <v>0</v>
      </c>
      <c r="L957" s="2" t="s">
        <v>2473</v>
      </c>
      <c r="M957" s="2" t="s">
        <v>2475</v>
      </c>
      <c r="N957" s="2"/>
      <c r="O957" s="1" t="b">
        <v>0</v>
      </c>
      <c r="P957" s="1">
        <v>0</v>
      </c>
      <c r="Q957" s="1">
        <v>0</v>
      </c>
      <c r="R957" s="1" t="b">
        <f t="shared" si="26"/>
        <v>1</v>
      </c>
      <c r="S957" s="2" t="s">
        <v>66</v>
      </c>
      <c r="T957" s="1" t="str">
        <f>IF(S957="","",VLOOKUP(S957,'Ontology and concepts per UC'!$F$2:$J$46,5,FALSE))</f>
        <v>Utilidad</v>
      </c>
      <c r="U957" s="1" t="b">
        <f t="array" ref="U957">(INDEX('Ontology and concepts per UC'!$G$2:$I$46,MATCH($S957,'Ontology and concepts per UC'!$F$2:$F$46,0),MATCH(LEFT($A957,3),'Ontology and concepts per UC'!$G$1:$I$1,0))=0)</f>
        <v>0</v>
      </c>
      <c r="V957" s="1" t="b">
        <f t="shared" si="27"/>
        <v>0</v>
      </c>
      <c r="W957" s="1" t="b">
        <v>0</v>
      </c>
      <c r="X957" s="1" t="b">
        <v>0</v>
      </c>
      <c r="Y957" s="1" t="b">
        <v>0</v>
      </c>
      <c r="Z957" s="1" t="b">
        <v>0</v>
      </c>
      <c r="AA957" s="1"/>
    </row>
    <row r="958" spans="1:27" x14ac:dyDescent="0.25">
      <c r="A958" s="1" t="s">
        <v>2463</v>
      </c>
      <c r="B958" s="2" t="s">
        <v>2290</v>
      </c>
      <c r="C958" s="2" t="s">
        <v>1106</v>
      </c>
      <c r="D958" s="6">
        <f t="shared" si="21"/>
        <v>2</v>
      </c>
      <c r="E958" s="7" t="str">
        <f t="shared" si="22"/>
        <v>DeterministicParameter</v>
      </c>
      <c r="F958" s="8" t="b">
        <f>IF(D958&lt;1,FALSE,ISERROR(MATCH(E958,'Ontology and concepts per UC'!$A$2:$A$62,0)))</f>
        <v>0</v>
      </c>
      <c r="G958" s="9" t="str">
        <f t="shared" si="23"/>
        <v>Utility</v>
      </c>
      <c r="H958" s="9" t="str">
        <f t="shared" si="24"/>
        <v>Utility</v>
      </c>
      <c r="I958" s="8" t="b">
        <f>IF(D958&lt;2,FALSE,ISERROR(MATCH(H958,'Ontology and concepts per UC'!$A$2:$A$62,0)))</f>
        <v>0</v>
      </c>
      <c r="J958" s="9" t="str">
        <f t="shared" si="25"/>
        <v/>
      </c>
      <c r="K958" s="8" t="b">
        <f>IF(D958&lt;3,FALSE,ISERROR(MATCH(J958,'Ontology and concepts per UC'!$A$2:$A$62,0)))</f>
        <v>0</v>
      </c>
      <c r="L958" s="2" t="s">
        <v>2476</v>
      </c>
      <c r="M958" s="2" t="s">
        <v>2477</v>
      </c>
      <c r="N958" s="2"/>
      <c r="O958" s="1" t="b">
        <v>0</v>
      </c>
      <c r="P958" s="1">
        <v>0</v>
      </c>
      <c r="Q958" s="1">
        <v>0</v>
      </c>
      <c r="R958" s="1" t="b">
        <f t="shared" si="26"/>
        <v>1</v>
      </c>
      <c r="S958" s="2" t="s">
        <v>70</v>
      </c>
      <c r="T958" s="1" t="str">
        <f>IF(S958="","",VLOOKUP(S958,'Ontology and concepts per UC'!$F$2:$J$46,5,FALSE))</f>
        <v>Utilidad</v>
      </c>
      <c r="U958" s="1" t="b">
        <f t="array" ref="U958">(INDEX('Ontology and concepts per UC'!$G$2:$I$46,MATCH($S958,'Ontology and concepts per UC'!$F$2:$F$46,0),MATCH(LEFT($A958,3),'Ontology and concepts per UC'!$G$1:$I$1,0))=0)</f>
        <v>0</v>
      </c>
      <c r="V958" s="1" t="b">
        <f t="shared" si="27"/>
        <v>0</v>
      </c>
      <c r="W958" s="1" t="b">
        <v>0</v>
      </c>
      <c r="X958" s="1" t="b">
        <v>0</v>
      </c>
      <c r="Y958" s="1" t="b">
        <v>0</v>
      </c>
      <c r="Z958" s="1" t="b">
        <v>0</v>
      </c>
      <c r="AA958" s="1"/>
    </row>
    <row r="959" spans="1:27" x14ac:dyDescent="0.25">
      <c r="A959" s="1" t="s">
        <v>2463</v>
      </c>
      <c r="B959" s="2" t="s">
        <v>2294</v>
      </c>
      <c r="C959" s="2" t="s">
        <v>1106</v>
      </c>
      <c r="D959" s="6">
        <f t="shared" si="21"/>
        <v>2</v>
      </c>
      <c r="E959" s="7" t="str">
        <f t="shared" si="22"/>
        <v>DeterministicParameter</v>
      </c>
      <c r="F959" s="8" t="b">
        <f>IF(D959&lt;1,FALSE,ISERROR(MATCH(E959,'Ontology and concepts per UC'!$A$2:$A$62,0)))</f>
        <v>0</v>
      </c>
      <c r="G959" s="9" t="str">
        <f t="shared" si="23"/>
        <v>Utility</v>
      </c>
      <c r="H959" s="9" t="str">
        <f t="shared" si="24"/>
        <v>Utility</v>
      </c>
      <c r="I959" s="8" t="b">
        <f>IF(D959&lt;2,FALSE,ISERROR(MATCH(H959,'Ontology and concepts per UC'!$A$2:$A$62,0)))</f>
        <v>0</v>
      </c>
      <c r="J959" s="9" t="str">
        <f t="shared" si="25"/>
        <v/>
      </c>
      <c r="K959" s="8" t="b">
        <f>IF(D959&lt;3,FALSE,ISERROR(MATCH(J959,'Ontology and concepts per UC'!$A$2:$A$62,0)))</f>
        <v>0</v>
      </c>
      <c r="L959" s="2" t="s">
        <v>2476</v>
      </c>
      <c r="M959" s="2" t="s">
        <v>2478</v>
      </c>
      <c r="N959" s="2"/>
      <c r="O959" s="1" t="b">
        <v>0</v>
      </c>
      <c r="P959" s="1">
        <v>0</v>
      </c>
      <c r="Q959" s="1">
        <v>0</v>
      </c>
      <c r="R959" s="1" t="b">
        <f t="shared" si="26"/>
        <v>1</v>
      </c>
      <c r="S959" s="2" t="s">
        <v>67</v>
      </c>
      <c r="T959" s="1" t="str">
        <f>IF(S959="","",VLOOKUP(S959,'Ontology and concepts per UC'!$F$2:$J$46,5,FALSE))</f>
        <v>Utilidad</v>
      </c>
      <c r="U959" s="1" t="b">
        <f t="array" ref="U959">(INDEX('Ontology and concepts per UC'!$G$2:$I$46,MATCH($S959,'Ontology and concepts per UC'!$F$2:$F$46,0),MATCH(LEFT($A959,3),'Ontology and concepts per UC'!$G$1:$I$1,0))=0)</f>
        <v>0</v>
      </c>
      <c r="V959" s="1" t="b">
        <f t="shared" si="27"/>
        <v>0</v>
      </c>
      <c r="W959" s="1" t="b">
        <v>0</v>
      </c>
      <c r="X959" s="1" t="b">
        <v>0</v>
      </c>
      <c r="Y959" s="1" t="b">
        <v>0</v>
      </c>
      <c r="Z959" s="1" t="b">
        <v>0</v>
      </c>
      <c r="AA959" s="1"/>
    </row>
    <row r="960" spans="1:27" x14ac:dyDescent="0.25">
      <c r="A960" s="1" t="s">
        <v>2463</v>
      </c>
      <c r="B960" s="2" t="s">
        <v>2281</v>
      </c>
      <c r="C960" s="2" t="s">
        <v>2331</v>
      </c>
      <c r="D960" s="6">
        <f t="shared" si="21"/>
        <v>2</v>
      </c>
      <c r="E960" s="7" t="str">
        <f t="shared" si="22"/>
        <v>EpidemiologicalParameter</v>
      </c>
      <c r="F960" s="8" t="b">
        <f>IF(D960&lt;1,FALSE,ISERROR(MATCH(E960,'Ontology and concepts per UC'!$A$2:$A$62,0)))</f>
        <v>0</v>
      </c>
      <c r="G960" s="9" t="str">
        <f t="shared" si="23"/>
        <v>SecondOrderUncertaintyParameter</v>
      </c>
      <c r="H960" s="9" t="str">
        <f t="shared" si="24"/>
        <v>SecondOrderUncertaintyParameter</v>
      </c>
      <c r="I960" s="8" t="b">
        <f>IF(D960&lt;2,FALSE,ISERROR(MATCH(H960,'Ontology and concepts per UC'!$A$2:$A$62,0)))</f>
        <v>0</v>
      </c>
      <c r="J960" s="9" t="str">
        <f t="shared" si="25"/>
        <v/>
      </c>
      <c r="K960" s="8" t="b">
        <f>IF(D960&lt;3,FALSE,ISERROR(MATCH(J960,'Ontology and concepts per UC'!$A$2:$A$62,0)))</f>
        <v>0</v>
      </c>
      <c r="L960" s="2" t="s">
        <v>2479</v>
      </c>
      <c r="M960" s="2" t="s">
        <v>2480</v>
      </c>
      <c r="N960" s="2"/>
      <c r="O960" s="1" t="b">
        <v>0</v>
      </c>
      <c r="P960" s="1">
        <v>0</v>
      </c>
      <c r="Q960" s="1">
        <v>0</v>
      </c>
      <c r="R960" s="1" t="b">
        <f t="shared" si="26"/>
        <v>1</v>
      </c>
      <c r="S960" s="2" t="s">
        <v>54</v>
      </c>
      <c r="T960" s="1" t="str">
        <f>IF(S960="","",VLOOKUP(S960,'Ontology and concepts per UC'!$F$2:$J$46,5,FALSE))</f>
        <v>Parámetros de progresión</v>
      </c>
      <c r="U960" s="1" t="b">
        <f t="array" ref="U960">(INDEX('Ontology and concepts per UC'!$G$2:$I$46,MATCH($S960,'Ontology and concepts per UC'!$F$2:$F$46,0),MATCH(LEFT($A960,3),'Ontology and concepts per UC'!$G$1:$I$1,0))=0)</f>
        <v>0</v>
      </c>
      <c r="V960" s="1" t="b">
        <f t="shared" si="27"/>
        <v>0</v>
      </c>
      <c r="W960" s="1" t="b">
        <v>0</v>
      </c>
      <c r="X960" s="1" t="b">
        <v>0</v>
      </c>
      <c r="Y960" s="1" t="b">
        <v>0</v>
      </c>
      <c r="Z960" s="1" t="b">
        <v>0</v>
      </c>
      <c r="AA960" s="1"/>
    </row>
    <row r="961" spans="1:27" x14ac:dyDescent="0.25">
      <c r="A961" s="1" t="s">
        <v>2463</v>
      </c>
      <c r="B961" s="2" t="s">
        <v>2275</v>
      </c>
      <c r="C961" s="2" t="s">
        <v>2331</v>
      </c>
      <c r="D961" s="6">
        <f t="shared" si="21"/>
        <v>2</v>
      </c>
      <c r="E961" s="7" t="str">
        <f t="shared" si="22"/>
        <v>EpidemiologicalParameter</v>
      </c>
      <c r="F961" s="8" t="b">
        <f>IF(D961&lt;1,FALSE,ISERROR(MATCH(E961,'Ontology and concepts per UC'!$A$2:$A$62,0)))</f>
        <v>0</v>
      </c>
      <c r="G961" s="9" t="str">
        <f t="shared" si="23"/>
        <v>SecondOrderUncertaintyParameter</v>
      </c>
      <c r="H961" s="9" t="str">
        <f t="shared" si="24"/>
        <v>SecondOrderUncertaintyParameter</v>
      </c>
      <c r="I961" s="8" t="b">
        <f>IF(D961&lt;2,FALSE,ISERROR(MATCH(H961,'Ontology and concepts per UC'!$A$2:$A$62,0)))</f>
        <v>0</v>
      </c>
      <c r="J961" s="9" t="str">
        <f t="shared" si="25"/>
        <v/>
      </c>
      <c r="K961" s="8" t="b">
        <f>IF(D961&lt;3,FALSE,ISERROR(MATCH(J961,'Ontology and concepts per UC'!$A$2:$A$62,0)))</f>
        <v>0</v>
      </c>
      <c r="L961" s="2" t="s">
        <v>2481</v>
      </c>
      <c r="M961" s="2" t="s">
        <v>2482</v>
      </c>
      <c r="N961" s="2"/>
      <c r="O961" s="1" t="b">
        <v>0</v>
      </c>
      <c r="P961" s="1">
        <v>0</v>
      </c>
      <c r="Q961" s="1">
        <v>0</v>
      </c>
      <c r="R961" s="1" t="b">
        <f t="shared" si="26"/>
        <v>1</v>
      </c>
      <c r="S961" s="2" t="s">
        <v>55</v>
      </c>
      <c r="T961" s="1" t="str">
        <f>IF(S961="","",VLOOKUP(S961,'Ontology and concepts per UC'!$F$2:$J$46,5,FALSE))</f>
        <v>Parámetros de progresión</v>
      </c>
      <c r="U961" s="1" t="b">
        <f t="array" ref="U961">(INDEX('Ontology and concepts per UC'!$G$2:$I$46,MATCH($S961,'Ontology and concepts per UC'!$F$2:$F$46,0),MATCH(LEFT($A961,3),'Ontology and concepts per UC'!$G$1:$I$1,0))=0)</f>
        <v>0</v>
      </c>
      <c r="V961" s="1" t="b">
        <f t="shared" si="27"/>
        <v>0</v>
      </c>
      <c r="W961" s="1" t="b">
        <v>0</v>
      </c>
      <c r="X961" s="1" t="b">
        <v>0</v>
      </c>
      <c r="Y961" s="1" t="b">
        <v>0</v>
      </c>
      <c r="Z961" s="1" t="b">
        <v>0</v>
      </c>
      <c r="AA961" s="1"/>
    </row>
    <row r="962" spans="1:27" x14ac:dyDescent="0.25">
      <c r="A962" s="1" t="s">
        <v>2463</v>
      </c>
      <c r="B962" s="2" t="s">
        <v>2322</v>
      </c>
      <c r="C962" s="2" t="s">
        <v>157</v>
      </c>
      <c r="D962" s="6">
        <f t="shared" si="21"/>
        <v>2</v>
      </c>
      <c r="E962" s="7" t="str">
        <f t="shared" si="22"/>
        <v>Parameter</v>
      </c>
      <c r="F962" s="8" t="b">
        <f>IF(D962&lt;1,FALSE,ISERROR(MATCH(E962,'Ontology and concepts per UC'!$A$2:$A$62,0)))</f>
        <v>0</v>
      </c>
      <c r="G962" s="9" t="str">
        <f t="shared" si="23"/>
        <v>DeterministicParameter</v>
      </c>
      <c r="H962" s="9" t="str">
        <f t="shared" si="24"/>
        <v>DeterministicParameter</v>
      </c>
      <c r="I962" s="8" t="b">
        <f>IF(D962&lt;2,FALSE,ISERROR(MATCH(H962,'Ontology and concepts per UC'!$A$2:$A$62,0)))</f>
        <v>0</v>
      </c>
      <c r="J962" s="9" t="str">
        <f t="shared" si="25"/>
        <v/>
      </c>
      <c r="K962" s="8" t="b">
        <f>IF(D962&lt;3,FALSE,ISERROR(MATCH(J962,'Ontology and concepts per UC'!$A$2:$A$62,0)))</f>
        <v>0</v>
      </c>
      <c r="L962" s="2" t="s">
        <v>2470</v>
      </c>
      <c r="M962" s="2" t="s">
        <v>2483</v>
      </c>
      <c r="N962" s="2"/>
      <c r="O962" s="1" t="b">
        <v>0</v>
      </c>
      <c r="P962" s="1">
        <v>0</v>
      </c>
      <c r="Q962" s="1">
        <v>0</v>
      </c>
      <c r="R962" s="1" t="b">
        <f t="shared" si="26"/>
        <v>1</v>
      </c>
      <c r="S962" s="2" t="s">
        <v>50</v>
      </c>
      <c r="T962" s="1" t="str">
        <f>IF(S962="","",VLOOKUP(S962,'Ontology and concepts per UC'!$F$2:$J$46,5,FALSE))</f>
        <v>Parámetros de progresión</v>
      </c>
      <c r="U962" s="1" t="b">
        <f t="array" ref="U962">(INDEX('Ontology and concepts per UC'!$G$2:$I$46,MATCH($S962,'Ontology and concepts per UC'!$F$2:$F$46,0),MATCH(LEFT($A962,3),'Ontology and concepts per UC'!$G$1:$I$1,0))=0)</f>
        <v>0</v>
      </c>
      <c r="V962" s="1" t="b">
        <f t="shared" si="27"/>
        <v>1</v>
      </c>
      <c r="W962" s="1" t="b">
        <v>0</v>
      </c>
      <c r="X962" s="1" t="b">
        <v>0</v>
      </c>
      <c r="Y962" s="1" t="b">
        <v>0</v>
      </c>
      <c r="Z962" s="1" t="b">
        <v>1</v>
      </c>
      <c r="AA962" s="1" t="s">
        <v>197</v>
      </c>
    </row>
    <row r="963" spans="1:27" x14ac:dyDescent="0.25">
      <c r="A963" s="1" t="s">
        <v>2463</v>
      </c>
      <c r="B963" s="2" t="s">
        <v>2484</v>
      </c>
      <c r="C963" s="2" t="s">
        <v>157</v>
      </c>
      <c r="D963" s="6">
        <f t="shared" si="21"/>
        <v>2</v>
      </c>
      <c r="E963" s="7" t="str">
        <f t="shared" si="22"/>
        <v>Parameter</v>
      </c>
      <c r="F963" s="8" t="b">
        <f>IF(D963&lt;1,FALSE,ISERROR(MATCH(E963,'Ontology and concepts per UC'!$A$2:$A$62,0)))</f>
        <v>0</v>
      </c>
      <c r="G963" s="9" t="str">
        <f t="shared" si="23"/>
        <v>DeterministicParameter</v>
      </c>
      <c r="H963" s="9" t="str">
        <f t="shared" si="24"/>
        <v>DeterministicParameter</v>
      </c>
      <c r="I963" s="8" t="b">
        <f>IF(D963&lt;2,FALSE,ISERROR(MATCH(H963,'Ontology and concepts per UC'!$A$2:$A$62,0)))</f>
        <v>0</v>
      </c>
      <c r="J963" s="9" t="str">
        <f t="shared" si="25"/>
        <v/>
      </c>
      <c r="K963" s="8" t="b">
        <f>IF(D963&lt;3,FALSE,ISERROR(MATCH(J963,'Ontology and concepts per UC'!$A$2:$A$62,0)))</f>
        <v>0</v>
      </c>
      <c r="L963" s="2" t="s">
        <v>2467</v>
      </c>
      <c r="M963" s="2" t="s">
        <v>2485</v>
      </c>
      <c r="N963" s="2"/>
      <c r="O963" s="1" t="b">
        <v>0</v>
      </c>
      <c r="P963" s="1">
        <v>0</v>
      </c>
      <c r="Q963" s="1">
        <v>0</v>
      </c>
      <c r="R963" s="1" t="b">
        <f t="shared" si="26"/>
        <v>1</v>
      </c>
      <c r="S963" s="2" t="s">
        <v>51</v>
      </c>
      <c r="T963" s="1" t="str">
        <f>IF(S963="","",VLOOKUP(S963,'Ontology and concepts per UC'!$F$2:$J$46,5,FALSE))</f>
        <v>Parámetros de progresión</v>
      </c>
      <c r="U963" s="1" t="b">
        <f t="array" ref="U963">(INDEX('Ontology and concepts per UC'!$G$2:$I$46,MATCH($S963,'Ontology and concepts per UC'!$F$2:$F$46,0),MATCH(LEFT($A963,3),'Ontology and concepts per UC'!$G$1:$I$1,0))=0)</f>
        <v>0</v>
      </c>
      <c r="V963" s="1" t="b">
        <f t="shared" si="27"/>
        <v>0</v>
      </c>
      <c r="W963" s="1" t="b">
        <v>0</v>
      </c>
      <c r="X963" s="1" t="b">
        <v>0</v>
      </c>
      <c r="Y963" s="1" t="b">
        <v>0</v>
      </c>
      <c r="Z963" s="1" t="b">
        <v>0</v>
      </c>
      <c r="AA963" s="1"/>
    </row>
    <row r="964" spans="1:27" x14ac:dyDescent="0.25">
      <c r="A964" s="1" t="s">
        <v>2463</v>
      </c>
      <c r="B964" s="2" t="s">
        <v>2486</v>
      </c>
      <c r="C964" s="2" t="s">
        <v>157</v>
      </c>
      <c r="D964" s="6">
        <f t="shared" si="21"/>
        <v>2</v>
      </c>
      <c r="E964" s="7" t="str">
        <f t="shared" si="22"/>
        <v>Parameter</v>
      </c>
      <c r="F964" s="8" t="b">
        <f>IF(D964&lt;1,FALSE,ISERROR(MATCH(E964,'Ontology and concepts per UC'!$A$2:$A$62,0)))</f>
        <v>0</v>
      </c>
      <c r="G964" s="9" t="str">
        <f t="shared" si="23"/>
        <v>DeterministicParameter</v>
      </c>
      <c r="H964" s="9" t="str">
        <f t="shared" si="24"/>
        <v>DeterministicParameter</v>
      </c>
      <c r="I964" s="8" t="b">
        <f>IF(D964&lt;2,FALSE,ISERROR(MATCH(H964,'Ontology and concepts per UC'!$A$2:$A$62,0)))</f>
        <v>0</v>
      </c>
      <c r="J964" s="9" t="str">
        <f t="shared" si="25"/>
        <v/>
      </c>
      <c r="K964" s="8" t="b">
        <f>IF(D964&lt;3,FALSE,ISERROR(MATCH(J964,'Ontology and concepts per UC'!$A$2:$A$62,0)))</f>
        <v>0</v>
      </c>
      <c r="L964" s="2" t="s">
        <v>2487</v>
      </c>
      <c r="M964" s="2" t="s">
        <v>2488</v>
      </c>
      <c r="N964" s="2"/>
      <c r="O964" s="1" t="b">
        <v>0</v>
      </c>
      <c r="P964" s="1">
        <v>0</v>
      </c>
      <c r="Q964" s="1">
        <v>0</v>
      </c>
      <c r="R964" s="1" t="b">
        <f t="shared" si="26"/>
        <v>1</v>
      </c>
      <c r="S964" s="2" t="s">
        <v>51</v>
      </c>
      <c r="T964" s="1" t="str">
        <f>IF(S964="","",VLOOKUP(S964,'Ontology and concepts per UC'!$F$2:$J$46,5,FALSE))</f>
        <v>Parámetros de progresión</v>
      </c>
      <c r="U964" s="1" t="b">
        <f t="array" ref="U964">(INDEX('Ontology and concepts per UC'!$G$2:$I$46,MATCH($S964,'Ontology and concepts per UC'!$F$2:$F$46,0),MATCH(LEFT($A964,3),'Ontology and concepts per UC'!$G$1:$I$1,0))=0)</f>
        <v>0</v>
      </c>
      <c r="V964" s="1" t="b">
        <f t="shared" si="27"/>
        <v>0</v>
      </c>
      <c r="W964" s="1" t="b">
        <v>0</v>
      </c>
      <c r="X964" s="1" t="b">
        <v>0</v>
      </c>
      <c r="Y964" s="1" t="b">
        <v>0</v>
      </c>
      <c r="Z964" s="1" t="b">
        <v>0</v>
      </c>
      <c r="AA964" s="1"/>
    </row>
    <row r="965" spans="1:27" x14ac:dyDescent="0.25">
      <c r="A965" s="1" t="s">
        <v>2463</v>
      </c>
      <c r="B965" s="2" t="s">
        <v>2489</v>
      </c>
      <c r="C965" s="2" t="s">
        <v>157</v>
      </c>
      <c r="D965" s="6">
        <f t="shared" si="21"/>
        <v>2</v>
      </c>
      <c r="E965" s="7" t="str">
        <f t="shared" si="22"/>
        <v>Parameter</v>
      </c>
      <c r="F965" s="8" t="b">
        <f>IF(D965&lt;1,FALSE,ISERROR(MATCH(E965,'Ontology and concepts per UC'!$A$2:$A$62,0)))</f>
        <v>0</v>
      </c>
      <c r="G965" s="9" t="str">
        <f t="shared" si="23"/>
        <v>DeterministicParameter</v>
      </c>
      <c r="H965" s="9" t="str">
        <f t="shared" si="24"/>
        <v>DeterministicParameter</v>
      </c>
      <c r="I965" s="8" t="b">
        <f>IF(D965&lt;2,FALSE,ISERROR(MATCH(H965,'Ontology and concepts per UC'!$A$2:$A$62,0)))</f>
        <v>0</v>
      </c>
      <c r="J965" s="9" t="str">
        <f t="shared" si="25"/>
        <v/>
      </c>
      <c r="K965" s="8" t="b">
        <f>IF(D965&lt;3,FALSE,ISERROR(MATCH(J965,'Ontology and concepts per UC'!$A$2:$A$62,0)))</f>
        <v>0</v>
      </c>
      <c r="L965" s="2" t="s">
        <v>2464</v>
      </c>
      <c r="M965" s="2" t="s">
        <v>2490</v>
      </c>
      <c r="N965" s="2"/>
      <c r="O965" s="1" t="b">
        <v>0</v>
      </c>
      <c r="P965" s="1">
        <v>0</v>
      </c>
      <c r="Q965" s="1">
        <v>0</v>
      </c>
      <c r="R965" s="1" t="b">
        <f t="shared" si="26"/>
        <v>1</v>
      </c>
      <c r="S965" s="2" t="s">
        <v>54</v>
      </c>
      <c r="T965" s="1" t="str">
        <f>IF(S965="","",VLOOKUP(S965,'Ontology and concepts per UC'!$F$2:$J$46,5,FALSE))</f>
        <v>Parámetros de progresión</v>
      </c>
      <c r="U965" s="1" t="b">
        <f t="array" ref="U965">(INDEX('Ontology and concepts per UC'!$G$2:$I$46,MATCH($S965,'Ontology and concepts per UC'!$F$2:$F$46,0),MATCH(LEFT($A965,3),'Ontology and concepts per UC'!$G$1:$I$1,0))=0)</f>
        <v>0</v>
      </c>
      <c r="V965" s="1" t="b">
        <f t="shared" si="27"/>
        <v>0</v>
      </c>
      <c r="W965" s="1" t="b">
        <v>0</v>
      </c>
      <c r="X965" s="1" t="b">
        <v>0</v>
      </c>
      <c r="Y965" s="1" t="b">
        <v>0</v>
      </c>
      <c r="Z965" s="1" t="b">
        <v>0</v>
      </c>
      <c r="AA965" s="1"/>
    </row>
    <row r="966" spans="1:27" x14ac:dyDescent="0.25">
      <c r="A966" s="1" t="s">
        <v>2463</v>
      </c>
      <c r="B966" s="2" t="s">
        <v>2491</v>
      </c>
      <c r="C966" s="2" t="s">
        <v>157</v>
      </c>
      <c r="D966" s="6">
        <f t="shared" si="21"/>
        <v>2</v>
      </c>
      <c r="E966" s="7" t="str">
        <f t="shared" si="22"/>
        <v>Parameter</v>
      </c>
      <c r="F966" s="8" t="b">
        <f>IF(D966&lt;1,FALSE,ISERROR(MATCH(E966,'Ontology and concepts per UC'!$A$2:$A$62,0)))</f>
        <v>0</v>
      </c>
      <c r="G966" s="9" t="str">
        <f t="shared" si="23"/>
        <v>DeterministicParameter</v>
      </c>
      <c r="H966" s="9" t="str">
        <f t="shared" si="24"/>
        <v>DeterministicParameter</v>
      </c>
      <c r="I966" s="8" t="b">
        <f>IF(D966&lt;2,FALSE,ISERROR(MATCH(H966,'Ontology and concepts per UC'!$A$2:$A$62,0)))</f>
        <v>0</v>
      </c>
      <c r="J966" s="9" t="str">
        <f t="shared" si="25"/>
        <v/>
      </c>
      <c r="K966" s="8" t="b">
        <f>IF(D966&lt;3,FALSE,ISERROR(MATCH(J966,'Ontology and concepts per UC'!$A$2:$A$62,0)))</f>
        <v>0</v>
      </c>
      <c r="L966" s="2" t="s">
        <v>2464</v>
      </c>
      <c r="M966" s="2" t="s">
        <v>2492</v>
      </c>
      <c r="N966" s="2"/>
      <c r="O966" s="1" t="b">
        <v>0</v>
      </c>
      <c r="P966" s="1">
        <v>0</v>
      </c>
      <c r="Q966" s="1">
        <v>0</v>
      </c>
      <c r="R966" s="1" t="b">
        <f t="shared" si="26"/>
        <v>1</v>
      </c>
      <c r="S966" s="2" t="s">
        <v>55</v>
      </c>
      <c r="T966" s="1" t="str">
        <f>IF(S966="","",VLOOKUP(S966,'Ontology and concepts per UC'!$F$2:$J$46,5,FALSE))</f>
        <v>Parámetros de progresión</v>
      </c>
      <c r="U966" s="1" t="b">
        <f t="array" ref="U966">(INDEX('Ontology and concepts per UC'!$G$2:$I$46,MATCH($S966,'Ontology and concepts per UC'!$F$2:$F$46,0),MATCH(LEFT($A966,3),'Ontology and concepts per UC'!$G$1:$I$1,0))=0)</f>
        <v>0</v>
      </c>
      <c r="V966" s="1" t="b">
        <f t="shared" si="27"/>
        <v>0</v>
      </c>
      <c r="W966" s="1" t="b">
        <v>0</v>
      </c>
      <c r="X966" s="1" t="b">
        <v>0</v>
      </c>
      <c r="Y966" s="1" t="b">
        <v>0</v>
      </c>
      <c r="Z966" s="1" t="b">
        <v>0</v>
      </c>
      <c r="AA966" s="1"/>
    </row>
    <row r="967" spans="1:27" x14ac:dyDescent="0.25">
      <c r="A967" s="1" t="s">
        <v>2463</v>
      </c>
      <c r="B967" s="2" t="s">
        <v>2493</v>
      </c>
      <c r="C967" s="2" t="s">
        <v>157</v>
      </c>
      <c r="D967" s="6">
        <f t="shared" si="21"/>
        <v>2</v>
      </c>
      <c r="E967" s="7" t="str">
        <f t="shared" si="22"/>
        <v>Parameter</v>
      </c>
      <c r="F967" s="8" t="b">
        <f>IF(D967&lt;1,FALSE,ISERROR(MATCH(E967,'Ontology and concepts per UC'!$A$2:$A$62,0)))</f>
        <v>0</v>
      </c>
      <c r="G967" s="9" t="str">
        <f t="shared" si="23"/>
        <v>DeterministicParameter</v>
      </c>
      <c r="H967" s="9" t="str">
        <f t="shared" si="24"/>
        <v>DeterministicParameter</v>
      </c>
      <c r="I967" s="8" t="b">
        <f>IF(D967&lt;2,FALSE,ISERROR(MATCH(H967,'Ontology and concepts per UC'!$A$2:$A$62,0)))</f>
        <v>0</v>
      </c>
      <c r="J967" s="9" t="str">
        <f t="shared" si="25"/>
        <v/>
      </c>
      <c r="K967" s="8" t="b">
        <f>IF(D967&lt;3,FALSE,ISERROR(MATCH(J967,'Ontology and concepts per UC'!$A$2:$A$62,0)))</f>
        <v>0</v>
      </c>
      <c r="L967" s="2" t="s">
        <v>2470</v>
      </c>
      <c r="M967" s="2" t="s">
        <v>2494</v>
      </c>
      <c r="N967" s="2"/>
      <c r="O967" s="1" t="b">
        <v>0</v>
      </c>
      <c r="P967" s="1">
        <v>0</v>
      </c>
      <c r="Q967" s="1">
        <v>0</v>
      </c>
      <c r="R967" s="1" t="b">
        <f t="shared" si="26"/>
        <v>1</v>
      </c>
      <c r="S967" s="2" t="s">
        <v>56</v>
      </c>
      <c r="T967" s="1" t="str">
        <f>IF(S967="","",VLOOKUP(S967,'Ontology and concepts per UC'!$F$2:$J$46,5,FALSE))</f>
        <v>Parámetros de progresión</v>
      </c>
      <c r="U967" s="1" t="b">
        <f t="array" ref="U967">(INDEX('Ontology and concepts per UC'!$G$2:$I$46,MATCH($S967,'Ontology and concepts per UC'!$F$2:$F$46,0),MATCH(LEFT($A967,3),'Ontology and concepts per UC'!$G$1:$I$1,0))=0)</f>
        <v>0</v>
      </c>
      <c r="V967" s="1" t="b">
        <f t="shared" si="27"/>
        <v>0</v>
      </c>
      <c r="W967" s="1" t="b">
        <v>0</v>
      </c>
      <c r="X967" s="1" t="b">
        <v>0</v>
      </c>
      <c r="Y967" s="1" t="b">
        <v>0</v>
      </c>
      <c r="Z967" s="1" t="b">
        <v>0</v>
      </c>
      <c r="AA967" s="1"/>
    </row>
    <row r="968" spans="1:27" x14ac:dyDescent="0.25">
      <c r="A968" s="1" t="s">
        <v>2463</v>
      </c>
      <c r="B968" s="2" t="s">
        <v>2495</v>
      </c>
      <c r="C968" s="2" t="s">
        <v>157</v>
      </c>
      <c r="D968" s="6">
        <f t="shared" si="21"/>
        <v>2</v>
      </c>
      <c r="E968" s="7" t="str">
        <f t="shared" si="22"/>
        <v>Parameter</v>
      </c>
      <c r="F968" s="8" t="b">
        <f>IF(D968&lt;1,FALSE,ISERROR(MATCH(E968,'Ontology and concepts per UC'!$A$2:$A$62,0)))</f>
        <v>0</v>
      </c>
      <c r="G968" s="9" t="str">
        <f t="shared" si="23"/>
        <v>DeterministicParameter</v>
      </c>
      <c r="H968" s="9" t="str">
        <f t="shared" si="24"/>
        <v>DeterministicParameter</v>
      </c>
      <c r="I968" s="8" t="b">
        <f>IF(D968&lt;2,FALSE,ISERROR(MATCH(H968,'Ontology and concepts per UC'!$A$2:$A$62,0)))</f>
        <v>0</v>
      </c>
      <c r="J968" s="9" t="str">
        <f t="shared" si="25"/>
        <v/>
      </c>
      <c r="K968" s="8" t="b">
        <f>IF(D968&lt;3,FALSE,ISERROR(MATCH(J968,'Ontology and concepts per UC'!$A$2:$A$62,0)))</f>
        <v>0</v>
      </c>
      <c r="L968" s="2" t="s">
        <v>2487</v>
      </c>
      <c r="M968" s="2" t="s">
        <v>2496</v>
      </c>
      <c r="N968" s="2"/>
      <c r="O968" s="1" t="b">
        <v>0</v>
      </c>
      <c r="P968" s="1">
        <v>0</v>
      </c>
      <c r="Q968" s="1">
        <v>0</v>
      </c>
      <c r="R968" s="1" t="b">
        <f t="shared" si="26"/>
        <v>1</v>
      </c>
      <c r="S968" s="2" t="s">
        <v>56</v>
      </c>
      <c r="T968" s="1" t="str">
        <f>IF(S968="","",VLOOKUP(S968,'Ontology and concepts per UC'!$F$2:$J$46,5,FALSE))</f>
        <v>Parámetros de progresión</v>
      </c>
      <c r="U968" s="1" t="b">
        <f t="array" ref="U968">(INDEX('Ontology and concepts per UC'!$G$2:$I$46,MATCH($S968,'Ontology and concepts per UC'!$F$2:$F$46,0),MATCH(LEFT($A968,3),'Ontology and concepts per UC'!$G$1:$I$1,0))=0)</f>
        <v>0</v>
      </c>
      <c r="V968" s="1" t="b">
        <f t="shared" si="27"/>
        <v>0</v>
      </c>
      <c r="W968" s="1" t="b">
        <v>0</v>
      </c>
      <c r="X968" s="1" t="b">
        <v>0</v>
      </c>
      <c r="Y968" s="1" t="b">
        <v>0</v>
      </c>
      <c r="Z968" s="1" t="b">
        <v>0</v>
      </c>
      <c r="AA968" s="1"/>
    </row>
    <row r="969" spans="1:27" x14ac:dyDescent="0.25">
      <c r="A969" s="1" t="s">
        <v>2463</v>
      </c>
      <c r="B969" s="2" t="s">
        <v>2328</v>
      </c>
      <c r="C969" s="2" t="s">
        <v>157</v>
      </c>
      <c r="D969" s="6">
        <f t="shared" si="21"/>
        <v>2</v>
      </c>
      <c r="E969" s="7" t="str">
        <f t="shared" si="22"/>
        <v>Parameter</v>
      </c>
      <c r="F969" s="8" t="b">
        <f>IF(D969&lt;1,FALSE,ISERROR(MATCH(E969,'Ontology and concepts per UC'!$A$2:$A$62,0)))</f>
        <v>0</v>
      </c>
      <c r="G969" s="9" t="str">
        <f t="shared" si="23"/>
        <v>DeterministicParameter</v>
      </c>
      <c r="H969" s="9" t="str">
        <f t="shared" si="24"/>
        <v>DeterministicParameter</v>
      </c>
      <c r="I969" s="8" t="b">
        <f>IF(D969&lt;2,FALSE,ISERROR(MATCH(H969,'Ontology and concepts per UC'!$A$2:$A$62,0)))</f>
        <v>0</v>
      </c>
      <c r="J969" s="9" t="str">
        <f t="shared" si="25"/>
        <v/>
      </c>
      <c r="K969" s="8" t="b">
        <f>IF(D969&lt;3,FALSE,ISERROR(MATCH(J969,'Ontology and concepts per UC'!$A$2:$A$62,0)))</f>
        <v>0</v>
      </c>
      <c r="L969" s="2" t="s">
        <v>2464</v>
      </c>
      <c r="M969" s="2" t="s">
        <v>2497</v>
      </c>
      <c r="N969" s="2"/>
      <c r="O969" s="1" t="b">
        <v>0</v>
      </c>
      <c r="P969" s="1">
        <v>0</v>
      </c>
      <c r="Q969" s="1">
        <v>0</v>
      </c>
      <c r="R969" s="1" t="b">
        <f t="shared" si="26"/>
        <v>1</v>
      </c>
      <c r="S969" s="2" t="s">
        <v>58</v>
      </c>
      <c r="T969" s="1" t="str">
        <f>IF(S969="","",VLOOKUP(S969,'Ontology and concepts per UC'!$F$2:$J$46,5,FALSE))</f>
        <v>Parámetros de progresión</v>
      </c>
      <c r="U969" s="1" t="b">
        <f t="array" ref="U969">(INDEX('Ontology and concepts per UC'!$G$2:$I$46,MATCH($S969,'Ontology and concepts per UC'!$F$2:$F$46,0),MATCH(LEFT($A969,3),'Ontology and concepts per UC'!$G$1:$I$1,0))=0)</f>
        <v>0</v>
      </c>
      <c r="V969" s="1" t="b">
        <f t="shared" si="27"/>
        <v>0</v>
      </c>
      <c r="W969" s="1" t="b">
        <v>0</v>
      </c>
      <c r="X969" s="1" t="b">
        <v>0</v>
      </c>
      <c r="Y969" s="1" t="b">
        <v>0</v>
      </c>
      <c r="Z969" s="1" t="b">
        <v>0</v>
      </c>
      <c r="AA969" s="1"/>
    </row>
    <row r="970" spans="1:27" x14ac:dyDescent="0.25">
      <c r="A970" s="1" t="s">
        <v>2463</v>
      </c>
      <c r="B970" s="2" t="s">
        <v>2271</v>
      </c>
      <c r="C970" s="2" t="s">
        <v>169</v>
      </c>
      <c r="D970" s="6">
        <f t="shared" si="21"/>
        <v>2</v>
      </c>
      <c r="E970" s="7" t="str">
        <f t="shared" si="22"/>
        <v>SecondOrderUncertaintyParameter</v>
      </c>
      <c r="F970" s="8" t="b">
        <f>IF(D970&lt;1,FALSE,ISERROR(MATCH(E970,'Ontology and concepts per UC'!$A$2:$A$62,0)))</f>
        <v>0</v>
      </c>
      <c r="G970" s="9" t="str">
        <f t="shared" si="23"/>
        <v>EpidemiologicalParameter</v>
      </c>
      <c r="H970" s="9" t="str">
        <f t="shared" si="24"/>
        <v>EpidemiologicalParameter</v>
      </c>
      <c r="I970" s="8" t="b">
        <f>IF(D970&lt;2,FALSE,ISERROR(MATCH(H970,'Ontology and concepts per UC'!$A$2:$A$62,0)))</f>
        <v>0</v>
      </c>
      <c r="J970" s="9" t="str">
        <f t="shared" si="25"/>
        <v/>
      </c>
      <c r="K970" s="8" t="b">
        <f>IF(D970&lt;3,FALSE,ISERROR(MATCH(J970,'Ontology and concepts per UC'!$A$2:$A$62,0)))</f>
        <v>0</v>
      </c>
      <c r="L970" s="2" t="s">
        <v>2498</v>
      </c>
      <c r="M970" s="2" t="s">
        <v>2499</v>
      </c>
      <c r="N970" s="2"/>
      <c r="O970" s="1" t="b">
        <v>0</v>
      </c>
      <c r="P970" s="1">
        <v>0</v>
      </c>
      <c r="Q970" s="1">
        <v>0</v>
      </c>
      <c r="R970" s="1" t="b">
        <f t="shared" si="26"/>
        <v>1</v>
      </c>
      <c r="S970" s="2" t="s">
        <v>50</v>
      </c>
      <c r="T970" s="1" t="str">
        <f>IF(S970="","",VLOOKUP(S970,'Ontology and concepts per UC'!$F$2:$J$46,5,FALSE))</f>
        <v>Parámetros de progresión</v>
      </c>
      <c r="U970" s="1" t="b">
        <f t="array" ref="U970">(INDEX('Ontology and concepts per UC'!$G$2:$I$46,MATCH($S970,'Ontology and concepts per UC'!$F$2:$F$46,0),MATCH(LEFT($A970,3),'Ontology and concepts per UC'!$G$1:$I$1,0))=0)</f>
        <v>0</v>
      </c>
      <c r="V970" s="1" t="b">
        <f t="shared" si="27"/>
        <v>1</v>
      </c>
      <c r="W970" s="1" t="b">
        <v>0</v>
      </c>
      <c r="X970" s="1" t="b">
        <v>0</v>
      </c>
      <c r="Y970" s="1" t="b">
        <v>0</v>
      </c>
      <c r="Z970" s="1" t="b">
        <v>1</v>
      </c>
      <c r="AA970" s="1" t="s">
        <v>197</v>
      </c>
    </row>
    <row r="971" spans="1:27" x14ac:dyDescent="0.25">
      <c r="A971" s="1" t="s">
        <v>2463</v>
      </c>
      <c r="B971" s="2" t="s">
        <v>2273</v>
      </c>
      <c r="C971" s="2" t="s">
        <v>169</v>
      </c>
      <c r="D971" s="6">
        <f t="shared" si="21"/>
        <v>2</v>
      </c>
      <c r="E971" s="7" t="str">
        <f t="shared" si="22"/>
        <v>SecondOrderUncertaintyParameter</v>
      </c>
      <c r="F971" s="8" t="b">
        <f>IF(D971&lt;1,FALSE,ISERROR(MATCH(E971,'Ontology and concepts per UC'!$A$2:$A$62,0)))</f>
        <v>0</v>
      </c>
      <c r="G971" s="9" t="str">
        <f t="shared" si="23"/>
        <v>EpidemiologicalParameter</v>
      </c>
      <c r="H971" s="9" t="str">
        <f t="shared" si="24"/>
        <v>EpidemiologicalParameter</v>
      </c>
      <c r="I971" s="8" t="b">
        <f>IF(D971&lt;2,FALSE,ISERROR(MATCH(H971,'Ontology and concepts per UC'!$A$2:$A$62,0)))</f>
        <v>0</v>
      </c>
      <c r="J971" s="9" t="str">
        <f t="shared" si="25"/>
        <v/>
      </c>
      <c r="K971" s="8" t="b">
        <f>IF(D971&lt;3,FALSE,ISERROR(MATCH(J971,'Ontology and concepts per UC'!$A$2:$A$62,0)))</f>
        <v>0</v>
      </c>
      <c r="L971" s="2" t="s">
        <v>2500</v>
      </c>
      <c r="M971" s="2" t="s">
        <v>2501</v>
      </c>
      <c r="N971" s="2"/>
      <c r="O971" s="1" t="b">
        <v>0</v>
      </c>
      <c r="P971" s="1">
        <v>0</v>
      </c>
      <c r="Q971" s="1">
        <v>0</v>
      </c>
      <c r="R971" s="1" t="b">
        <f t="shared" si="26"/>
        <v>1</v>
      </c>
      <c r="S971" s="2" t="s">
        <v>51</v>
      </c>
      <c r="T971" s="1" t="str">
        <f>IF(S971="","",VLOOKUP(S971,'Ontology and concepts per UC'!$F$2:$J$46,5,FALSE))</f>
        <v>Parámetros de progresión</v>
      </c>
      <c r="U971" s="1" t="b">
        <f t="array" ref="U971">(INDEX('Ontology and concepts per UC'!$G$2:$I$46,MATCH($S971,'Ontology and concepts per UC'!$F$2:$F$46,0),MATCH(LEFT($A971,3),'Ontology and concepts per UC'!$G$1:$I$1,0))=0)</f>
        <v>0</v>
      </c>
      <c r="V971" s="1" t="b">
        <f t="shared" si="27"/>
        <v>0</v>
      </c>
      <c r="W971" s="1" t="b">
        <v>0</v>
      </c>
      <c r="X971" s="1" t="b">
        <v>0</v>
      </c>
      <c r="Y971" s="1" t="b">
        <v>0</v>
      </c>
      <c r="Z971" s="1" t="b">
        <v>0</v>
      </c>
      <c r="AA971" s="1"/>
    </row>
    <row r="972" spans="1:27" x14ac:dyDescent="0.25">
      <c r="A972" s="1" t="s">
        <v>2463</v>
      </c>
      <c r="B972" s="2" t="s">
        <v>2277</v>
      </c>
      <c r="C972" s="2" t="s">
        <v>169</v>
      </c>
      <c r="D972" s="6">
        <f t="shared" si="21"/>
        <v>2</v>
      </c>
      <c r="E972" s="7" t="str">
        <f t="shared" si="22"/>
        <v>SecondOrderUncertaintyParameter</v>
      </c>
      <c r="F972" s="8" t="b">
        <f>IF(D972&lt;1,FALSE,ISERROR(MATCH(E972,'Ontology and concepts per UC'!$A$2:$A$62,0)))</f>
        <v>0</v>
      </c>
      <c r="G972" s="9" t="str">
        <f t="shared" si="23"/>
        <v>EpidemiologicalParameter</v>
      </c>
      <c r="H972" s="9" t="str">
        <f t="shared" si="24"/>
        <v>EpidemiologicalParameter</v>
      </c>
      <c r="I972" s="8" t="b">
        <f>IF(D972&lt;2,FALSE,ISERROR(MATCH(H972,'Ontology and concepts per UC'!$A$2:$A$62,0)))</f>
        <v>0</v>
      </c>
      <c r="J972" s="9" t="str">
        <f t="shared" si="25"/>
        <v/>
      </c>
      <c r="K972" s="8" t="b">
        <f>IF(D972&lt;3,FALSE,ISERROR(MATCH(J972,'Ontology and concepts per UC'!$A$2:$A$62,0)))</f>
        <v>0</v>
      </c>
      <c r="L972" s="2" t="s">
        <v>2502</v>
      </c>
      <c r="M972" s="2" t="s">
        <v>2503</v>
      </c>
      <c r="N972" s="2"/>
      <c r="O972" s="1" t="b">
        <v>0</v>
      </c>
      <c r="P972" s="1">
        <v>0</v>
      </c>
      <c r="Q972" s="1">
        <v>0</v>
      </c>
      <c r="R972" s="1" t="b">
        <f t="shared" si="26"/>
        <v>1</v>
      </c>
      <c r="S972" s="2" t="s">
        <v>56</v>
      </c>
      <c r="T972" s="1" t="str">
        <f>IF(S972="","",VLOOKUP(S972,'Ontology and concepts per UC'!$F$2:$J$46,5,FALSE))</f>
        <v>Parámetros de progresión</v>
      </c>
      <c r="U972" s="1" t="b">
        <f t="array" ref="U972">(INDEX('Ontology and concepts per UC'!$G$2:$I$46,MATCH($S972,'Ontology and concepts per UC'!$F$2:$F$46,0),MATCH(LEFT($A972,3),'Ontology and concepts per UC'!$G$1:$I$1,0))=0)</f>
        <v>0</v>
      </c>
      <c r="V972" s="1" t="b">
        <f t="shared" si="27"/>
        <v>0</v>
      </c>
      <c r="W972" s="1" t="b">
        <v>0</v>
      </c>
      <c r="X972" s="1" t="b">
        <v>0</v>
      </c>
      <c r="Y972" s="1" t="b">
        <v>0</v>
      </c>
      <c r="Z972" s="1" t="b">
        <v>0</v>
      </c>
      <c r="AA972" s="1"/>
    </row>
    <row r="973" spans="1:27" x14ac:dyDescent="0.25">
      <c r="A973" s="1" t="s">
        <v>2463</v>
      </c>
      <c r="B973" s="2" t="s">
        <v>2279</v>
      </c>
      <c r="C973" s="2" t="s">
        <v>169</v>
      </c>
      <c r="D973" s="6">
        <f t="shared" si="21"/>
        <v>2</v>
      </c>
      <c r="E973" s="7" t="str">
        <f t="shared" si="22"/>
        <v>SecondOrderUncertaintyParameter</v>
      </c>
      <c r="F973" s="8" t="b">
        <f>IF(D973&lt;1,FALSE,ISERROR(MATCH(E973,'Ontology and concepts per UC'!$A$2:$A$62,0)))</f>
        <v>0</v>
      </c>
      <c r="G973" s="9" t="str">
        <f t="shared" si="23"/>
        <v>EpidemiologicalParameter</v>
      </c>
      <c r="H973" s="9" t="str">
        <f t="shared" si="24"/>
        <v>EpidemiologicalParameter</v>
      </c>
      <c r="I973" s="8" t="b">
        <f>IF(D973&lt;2,FALSE,ISERROR(MATCH(H973,'Ontology and concepts per UC'!$A$2:$A$62,0)))</f>
        <v>0</v>
      </c>
      <c r="J973" s="9" t="str">
        <f t="shared" si="25"/>
        <v/>
      </c>
      <c r="K973" s="8" t="b">
        <f>IF(D973&lt;3,FALSE,ISERROR(MATCH(J973,'Ontology and concepts per UC'!$A$2:$A$62,0)))</f>
        <v>0</v>
      </c>
      <c r="L973" s="2" t="s">
        <v>2504</v>
      </c>
      <c r="M973" s="2" t="s">
        <v>2505</v>
      </c>
      <c r="N973" s="2"/>
      <c r="O973" s="1" t="b">
        <v>0</v>
      </c>
      <c r="P973" s="1">
        <v>0</v>
      </c>
      <c r="Q973" s="1">
        <v>0</v>
      </c>
      <c r="R973" s="1" t="b">
        <f t="shared" si="26"/>
        <v>1</v>
      </c>
      <c r="S973" s="2" t="s">
        <v>58</v>
      </c>
      <c r="T973" s="1" t="str">
        <f>IF(S973="","",VLOOKUP(S973,'Ontology and concepts per UC'!$F$2:$J$46,5,FALSE))</f>
        <v>Parámetros de progresión</v>
      </c>
      <c r="U973" s="1" t="b">
        <f t="array" ref="U973">(INDEX('Ontology and concepts per UC'!$G$2:$I$46,MATCH($S973,'Ontology and concepts per UC'!$F$2:$F$46,0),MATCH(LEFT($A973,3),'Ontology and concepts per UC'!$G$1:$I$1,0))=0)</f>
        <v>0</v>
      </c>
      <c r="V973" s="1" t="b">
        <f t="shared" si="27"/>
        <v>1</v>
      </c>
      <c r="W973" s="1" t="b">
        <v>0</v>
      </c>
      <c r="X973" s="1" t="b">
        <v>0</v>
      </c>
      <c r="Y973" s="1" t="b">
        <v>0</v>
      </c>
      <c r="Z973" s="1" t="b">
        <v>1</v>
      </c>
      <c r="AA973" s="1" t="s">
        <v>197</v>
      </c>
    </row>
    <row r="974" spans="1:27" x14ac:dyDescent="0.25">
      <c r="A974" s="1" t="s">
        <v>2463</v>
      </c>
      <c r="B974" s="2" t="s">
        <v>2288</v>
      </c>
      <c r="C974" s="2" t="s">
        <v>1115</v>
      </c>
      <c r="D974" s="6">
        <f t="shared" si="21"/>
        <v>2</v>
      </c>
      <c r="E974" s="7" t="str">
        <f t="shared" si="22"/>
        <v>Utility</v>
      </c>
      <c r="F974" s="8" t="b">
        <f>IF(D974&lt;1,FALSE,ISERROR(MATCH(E974,'Ontology and concepts per UC'!$A$2:$A$62,0)))</f>
        <v>0</v>
      </c>
      <c r="G974" s="9" t="str">
        <f t="shared" si="23"/>
        <v>DeterministicParameter</v>
      </c>
      <c r="H974" s="9" t="str">
        <f t="shared" si="24"/>
        <v>DeterministicParameter</v>
      </c>
      <c r="I974" s="8" t="b">
        <f>IF(D974&lt;2,FALSE,ISERROR(MATCH(H974,'Ontology and concepts per UC'!$A$2:$A$62,0)))</f>
        <v>0</v>
      </c>
      <c r="J974" s="9" t="str">
        <f t="shared" si="25"/>
        <v/>
      </c>
      <c r="K974" s="8" t="b">
        <f>IF(D974&lt;3,FALSE,ISERROR(MATCH(J974,'Ontology and concepts per UC'!$A$2:$A$62,0)))</f>
        <v>0</v>
      </c>
      <c r="L974" s="2" t="s">
        <v>2473</v>
      </c>
      <c r="M974" s="2" t="s">
        <v>2506</v>
      </c>
      <c r="N974" s="2"/>
      <c r="O974" s="1" t="b">
        <v>0</v>
      </c>
      <c r="P974" s="1">
        <v>0</v>
      </c>
      <c r="Q974" s="1">
        <v>0</v>
      </c>
      <c r="R974" s="1" t="b">
        <f t="shared" si="26"/>
        <v>1</v>
      </c>
      <c r="S974" s="2" t="s">
        <v>69</v>
      </c>
      <c r="T974" s="1" t="str">
        <f>IF(S974="","",VLOOKUP(S974,'Ontology and concepts per UC'!$F$2:$J$46,5,FALSE))</f>
        <v>Utilidad</v>
      </c>
      <c r="U974" s="1" t="b">
        <f t="array" ref="U974">(INDEX('Ontology and concepts per UC'!$G$2:$I$46,MATCH($S974,'Ontology and concepts per UC'!$F$2:$F$46,0),MATCH(LEFT($A974,3),'Ontology and concepts per UC'!$G$1:$I$1,0))=0)</f>
        <v>0</v>
      </c>
      <c r="V974" s="1" t="b">
        <f t="shared" si="27"/>
        <v>1</v>
      </c>
      <c r="W974" s="1" t="b">
        <v>0</v>
      </c>
      <c r="X974" s="1" t="b">
        <v>0</v>
      </c>
      <c r="Y974" s="1" t="b">
        <v>0</v>
      </c>
      <c r="Z974" s="1" t="b">
        <v>1</v>
      </c>
      <c r="AA974" s="1" t="s">
        <v>197</v>
      </c>
    </row>
    <row r="975" spans="1:27" x14ac:dyDescent="0.25">
      <c r="A975" s="1" t="s">
        <v>2463</v>
      </c>
      <c r="B975" s="2" t="s">
        <v>2292</v>
      </c>
      <c r="C975" s="2" t="s">
        <v>1115</v>
      </c>
      <c r="D975" s="6">
        <f t="shared" si="21"/>
        <v>2</v>
      </c>
      <c r="E975" s="7" t="str">
        <f t="shared" si="22"/>
        <v>Utility</v>
      </c>
      <c r="F975" s="8" t="b">
        <f>IF(D975&lt;1,FALSE,ISERROR(MATCH(E975,'Ontology and concepts per UC'!$A$2:$A$62,0)))</f>
        <v>0</v>
      </c>
      <c r="G975" s="9" t="str">
        <f t="shared" si="23"/>
        <v>DeterministicParameter</v>
      </c>
      <c r="H975" s="9" t="str">
        <f t="shared" si="24"/>
        <v>DeterministicParameter</v>
      </c>
      <c r="I975" s="8" t="b">
        <f>IF(D975&lt;2,FALSE,ISERROR(MATCH(H975,'Ontology and concepts per UC'!$A$2:$A$62,0)))</f>
        <v>0</v>
      </c>
      <c r="J975" s="9" t="str">
        <f t="shared" si="25"/>
        <v/>
      </c>
      <c r="K975" s="8" t="b">
        <f>IF(D975&lt;3,FALSE,ISERROR(MATCH(J975,'Ontology and concepts per UC'!$A$2:$A$62,0)))</f>
        <v>0</v>
      </c>
      <c r="L975" s="2" t="s">
        <v>2473</v>
      </c>
      <c r="M975" s="2" t="s">
        <v>2507</v>
      </c>
      <c r="N975" s="2"/>
      <c r="O975" s="1" t="b">
        <v>0</v>
      </c>
      <c r="P975" s="1">
        <v>0</v>
      </c>
      <c r="Q975" s="1">
        <v>0</v>
      </c>
      <c r="R975" s="1" t="b">
        <f t="shared" si="26"/>
        <v>1</v>
      </c>
      <c r="S975" s="2" t="s">
        <v>68</v>
      </c>
      <c r="T975" s="1" t="str">
        <f>IF(S975="","",VLOOKUP(S975,'Ontology and concepts per UC'!$F$2:$J$46,5,FALSE))</f>
        <v>Utilidad</v>
      </c>
      <c r="U975" s="1" t="b">
        <f t="array" ref="U975">(INDEX('Ontology and concepts per UC'!$G$2:$I$46,MATCH($S975,'Ontology and concepts per UC'!$F$2:$F$46,0),MATCH(LEFT($A975,3),'Ontology and concepts per UC'!$G$1:$I$1,0))=0)</f>
        <v>0</v>
      </c>
      <c r="V975" s="1" t="b">
        <f t="shared" si="27"/>
        <v>0</v>
      </c>
      <c r="W975" s="1" t="b">
        <v>0</v>
      </c>
      <c r="X975" s="1" t="b">
        <v>0</v>
      </c>
      <c r="Y975" s="1" t="b">
        <v>0</v>
      </c>
      <c r="Z975" s="1" t="b">
        <v>0</v>
      </c>
      <c r="AA975" s="1"/>
    </row>
    <row r="976" spans="1:27" x14ac:dyDescent="0.25">
      <c r="A976" s="1" t="s">
        <v>2463</v>
      </c>
      <c r="B976" s="2" t="s">
        <v>1575</v>
      </c>
      <c r="C976" s="2"/>
      <c r="D976" s="6">
        <f t="shared" si="21"/>
        <v>0</v>
      </c>
      <c r="E976" s="7">
        <f t="shared" si="22"/>
        <v>0</v>
      </c>
      <c r="F976" s="8" t="b">
        <f>IF(D976&lt;1,FALSE,ISERROR(MATCH(E976,'Ontology and concepts per UC'!$A$2:$A$62,0)))</f>
        <v>0</v>
      </c>
      <c r="G976" s="9" t="str">
        <f t="shared" si="23"/>
        <v/>
      </c>
      <c r="H976" s="9" t="str">
        <f t="shared" si="24"/>
        <v/>
      </c>
      <c r="I976" s="8" t="b">
        <f>IF(D976&lt;2,FALSE,ISERROR(MATCH(H976,'Ontology and concepts per UC'!$A$2:$A$62,0)))</f>
        <v>0</v>
      </c>
      <c r="J976" s="9" t="str">
        <f t="shared" si="25"/>
        <v/>
      </c>
      <c r="K976" s="8" t="b">
        <f>IF(D976&lt;3,FALSE,ISERROR(MATCH(J976,'Ontology and concepts per UC'!$A$2:$A$62,0)))</f>
        <v>0</v>
      </c>
      <c r="L976" s="2"/>
      <c r="M976" s="2"/>
      <c r="N976" s="2"/>
      <c r="O976" s="1" t="b">
        <v>1</v>
      </c>
      <c r="P976" s="1">
        <v>0</v>
      </c>
      <c r="Q976" s="1">
        <v>0</v>
      </c>
      <c r="R976" s="1" t="b">
        <f t="shared" si="26"/>
        <v>0</v>
      </c>
      <c r="S976" s="2" t="s">
        <v>33</v>
      </c>
      <c r="T976" s="1" t="str">
        <f>IF(S976="","",VLOOKUP(S976,'Ontology and concepts per UC'!$F$2:$J$46,5,FALSE))</f>
        <v>Modelo Conceptual</v>
      </c>
      <c r="U976" s="1" t="b">
        <f t="array" ref="U976">(INDEX('Ontology and concepts per UC'!$G$2:$I$46,MATCH($S976,'Ontology and concepts per UC'!$F$2:$F$46,0),MATCH(LEFT($A976,3),'Ontology and concepts per UC'!$G$1:$I$1,0))=0)</f>
        <v>1</v>
      </c>
      <c r="V976" s="1" t="b">
        <f t="shared" si="27"/>
        <v>1</v>
      </c>
      <c r="W976" s="1" t="b">
        <v>1</v>
      </c>
      <c r="X976" s="1" t="b">
        <v>0</v>
      </c>
      <c r="Y976" s="1" t="b">
        <v>1</v>
      </c>
      <c r="Z976" s="1" t="b">
        <v>0</v>
      </c>
      <c r="AA976" s="1" t="s">
        <v>2417</v>
      </c>
    </row>
    <row r="977" spans="1:27" x14ac:dyDescent="0.25">
      <c r="A977" s="1" t="s">
        <v>2508</v>
      </c>
      <c r="B977" s="2" t="s">
        <v>2509</v>
      </c>
      <c r="C977" s="2" t="s">
        <v>192</v>
      </c>
      <c r="D977" s="6">
        <f t="shared" si="21"/>
        <v>1</v>
      </c>
      <c r="E977" s="7" t="str">
        <f t="shared" si="22"/>
        <v>AcuteManifestation</v>
      </c>
      <c r="F977" s="8" t="b">
        <f>IF(D977&lt;1,FALSE,ISERROR(MATCH(E977,'Ontology and concepts per UC'!$A$2:$A$62,0)))</f>
        <v>0</v>
      </c>
      <c r="G977" s="9" t="str">
        <f t="shared" si="23"/>
        <v/>
      </c>
      <c r="H977" s="9" t="str">
        <f t="shared" si="24"/>
        <v/>
      </c>
      <c r="I977" s="8" t="b">
        <f>IF(D977&lt;2,FALSE,ISERROR(MATCH(H977,'Ontology and concepts per UC'!$A$2:$A$62,0)))</f>
        <v>0</v>
      </c>
      <c r="J977" s="9" t="str">
        <f t="shared" si="25"/>
        <v/>
      </c>
      <c r="K977" s="8" t="b">
        <f>IF(D977&lt;3,FALSE,ISERROR(MATCH(J977,'Ontology and concepts per UC'!$A$2:$A$62,0)))</f>
        <v>0</v>
      </c>
      <c r="L977" s="2"/>
      <c r="M977" s="2"/>
      <c r="N977" s="2"/>
      <c r="O977" s="1" t="b">
        <v>0</v>
      </c>
      <c r="P977" s="1">
        <v>0</v>
      </c>
      <c r="Q977" s="1">
        <v>0</v>
      </c>
      <c r="R977" s="1" t="b">
        <f t="shared" si="26"/>
        <v>0</v>
      </c>
      <c r="S977" s="2" t="s">
        <v>30</v>
      </c>
      <c r="T977" s="1" t="str">
        <f>IF(S977="","",VLOOKUP(S977,'Ontology and concepts per UC'!$F$2:$J$46,5,FALSE))</f>
        <v>Modelo Conceptual</v>
      </c>
      <c r="U977" s="1" t="b">
        <f t="array" ref="U977">(INDEX('Ontology and concepts per UC'!$G$2:$I$46,MATCH($S977,'Ontology and concepts per UC'!$F$2:$F$46,0),MATCH(LEFT($A977,3),'Ontology and concepts per UC'!$G$1:$I$1,0))=0)</f>
        <v>0</v>
      </c>
      <c r="V977" s="1" t="b">
        <f t="shared" si="27"/>
        <v>0</v>
      </c>
      <c r="W977" s="1" t="b">
        <v>0</v>
      </c>
      <c r="X977" s="1" t="b">
        <v>0</v>
      </c>
      <c r="Y977" s="1" t="b">
        <v>0</v>
      </c>
      <c r="Z977" s="1" t="b">
        <v>0</v>
      </c>
      <c r="AA977" s="1"/>
    </row>
    <row r="978" spans="1:27" x14ac:dyDescent="0.25">
      <c r="A978" s="1" t="s">
        <v>2508</v>
      </c>
      <c r="B978" s="2" t="s">
        <v>2510</v>
      </c>
      <c r="C978" s="2" t="s">
        <v>2511</v>
      </c>
      <c r="D978" s="6">
        <f t="shared" si="21"/>
        <v>1</v>
      </c>
      <c r="E978" s="7" t="str">
        <f t="shared" si="22"/>
        <v>BernoulliDistributionExpression</v>
      </c>
      <c r="F978" s="8" t="b">
        <f>IF(D978&lt;1,FALSE,ISERROR(MATCH(E978,'Ontology and concepts per UC'!$A$2:$A$62,0)))</f>
        <v>0</v>
      </c>
      <c r="G978" s="9" t="str">
        <f t="shared" si="23"/>
        <v/>
      </c>
      <c r="H978" s="9" t="str">
        <f t="shared" si="24"/>
        <v/>
      </c>
      <c r="I978" s="8" t="b">
        <f>IF(D978&lt;2,FALSE,ISERROR(MATCH(H978,'Ontology and concepts per UC'!$A$2:$A$62,0)))</f>
        <v>0</v>
      </c>
      <c r="J978" s="9" t="str">
        <f t="shared" si="25"/>
        <v/>
      </c>
      <c r="K978" s="8" t="b">
        <f>IF(D978&lt;3,FALSE,ISERROR(MATCH(J978,'Ontology and concepts per UC'!$A$2:$A$62,0)))</f>
        <v>0</v>
      </c>
      <c r="L978" s="2"/>
      <c r="M978" s="2" t="s">
        <v>2512</v>
      </c>
      <c r="N978" s="2"/>
      <c r="O978" s="1" t="b">
        <v>0</v>
      </c>
      <c r="P978" s="1">
        <v>0</v>
      </c>
      <c r="Q978" s="1">
        <v>0</v>
      </c>
      <c r="R978" s="1" t="b">
        <f t="shared" si="26"/>
        <v>0</v>
      </c>
      <c r="S978" s="2" t="s">
        <v>55</v>
      </c>
      <c r="T978" s="1" t="str">
        <f>IF(S978="","",VLOOKUP(S978,'Ontology and concepts per UC'!$F$2:$J$46,5,FALSE))</f>
        <v>Parámetros de progresión</v>
      </c>
      <c r="U978" s="1" t="b">
        <f t="array" ref="U978">(INDEX('Ontology and concepts per UC'!$G$2:$I$46,MATCH($S978,'Ontology and concepts per UC'!$F$2:$F$46,0),MATCH(LEFT($A978,3),'Ontology and concepts per UC'!$G$1:$I$1,0))=0)</f>
        <v>0</v>
      </c>
      <c r="V978" s="1" t="b">
        <f t="shared" si="27"/>
        <v>0</v>
      </c>
      <c r="W978" s="1" t="b">
        <v>0</v>
      </c>
      <c r="X978" s="1" t="b">
        <v>0</v>
      </c>
      <c r="Y978" s="1" t="b">
        <v>0</v>
      </c>
      <c r="Z978" s="1" t="b">
        <v>0</v>
      </c>
      <c r="AA978" s="1"/>
    </row>
    <row r="979" spans="1:27" x14ac:dyDescent="0.25">
      <c r="A979" s="1" t="s">
        <v>2508</v>
      </c>
      <c r="B979" s="2" t="s">
        <v>2513</v>
      </c>
      <c r="C979" s="2" t="s">
        <v>195</v>
      </c>
      <c r="D979" s="6">
        <f t="shared" si="21"/>
        <v>1</v>
      </c>
      <c r="E979" s="7" t="str">
        <f t="shared" si="22"/>
        <v>Cost</v>
      </c>
      <c r="F979" s="8" t="b">
        <f>IF(D979&lt;1,FALSE,ISERROR(MATCH(E979,'Ontology and concepts per UC'!$A$2:$A$62,0)))</f>
        <v>0</v>
      </c>
      <c r="G979" s="9" t="str">
        <f t="shared" si="23"/>
        <v/>
      </c>
      <c r="H979" s="9" t="str">
        <f t="shared" si="24"/>
        <v/>
      </c>
      <c r="I979" s="8" t="b">
        <f>IF(D979&lt;2,FALSE,ISERROR(MATCH(H979,'Ontology and concepts per UC'!$A$2:$A$62,0)))</f>
        <v>0</v>
      </c>
      <c r="J979" s="9" t="str">
        <f t="shared" si="25"/>
        <v/>
      </c>
      <c r="K979" s="8" t="b">
        <f>IF(D979&lt;3,FALSE,ISERROR(MATCH(J979,'Ontology and concepts per UC'!$A$2:$A$62,0)))</f>
        <v>0</v>
      </c>
      <c r="L979" s="2"/>
      <c r="M979" s="2" t="s">
        <v>2514</v>
      </c>
      <c r="N979" s="2"/>
      <c r="O979" s="1" t="b">
        <v>0</v>
      </c>
      <c r="P979" s="1">
        <v>0</v>
      </c>
      <c r="Q979" s="1">
        <v>1</v>
      </c>
      <c r="R979" s="1" t="b">
        <f t="shared" si="26"/>
        <v>0</v>
      </c>
      <c r="S979" s="2" t="s">
        <v>10</v>
      </c>
      <c r="T979" s="1" t="str">
        <f>IF(S979="","",VLOOKUP(S979,'Ontology and concepts per UC'!$F$2:$J$46,5,FALSE))</f>
        <v>Coste</v>
      </c>
      <c r="U979" s="1" t="b">
        <f t="array" ref="U979">(INDEX('Ontology and concepts per UC'!$G$2:$I$46,MATCH($S979,'Ontology and concepts per UC'!$F$2:$F$46,0),MATCH(LEFT($A979,3),'Ontology and concepts per UC'!$G$1:$I$1,0))=0)</f>
        <v>0</v>
      </c>
      <c r="V979" s="1" t="b">
        <f t="shared" si="27"/>
        <v>1</v>
      </c>
      <c r="W979" s="1" t="b">
        <v>0</v>
      </c>
      <c r="X979" s="1" t="b">
        <v>1</v>
      </c>
      <c r="Y979" s="1" t="b">
        <v>0</v>
      </c>
      <c r="Z979" s="1" t="b">
        <v>0</v>
      </c>
      <c r="AA979" s="1" t="s">
        <v>2515</v>
      </c>
    </row>
    <row r="980" spans="1:27" x14ac:dyDescent="0.25">
      <c r="A980" s="1" t="s">
        <v>2508</v>
      </c>
      <c r="B980" s="2" t="s">
        <v>2516</v>
      </c>
      <c r="C980" s="2" t="s">
        <v>34</v>
      </c>
      <c r="D980" s="6">
        <f t="shared" si="21"/>
        <v>1</v>
      </c>
      <c r="E980" s="7" t="str">
        <f t="shared" si="22"/>
        <v>DecisionTreeModel</v>
      </c>
      <c r="F980" s="8" t="b">
        <f>IF(D980&lt;1,FALSE,ISERROR(MATCH(E980,'Ontology and concepts per UC'!$A$2:$A$62,0)))</f>
        <v>0</v>
      </c>
      <c r="G980" s="9" t="str">
        <f t="shared" si="23"/>
        <v/>
      </c>
      <c r="H980" s="9" t="str">
        <f t="shared" si="24"/>
        <v/>
      </c>
      <c r="I980" s="8" t="b">
        <f>IF(D980&lt;2,FALSE,ISERROR(MATCH(H980,'Ontology and concepts per UC'!$A$2:$A$62,0)))</f>
        <v>0</v>
      </c>
      <c r="J980" s="9" t="str">
        <f t="shared" si="25"/>
        <v/>
      </c>
      <c r="K980" s="8" t="b">
        <f>IF(D980&lt;3,FALSE,ISERROR(MATCH(J980,'Ontology and concepts per UC'!$A$2:$A$62,0)))</f>
        <v>0</v>
      </c>
      <c r="L980" s="2" t="s">
        <v>2517</v>
      </c>
      <c r="M980" s="2"/>
      <c r="N980" s="2"/>
      <c r="O980" s="1" t="b">
        <v>0</v>
      </c>
      <c r="P980" s="1">
        <v>0</v>
      </c>
      <c r="Q980" s="1">
        <v>0</v>
      </c>
      <c r="R980" s="1" t="b">
        <f t="shared" si="26"/>
        <v>0</v>
      </c>
      <c r="S980" s="2" t="s">
        <v>33</v>
      </c>
      <c r="T980" s="1" t="str">
        <f>IF(S980="","",VLOOKUP(S980,'Ontology and concepts per UC'!$F$2:$J$46,5,FALSE))</f>
        <v>Modelo Conceptual</v>
      </c>
      <c r="U980" s="1" t="b">
        <f t="array" ref="U980">(INDEX('Ontology and concepts per UC'!$G$2:$I$46,MATCH($S980,'Ontology and concepts per UC'!$F$2:$F$46,0),MATCH(LEFT($A980,3),'Ontology and concepts per UC'!$G$1:$I$1,0))=0)</f>
        <v>0</v>
      </c>
      <c r="V980" s="1" t="b">
        <f t="shared" si="27"/>
        <v>0</v>
      </c>
      <c r="W980" s="1" t="b">
        <v>0</v>
      </c>
      <c r="X980" s="1" t="b">
        <v>0</v>
      </c>
      <c r="Y980" s="1" t="b">
        <v>0</v>
      </c>
      <c r="Z980" s="1" t="b">
        <v>0</v>
      </c>
      <c r="AA980" s="1"/>
    </row>
    <row r="981" spans="1:27" x14ac:dyDescent="0.25">
      <c r="A981" s="1" t="s">
        <v>2508</v>
      </c>
      <c r="B981" s="2" t="s">
        <v>2518</v>
      </c>
      <c r="C981" s="2" t="s">
        <v>104</v>
      </c>
      <c r="D981" s="6">
        <f t="shared" si="21"/>
        <v>1</v>
      </c>
      <c r="E981" s="7" t="str">
        <f t="shared" si="22"/>
        <v>Disease</v>
      </c>
      <c r="F981" s="8" t="b">
        <f>IF(D981&lt;1,FALSE,ISERROR(MATCH(E981,'Ontology and concepts per UC'!$A$2:$A$62,0)))</f>
        <v>0</v>
      </c>
      <c r="G981" s="9" t="str">
        <f t="shared" si="23"/>
        <v/>
      </c>
      <c r="H981" s="9" t="str">
        <f t="shared" si="24"/>
        <v/>
      </c>
      <c r="I981" s="8" t="b">
        <f>IF(D981&lt;2,FALSE,ISERROR(MATCH(H981,'Ontology and concepts per UC'!$A$2:$A$62,0)))</f>
        <v>0</v>
      </c>
      <c r="J981" s="9" t="str">
        <f t="shared" si="25"/>
        <v/>
      </c>
      <c r="K981" s="8" t="b">
        <f>IF(D981&lt;3,FALSE,ISERROR(MATCH(J981,'Ontology and concepts per UC'!$A$2:$A$62,0)))</f>
        <v>0</v>
      </c>
      <c r="L981" s="2" t="s">
        <v>2519</v>
      </c>
      <c r="M981" s="2" t="s">
        <v>2520</v>
      </c>
      <c r="N981" s="2"/>
      <c r="O981" s="1" t="b">
        <v>0</v>
      </c>
      <c r="P981" s="1">
        <v>0</v>
      </c>
      <c r="Q981" s="1">
        <v>0</v>
      </c>
      <c r="R981" s="1" t="b">
        <f t="shared" si="26"/>
        <v>0</v>
      </c>
      <c r="S981" s="2" t="s">
        <v>35</v>
      </c>
      <c r="T981" s="1" t="str">
        <f>IF(S981="","",VLOOKUP(S981,'Ontology and concepts per UC'!$F$2:$J$46,5,FALSE))</f>
        <v>Modelo Conceptual</v>
      </c>
      <c r="U981" s="1" t="b">
        <f t="array" ref="U981">(INDEX('Ontology and concepts per UC'!$G$2:$I$46,MATCH($S981,'Ontology and concepts per UC'!$F$2:$F$46,0),MATCH(LEFT($A981,3),'Ontology and concepts per UC'!$G$1:$I$1,0))=0)</f>
        <v>0</v>
      </c>
      <c r="V981" s="1" t="b">
        <f t="shared" si="27"/>
        <v>0</v>
      </c>
      <c r="W981" s="1" t="b">
        <v>0</v>
      </c>
      <c r="X981" s="1" t="b">
        <v>0</v>
      </c>
      <c r="Y981" s="1" t="b">
        <v>0</v>
      </c>
      <c r="Z981" s="1" t="b">
        <v>0</v>
      </c>
      <c r="AA981" s="1"/>
    </row>
    <row r="982" spans="1:27" x14ac:dyDescent="0.25">
      <c r="A982" s="1" t="s">
        <v>2508</v>
      </c>
      <c r="B982" s="2" t="s">
        <v>2521</v>
      </c>
      <c r="C982" s="2" t="s">
        <v>208</v>
      </c>
      <c r="D982" s="6">
        <f t="shared" si="21"/>
        <v>1</v>
      </c>
      <c r="E982" s="7" t="str">
        <f t="shared" si="22"/>
        <v>EpidemiologicalParameter</v>
      </c>
      <c r="F982" s="8" t="b">
        <f>IF(D982&lt;1,FALSE,ISERROR(MATCH(E982,'Ontology and concepts per UC'!$A$2:$A$62,0)))</f>
        <v>0</v>
      </c>
      <c r="G982" s="9" t="str">
        <f t="shared" si="23"/>
        <v/>
      </c>
      <c r="H982" s="9" t="str">
        <f t="shared" si="24"/>
        <v/>
      </c>
      <c r="I982" s="8" t="b">
        <f>IF(D982&lt;2,FALSE,ISERROR(MATCH(H982,'Ontology and concepts per UC'!$A$2:$A$62,0)))</f>
        <v>0</v>
      </c>
      <c r="J982" s="9" t="str">
        <f t="shared" si="25"/>
        <v/>
      </c>
      <c r="K982" s="8" t="b">
        <f>IF(D982&lt;3,FALSE,ISERROR(MATCH(J982,'Ontology and concepts per UC'!$A$2:$A$62,0)))</f>
        <v>0</v>
      </c>
      <c r="L982" s="2" t="s">
        <v>2522</v>
      </c>
      <c r="M982" s="2" t="s">
        <v>2523</v>
      </c>
      <c r="N982" s="2"/>
      <c r="O982" s="1" t="b">
        <v>0</v>
      </c>
      <c r="P982" s="1">
        <v>0</v>
      </c>
      <c r="Q982" s="1">
        <v>1</v>
      </c>
      <c r="R982" s="1" t="b">
        <f t="shared" si="26"/>
        <v>0</v>
      </c>
      <c r="S982" s="2" t="s">
        <v>38</v>
      </c>
      <c r="T982" s="1" t="str">
        <f>IF(S982="","",VLOOKUP(S982,'Ontology and concepts per UC'!$F$2:$J$46,5,FALSE))</f>
        <v>Parámetro epidemiológico</v>
      </c>
      <c r="U982" s="1" t="b">
        <f t="array" ref="U982">(INDEX('Ontology and concepts per UC'!$G$2:$I$46,MATCH($S982,'Ontology and concepts per UC'!$F$2:$F$46,0),MATCH(LEFT($A982,3),'Ontology and concepts per UC'!$G$1:$I$1,0))=0)</f>
        <v>0</v>
      </c>
      <c r="V982" s="1" t="b">
        <f t="shared" si="27"/>
        <v>1</v>
      </c>
      <c r="W982" s="1" t="b">
        <v>0</v>
      </c>
      <c r="X982" s="1" t="b">
        <v>1</v>
      </c>
      <c r="Y982" s="1" t="b">
        <v>0</v>
      </c>
      <c r="Z982" s="1" t="b">
        <v>0</v>
      </c>
      <c r="AA982" s="1" t="s">
        <v>2515</v>
      </c>
    </row>
    <row r="983" spans="1:27" x14ac:dyDescent="0.25">
      <c r="A983" s="1" t="s">
        <v>2508</v>
      </c>
      <c r="B983" s="2" t="s">
        <v>2524</v>
      </c>
      <c r="C983" s="2" t="s">
        <v>14</v>
      </c>
      <c r="D983" s="6">
        <f t="shared" si="21"/>
        <v>1</v>
      </c>
      <c r="E983" s="7" t="str">
        <f t="shared" si="22"/>
        <v>Population</v>
      </c>
      <c r="F983" s="8" t="b">
        <f>IF(D983&lt;1,FALSE,ISERROR(MATCH(E983,'Ontology and concepts per UC'!$A$2:$A$62,0)))</f>
        <v>0</v>
      </c>
      <c r="G983" s="9" t="str">
        <f t="shared" si="23"/>
        <v/>
      </c>
      <c r="H983" s="9" t="str">
        <f t="shared" si="24"/>
        <v/>
      </c>
      <c r="I983" s="8" t="b">
        <f>IF(D983&lt;2,FALSE,ISERROR(MATCH(H983,'Ontology and concepts per UC'!$A$2:$A$62,0)))</f>
        <v>0</v>
      </c>
      <c r="J983" s="9" t="str">
        <f t="shared" si="25"/>
        <v/>
      </c>
      <c r="K983" s="8" t="b">
        <f>IF(D983&lt;3,FALSE,ISERROR(MATCH(J983,'Ontology and concepts per UC'!$A$2:$A$62,0)))</f>
        <v>0</v>
      </c>
      <c r="L983" s="2"/>
      <c r="M983" s="2" t="s">
        <v>2525</v>
      </c>
      <c r="N983" s="2"/>
      <c r="O983" s="1" t="b">
        <v>0</v>
      </c>
      <c r="P983" s="1">
        <v>0</v>
      </c>
      <c r="Q983" s="1">
        <v>0</v>
      </c>
      <c r="R983" s="1" t="b">
        <f t="shared" si="26"/>
        <v>0</v>
      </c>
      <c r="S983" s="2" t="s">
        <v>13</v>
      </c>
      <c r="T983" s="1" t="str">
        <f>IF(S983="","",VLOOKUP(S983,'Ontology and concepts per UC'!$F$2:$J$46,5,FALSE))</f>
        <v>Modelo Conceptual</v>
      </c>
      <c r="U983" s="1" t="b">
        <f t="array" ref="U983">(INDEX('Ontology and concepts per UC'!$G$2:$I$46,MATCH($S983,'Ontology and concepts per UC'!$F$2:$F$46,0),MATCH(LEFT($A983,3),'Ontology and concepts per UC'!$G$1:$I$1,0))=0)</f>
        <v>0</v>
      </c>
      <c r="V983" s="1" t="b">
        <f t="shared" si="27"/>
        <v>0</v>
      </c>
      <c r="W983" s="1" t="b">
        <v>0</v>
      </c>
      <c r="X983" s="1" t="b">
        <v>0</v>
      </c>
      <c r="Y983" s="1" t="b">
        <v>0</v>
      </c>
      <c r="Z983" s="1" t="b">
        <v>0</v>
      </c>
      <c r="AA983" s="1"/>
    </row>
    <row r="984" spans="1:27" x14ac:dyDescent="0.25">
      <c r="A984" s="1" t="s">
        <v>2508</v>
      </c>
      <c r="B984" s="2" t="s">
        <v>2526</v>
      </c>
      <c r="C984" s="2" t="s">
        <v>25</v>
      </c>
      <c r="D984" s="6">
        <f t="shared" si="21"/>
        <v>1</v>
      </c>
      <c r="E984" s="7" t="str">
        <f t="shared" si="22"/>
        <v>ScreeningIntervention</v>
      </c>
      <c r="F984" s="8" t="b">
        <f>IF(D984&lt;1,FALSE,ISERROR(MATCH(E984,'Ontology and concepts per UC'!$A$2:$A$62,0)))</f>
        <v>0</v>
      </c>
      <c r="G984" s="9" t="str">
        <f t="shared" si="23"/>
        <v/>
      </c>
      <c r="H984" s="9" t="str">
        <f t="shared" si="24"/>
        <v/>
      </c>
      <c r="I984" s="8" t="b">
        <f>IF(D984&lt;2,FALSE,ISERROR(MATCH(H984,'Ontology and concepts per UC'!$A$2:$A$62,0)))</f>
        <v>0</v>
      </c>
      <c r="J984" s="9" t="str">
        <f t="shared" si="25"/>
        <v/>
      </c>
      <c r="K984" s="8" t="b">
        <f>IF(D984&lt;3,FALSE,ISERROR(MATCH(J984,'Ontology and concepts per UC'!$A$2:$A$62,0)))</f>
        <v>0</v>
      </c>
      <c r="L984" s="2" t="s">
        <v>2527</v>
      </c>
      <c r="M984" s="2" t="s">
        <v>2528</v>
      </c>
      <c r="N984" s="2"/>
      <c r="O984" s="1" t="b">
        <v>0</v>
      </c>
      <c r="P984" s="1">
        <v>0</v>
      </c>
      <c r="Q984" s="1">
        <v>2</v>
      </c>
      <c r="R984" s="1" t="b">
        <f t="shared" si="26"/>
        <v>0</v>
      </c>
      <c r="S984" s="2" t="s">
        <v>24</v>
      </c>
      <c r="T984" s="1" t="str">
        <f>IF(S984="","",VLOOKUP(S984,'Ontology and concepts per UC'!$F$2:$J$46,5,FALSE))</f>
        <v>Modelo Conceptual</v>
      </c>
      <c r="U984" s="1" t="b">
        <f t="array" ref="U984">(INDEX('Ontology and concepts per UC'!$G$2:$I$46,MATCH($S984,'Ontology and concepts per UC'!$F$2:$F$46,0),MATCH(LEFT($A984,3),'Ontology and concepts per UC'!$G$1:$I$1,0))=0)</f>
        <v>0</v>
      </c>
      <c r="V984" s="1" t="b">
        <f t="shared" si="27"/>
        <v>1</v>
      </c>
      <c r="W984" s="1" t="b">
        <v>0</v>
      </c>
      <c r="X984" s="1" t="b">
        <v>1</v>
      </c>
      <c r="Y984" s="1" t="b">
        <v>0</v>
      </c>
      <c r="Z984" s="1" t="b">
        <v>0</v>
      </c>
      <c r="AA984" s="1" t="s">
        <v>2515</v>
      </c>
    </row>
    <row r="985" spans="1:27" x14ac:dyDescent="0.25">
      <c r="A985" s="1" t="s">
        <v>2529</v>
      </c>
      <c r="B985" s="2" t="s">
        <v>2530</v>
      </c>
      <c r="C985" s="2" t="s">
        <v>2531</v>
      </c>
      <c r="D985" s="6">
        <f t="shared" si="21"/>
        <v>1</v>
      </c>
      <c r="E985" s="7" t="str">
        <f t="shared" si="22"/>
        <v>IRIAcuteManifestation</v>
      </c>
      <c r="F985" s="8" t="b">
        <f>IF(D985&lt;1,FALSE,ISERROR(MATCH(E985,'Ontology and concepts per UC'!$A$2:$A$62,0)))</f>
        <v>1</v>
      </c>
      <c r="G985" s="9" t="str">
        <f t="shared" si="23"/>
        <v/>
      </c>
      <c r="H985" s="9" t="str">
        <f t="shared" si="24"/>
        <v/>
      </c>
      <c r="I985" s="8" t="b">
        <f>IF(D985&lt;2,FALSE,ISERROR(MATCH(H985,'Ontology and concepts per UC'!$A$2:$A$62,0)))</f>
        <v>0</v>
      </c>
      <c r="J985" s="9" t="str">
        <f t="shared" si="25"/>
        <v/>
      </c>
      <c r="K985" s="8" t="b">
        <f>IF(D985&lt;3,FALSE,ISERROR(MATCH(J985,'Ontology and concepts per UC'!$A$2:$A$62,0)))</f>
        <v>0</v>
      </c>
      <c r="L985" s="2"/>
      <c r="M985" s="2" t="s">
        <v>2532</v>
      </c>
      <c r="N985" s="2"/>
      <c r="O985" s="1" t="b">
        <v>0</v>
      </c>
      <c r="P985" s="1">
        <v>1</v>
      </c>
      <c r="Q985" s="1">
        <v>1</v>
      </c>
      <c r="R985" s="1" t="b">
        <f t="shared" si="26"/>
        <v>0</v>
      </c>
      <c r="S985" s="2" t="s">
        <v>30</v>
      </c>
      <c r="T985" s="1" t="str">
        <f>IF(S985="","",VLOOKUP(S985,'Ontology and concepts per UC'!$F$2:$J$46,5,FALSE))</f>
        <v>Modelo Conceptual</v>
      </c>
      <c r="U985" s="1" t="b">
        <f t="array" ref="U985">(INDEX('Ontology and concepts per UC'!$G$2:$I$46,MATCH($S985,'Ontology and concepts per UC'!$F$2:$F$46,0),MATCH(LEFT($A985,3),'Ontology and concepts per UC'!$G$1:$I$1,0))=0)</f>
        <v>0</v>
      </c>
      <c r="V985" s="1" t="b">
        <f t="shared" si="27"/>
        <v>1</v>
      </c>
      <c r="W985" s="1" t="b">
        <v>1</v>
      </c>
      <c r="X985" s="1" t="b">
        <v>0</v>
      </c>
      <c r="Y985" s="1" t="b">
        <v>0</v>
      </c>
      <c r="Z985" s="1" t="b">
        <v>0</v>
      </c>
      <c r="AA985" s="1" t="s">
        <v>2533</v>
      </c>
    </row>
    <row r="986" spans="1:27" x14ac:dyDescent="0.25">
      <c r="A986" s="1" t="s">
        <v>2529</v>
      </c>
      <c r="B986" s="2" t="s">
        <v>2534</v>
      </c>
      <c r="C986" s="2" t="s">
        <v>2531</v>
      </c>
      <c r="D986" s="6">
        <f t="shared" si="21"/>
        <v>1</v>
      </c>
      <c r="E986" s="7" t="str">
        <f t="shared" si="22"/>
        <v>IRIAcuteManifestation</v>
      </c>
      <c r="F986" s="8" t="b">
        <f>IF(D986&lt;1,FALSE,ISERROR(MATCH(E986,'Ontology and concepts per UC'!$A$2:$A$62,0)))</f>
        <v>1</v>
      </c>
      <c r="G986" s="9" t="str">
        <f t="shared" si="23"/>
        <v/>
      </c>
      <c r="H986" s="9" t="str">
        <f t="shared" si="24"/>
        <v/>
      </c>
      <c r="I986" s="8" t="b">
        <f>IF(D986&lt;2,FALSE,ISERROR(MATCH(H986,'Ontology and concepts per UC'!$A$2:$A$62,0)))</f>
        <v>0</v>
      </c>
      <c r="J986" s="9" t="str">
        <f t="shared" si="25"/>
        <v/>
      </c>
      <c r="K986" s="8" t="b">
        <f>IF(D986&lt;3,FALSE,ISERROR(MATCH(J986,'Ontology and concepts per UC'!$A$2:$A$62,0)))</f>
        <v>0</v>
      </c>
      <c r="L986" s="2"/>
      <c r="M986" s="2" t="s">
        <v>2535</v>
      </c>
      <c r="N986" s="2"/>
      <c r="O986" s="1" t="b">
        <v>0</v>
      </c>
      <c r="P986" s="1">
        <v>1</v>
      </c>
      <c r="Q986" s="1">
        <v>1</v>
      </c>
      <c r="R986" s="1" t="b">
        <f t="shared" si="26"/>
        <v>0</v>
      </c>
      <c r="S986" s="2" t="s">
        <v>28</v>
      </c>
      <c r="T986" s="1" t="str">
        <f>IF(S986="","",VLOOKUP(S986,'Ontology and concepts per UC'!$F$2:$J$46,5,FALSE))</f>
        <v>Modelo Conceptual</v>
      </c>
      <c r="U986" s="1" t="b">
        <f t="array" ref="U986">(INDEX('Ontology and concepts per UC'!$G$2:$I$46,MATCH($S986,'Ontology and concepts per UC'!$F$2:$F$46,0),MATCH(LEFT($A986,3),'Ontology and concepts per UC'!$G$1:$I$1,0))=0)</f>
        <v>0</v>
      </c>
      <c r="V986" s="1" t="b">
        <f t="shared" si="27"/>
        <v>1</v>
      </c>
      <c r="W986" s="1" t="b">
        <v>1</v>
      </c>
      <c r="X986" s="1" t="b">
        <v>0</v>
      </c>
      <c r="Y986" s="1" t="b">
        <v>0</v>
      </c>
      <c r="Z986" s="1" t="b">
        <v>0</v>
      </c>
      <c r="AA986" s="1" t="s">
        <v>2533</v>
      </c>
    </row>
    <row r="987" spans="1:27" x14ac:dyDescent="0.25">
      <c r="A987" s="1" t="s">
        <v>2529</v>
      </c>
      <c r="B987" s="2" t="s">
        <v>2536</v>
      </c>
      <c r="C987" s="2" t="s">
        <v>2531</v>
      </c>
      <c r="D987" s="6">
        <f t="shared" si="21"/>
        <v>1</v>
      </c>
      <c r="E987" s="7" t="str">
        <f t="shared" si="22"/>
        <v>IRIAcuteManifestation</v>
      </c>
      <c r="F987" s="8" t="b">
        <f>IF(D987&lt;1,FALSE,ISERROR(MATCH(E987,'Ontology and concepts per UC'!$A$2:$A$62,0)))</f>
        <v>1</v>
      </c>
      <c r="G987" s="9" t="str">
        <f t="shared" si="23"/>
        <v/>
      </c>
      <c r="H987" s="9" t="str">
        <f t="shared" si="24"/>
        <v/>
      </c>
      <c r="I987" s="8" t="b">
        <f>IF(D987&lt;2,FALSE,ISERROR(MATCH(H987,'Ontology and concepts per UC'!$A$2:$A$62,0)))</f>
        <v>0</v>
      </c>
      <c r="J987" s="9" t="str">
        <f t="shared" si="25"/>
        <v/>
      </c>
      <c r="K987" s="8" t="b">
        <f>IF(D987&lt;3,FALSE,ISERROR(MATCH(J987,'Ontology and concepts per UC'!$A$2:$A$62,0)))</f>
        <v>0</v>
      </c>
      <c r="L987" s="2"/>
      <c r="M987" s="2" t="s">
        <v>2537</v>
      </c>
      <c r="N987" s="2"/>
      <c r="O987" s="1" t="b">
        <v>0</v>
      </c>
      <c r="P987" s="1">
        <v>1</v>
      </c>
      <c r="Q987" s="1">
        <v>1</v>
      </c>
      <c r="R987" s="1" t="b">
        <f t="shared" si="26"/>
        <v>0</v>
      </c>
      <c r="S987" s="2" t="s">
        <v>31</v>
      </c>
      <c r="T987" s="1" t="str">
        <f>IF(S987="","",VLOOKUP(S987,'Ontology and concepts per UC'!$F$2:$J$46,5,FALSE))</f>
        <v>Modelo Conceptual</v>
      </c>
      <c r="U987" s="1" t="b">
        <f t="array" ref="U987">(INDEX('Ontology and concepts per UC'!$G$2:$I$46,MATCH($S987,'Ontology and concepts per UC'!$F$2:$F$46,0),MATCH(LEFT($A987,3),'Ontology and concepts per UC'!$G$1:$I$1,0))=0)</f>
        <v>0</v>
      </c>
      <c r="V987" s="1" t="b">
        <f t="shared" si="27"/>
        <v>1</v>
      </c>
      <c r="W987" s="1" t="b">
        <v>1</v>
      </c>
      <c r="X987" s="1" t="b">
        <v>0</v>
      </c>
      <c r="Y987" s="1" t="b">
        <v>0</v>
      </c>
      <c r="Z987" s="1" t="b">
        <v>0</v>
      </c>
      <c r="AA987" s="1" t="s">
        <v>2533</v>
      </c>
    </row>
    <row r="988" spans="1:27" x14ac:dyDescent="0.25">
      <c r="A988" s="1" t="s">
        <v>2529</v>
      </c>
      <c r="B988" s="2" t="s">
        <v>2538</v>
      </c>
      <c r="C988" s="2" t="s">
        <v>2539</v>
      </c>
      <c r="D988" s="6">
        <f t="shared" si="21"/>
        <v>1</v>
      </c>
      <c r="E988" s="7" t="str">
        <f t="shared" si="22"/>
        <v>IRIChronicManifestation</v>
      </c>
      <c r="F988" s="8" t="b">
        <f>IF(D988&lt;1,FALSE,ISERROR(MATCH(E988,'Ontology and concepts per UC'!$A$2:$A$62,0)))</f>
        <v>1</v>
      </c>
      <c r="G988" s="9" t="str">
        <f t="shared" si="23"/>
        <v/>
      </c>
      <c r="H988" s="9" t="str">
        <f t="shared" si="24"/>
        <v/>
      </c>
      <c r="I988" s="8" t="b">
        <f>IF(D988&lt;2,FALSE,ISERROR(MATCH(H988,'Ontology and concepts per UC'!$A$2:$A$62,0)))</f>
        <v>0</v>
      </c>
      <c r="J988" s="9" t="str">
        <f t="shared" si="25"/>
        <v/>
      </c>
      <c r="K988" s="8" t="b">
        <f>IF(D988&lt;3,FALSE,ISERROR(MATCH(J988,'Ontology and concepts per UC'!$A$2:$A$62,0)))</f>
        <v>0</v>
      </c>
      <c r="L988" s="2" t="s">
        <v>2540</v>
      </c>
      <c r="M988" s="2" t="s">
        <v>2541</v>
      </c>
      <c r="N988" s="2"/>
      <c r="O988" s="1" t="b">
        <v>0</v>
      </c>
      <c r="P988" s="1">
        <v>1</v>
      </c>
      <c r="Q988" s="1">
        <v>1</v>
      </c>
      <c r="R988" s="1" t="b">
        <f t="shared" si="26"/>
        <v>0</v>
      </c>
      <c r="S988" s="2" t="s">
        <v>32</v>
      </c>
      <c r="T988" s="1" t="str">
        <f>IF(S988="","",VLOOKUP(S988,'Ontology and concepts per UC'!$F$2:$J$46,5,FALSE))</f>
        <v>Modelo Conceptual</v>
      </c>
      <c r="U988" s="1" t="b">
        <f t="array" ref="U988">(INDEX('Ontology and concepts per UC'!$G$2:$I$46,MATCH($S988,'Ontology and concepts per UC'!$F$2:$F$46,0),MATCH(LEFT($A988,3),'Ontology and concepts per UC'!$G$1:$I$1,0))=0)</f>
        <v>0</v>
      </c>
      <c r="V988" s="1" t="b">
        <f t="shared" si="27"/>
        <v>1</v>
      </c>
      <c r="W988" s="1" t="b">
        <v>1</v>
      </c>
      <c r="X988" s="1" t="b">
        <v>0</v>
      </c>
      <c r="Y988" s="1" t="b">
        <v>0</v>
      </c>
      <c r="Z988" s="1" t="b">
        <v>0</v>
      </c>
      <c r="AA988" s="1" t="s">
        <v>2542</v>
      </c>
    </row>
    <row r="989" spans="1:27" x14ac:dyDescent="0.25">
      <c r="A989" s="1" t="s">
        <v>2529</v>
      </c>
      <c r="B989" s="2" t="s">
        <v>2543</v>
      </c>
      <c r="C989" s="2" t="s">
        <v>2539</v>
      </c>
      <c r="D989" s="6">
        <f t="shared" si="21"/>
        <v>1</v>
      </c>
      <c r="E989" s="7" t="str">
        <f t="shared" si="22"/>
        <v>IRIChronicManifestation</v>
      </c>
      <c r="F989" s="8" t="b">
        <f>IF(D989&lt;1,FALSE,ISERROR(MATCH(E989,'Ontology and concepts per UC'!$A$2:$A$62,0)))</f>
        <v>1</v>
      </c>
      <c r="G989" s="9" t="str">
        <f t="shared" si="23"/>
        <v/>
      </c>
      <c r="H989" s="9" t="str">
        <f t="shared" si="24"/>
        <v/>
      </c>
      <c r="I989" s="8" t="b">
        <f>IF(D989&lt;2,FALSE,ISERROR(MATCH(H989,'Ontology and concepts per UC'!$A$2:$A$62,0)))</f>
        <v>0</v>
      </c>
      <c r="J989" s="9" t="str">
        <f t="shared" si="25"/>
        <v/>
      </c>
      <c r="K989" s="8" t="b">
        <f>IF(D989&lt;3,FALSE,ISERROR(MATCH(J989,'Ontology and concepts per UC'!$A$2:$A$62,0)))</f>
        <v>0</v>
      </c>
      <c r="L989" s="2" t="s">
        <v>2544</v>
      </c>
      <c r="M989" s="2" t="s">
        <v>2545</v>
      </c>
      <c r="N989" s="2"/>
      <c r="O989" s="1" t="b">
        <v>0</v>
      </c>
      <c r="P989" s="1">
        <v>1</v>
      </c>
      <c r="Q989" s="1">
        <v>1</v>
      </c>
      <c r="R989" s="1" t="b">
        <f t="shared" si="26"/>
        <v>0</v>
      </c>
      <c r="S989" s="2" t="s">
        <v>26</v>
      </c>
      <c r="T989" s="1" t="str">
        <f>IF(S989="","",VLOOKUP(S989,'Ontology and concepts per UC'!$F$2:$J$46,5,FALSE))</f>
        <v>Modelo Conceptual</v>
      </c>
      <c r="U989" s="1" t="b">
        <f t="array" ref="U989">(INDEX('Ontology and concepts per UC'!$G$2:$I$46,MATCH($S989,'Ontology and concepts per UC'!$F$2:$F$46,0),MATCH(LEFT($A989,3),'Ontology and concepts per UC'!$G$1:$I$1,0))=0)</f>
        <v>0</v>
      </c>
      <c r="V989" s="1" t="b">
        <f t="shared" si="27"/>
        <v>1</v>
      </c>
      <c r="W989" s="1" t="b">
        <v>1</v>
      </c>
      <c r="X989" s="1" t="b">
        <v>0</v>
      </c>
      <c r="Y989" s="1" t="b">
        <v>0</v>
      </c>
      <c r="Z989" s="1" t="b">
        <v>0</v>
      </c>
      <c r="AA989" s="1" t="s">
        <v>2542</v>
      </c>
    </row>
    <row r="990" spans="1:27" x14ac:dyDescent="0.25">
      <c r="A990" s="1" t="s">
        <v>2529</v>
      </c>
      <c r="B990" s="2" t="s">
        <v>2546</v>
      </c>
      <c r="C990" s="2" t="s">
        <v>2539</v>
      </c>
      <c r="D990" s="6">
        <f t="shared" si="21"/>
        <v>1</v>
      </c>
      <c r="E990" s="7" t="str">
        <f t="shared" si="22"/>
        <v>IRIChronicManifestation</v>
      </c>
      <c r="F990" s="8" t="b">
        <f>IF(D990&lt;1,FALSE,ISERROR(MATCH(E990,'Ontology and concepts per UC'!$A$2:$A$62,0)))</f>
        <v>1</v>
      </c>
      <c r="G990" s="9" t="str">
        <f t="shared" si="23"/>
        <v/>
      </c>
      <c r="H990" s="9" t="str">
        <f t="shared" si="24"/>
        <v/>
      </c>
      <c r="I990" s="8" t="b">
        <f>IF(D990&lt;2,FALSE,ISERROR(MATCH(H990,'Ontology and concepts per UC'!$A$2:$A$62,0)))</f>
        <v>0</v>
      </c>
      <c r="J990" s="9" t="str">
        <f t="shared" si="25"/>
        <v/>
      </c>
      <c r="K990" s="8" t="b">
        <f>IF(D990&lt;3,FALSE,ISERROR(MATCH(J990,'Ontology and concepts per UC'!$A$2:$A$62,0)))</f>
        <v>0</v>
      </c>
      <c r="L990" s="2" t="s">
        <v>2547</v>
      </c>
      <c r="M990" s="2" t="s">
        <v>2548</v>
      </c>
      <c r="N990" s="2"/>
      <c r="O990" s="1" t="b">
        <v>0</v>
      </c>
      <c r="P990" s="1">
        <v>1</v>
      </c>
      <c r="Q990" s="1">
        <v>1</v>
      </c>
      <c r="R990" s="1" t="b">
        <f t="shared" si="26"/>
        <v>0</v>
      </c>
      <c r="S990" s="2" t="s">
        <v>29</v>
      </c>
      <c r="T990" s="1" t="str">
        <f>IF(S990="","",VLOOKUP(S990,'Ontology and concepts per UC'!$F$2:$J$46,5,FALSE))</f>
        <v>Modelo Conceptual</v>
      </c>
      <c r="U990" s="1" t="b">
        <f t="array" ref="U990">(INDEX('Ontology and concepts per UC'!$G$2:$I$46,MATCH($S990,'Ontology and concepts per UC'!$F$2:$F$46,0),MATCH(LEFT($A990,3),'Ontology and concepts per UC'!$G$1:$I$1,0))=0)</f>
        <v>0</v>
      </c>
      <c r="V990" s="1" t="b">
        <f t="shared" si="27"/>
        <v>1</v>
      </c>
      <c r="W990" s="1" t="b">
        <v>1</v>
      </c>
      <c r="X990" s="1" t="b">
        <v>0</v>
      </c>
      <c r="Y990" s="1" t="b">
        <v>0</v>
      </c>
      <c r="Z990" s="1" t="b">
        <v>0</v>
      </c>
      <c r="AA990" s="1" t="s">
        <v>2542</v>
      </c>
    </row>
    <row r="991" spans="1:27" x14ac:dyDescent="0.25">
      <c r="A991" s="1" t="s">
        <v>2529</v>
      </c>
      <c r="B991" s="2" t="s">
        <v>2549</v>
      </c>
      <c r="C991" s="2" t="s">
        <v>2550</v>
      </c>
      <c r="D991" s="6">
        <f t="shared" si="21"/>
        <v>1</v>
      </c>
      <c r="E991" s="7" t="str">
        <f t="shared" si="22"/>
        <v>IRICost</v>
      </c>
      <c r="F991" s="8" t="b">
        <f>IF(D991&lt;1,FALSE,ISERROR(MATCH(E991,'Ontology and concepts per UC'!$A$2:$A$62,0)))</f>
        <v>1</v>
      </c>
      <c r="G991" s="9" t="str">
        <f t="shared" si="23"/>
        <v/>
      </c>
      <c r="H991" s="9" t="str">
        <f t="shared" si="24"/>
        <v/>
      </c>
      <c r="I991" s="8" t="b">
        <f>IF(D991&lt;2,FALSE,ISERROR(MATCH(H991,'Ontology and concepts per UC'!$A$2:$A$62,0)))</f>
        <v>0</v>
      </c>
      <c r="J991" s="9" t="str">
        <f t="shared" si="25"/>
        <v/>
      </c>
      <c r="K991" s="8" t="b">
        <f>IF(D991&lt;3,FALSE,ISERROR(MATCH(J991,'Ontology and concepts per UC'!$A$2:$A$62,0)))</f>
        <v>0</v>
      </c>
      <c r="L991" s="2" t="s">
        <v>2551</v>
      </c>
      <c r="M991" s="2" t="s">
        <v>2552</v>
      </c>
      <c r="N991" s="2"/>
      <c r="O991" s="1" t="b">
        <v>0</v>
      </c>
      <c r="P991" s="1">
        <v>1</v>
      </c>
      <c r="Q991" s="1">
        <v>1</v>
      </c>
      <c r="R991" s="1" t="b">
        <f t="shared" si="26"/>
        <v>1</v>
      </c>
      <c r="S991" s="2" t="s">
        <v>11</v>
      </c>
      <c r="T991" s="1" t="str">
        <f>IF(S991="","",VLOOKUP(S991,'Ontology and concepts per UC'!$F$2:$J$46,5,FALSE))</f>
        <v>Coste</v>
      </c>
      <c r="U991" s="1" t="b">
        <f t="array" ref="U991">(INDEX('Ontology and concepts per UC'!$G$2:$I$46,MATCH($S991,'Ontology and concepts per UC'!$F$2:$F$46,0),MATCH(LEFT($A991,3),'Ontology and concepts per UC'!$G$1:$I$1,0))=0)</f>
        <v>0</v>
      </c>
      <c r="V991" s="1" t="b">
        <f t="shared" si="27"/>
        <v>1</v>
      </c>
      <c r="W991" s="1" t="b">
        <v>1</v>
      </c>
      <c r="X991" s="1" t="b">
        <v>0</v>
      </c>
      <c r="Y991" s="1" t="b">
        <v>0</v>
      </c>
      <c r="Z991" s="1" t="b">
        <v>0</v>
      </c>
      <c r="AA991" s="1" t="s">
        <v>2553</v>
      </c>
    </row>
    <row r="992" spans="1:27" x14ac:dyDescent="0.25">
      <c r="A992" s="1" t="s">
        <v>2529</v>
      </c>
      <c r="B992" s="2" t="s">
        <v>2554</v>
      </c>
      <c r="C992" s="2" t="s">
        <v>2550</v>
      </c>
      <c r="D992" s="6">
        <f t="shared" si="21"/>
        <v>1</v>
      </c>
      <c r="E992" s="7" t="str">
        <f t="shared" si="22"/>
        <v>IRICost</v>
      </c>
      <c r="F992" s="8" t="b">
        <f>IF(D992&lt;1,FALSE,ISERROR(MATCH(E992,'Ontology and concepts per UC'!$A$2:$A$62,0)))</f>
        <v>1</v>
      </c>
      <c r="G992" s="9" t="str">
        <f t="shared" si="23"/>
        <v/>
      </c>
      <c r="H992" s="9" t="str">
        <f t="shared" si="24"/>
        <v/>
      </c>
      <c r="I992" s="8" t="b">
        <f>IF(D992&lt;2,FALSE,ISERROR(MATCH(H992,'Ontology and concepts per UC'!$A$2:$A$62,0)))</f>
        <v>0</v>
      </c>
      <c r="J992" s="9" t="str">
        <f t="shared" si="25"/>
        <v/>
      </c>
      <c r="K992" s="8" t="b">
        <f>IF(D992&lt;3,FALSE,ISERROR(MATCH(J992,'Ontology and concepts per UC'!$A$2:$A$62,0)))</f>
        <v>0</v>
      </c>
      <c r="L992" s="2" t="s">
        <v>2551</v>
      </c>
      <c r="M992" s="2" t="s">
        <v>2555</v>
      </c>
      <c r="N992" s="2"/>
      <c r="O992" s="1" t="b">
        <v>0</v>
      </c>
      <c r="P992" s="1">
        <v>1</v>
      </c>
      <c r="Q992" s="1">
        <v>1</v>
      </c>
      <c r="R992" s="1" t="b">
        <f t="shared" si="26"/>
        <v>0</v>
      </c>
      <c r="S992" s="2" t="s">
        <v>10</v>
      </c>
      <c r="T992" s="1" t="str">
        <f>IF(S992="","",VLOOKUP(S992,'Ontology and concepts per UC'!$F$2:$J$46,5,FALSE))</f>
        <v>Coste</v>
      </c>
      <c r="U992" s="1" t="b">
        <f t="array" ref="U992">(INDEX('Ontology and concepts per UC'!$G$2:$I$46,MATCH($S992,'Ontology and concepts per UC'!$F$2:$F$46,0),MATCH(LEFT($A992,3),'Ontology and concepts per UC'!$G$1:$I$1,0))=0)</f>
        <v>0</v>
      </c>
      <c r="V992" s="1" t="b">
        <f t="shared" si="27"/>
        <v>1</v>
      </c>
      <c r="W992" s="1" t="b">
        <v>1</v>
      </c>
      <c r="X992" s="1" t="b">
        <v>0</v>
      </c>
      <c r="Y992" s="1" t="b">
        <v>0</v>
      </c>
      <c r="Z992" s="1" t="b">
        <v>0</v>
      </c>
      <c r="AA992" s="1" t="s">
        <v>2553</v>
      </c>
    </row>
    <row r="993" spans="1:27" x14ac:dyDescent="0.25">
      <c r="A993" s="1" t="s">
        <v>2529</v>
      </c>
      <c r="B993" s="2" t="s">
        <v>2556</v>
      </c>
      <c r="C993" s="2" t="s">
        <v>2557</v>
      </c>
      <c r="D993" s="6">
        <f t="shared" si="21"/>
        <v>1</v>
      </c>
      <c r="E993" s="7" t="str">
        <f t="shared" si="22"/>
        <v>IRIDevelopment</v>
      </c>
      <c r="F993" s="8" t="b">
        <f>IF(D993&lt;1,FALSE,ISERROR(MATCH(E993,'Ontology and concepts per UC'!$A$2:$A$62,0)))</f>
        <v>1</v>
      </c>
      <c r="G993" s="9" t="str">
        <f t="shared" si="23"/>
        <v/>
      </c>
      <c r="H993" s="9" t="str">
        <f t="shared" si="24"/>
        <v/>
      </c>
      <c r="I993" s="8" t="b">
        <f>IF(D993&lt;2,FALSE,ISERROR(MATCH(H993,'Ontology and concepts per UC'!$A$2:$A$62,0)))</f>
        <v>0</v>
      </c>
      <c r="J993" s="9" t="str">
        <f t="shared" si="25"/>
        <v/>
      </c>
      <c r="K993" s="8" t="b">
        <f>IF(D993&lt;3,FALSE,ISERROR(MATCH(J993,'Ontology and concepts per UC'!$A$2:$A$62,0)))</f>
        <v>0</v>
      </c>
      <c r="L993" s="2" t="s">
        <v>2558</v>
      </c>
      <c r="M993" s="2" t="s">
        <v>2559</v>
      </c>
      <c r="N993" s="2"/>
      <c r="O993" s="1" t="b">
        <v>0</v>
      </c>
      <c r="P993" s="1">
        <v>1</v>
      </c>
      <c r="Q993" s="1">
        <v>0</v>
      </c>
      <c r="R993" s="1" t="b">
        <f t="shared" si="26"/>
        <v>0</v>
      </c>
      <c r="S993" s="2" t="s">
        <v>187</v>
      </c>
      <c r="T993" s="1" t="str">
        <f>IF(S993="","",VLOOKUP(S993,'Ontology and concepts per UC'!$F$2:$J$46,5,FALSE))</f>
        <v>Otros</v>
      </c>
      <c r="U993" s="1" t="b">
        <f t="array" ref="U993">(INDEX('Ontology and concepts per UC'!$G$2:$I$46,MATCH($S993,'Ontology and concepts per UC'!$F$2:$F$46,0),MATCH(LEFT($A993,3),'Ontology and concepts per UC'!$G$1:$I$1,0))=0)</f>
        <v>1</v>
      </c>
      <c r="V993" s="1" t="b">
        <f t="shared" si="27"/>
        <v>1</v>
      </c>
      <c r="W993" s="1" t="b">
        <v>1</v>
      </c>
      <c r="X993" s="1" t="b">
        <v>0</v>
      </c>
      <c r="Y993" s="1" t="b">
        <v>0</v>
      </c>
      <c r="Z993" s="1" t="b">
        <v>0</v>
      </c>
      <c r="AA993" s="1" t="s">
        <v>2560</v>
      </c>
    </row>
    <row r="994" spans="1:27" x14ac:dyDescent="0.25">
      <c r="A994" s="1" t="s">
        <v>2529</v>
      </c>
      <c r="B994" s="2" t="s">
        <v>2561</v>
      </c>
      <c r="C994" s="2" t="s">
        <v>2562</v>
      </c>
      <c r="D994" s="6">
        <f t="shared" si="21"/>
        <v>1</v>
      </c>
      <c r="E994" s="7" t="str">
        <f t="shared" si="22"/>
        <v>IRIDiseaseProgression</v>
      </c>
      <c r="F994" s="8" t="b">
        <f>IF(D994&lt;1,FALSE,ISERROR(MATCH(E994,'Ontology and concepts per UC'!$A$2:$A$62,0)))</f>
        <v>1</v>
      </c>
      <c r="G994" s="9" t="str">
        <f t="shared" si="23"/>
        <v/>
      </c>
      <c r="H994" s="9" t="str">
        <f t="shared" si="24"/>
        <v/>
      </c>
      <c r="I994" s="8" t="b">
        <f>IF(D994&lt;2,FALSE,ISERROR(MATCH(H994,'Ontology and concepts per UC'!$A$2:$A$62,0)))</f>
        <v>0</v>
      </c>
      <c r="J994" s="9" t="str">
        <f t="shared" si="25"/>
        <v/>
      </c>
      <c r="K994" s="8" t="b">
        <f>IF(D994&lt;3,FALSE,ISERROR(MATCH(J994,'Ontology and concepts per UC'!$A$2:$A$62,0)))</f>
        <v>0</v>
      </c>
      <c r="L994" s="2" t="s">
        <v>2563</v>
      </c>
      <c r="M994" s="2" t="s">
        <v>2564</v>
      </c>
      <c r="N994" s="2"/>
      <c r="O994" s="1" t="b">
        <v>0</v>
      </c>
      <c r="P994" s="1">
        <v>1</v>
      </c>
      <c r="Q994" s="1">
        <v>0</v>
      </c>
      <c r="R994" s="1" t="b">
        <f t="shared" si="26"/>
        <v>0</v>
      </c>
      <c r="S994" s="2" t="s">
        <v>187</v>
      </c>
      <c r="T994" s="1" t="str">
        <f>IF(S994="","",VLOOKUP(S994,'Ontology and concepts per UC'!$F$2:$J$46,5,FALSE))</f>
        <v>Otros</v>
      </c>
      <c r="U994" s="1" t="b">
        <f t="array" ref="U994">(INDEX('Ontology and concepts per UC'!$G$2:$I$46,MATCH($S994,'Ontology and concepts per UC'!$F$2:$F$46,0),MATCH(LEFT($A994,3),'Ontology and concepts per UC'!$G$1:$I$1,0))=0)</f>
        <v>1</v>
      </c>
      <c r="V994" s="1" t="b">
        <f t="shared" si="27"/>
        <v>1</v>
      </c>
      <c r="W994" s="1" t="b">
        <v>1</v>
      </c>
      <c r="X994" s="1" t="b">
        <v>0</v>
      </c>
      <c r="Y994" s="1" t="b">
        <v>0</v>
      </c>
      <c r="Z994" s="1" t="b">
        <v>0</v>
      </c>
      <c r="AA994" s="1" t="s">
        <v>2565</v>
      </c>
    </row>
    <row r="995" spans="1:27" x14ac:dyDescent="0.25">
      <c r="A995" s="1" t="s">
        <v>2529</v>
      </c>
      <c r="B995" s="2" t="s">
        <v>2566</v>
      </c>
      <c r="C995" s="2" t="s">
        <v>2567</v>
      </c>
      <c r="D995" s="6">
        <f t="shared" si="21"/>
        <v>1</v>
      </c>
      <c r="E995" s="7" t="str">
        <f t="shared" si="22"/>
        <v>IRIEpidemiologicalParameter</v>
      </c>
      <c r="F995" s="8" t="b">
        <f>IF(D995&lt;1,FALSE,ISERROR(MATCH(E995,'Ontology and concepts per UC'!$A$2:$A$62,0)))</f>
        <v>1</v>
      </c>
      <c r="G995" s="9" t="str">
        <f t="shared" si="23"/>
        <v/>
      </c>
      <c r="H995" s="9" t="str">
        <f t="shared" si="24"/>
        <v/>
      </c>
      <c r="I995" s="8" t="b">
        <f>IF(D995&lt;2,FALSE,ISERROR(MATCH(H995,'Ontology and concepts per UC'!$A$2:$A$62,0)))</f>
        <v>0</v>
      </c>
      <c r="J995" s="9" t="str">
        <f t="shared" si="25"/>
        <v/>
      </c>
      <c r="K995" s="8" t="b">
        <f>IF(D995&lt;3,FALSE,ISERROR(MATCH(J995,'Ontology and concepts per UC'!$A$2:$A$62,0)))</f>
        <v>0</v>
      </c>
      <c r="L995" s="2" t="s">
        <v>2568</v>
      </c>
      <c r="M995" s="2" t="s">
        <v>2569</v>
      </c>
      <c r="N995" s="2"/>
      <c r="O995" s="1" t="b">
        <v>0</v>
      </c>
      <c r="P995" s="1">
        <v>1</v>
      </c>
      <c r="Q995" s="1">
        <v>0</v>
      </c>
      <c r="R995" s="1" t="b">
        <f t="shared" si="26"/>
        <v>1</v>
      </c>
      <c r="S995" s="2" t="s">
        <v>107</v>
      </c>
      <c r="T995" s="1" t="str">
        <f>IF(S995="","",VLOOKUP(S995,'Ontology and concepts per UC'!$F$2:$J$46,5,FALSE))</f>
        <v>Parcial</v>
      </c>
      <c r="U995" s="1" t="b">
        <f t="array" ref="U995">(INDEX('Ontology and concepts per UC'!$G$2:$I$46,MATCH($S995,'Ontology and concepts per UC'!$F$2:$F$46,0),MATCH(LEFT($A995,3),'Ontology and concepts per UC'!$G$1:$I$1,0))=0)</f>
        <v>0</v>
      </c>
      <c r="V995" s="1" t="b">
        <f t="shared" si="27"/>
        <v>1</v>
      </c>
      <c r="W995" s="1" t="b">
        <v>1</v>
      </c>
      <c r="X995" s="1" t="b">
        <v>0</v>
      </c>
      <c r="Y995" s="1" t="b">
        <v>0</v>
      </c>
      <c r="Z995" s="1" t="b">
        <v>0</v>
      </c>
      <c r="AA995" s="1" t="s">
        <v>2570</v>
      </c>
    </row>
    <row r="996" spans="1:27" x14ac:dyDescent="0.25">
      <c r="A996" s="1" t="s">
        <v>2529</v>
      </c>
      <c r="B996" s="2" t="s">
        <v>2571</v>
      </c>
      <c r="C996" s="2" t="s">
        <v>2567</v>
      </c>
      <c r="D996" s="6">
        <f t="shared" si="21"/>
        <v>1</v>
      </c>
      <c r="E996" s="7" t="str">
        <f t="shared" si="22"/>
        <v>IRIEpidemiologicalParameter</v>
      </c>
      <c r="F996" s="8" t="b">
        <f>IF(D996&lt;1,FALSE,ISERROR(MATCH(E996,'Ontology and concepts per UC'!$A$2:$A$62,0)))</f>
        <v>1</v>
      </c>
      <c r="G996" s="9" t="str">
        <f t="shared" si="23"/>
        <v/>
      </c>
      <c r="H996" s="9" t="str">
        <f t="shared" si="24"/>
        <v/>
      </c>
      <c r="I996" s="8" t="b">
        <f>IF(D996&lt;2,FALSE,ISERROR(MATCH(H996,'Ontology and concepts per UC'!$A$2:$A$62,0)))</f>
        <v>0</v>
      </c>
      <c r="J996" s="9" t="str">
        <f t="shared" si="25"/>
        <v/>
      </c>
      <c r="K996" s="8" t="b">
        <f>IF(D996&lt;3,FALSE,ISERROR(MATCH(J996,'Ontology and concepts per UC'!$A$2:$A$62,0)))</f>
        <v>0</v>
      </c>
      <c r="L996" s="2" t="s">
        <v>2568</v>
      </c>
      <c r="M996" s="2" t="s">
        <v>2572</v>
      </c>
      <c r="N996" s="2"/>
      <c r="O996" s="1" t="b">
        <v>0</v>
      </c>
      <c r="P996" s="1">
        <v>1</v>
      </c>
      <c r="Q996" s="1">
        <v>0</v>
      </c>
      <c r="R996" s="1" t="b">
        <f t="shared" si="26"/>
        <v>1</v>
      </c>
      <c r="S996" s="2" t="s">
        <v>38</v>
      </c>
      <c r="T996" s="1" t="str">
        <f>IF(S996="","",VLOOKUP(S996,'Ontology and concepts per UC'!$F$2:$J$46,5,FALSE))</f>
        <v>Parámetro epidemiológico</v>
      </c>
      <c r="U996" s="1" t="b">
        <f t="array" ref="U996">(INDEX('Ontology and concepts per UC'!$G$2:$I$46,MATCH($S996,'Ontology and concepts per UC'!$F$2:$F$46,0),MATCH(LEFT($A996,3),'Ontology and concepts per UC'!$G$1:$I$1,0))=0)</f>
        <v>0</v>
      </c>
      <c r="V996" s="1" t="b">
        <f t="shared" si="27"/>
        <v>1</v>
      </c>
      <c r="W996" s="1" t="b">
        <v>1</v>
      </c>
      <c r="X996" s="1" t="b">
        <v>0</v>
      </c>
      <c r="Y996" s="1" t="b">
        <v>0</v>
      </c>
      <c r="Z996" s="1" t="b">
        <v>0</v>
      </c>
      <c r="AA996" s="1" t="s">
        <v>2570</v>
      </c>
    </row>
    <row r="997" spans="1:27" x14ac:dyDescent="0.25">
      <c r="A997" s="1" t="s">
        <v>2529</v>
      </c>
      <c r="B997" s="2" t="s">
        <v>2573</v>
      </c>
      <c r="C997" s="2" t="s">
        <v>2574</v>
      </c>
      <c r="D997" s="6">
        <f t="shared" si="21"/>
        <v>1</v>
      </c>
      <c r="E997" s="7" t="str">
        <f t="shared" si="22"/>
        <v>IRIParameter</v>
      </c>
      <c r="F997" s="8" t="b">
        <f>IF(D997&lt;1,FALSE,ISERROR(MATCH(E997,'Ontology and concepts per UC'!$A$2:$A$62,0)))</f>
        <v>1</v>
      </c>
      <c r="G997" s="9" t="str">
        <f t="shared" si="23"/>
        <v/>
      </c>
      <c r="H997" s="9" t="str">
        <f t="shared" si="24"/>
        <v/>
      </c>
      <c r="I997" s="8" t="b">
        <f>IF(D997&lt;2,FALSE,ISERROR(MATCH(H997,'Ontology and concepts per UC'!$A$2:$A$62,0)))</f>
        <v>0</v>
      </c>
      <c r="J997" s="9" t="str">
        <f t="shared" si="25"/>
        <v/>
      </c>
      <c r="K997" s="8" t="b">
        <f>IF(D997&lt;3,FALSE,ISERROR(MATCH(J997,'Ontology and concepts per UC'!$A$2:$A$62,0)))</f>
        <v>0</v>
      </c>
      <c r="L997" s="2" t="s">
        <v>2575</v>
      </c>
      <c r="M997" s="2" t="s">
        <v>2576</v>
      </c>
      <c r="N997" s="2"/>
      <c r="O997" s="1" t="b">
        <v>0</v>
      </c>
      <c r="P997" s="1">
        <v>1</v>
      </c>
      <c r="Q997" s="1">
        <v>0</v>
      </c>
      <c r="R997" s="1" t="b">
        <f t="shared" si="26"/>
        <v>0</v>
      </c>
      <c r="S997" s="2" t="s">
        <v>187</v>
      </c>
      <c r="T997" s="1" t="str">
        <f>IF(S997="","",VLOOKUP(S997,'Ontology and concepts per UC'!$F$2:$J$46,5,FALSE))</f>
        <v>Otros</v>
      </c>
      <c r="U997" s="1" t="b">
        <f t="array" ref="U997">(INDEX('Ontology and concepts per UC'!$G$2:$I$46,MATCH($S997,'Ontology and concepts per UC'!$F$2:$F$46,0),MATCH(LEFT($A997,3),'Ontology and concepts per UC'!$G$1:$I$1,0))=0)</f>
        <v>1</v>
      </c>
      <c r="V997" s="1" t="b">
        <f t="shared" si="27"/>
        <v>1</v>
      </c>
      <c r="W997" s="1" t="b">
        <v>1</v>
      </c>
      <c r="X997" s="1" t="b">
        <v>0</v>
      </c>
      <c r="Y997" s="1" t="b">
        <v>1</v>
      </c>
      <c r="Z997" s="1" t="b">
        <v>0</v>
      </c>
      <c r="AA997" s="1" t="s">
        <v>2577</v>
      </c>
    </row>
    <row r="998" spans="1:27" x14ac:dyDescent="0.25">
      <c r="A998" s="1" t="s">
        <v>2529</v>
      </c>
      <c r="B998" s="2" t="s">
        <v>2578</v>
      </c>
      <c r="C998" s="2" t="s">
        <v>2574</v>
      </c>
      <c r="D998" s="6">
        <f t="shared" si="21"/>
        <v>1</v>
      </c>
      <c r="E998" s="7" t="str">
        <f t="shared" si="22"/>
        <v>IRIParameter</v>
      </c>
      <c r="F998" s="8" t="b">
        <f>IF(D998&lt;1,FALSE,ISERROR(MATCH(E998,'Ontology and concepts per UC'!$A$2:$A$62,0)))</f>
        <v>1</v>
      </c>
      <c r="G998" s="9" t="str">
        <f t="shared" si="23"/>
        <v/>
      </c>
      <c r="H998" s="9" t="str">
        <f t="shared" si="24"/>
        <v/>
      </c>
      <c r="I998" s="8" t="b">
        <f>IF(D998&lt;2,FALSE,ISERROR(MATCH(H998,'Ontology and concepts per UC'!$A$2:$A$62,0)))</f>
        <v>0</v>
      </c>
      <c r="J998" s="9" t="str">
        <f t="shared" si="25"/>
        <v/>
      </c>
      <c r="K998" s="8" t="b">
        <f>IF(D998&lt;3,FALSE,ISERROR(MATCH(J998,'Ontology and concepts per UC'!$A$2:$A$62,0)))</f>
        <v>0</v>
      </c>
      <c r="L998" s="2" t="s">
        <v>2579</v>
      </c>
      <c r="M998" s="2" t="s">
        <v>2580</v>
      </c>
      <c r="N998" s="2"/>
      <c r="O998" s="1" t="b">
        <v>0</v>
      </c>
      <c r="P998" s="1">
        <v>1</v>
      </c>
      <c r="Q998" s="1">
        <v>0</v>
      </c>
      <c r="R998" s="1" t="b">
        <f t="shared" si="26"/>
        <v>1</v>
      </c>
      <c r="S998" s="2" t="s">
        <v>47</v>
      </c>
      <c r="T998" s="1" t="str">
        <f>IF(S998="","",VLOOKUP(S998,'Ontology and concepts per UC'!$F$2:$J$46,5,FALSE))</f>
        <v>Parámetros de intervención</v>
      </c>
      <c r="U998" s="1" t="b">
        <f t="array" ref="U998">(INDEX('Ontology and concepts per UC'!$G$2:$I$46,MATCH($S998,'Ontology and concepts per UC'!$F$2:$F$46,0),MATCH(LEFT($A998,3),'Ontology and concepts per UC'!$G$1:$I$1,0))=0)</f>
        <v>0</v>
      </c>
      <c r="V998" s="1" t="b">
        <f t="shared" si="27"/>
        <v>1</v>
      </c>
      <c r="W998" s="1" t="b">
        <v>1</v>
      </c>
      <c r="X998" s="1" t="b">
        <v>0</v>
      </c>
      <c r="Y998" s="1" t="b">
        <v>0</v>
      </c>
      <c r="Z998" s="1" t="b">
        <v>0</v>
      </c>
      <c r="AA998" s="1" t="s">
        <v>2581</v>
      </c>
    </row>
    <row r="999" spans="1:27" x14ac:dyDescent="0.25">
      <c r="A999" s="1" t="s">
        <v>2529</v>
      </c>
      <c r="B999" s="2" t="s">
        <v>2582</v>
      </c>
      <c r="C999" s="2" t="s">
        <v>2583</v>
      </c>
      <c r="D999" s="6">
        <f t="shared" si="21"/>
        <v>1</v>
      </c>
      <c r="E999" s="7" t="str">
        <f t="shared" si="22"/>
        <v>IRIPopulation</v>
      </c>
      <c r="F999" s="8" t="b">
        <f>IF(D999&lt;1,FALSE,ISERROR(MATCH(E999,'Ontology and concepts per UC'!$A$2:$A$62,0)))</f>
        <v>1</v>
      </c>
      <c r="G999" s="9" t="str">
        <f t="shared" si="23"/>
        <v/>
      </c>
      <c r="H999" s="9" t="str">
        <f t="shared" si="24"/>
        <v/>
      </c>
      <c r="I999" s="8" t="b">
        <f>IF(D999&lt;2,FALSE,ISERROR(MATCH(H999,'Ontology and concepts per UC'!$A$2:$A$62,0)))</f>
        <v>0</v>
      </c>
      <c r="J999" s="9" t="str">
        <f t="shared" si="25"/>
        <v/>
      </c>
      <c r="K999" s="8" t="b">
        <f>IF(D999&lt;3,FALSE,ISERROR(MATCH(J999,'Ontology and concepts per UC'!$A$2:$A$62,0)))</f>
        <v>0</v>
      </c>
      <c r="L999" s="2"/>
      <c r="M999" s="2" t="s">
        <v>2584</v>
      </c>
      <c r="N999" s="2"/>
      <c r="O999" s="1" t="b">
        <v>0</v>
      </c>
      <c r="P999" s="1">
        <v>1</v>
      </c>
      <c r="Q999" s="1">
        <v>0</v>
      </c>
      <c r="R999" s="1" t="b">
        <f t="shared" si="26"/>
        <v>1</v>
      </c>
      <c r="S999" s="2" t="s">
        <v>13</v>
      </c>
      <c r="T999" s="1" t="str">
        <f>IF(S999="","",VLOOKUP(S999,'Ontology and concepts per UC'!$F$2:$J$46,5,FALSE))</f>
        <v>Modelo Conceptual</v>
      </c>
      <c r="U999" s="1" t="b">
        <f t="array" ref="U999">(INDEX('Ontology and concepts per UC'!$G$2:$I$46,MATCH($S999,'Ontology and concepts per UC'!$F$2:$F$46,0),MATCH(LEFT($A999,3),'Ontology and concepts per UC'!$G$1:$I$1,0))=0)</f>
        <v>0</v>
      </c>
      <c r="V999" s="1" t="b">
        <f t="shared" si="27"/>
        <v>1</v>
      </c>
      <c r="W999" s="1" t="b">
        <v>1</v>
      </c>
      <c r="X999" s="1" t="b">
        <v>0</v>
      </c>
      <c r="Y999" s="1" t="b">
        <v>0</v>
      </c>
      <c r="Z999" s="1" t="b">
        <v>0</v>
      </c>
      <c r="AA999" s="1" t="s">
        <v>2585</v>
      </c>
    </row>
    <row r="1000" spans="1:27" x14ac:dyDescent="0.25">
      <c r="A1000" s="1" t="s">
        <v>2529</v>
      </c>
      <c r="B1000" s="2" t="s">
        <v>2586</v>
      </c>
      <c r="C1000" s="2" t="s">
        <v>2587</v>
      </c>
      <c r="D1000" s="6">
        <f t="shared" si="21"/>
        <v>1</v>
      </c>
      <c r="E1000" s="7" t="str">
        <f t="shared" si="22"/>
        <v>IRIRareDisease</v>
      </c>
      <c r="F1000" s="8" t="b">
        <f>IF(D1000&lt;1,FALSE,ISERROR(MATCH(E1000,'Ontology and concepts per UC'!$A$2:$A$62,0)))</f>
        <v>1</v>
      </c>
      <c r="G1000" s="9" t="str">
        <f t="shared" si="23"/>
        <v/>
      </c>
      <c r="H1000" s="9" t="str">
        <f t="shared" si="24"/>
        <v/>
      </c>
      <c r="I1000" s="8" t="b">
        <f>IF(D1000&lt;2,FALSE,ISERROR(MATCH(H1000,'Ontology and concepts per UC'!$A$2:$A$62,0)))</f>
        <v>0</v>
      </c>
      <c r="J1000" s="9" t="str">
        <f t="shared" si="25"/>
        <v/>
      </c>
      <c r="K1000" s="8" t="b">
        <f>IF(D1000&lt;3,FALSE,ISERROR(MATCH(J1000,'Ontology and concepts per UC'!$A$2:$A$62,0)))</f>
        <v>0</v>
      </c>
      <c r="L1000" s="2"/>
      <c r="M1000" s="2" t="s">
        <v>2588</v>
      </c>
      <c r="N1000" s="2"/>
      <c r="O1000" s="1" t="b">
        <v>0</v>
      </c>
      <c r="P1000" s="1">
        <v>1</v>
      </c>
      <c r="Q1000" s="1">
        <v>0</v>
      </c>
      <c r="R1000" s="1" t="b">
        <f t="shared" si="26"/>
        <v>0</v>
      </c>
      <c r="S1000" s="2" t="s">
        <v>35</v>
      </c>
      <c r="T1000" s="1" t="str">
        <f>IF(S1000="","",VLOOKUP(S1000,'Ontology and concepts per UC'!$F$2:$J$46,5,FALSE))</f>
        <v>Modelo Conceptual</v>
      </c>
      <c r="U1000" s="1" t="b">
        <f t="array" ref="U1000">(INDEX('Ontology and concepts per UC'!$G$2:$I$46,MATCH($S1000,'Ontology and concepts per UC'!$F$2:$F$46,0),MATCH(LEFT($A1000,3),'Ontology and concepts per UC'!$G$1:$I$1,0))=0)</f>
        <v>0</v>
      </c>
      <c r="V1000" s="1" t="b">
        <f t="shared" si="27"/>
        <v>1</v>
      </c>
      <c r="W1000" s="1" t="b">
        <v>1</v>
      </c>
      <c r="X1000" s="1" t="b">
        <v>0</v>
      </c>
      <c r="Y1000" s="1" t="b">
        <v>0</v>
      </c>
      <c r="Z1000" s="1" t="b">
        <v>0</v>
      </c>
      <c r="AA1000" s="1" t="s">
        <v>2589</v>
      </c>
    </row>
    <row r="1001" spans="1:27" x14ac:dyDescent="0.25">
      <c r="A1001" s="1" t="s">
        <v>2529</v>
      </c>
      <c r="B1001" s="2" t="s">
        <v>2590</v>
      </c>
      <c r="C1001" s="2" t="s">
        <v>1019</v>
      </c>
      <c r="D1001" s="6">
        <f t="shared" si="21"/>
        <v>1</v>
      </c>
      <c r="E1001" s="7" t="str">
        <f t="shared" si="22"/>
        <v>IRIScreeningIntervention</v>
      </c>
      <c r="F1001" s="8" t="b">
        <f>IF(D1001&lt;1,FALSE,ISERROR(MATCH(E1001,'Ontology and concepts per UC'!$A$2:$A$62,0)))</f>
        <v>1</v>
      </c>
      <c r="G1001" s="9" t="str">
        <f t="shared" si="23"/>
        <v/>
      </c>
      <c r="H1001" s="9" t="str">
        <f t="shared" si="24"/>
        <v/>
      </c>
      <c r="I1001" s="8" t="b">
        <f>IF(D1001&lt;2,FALSE,ISERROR(MATCH(H1001,'Ontology and concepts per UC'!$A$2:$A$62,0)))</f>
        <v>0</v>
      </c>
      <c r="J1001" s="9" t="str">
        <f t="shared" si="25"/>
        <v/>
      </c>
      <c r="K1001" s="8" t="b">
        <f>IF(D1001&lt;3,FALSE,ISERROR(MATCH(J1001,'Ontology and concepts per UC'!$A$2:$A$62,0)))</f>
        <v>0</v>
      </c>
      <c r="L1001" s="2" t="s">
        <v>2591</v>
      </c>
      <c r="M1001" s="2" t="s">
        <v>2592</v>
      </c>
      <c r="N1001" s="2"/>
      <c r="O1001" s="1" t="b">
        <v>0</v>
      </c>
      <c r="P1001" s="1">
        <v>1</v>
      </c>
      <c r="Q1001" s="1">
        <v>2</v>
      </c>
      <c r="R1001" s="1" t="b">
        <f t="shared" si="26"/>
        <v>0</v>
      </c>
      <c r="S1001" s="2" t="s">
        <v>24</v>
      </c>
      <c r="T1001" s="1" t="str">
        <f>IF(S1001="","",VLOOKUP(S1001,'Ontology and concepts per UC'!$F$2:$J$46,5,FALSE))</f>
        <v>Modelo Conceptual</v>
      </c>
      <c r="U1001" s="1" t="b">
        <f t="array" ref="U1001">(INDEX('Ontology and concepts per UC'!$G$2:$I$46,MATCH($S1001,'Ontology and concepts per UC'!$F$2:$F$46,0),MATCH(LEFT($A1001,3),'Ontology and concepts per UC'!$G$1:$I$1,0))=0)</f>
        <v>0</v>
      </c>
      <c r="V1001" s="1" t="b">
        <f t="shared" si="27"/>
        <v>1</v>
      </c>
      <c r="W1001" s="1" t="b">
        <v>1</v>
      </c>
      <c r="X1001" s="1" t="b">
        <v>0</v>
      </c>
      <c r="Y1001" s="1" t="b">
        <v>0</v>
      </c>
      <c r="Z1001" s="1" t="b">
        <v>0</v>
      </c>
      <c r="AA1001" s="1" t="s">
        <v>2593</v>
      </c>
    </row>
    <row r="1002" spans="1:27" x14ac:dyDescent="0.25">
      <c r="A1002" s="1" t="s">
        <v>2529</v>
      </c>
      <c r="B1002" s="2" t="s">
        <v>2594</v>
      </c>
      <c r="C1002" s="2" t="s">
        <v>2595</v>
      </c>
      <c r="D1002" s="6">
        <f t="shared" si="21"/>
        <v>1</v>
      </c>
      <c r="E1002" s="7" t="str">
        <f t="shared" si="22"/>
        <v>IRIScreeningStrategy</v>
      </c>
      <c r="F1002" s="8" t="b">
        <f>IF(D1002&lt;1,FALSE,ISERROR(MATCH(E1002,'Ontology and concepts per UC'!$A$2:$A$62,0)))</f>
        <v>1</v>
      </c>
      <c r="G1002" s="9" t="str">
        <f t="shared" si="23"/>
        <v/>
      </c>
      <c r="H1002" s="9" t="str">
        <f t="shared" si="24"/>
        <v/>
      </c>
      <c r="I1002" s="8" t="b">
        <f>IF(D1002&lt;2,FALSE,ISERROR(MATCH(H1002,'Ontology and concepts per UC'!$A$2:$A$62,0)))</f>
        <v>0</v>
      </c>
      <c r="J1002" s="9" t="str">
        <f t="shared" si="25"/>
        <v/>
      </c>
      <c r="K1002" s="8" t="b">
        <f>IF(D1002&lt;3,FALSE,ISERROR(MATCH(J1002,'Ontology and concepts per UC'!$A$2:$A$62,0)))</f>
        <v>0</v>
      </c>
      <c r="L1002" s="2" t="s">
        <v>2596</v>
      </c>
      <c r="M1002" s="2" t="s">
        <v>2597</v>
      </c>
      <c r="N1002" s="2"/>
      <c r="O1002" s="1" t="b">
        <v>0</v>
      </c>
      <c r="P1002" s="1">
        <v>1</v>
      </c>
      <c r="Q1002" s="1">
        <v>0</v>
      </c>
      <c r="R1002" s="1" t="b">
        <f t="shared" si="26"/>
        <v>0</v>
      </c>
      <c r="S1002" s="2" t="s">
        <v>47</v>
      </c>
      <c r="T1002" s="1" t="str">
        <f>IF(S1002="","",VLOOKUP(S1002,'Ontology and concepts per UC'!$F$2:$J$46,5,FALSE))</f>
        <v>Parámetros de intervención</v>
      </c>
      <c r="U1002" s="1" t="b">
        <f t="array" ref="U1002">(INDEX('Ontology and concepts per UC'!$G$2:$I$46,MATCH($S1002,'Ontology and concepts per UC'!$F$2:$F$46,0),MATCH(LEFT($A1002,3),'Ontology and concepts per UC'!$G$1:$I$1,0))=0)</f>
        <v>0</v>
      </c>
      <c r="V1002" s="1" t="b">
        <f t="shared" si="27"/>
        <v>1</v>
      </c>
      <c r="W1002" s="1" t="b">
        <v>1</v>
      </c>
      <c r="X1002" s="1" t="b">
        <v>0</v>
      </c>
      <c r="Y1002" s="1" t="b">
        <v>0</v>
      </c>
      <c r="Z1002" s="1" t="b">
        <v>0</v>
      </c>
      <c r="AA1002" s="1" t="s">
        <v>2598</v>
      </c>
    </row>
    <row r="1003" spans="1:27" x14ac:dyDescent="0.25">
      <c r="A1003" s="1" t="s">
        <v>2529</v>
      </c>
      <c r="B1003" s="2" t="s">
        <v>2599</v>
      </c>
      <c r="C1003" s="2" t="s">
        <v>2600</v>
      </c>
      <c r="D1003" s="6">
        <f t="shared" si="21"/>
        <v>1</v>
      </c>
      <c r="E1003" s="7" t="str">
        <f t="shared" si="22"/>
        <v>IRIUtility</v>
      </c>
      <c r="F1003" s="8" t="b">
        <f>IF(D1003&lt;1,FALSE,ISERROR(MATCH(E1003,'Ontology and concepts per UC'!$A$2:$A$62,0)))</f>
        <v>1</v>
      </c>
      <c r="G1003" s="9" t="str">
        <f t="shared" si="23"/>
        <v/>
      </c>
      <c r="H1003" s="9" t="str">
        <f t="shared" si="24"/>
        <v/>
      </c>
      <c r="I1003" s="8" t="b">
        <f>IF(D1003&lt;2,FALSE,ISERROR(MATCH(H1003,'Ontology and concepts per UC'!$A$2:$A$62,0)))</f>
        <v>0</v>
      </c>
      <c r="J1003" s="9" t="str">
        <f t="shared" si="25"/>
        <v/>
      </c>
      <c r="K1003" s="8" t="b">
        <f>IF(D1003&lt;3,FALSE,ISERROR(MATCH(J1003,'Ontology and concepts per UC'!$A$2:$A$62,0)))</f>
        <v>0</v>
      </c>
      <c r="L1003" s="2" t="s">
        <v>2601</v>
      </c>
      <c r="M1003" s="2" t="s">
        <v>2602</v>
      </c>
      <c r="N1003" s="2"/>
      <c r="O1003" s="1" t="b">
        <v>0</v>
      </c>
      <c r="P1003" s="1">
        <v>1</v>
      </c>
      <c r="Q1003" s="1">
        <v>0</v>
      </c>
      <c r="R1003" s="1" t="b">
        <f t="shared" si="26"/>
        <v>0</v>
      </c>
      <c r="S1003" s="2" t="s">
        <v>20</v>
      </c>
      <c r="T1003" s="1" t="str">
        <f>IF(S1003="","",VLOOKUP(S1003,'Ontology and concepts per UC'!$F$2:$J$46,5,FALSE))</f>
        <v>Modelo Conceptual</v>
      </c>
      <c r="U1003" s="1" t="b">
        <f t="array" ref="U1003">(INDEX('Ontology and concepts per UC'!$G$2:$I$46,MATCH($S1003,'Ontology and concepts per UC'!$F$2:$F$46,0),MATCH(LEFT($A1003,3),'Ontology and concepts per UC'!$G$1:$I$1,0))=0)</f>
        <v>0</v>
      </c>
      <c r="V1003" s="1" t="b">
        <f t="shared" si="27"/>
        <v>1</v>
      </c>
      <c r="W1003" s="1" t="b">
        <v>1</v>
      </c>
      <c r="X1003" s="1" t="b">
        <v>0</v>
      </c>
      <c r="Y1003" s="1" t="b">
        <v>0</v>
      </c>
      <c r="Z1003" s="1" t="b">
        <v>0</v>
      </c>
      <c r="AA1003" s="1" t="s">
        <v>2603</v>
      </c>
    </row>
    <row r="1004" spans="1:27" x14ac:dyDescent="0.25">
      <c r="A1004" s="1" t="s">
        <v>2529</v>
      </c>
      <c r="B1004" s="2" t="s">
        <v>2604</v>
      </c>
      <c r="C1004" s="2" t="s">
        <v>2600</v>
      </c>
      <c r="D1004" s="6">
        <f t="shared" si="21"/>
        <v>1</v>
      </c>
      <c r="E1004" s="7" t="str">
        <f t="shared" si="22"/>
        <v>IRIUtility</v>
      </c>
      <c r="F1004" s="8" t="b">
        <f>IF(D1004&lt;1,FALSE,ISERROR(MATCH(E1004,'Ontology and concepts per UC'!$A$2:$A$62,0)))</f>
        <v>1</v>
      </c>
      <c r="G1004" s="9" t="str">
        <f t="shared" si="23"/>
        <v/>
      </c>
      <c r="H1004" s="9" t="str">
        <f t="shared" si="24"/>
        <v/>
      </c>
      <c r="I1004" s="8" t="b">
        <f>IF(D1004&lt;2,FALSE,ISERROR(MATCH(H1004,'Ontology and concepts per UC'!$A$2:$A$62,0)))</f>
        <v>0</v>
      </c>
      <c r="J1004" s="9" t="str">
        <f t="shared" si="25"/>
        <v/>
      </c>
      <c r="K1004" s="8" t="b">
        <f>IF(D1004&lt;3,FALSE,ISERROR(MATCH(J1004,'Ontology and concepts per UC'!$A$2:$A$62,0)))</f>
        <v>0</v>
      </c>
      <c r="L1004" s="2" t="s">
        <v>2605</v>
      </c>
      <c r="M1004" s="2" t="s">
        <v>2606</v>
      </c>
      <c r="N1004" s="2"/>
      <c r="O1004" s="1" t="b">
        <v>0</v>
      </c>
      <c r="P1004" s="1">
        <v>1</v>
      </c>
      <c r="Q1004" s="1">
        <v>0</v>
      </c>
      <c r="R1004" s="1" t="b">
        <f t="shared" si="26"/>
        <v>1</v>
      </c>
      <c r="S1004" s="2" t="s">
        <v>67</v>
      </c>
      <c r="T1004" s="1" t="str">
        <f>IF(S1004="","",VLOOKUP(S1004,'Ontology and concepts per UC'!$F$2:$J$46,5,FALSE))</f>
        <v>Utilidad</v>
      </c>
      <c r="U1004" s="1" t="b">
        <f t="array" ref="U1004">(INDEX('Ontology and concepts per UC'!$G$2:$I$46,MATCH($S1004,'Ontology and concepts per UC'!$F$2:$F$46,0),MATCH(LEFT($A1004,3),'Ontology and concepts per UC'!$G$1:$I$1,0))=0)</f>
        <v>0</v>
      </c>
      <c r="V1004" s="1" t="b">
        <f t="shared" si="27"/>
        <v>1</v>
      </c>
      <c r="W1004" s="1" t="b">
        <v>1</v>
      </c>
      <c r="X1004" s="1" t="b">
        <v>0</v>
      </c>
      <c r="Y1004" s="1" t="b">
        <v>0</v>
      </c>
      <c r="Z1004" s="1" t="b">
        <v>0</v>
      </c>
      <c r="AA1004" s="1" t="s">
        <v>2603</v>
      </c>
    </row>
    <row r="1005" spans="1:27" x14ac:dyDescent="0.25">
      <c r="A1005" s="1" t="s">
        <v>2529</v>
      </c>
      <c r="B1005" s="2" t="s">
        <v>2607</v>
      </c>
      <c r="C1005" s="2" t="s">
        <v>2600</v>
      </c>
      <c r="D1005" s="6">
        <f t="shared" si="21"/>
        <v>1</v>
      </c>
      <c r="E1005" s="7" t="str">
        <f t="shared" si="22"/>
        <v>IRIUtility</v>
      </c>
      <c r="F1005" s="8" t="b">
        <f>IF(D1005&lt;1,FALSE,ISERROR(MATCH(E1005,'Ontology and concepts per UC'!$A$2:$A$62,0)))</f>
        <v>1</v>
      </c>
      <c r="G1005" s="9" t="str">
        <f t="shared" si="23"/>
        <v/>
      </c>
      <c r="H1005" s="9" t="str">
        <f t="shared" si="24"/>
        <v/>
      </c>
      <c r="I1005" s="8" t="b">
        <f>IF(D1005&lt;2,FALSE,ISERROR(MATCH(H1005,'Ontology and concepts per UC'!$A$2:$A$62,0)))</f>
        <v>0</v>
      </c>
      <c r="J1005" s="9" t="str">
        <f t="shared" si="25"/>
        <v/>
      </c>
      <c r="K1005" s="8" t="b">
        <f>IF(D1005&lt;3,FALSE,ISERROR(MATCH(J1005,'Ontology and concepts per UC'!$A$2:$A$62,0)))</f>
        <v>0</v>
      </c>
      <c r="L1005" s="2" t="s">
        <v>2605</v>
      </c>
      <c r="M1005" s="2" t="s">
        <v>2608</v>
      </c>
      <c r="N1005" s="2"/>
      <c r="O1005" s="1" t="b">
        <v>0</v>
      </c>
      <c r="P1005" s="1">
        <v>1</v>
      </c>
      <c r="Q1005" s="1">
        <v>0</v>
      </c>
      <c r="R1005" s="1" t="b">
        <f t="shared" si="26"/>
        <v>1</v>
      </c>
      <c r="S1005" s="2" t="s">
        <v>65</v>
      </c>
      <c r="T1005" s="1" t="str">
        <f>IF(S1005="","",VLOOKUP(S1005,'Ontology and concepts per UC'!$F$2:$J$46,5,FALSE))</f>
        <v>Utilidad</v>
      </c>
      <c r="U1005" s="1" t="b">
        <f t="array" ref="U1005">(INDEX('Ontology and concepts per UC'!$G$2:$I$46,MATCH($S1005,'Ontology and concepts per UC'!$F$2:$F$46,0),MATCH(LEFT($A1005,3),'Ontology and concepts per UC'!$G$1:$I$1,0))=0)</f>
        <v>0</v>
      </c>
      <c r="V1005" s="1" t="b">
        <f t="shared" si="27"/>
        <v>1</v>
      </c>
      <c r="W1005" s="1" t="b">
        <v>1</v>
      </c>
      <c r="X1005" s="1" t="b">
        <v>0</v>
      </c>
      <c r="Y1005" s="1" t="b">
        <v>0</v>
      </c>
      <c r="Z1005" s="1" t="b">
        <v>0</v>
      </c>
      <c r="AA1005" s="1" t="s">
        <v>2603</v>
      </c>
    </row>
    <row r="1006" spans="1:27" x14ac:dyDescent="0.25">
      <c r="A1006" s="1" t="s">
        <v>2529</v>
      </c>
      <c r="B1006" s="2" t="s">
        <v>2609</v>
      </c>
      <c r="C1006" s="2" t="s">
        <v>2600</v>
      </c>
      <c r="D1006" s="6">
        <f t="shared" si="21"/>
        <v>1</v>
      </c>
      <c r="E1006" s="7" t="str">
        <f t="shared" si="22"/>
        <v>IRIUtility</v>
      </c>
      <c r="F1006" s="8" t="b">
        <f>IF(D1006&lt;1,FALSE,ISERROR(MATCH(E1006,'Ontology and concepts per UC'!$A$2:$A$62,0)))</f>
        <v>1</v>
      </c>
      <c r="G1006" s="9" t="str">
        <f t="shared" si="23"/>
        <v/>
      </c>
      <c r="H1006" s="9" t="str">
        <f t="shared" si="24"/>
        <v/>
      </c>
      <c r="I1006" s="8" t="b">
        <f>IF(D1006&lt;2,FALSE,ISERROR(MATCH(H1006,'Ontology and concepts per UC'!$A$2:$A$62,0)))</f>
        <v>0</v>
      </c>
      <c r="J1006" s="9" t="str">
        <f t="shared" si="25"/>
        <v/>
      </c>
      <c r="K1006" s="8" t="b">
        <f>IF(D1006&lt;3,FALSE,ISERROR(MATCH(J1006,'Ontology and concepts per UC'!$A$2:$A$62,0)))</f>
        <v>0</v>
      </c>
      <c r="L1006" s="2" t="s">
        <v>2605</v>
      </c>
      <c r="M1006" s="2" t="s">
        <v>2610</v>
      </c>
      <c r="N1006" s="2"/>
      <c r="O1006" s="1" t="b">
        <v>0</v>
      </c>
      <c r="P1006" s="1">
        <v>1</v>
      </c>
      <c r="Q1006" s="1">
        <v>0</v>
      </c>
      <c r="R1006" s="1" t="b">
        <f t="shared" si="26"/>
        <v>1</v>
      </c>
      <c r="S1006" s="2" t="s">
        <v>69</v>
      </c>
      <c r="T1006" s="1" t="str">
        <f>IF(S1006="","",VLOOKUP(S1006,'Ontology and concepts per UC'!$F$2:$J$46,5,FALSE))</f>
        <v>Utilidad</v>
      </c>
      <c r="U1006" s="1" t="b">
        <f t="array" ref="U1006">(INDEX('Ontology and concepts per UC'!$G$2:$I$46,MATCH($S1006,'Ontology and concepts per UC'!$F$2:$F$46,0),MATCH(LEFT($A1006,3),'Ontology and concepts per UC'!$G$1:$I$1,0))=0)</f>
        <v>0</v>
      </c>
      <c r="V1006" s="1" t="b">
        <f t="shared" si="27"/>
        <v>1</v>
      </c>
      <c r="W1006" s="1" t="b">
        <v>1</v>
      </c>
      <c r="X1006" s="1" t="b">
        <v>0</v>
      </c>
      <c r="Y1006" s="1" t="b">
        <v>0</v>
      </c>
      <c r="Z1006" s="1" t="b">
        <v>0</v>
      </c>
      <c r="AA1006" s="1" t="s">
        <v>2603</v>
      </c>
    </row>
    <row r="1007" spans="1:27" x14ac:dyDescent="0.25">
      <c r="A1007" s="1" t="s">
        <v>2529</v>
      </c>
      <c r="B1007" s="2" t="s">
        <v>2611</v>
      </c>
      <c r="C1007" s="2"/>
      <c r="D1007" s="6">
        <f t="shared" si="21"/>
        <v>0</v>
      </c>
      <c r="E1007" s="7">
        <f t="shared" si="22"/>
        <v>0</v>
      </c>
      <c r="F1007" s="8" t="b">
        <f>IF(D1007&lt;1,FALSE,ISERROR(MATCH(E1007,'Ontology and concepts per UC'!$A$2:$A$62,0)))</f>
        <v>0</v>
      </c>
      <c r="G1007" s="9" t="str">
        <f t="shared" si="23"/>
        <v/>
      </c>
      <c r="H1007" s="9" t="str">
        <f t="shared" si="24"/>
        <v/>
      </c>
      <c r="I1007" s="8" t="b">
        <f>IF(D1007&lt;2,FALSE,ISERROR(MATCH(H1007,'Ontology and concepts per UC'!$A$2:$A$62,0)))</f>
        <v>0</v>
      </c>
      <c r="J1007" s="9" t="str">
        <f t="shared" si="25"/>
        <v/>
      </c>
      <c r="K1007" s="8" t="b">
        <f>IF(D1007&lt;3,FALSE,ISERROR(MATCH(J1007,'Ontology and concepts per UC'!$A$2:$A$62,0)))</f>
        <v>0</v>
      </c>
      <c r="L1007" s="2"/>
      <c r="M1007" s="2"/>
      <c r="N1007" s="2"/>
      <c r="O1007" s="1" t="b">
        <v>1</v>
      </c>
      <c r="P1007" s="1">
        <v>0</v>
      </c>
      <c r="Q1007" s="1">
        <v>0</v>
      </c>
      <c r="R1007" s="1" t="b">
        <f t="shared" si="26"/>
        <v>0</v>
      </c>
      <c r="S1007" s="2" t="s">
        <v>187</v>
      </c>
      <c r="T1007" s="1" t="str">
        <f>IF(S1007="","",VLOOKUP(S1007,'Ontology and concepts per UC'!$F$2:$J$46,5,FALSE))</f>
        <v>Otros</v>
      </c>
      <c r="U1007" s="1" t="b">
        <f t="array" ref="U1007">(INDEX('Ontology and concepts per UC'!$G$2:$I$46,MATCH($S1007,'Ontology and concepts per UC'!$F$2:$F$46,0),MATCH(LEFT($A1007,3),'Ontology and concepts per UC'!$G$1:$I$1,0))=0)</f>
        <v>1</v>
      </c>
      <c r="V1007" s="1" t="b">
        <f t="shared" si="27"/>
        <v>1</v>
      </c>
      <c r="W1007" s="1" t="b">
        <v>1</v>
      </c>
      <c r="X1007" s="1" t="b">
        <v>0</v>
      </c>
      <c r="Y1007" s="1" t="b">
        <v>1</v>
      </c>
      <c r="Z1007" s="1" t="b">
        <v>0</v>
      </c>
      <c r="AA1007" s="1" t="s">
        <v>2612</v>
      </c>
    </row>
    <row r="1008" spans="1:27" x14ac:dyDescent="0.25">
      <c r="A1008" s="1" t="s">
        <v>2529</v>
      </c>
      <c r="B1008" s="2" t="s">
        <v>1100</v>
      </c>
      <c r="C1008" s="2"/>
      <c r="D1008" s="6">
        <f t="shared" si="21"/>
        <v>0</v>
      </c>
      <c r="E1008" s="7">
        <f t="shared" si="22"/>
        <v>0</v>
      </c>
      <c r="F1008" s="8" t="b">
        <f>IF(D1008&lt;1,FALSE,ISERROR(MATCH(E1008,'Ontology and concepts per UC'!$A$2:$A$62,0)))</f>
        <v>0</v>
      </c>
      <c r="G1008" s="9" t="str">
        <f t="shared" si="23"/>
        <v/>
      </c>
      <c r="H1008" s="9" t="str">
        <f t="shared" si="24"/>
        <v/>
      </c>
      <c r="I1008" s="8" t="b">
        <f>IF(D1008&lt;2,FALSE,ISERROR(MATCH(H1008,'Ontology and concepts per UC'!$A$2:$A$62,0)))</f>
        <v>0</v>
      </c>
      <c r="J1008" s="9" t="str">
        <f t="shared" si="25"/>
        <v/>
      </c>
      <c r="K1008" s="8" t="b">
        <f>IF(D1008&lt;3,FALSE,ISERROR(MATCH(J1008,'Ontology and concepts per UC'!$A$2:$A$62,0)))</f>
        <v>0</v>
      </c>
      <c r="L1008" s="2"/>
      <c r="M1008" s="2"/>
      <c r="N1008" s="2"/>
      <c r="O1008" s="1" t="b">
        <v>1</v>
      </c>
      <c r="P1008" s="1">
        <v>0</v>
      </c>
      <c r="Q1008" s="1">
        <v>0</v>
      </c>
      <c r="R1008" s="1" t="b">
        <f t="shared" si="26"/>
        <v>0</v>
      </c>
      <c r="S1008" s="2" t="s">
        <v>187</v>
      </c>
      <c r="T1008" s="1" t="str">
        <f>IF(S1008="","",VLOOKUP(S1008,'Ontology and concepts per UC'!$F$2:$J$46,5,FALSE))</f>
        <v>Otros</v>
      </c>
      <c r="U1008" s="1" t="b">
        <f t="array" ref="U1008">(INDEX('Ontology and concepts per UC'!$G$2:$I$46,MATCH($S1008,'Ontology and concepts per UC'!$F$2:$F$46,0),MATCH(LEFT($A1008,3),'Ontology and concepts per UC'!$G$1:$I$1,0))=0)</f>
        <v>1</v>
      </c>
      <c r="V1008" s="1" t="b">
        <f t="shared" si="27"/>
        <v>1</v>
      </c>
      <c r="W1008" s="1" t="b">
        <v>1</v>
      </c>
      <c r="X1008" s="1" t="b">
        <v>0</v>
      </c>
      <c r="Y1008" s="1" t="b">
        <v>1</v>
      </c>
      <c r="Z1008" s="1" t="b">
        <v>0</v>
      </c>
      <c r="AA1008" s="1" t="s">
        <v>2612</v>
      </c>
    </row>
    <row r="1009" spans="1:27" x14ac:dyDescent="0.25">
      <c r="A1009" s="1" t="s">
        <v>2529</v>
      </c>
      <c r="B1009" s="2" t="s">
        <v>1102</v>
      </c>
      <c r="C1009" s="2"/>
      <c r="D1009" s="6">
        <f t="shared" si="21"/>
        <v>0</v>
      </c>
      <c r="E1009" s="7">
        <f t="shared" si="22"/>
        <v>0</v>
      </c>
      <c r="F1009" s="8" t="b">
        <f>IF(D1009&lt;1,FALSE,ISERROR(MATCH(E1009,'Ontology and concepts per UC'!$A$2:$A$62,0)))</f>
        <v>0</v>
      </c>
      <c r="G1009" s="9" t="str">
        <f t="shared" si="23"/>
        <v/>
      </c>
      <c r="H1009" s="9" t="str">
        <f t="shared" si="24"/>
        <v/>
      </c>
      <c r="I1009" s="8" t="b">
        <f>IF(D1009&lt;2,FALSE,ISERROR(MATCH(H1009,'Ontology and concepts per UC'!$A$2:$A$62,0)))</f>
        <v>0</v>
      </c>
      <c r="J1009" s="9" t="str">
        <f t="shared" si="25"/>
        <v/>
      </c>
      <c r="K1009" s="8" t="b">
        <f>IF(D1009&lt;3,FALSE,ISERROR(MATCH(J1009,'Ontology and concepts per UC'!$A$2:$A$62,0)))</f>
        <v>0</v>
      </c>
      <c r="L1009" s="2"/>
      <c r="M1009" s="2"/>
      <c r="N1009" s="2"/>
      <c r="O1009" s="1" t="b">
        <v>1</v>
      </c>
      <c r="P1009" s="1">
        <v>0</v>
      </c>
      <c r="Q1009" s="1">
        <v>0</v>
      </c>
      <c r="R1009" s="1" t="b">
        <f t="shared" si="26"/>
        <v>0</v>
      </c>
      <c r="S1009" s="2" t="s">
        <v>187</v>
      </c>
      <c r="T1009" s="1" t="str">
        <f>IF(S1009="","",VLOOKUP(S1009,'Ontology and concepts per UC'!$F$2:$J$46,5,FALSE))</f>
        <v>Otros</v>
      </c>
      <c r="U1009" s="1" t="b">
        <f t="array" ref="U1009">(INDEX('Ontology and concepts per UC'!$G$2:$I$46,MATCH($S1009,'Ontology and concepts per UC'!$F$2:$F$46,0),MATCH(LEFT($A1009,3),'Ontology and concepts per UC'!$G$1:$I$1,0))=0)</f>
        <v>1</v>
      </c>
      <c r="V1009" s="1" t="b">
        <f t="shared" si="27"/>
        <v>1</v>
      </c>
      <c r="W1009" s="1" t="b">
        <v>1</v>
      </c>
      <c r="X1009" s="1" t="b">
        <v>0</v>
      </c>
      <c r="Y1009" s="1" t="b">
        <v>1</v>
      </c>
      <c r="Z1009" s="1" t="b">
        <v>0</v>
      </c>
      <c r="AA1009" s="1" t="s">
        <v>2612</v>
      </c>
    </row>
    <row r="1010" spans="1:27" x14ac:dyDescent="0.25">
      <c r="A1010" s="1" t="s">
        <v>2529</v>
      </c>
      <c r="B1010" s="2" t="s">
        <v>2613</v>
      </c>
      <c r="C1010" s="2"/>
      <c r="D1010" s="6">
        <f t="shared" si="21"/>
        <v>0</v>
      </c>
      <c r="E1010" s="7">
        <f t="shared" si="22"/>
        <v>0</v>
      </c>
      <c r="F1010" s="8" t="b">
        <f>IF(D1010&lt;1,FALSE,ISERROR(MATCH(E1010,'Ontology and concepts per UC'!$A$2:$A$62,0)))</f>
        <v>0</v>
      </c>
      <c r="G1010" s="9" t="str">
        <f t="shared" si="23"/>
        <v/>
      </c>
      <c r="H1010" s="9" t="str">
        <f t="shared" si="24"/>
        <v/>
      </c>
      <c r="I1010" s="8" t="b">
        <f>IF(D1010&lt;2,FALSE,ISERROR(MATCH(H1010,'Ontology and concepts per UC'!$A$2:$A$62,0)))</f>
        <v>0</v>
      </c>
      <c r="J1010" s="9" t="str">
        <f t="shared" si="25"/>
        <v/>
      </c>
      <c r="K1010" s="8" t="b">
        <f>IF(D1010&lt;3,FALSE,ISERROR(MATCH(J1010,'Ontology and concepts per UC'!$A$2:$A$62,0)))</f>
        <v>0</v>
      </c>
      <c r="L1010" s="2"/>
      <c r="M1010" s="2"/>
      <c r="N1010" s="2"/>
      <c r="O1010" s="1" t="b">
        <v>1</v>
      </c>
      <c r="P1010" s="1">
        <v>0</v>
      </c>
      <c r="Q1010" s="1">
        <v>0</v>
      </c>
      <c r="R1010" s="1" t="b">
        <f t="shared" si="26"/>
        <v>0</v>
      </c>
      <c r="S1010" s="2" t="s">
        <v>187</v>
      </c>
      <c r="T1010" s="1" t="str">
        <f>IF(S1010="","",VLOOKUP(S1010,'Ontology and concepts per UC'!$F$2:$J$46,5,FALSE))</f>
        <v>Otros</v>
      </c>
      <c r="U1010" s="1" t="b">
        <f t="array" ref="U1010">(INDEX('Ontology and concepts per UC'!$G$2:$I$46,MATCH($S1010,'Ontology and concepts per UC'!$F$2:$F$46,0),MATCH(LEFT($A1010,3),'Ontology and concepts per UC'!$G$1:$I$1,0))=0)</f>
        <v>1</v>
      </c>
      <c r="V1010" s="1" t="b">
        <f t="shared" si="27"/>
        <v>1</v>
      </c>
      <c r="W1010" s="1" t="b">
        <v>1</v>
      </c>
      <c r="X1010" s="1" t="b">
        <v>0</v>
      </c>
      <c r="Y1010" s="1" t="b">
        <v>1</v>
      </c>
      <c r="Z1010" s="1" t="b">
        <v>0</v>
      </c>
      <c r="AA1010" s="1" t="s">
        <v>2612</v>
      </c>
    </row>
    <row r="1011" spans="1:27" x14ac:dyDescent="0.25">
      <c r="A1011" s="1" t="s">
        <v>2529</v>
      </c>
      <c r="B1011" s="2" t="s">
        <v>2614</v>
      </c>
      <c r="C1011" s="2"/>
      <c r="D1011" s="6">
        <f t="shared" si="21"/>
        <v>0</v>
      </c>
      <c r="E1011" s="7">
        <f t="shared" si="22"/>
        <v>0</v>
      </c>
      <c r="F1011" s="8" t="b">
        <f>IF(D1011&lt;1,FALSE,ISERROR(MATCH(E1011,'Ontology and concepts per UC'!$A$2:$A$62,0)))</f>
        <v>0</v>
      </c>
      <c r="G1011" s="9" t="str">
        <f t="shared" si="23"/>
        <v/>
      </c>
      <c r="H1011" s="9" t="str">
        <f t="shared" si="24"/>
        <v/>
      </c>
      <c r="I1011" s="8" t="b">
        <f>IF(D1011&lt;2,FALSE,ISERROR(MATCH(H1011,'Ontology and concepts per UC'!$A$2:$A$62,0)))</f>
        <v>0</v>
      </c>
      <c r="J1011" s="9" t="str">
        <f t="shared" si="25"/>
        <v/>
      </c>
      <c r="K1011" s="8" t="b">
        <f>IF(D1011&lt;3,FALSE,ISERROR(MATCH(J1011,'Ontology and concepts per UC'!$A$2:$A$62,0)))</f>
        <v>0</v>
      </c>
      <c r="L1011" s="2"/>
      <c r="M1011" s="2"/>
      <c r="N1011" s="2"/>
      <c r="O1011" s="1" t="b">
        <v>1</v>
      </c>
      <c r="P1011" s="1">
        <v>0</v>
      </c>
      <c r="Q1011" s="1">
        <v>0</v>
      </c>
      <c r="R1011" s="1" t="b">
        <f t="shared" si="26"/>
        <v>0</v>
      </c>
      <c r="S1011" s="2" t="s">
        <v>187</v>
      </c>
      <c r="T1011" s="1" t="str">
        <f>IF(S1011="","",VLOOKUP(S1011,'Ontology and concepts per UC'!$F$2:$J$46,5,FALSE))</f>
        <v>Otros</v>
      </c>
      <c r="U1011" s="1" t="b">
        <f t="array" ref="U1011">(INDEX('Ontology and concepts per UC'!$G$2:$I$46,MATCH($S1011,'Ontology and concepts per UC'!$F$2:$F$46,0),MATCH(LEFT($A1011,3),'Ontology and concepts per UC'!$G$1:$I$1,0))=0)</f>
        <v>1</v>
      </c>
      <c r="V1011" s="1" t="b">
        <f t="shared" si="27"/>
        <v>1</v>
      </c>
      <c r="W1011" s="1" t="b">
        <v>1</v>
      </c>
      <c r="X1011" s="1" t="b">
        <v>0</v>
      </c>
      <c r="Y1011" s="1" t="b">
        <v>1</v>
      </c>
      <c r="Z1011" s="1" t="b">
        <v>0</v>
      </c>
      <c r="AA1011" s="1" t="s">
        <v>2612</v>
      </c>
    </row>
    <row r="1012" spans="1:27" x14ac:dyDescent="0.25">
      <c r="A1012" s="1" t="s">
        <v>2529</v>
      </c>
      <c r="B1012" s="2" t="s">
        <v>2615</v>
      </c>
      <c r="C1012" s="2"/>
      <c r="D1012" s="6">
        <f t="shared" si="21"/>
        <v>0</v>
      </c>
      <c r="E1012" s="7">
        <f t="shared" si="22"/>
        <v>0</v>
      </c>
      <c r="F1012" s="8" t="b">
        <f>IF(D1012&lt;1,FALSE,ISERROR(MATCH(E1012,'Ontology and concepts per UC'!$A$2:$A$62,0)))</f>
        <v>0</v>
      </c>
      <c r="G1012" s="9" t="str">
        <f t="shared" si="23"/>
        <v/>
      </c>
      <c r="H1012" s="9" t="str">
        <f t="shared" si="24"/>
        <v/>
      </c>
      <c r="I1012" s="8" t="b">
        <f>IF(D1012&lt;2,FALSE,ISERROR(MATCH(H1012,'Ontology and concepts per UC'!$A$2:$A$62,0)))</f>
        <v>0</v>
      </c>
      <c r="J1012" s="9" t="str">
        <f t="shared" si="25"/>
        <v/>
      </c>
      <c r="K1012" s="8" t="b">
        <f>IF(D1012&lt;3,FALSE,ISERROR(MATCH(J1012,'Ontology and concepts per UC'!$A$2:$A$62,0)))</f>
        <v>0</v>
      </c>
      <c r="L1012" s="2"/>
      <c r="M1012" s="2"/>
      <c r="N1012" s="2"/>
      <c r="O1012" s="1" t="b">
        <v>1</v>
      </c>
      <c r="P1012" s="1">
        <v>0</v>
      </c>
      <c r="Q1012" s="1">
        <v>0</v>
      </c>
      <c r="R1012" s="1" t="b">
        <f t="shared" si="26"/>
        <v>0</v>
      </c>
      <c r="S1012" s="2" t="s">
        <v>187</v>
      </c>
      <c r="T1012" s="1" t="str">
        <f>IF(S1012="","",VLOOKUP(S1012,'Ontology and concepts per UC'!$F$2:$J$46,5,FALSE))</f>
        <v>Otros</v>
      </c>
      <c r="U1012" s="1" t="b">
        <f t="array" ref="U1012">(INDEX('Ontology and concepts per UC'!$G$2:$I$46,MATCH($S1012,'Ontology and concepts per UC'!$F$2:$F$46,0),MATCH(LEFT($A1012,3),'Ontology and concepts per UC'!$G$1:$I$1,0))=0)</f>
        <v>1</v>
      </c>
      <c r="V1012" s="1" t="b">
        <f t="shared" si="27"/>
        <v>1</v>
      </c>
      <c r="W1012" s="1" t="b">
        <v>1</v>
      </c>
      <c r="X1012" s="1" t="b">
        <v>0</v>
      </c>
      <c r="Y1012" s="1" t="b">
        <v>1</v>
      </c>
      <c r="Z1012" s="1" t="b">
        <v>0</v>
      </c>
      <c r="AA1012" s="1" t="s">
        <v>2612</v>
      </c>
    </row>
    <row r="1013" spans="1:27" x14ac:dyDescent="0.25">
      <c r="A1013" s="1" t="s">
        <v>2616</v>
      </c>
      <c r="B1013" s="2" t="s">
        <v>2617</v>
      </c>
      <c r="C1013" s="2" t="s">
        <v>2618</v>
      </c>
      <c r="D1013" s="6">
        <f t="shared" si="21"/>
        <v>2</v>
      </c>
      <c r="E1013" s="7" t="str">
        <f t="shared" si="22"/>
        <v>AcuteManifestation</v>
      </c>
      <c r="F1013" s="8" t="b">
        <f>IF(D1013&lt;1,FALSE,ISERROR(MATCH(E1013,'Ontology and concepts per UC'!$A$2:$A$62,0)))</f>
        <v>0</v>
      </c>
      <c r="G1013" s="9" t="str">
        <f t="shared" si="23"/>
        <v>NeuromuscularManifestation</v>
      </c>
      <c r="H1013" s="9" t="str">
        <f t="shared" si="24"/>
        <v>NeuromuscularManifestation</v>
      </c>
      <c r="I1013" s="8" t="b">
        <f>IF(D1013&lt;2,FALSE,ISERROR(MATCH(H1013,'Ontology and concepts per UC'!$A$2:$A$62,0)))</f>
        <v>1</v>
      </c>
      <c r="J1013" s="9" t="str">
        <f t="shared" si="25"/>
        <v/>
      </c>
      <c r="K1013" s="8" t="b">
        <f>IF(D1013&lt;3,FALSE,ISERROR(MATCH(J1013,'Ontology and concepts per UC'!$A$2:$A$62,0)))</f>
        <v>0</v>
      </c>
      <c r="L1013" s="2"/>
      <c r="M1013" s="2" t="s">
        <v>2619</v>
      </c>
      <c r="N1013" s="2"/>
      <c r="O1013" s="1" t="b">
        <v>0</v>
      </c>
      <c r="P1013" s="1">
        <v>1</v>
      </c>
      <c r="Q1013" s="1">
        <v>1</v>
      </c>
      <c r="R1013" s="1" t="b">
        <f t="shared" si="26"/>
        <v>0</v>
      </c>
      <c r="S1013" s="2" t="s">
        <v>28</v>
      </c>
      <c r="T1013" s="1" t="str">
        <f>IF(S1013="","",VLOOKUP(S1013,'Ontology and concepts per UC'!$F$2:$J$46,5,FALSE))</f>
        <v>Modelo Conceptual</v>
      </c>
      <c r="U1013" s="1" t="b">
        <f t="array" ref="U1013">(INDEX('Ontology and concepts per UC'!$G$2:$I$46,MATCH($S1013,'Ontology and concepts per UC'!$F$2:$F$46,0),MATCH(LEFT($A1013,3),'Ontology and concepts per UC'!$G$1:$I$1,0))=0)</f>
        <v>0</v>
      </c>
      <c r="V1013" s="1" t="b">
        <f t="shared" si="27"/>
        <v>1</v>
      </c>
      <c r="W1013" s="1" t="b">
        <v>1</v>
      </c>
      <c r="X1013" s="1" t="b">
        <v>0</v>
      </c>
      <c r="Y1013" s="1" t="b">
        <v>0</v>
      </c>
      <c r="Z1013" s="1" t="b">
        <v>0</v>
      </c>
      <c r="AA1013" s="1" t="s">
        <v>2620</v>
      </c>
    </row>
    <row r="1014" spans="1:27" x14ac:dyDescent="0.25">
      <c r="A1014" s="1" t="s">
        <v>2616</v>
      </c>
      <c r="B1014" s="2" t="s">
        <v>2621</v>
      </c>
      <c r="C1014" s="2" t="s">
        <v>2622</v>
      </c>
      <c r="D1014" s="6">
        <f t="shared" si="21"/>
        <v>1</v>
      </c>
      <c r="E1014" s="7" t="str">
        <f t="shared" si="22"/>
        <v>AdjustmentFactor</v>
      </c>
      <c r="F1014" s="8" t="b">
        <f>IF(D1014&lt;1,FALSE,ISERROR(MATCH(E1014,'Ontology and concepts per UC'!$A$2:$A$62,0)))</f>
        <v>1</v>
      </c>
      <c r="G1014" s="9" t="str">
        <f t="shared" si="23"/>
        <v/>
      </c>
      <c r="H1014" s="9" t="str">
        <f t="shared" si="24"/>
        <v/>
      </c>
      <c r="I1014" s="8" t="b">
        <f>IF(D1014&lt;2,FALSE,ISERROR(MATCH(H1014,'Ontology and concepts per UC'!$A$2:$A$62,0)))</f>
        <v>0</v>
      </c>
      <c r="J1014" s="9" t="str">
        <f t="shared" si="25"/>
        <v/>
      </c>
      <c r="K1014" s="8" t="b">
        <f>IF(D1014&lt;3,FALSE,ISERROR(MATCH(J1014,'Ontology and concepts per UC'!$A$2:$A$62,0)))</f>
        <v>0</v>
      </c>
      <c r="L1014" s="2"/>
      <c r="M1014" s="2" t="s">
        <v>2623</v>
      </c>
      <c r="N1014" s="2"/>
      <c r="O1014" s="1" t="b">
        <v>0</v>
      </c>
      <c r="P1014" s="1">
        <v>1</v>
      </c>
      <c r="Q1014" s="1">
        <v>2</v>
      </c>
      <c r="R1014" s="1" t="b">
        <f t="shared" si="26"/>
        <v>0</v>
      </c>
      <c r="S1014" s="2" t="s">
        <v>187</v>
      </c>
      <c r="T1014" s="1" t="str">
        <f>IF(S1014="","",VLOOKUP(S1014,'Ontology and concepts per UC'!$F$2:$J$46,5,FALSE))</f>
        <v>Otros</v>
      </c>
      <c r="U1014" s="1" t="b">
        <f t="array" ref="U1014">(INDEX('Ontology and concepts per UC'!$G$2:$I$46,MATCH($S1014,'Ontology and concepts per UC'!$F$2:$F$46,0),MATCH(LEFT($A1014,3),'Ontology and concepts per UC'!$G$1:$I$1,0))=0)</f>
        <v>1</v>
      </c>
      <c r="V1014" s="1" t="b">
        <f t="shared" si="27"/>
        <v>1</v>
      </c>
      <c r="W1014" s="1" t="b">
        <v>1</v>
      </c>
      <c r="X1014" s="1" t="b">
        <v>0</v>
      </c>
      <c r="Y1014" s="1" t="b">
        <v>0</v>
      </c>
      <c r="Z1014" s="1" t="b">
        <v>0</v>
      </c>
      <c r="AA1014" s="1" t="s">
        <v>2624</v>
      </c>
    </row>
    <row r="1015" spans="1:27" x14ac:dyDescent="0.25">
      <c r="A1015" s="1" t="s">
        <v>2616</v>
      </c>
      <c r="B1015" s="2" t="s">
        <v>2625</v>
      </c>
      <c r="C1015" s="2" t="s">
        <v>2622</v>
      </c>
      <c r="D1015" s="6">
        <f t="shared" si="21"/>
        <v>1</v>
      </c>
      <c r="E1015" s="7" t="str">
        <f t="shared" si="22"/>
        <v>AdjustmentFactor</v>
      </c>
      <c r="F1015" s="8" t="b">
        <f>IF(D1015&lt;1,FALSE,ISERROR(MATCH(E1015,'Ontology and concepts per UC'!$A$2:$A$62,0)))</f>
        <v>1</v>
      </c>
      <c r="G1015" s="9" t="str">
        <f t="shared" si="23"/>
        <v/>
      </c>
      <c r="H1015" s="9" t="str">
        <f t="shared" si="24"/>
        <v/>
      </c>
      <c r="I1015" s="8" t="b">
        <f>IF(D1015&lt;2,FALSE,ISERROR(MATCH(H1015,'Ontology and concepts per UC'!$A$2:$A$62,0)))</f>
        <v>0</v>
      </c>
      <c r="J1015" s="9" t="str">
        <f t="shared" si="25"/>
        <v/>
      </c>
      <c r="K1015" s="8" t="b">
        <f>IF(D1015&lt;3,FALSE,ISERROR(MATCH(J1015,'Ontology and concepts per UC'!$A$2:$A$62,0)))</f>
        <v>0</v>
      </c>
      <c r="L1015" s="2"/>
      <c r="M1015" s="2" t="s">
        <v>2626</v>
      </c>
      <c r="N1015" s="2"/>
      <c r="O1015" s="1" t="b">
        <v>0</v>
      </c>
      <c r="P1015" s="1">
        <v>1</v>
      </c>
      <c r="Q1015" s="1">
        <v>1</v>
      </c>
      <c r="R1015" s="1" t="b">
        <f t="shared" si="26"/>
        <v>0</v>
      </c>
      <c r="S1015" s="2" t="s">
        <v>17</v>
      </c>
      <c r="T1015" s="1" t="str">
        <f>IF(S1015="","",VLOOKUP(S1015,'Ontology and concepts per UC'!$F$2:$J$46,5,FALSE))</f>
        <v>Modelo Conceptual</v>
      </c>
      <c r="U1015" s="1" t="b">
        <f t="array" ref="U1015">(INDEX('Ontology and concepts per UC'!$G$2:$I$46,MATCH($S1015,'Ontology and concepts per UC'!$F$2:$F$46,0),MATCH(LEFT($A1015,3),'Ontology and concepts per UC'!$G$1:$I$1,0))=0)</f>
        <v>0</v>
      </c>
      <c r="V1015" s="1" t="b">
        <f t="shared" si="27"/>
        <v>1</v>
      </c>
      <c r="W1015" s="1" t="b">
        <v>1</v>
      </c>
      <c r="X1015" s="1" t="b">
        <v>0</v>
      </c>
      <c r="Y1015" s="1" t="b">
        <v>0</v>
      </c>
      <c r="Z1015" s="1" t="b">
        <v>0</v>
      </c>
      <c r="AA1015" s="1" t="s">
        <v>2624</v>
      </c>
    </row>
    <row r="1016" spans="1:27" x14ac:dyDescent="0.25">
      <c r="A1016" s="1" t="s">
        <v>2616</v>
      </c>
      <c r="B1016" s="2" t="s">
        <v>2627</v>
      </c>
      <c r="C1016" s="2" t="s">
        <v>2628</v>
      </c>
      <c r="D1016" s="6">
        <f t="shared" si="21"/>
        <v>1</v>
      </c>
      <c r="E1016" s="7" t="str">
        <f t="shared" si="22"/>
        <v>AdverseEffect</v>
      </c>
      <c r="F1016" s="8" t="b">
        <f>IF(D1016&lt;1,FALSE,ISERROR(MATCH(E1016,'Ontology and concepts per UC'!$A$2:$A$62,0)))</f>
        <v>1</v>
      </c>
      <c r="G1016" s="9" t="str">
        <f t="shared" si="23"/>
        <v/>
      </c>
      <c r="H1016" s="9" t="str">
        <f t="shared" si="24"/>
        <v/>
      </c>
      <c r="I1016" s="8" t="b">
        <f>IF(D1016&lt;2,FALSE,ISERROR(MATCH(H1016,'Ontology and concepts per UC'!$A$2:$A$62,0)))</f>
        <v>0</v>
      </c>
      <c r="J1016" s="9" t="str">
        <f t="shared" si="25"/>
        <v/>
      </c>
      <c r="K1016" s="8" t="b">
        <f>IF(D1016&lt;3,FALSE,ISERROR(MATCH(J1016,'Ontology and concepts per UC'!$A$2:$A$62,0)))</f>
        <v>0</v>
      </c>
      <c r="L1016" s="2" t="s">
        <v>2629</v>
      </c>
      <c r="M1016" s="2" t="s">
        <v>2630</v>
      </c>
      <c r="N1016" s="2"/>
      <c r="O1016" s="1" t="b">
        <v>0</v>
      </c>
      <c r="P1016" s="1">
        <v>1</v>
      </c>
      <c r="Q1016" s="1">
        <v>2</v>
      </c>
      <c r="R1016" s="1" t="b">
        <f t="shared" si="26"/>
        <v>0</v>
      </c>
      <c r="S1016" s="2" t="s">
        <v>187</v>
      </c>
      <c r="T1016" s="1" t="str">
        <f>IF(S1016="","",VLOOKUP(S1016,'Ontology and concepts per UC'!$F$2:$J$46,5,FALSE))</f>
        <v>Otros</v>
      </c>
      <c r="U1016" s="1" t="b">
        <f t="array" ref="U1016">(INDEX('Ontology and concepts per UC'!$G$2:$I$46,MATCH($S1016,'Ontology and concepts per UC'!$F$2:$F$46,0),MATCH(LEFT($A1016,3),'Ontology and concepts per UC'!$G$1:$I$1,0))=0)</f>
        <v>1</v>
      </c>
      <c r="V1016" s="1" t="b">
        <f t="shared" si="27"/>
        <v>1</v>
      </c>
      <c r="W1016" s="1" t="b">
        <v>1</v>
      </c>
      <c r="X1016" s="1" t="b">
        <v>0</v>
      </c>
      <c r="Y1016" s="1" t="b">
        <v>0</v>
      </c>
      <c r="Z1016" s="1" t="b">
        <v>0</v>
      </c>
      <c r="AA1016" s="1" t="s">
        <v>2631</v>
      </c>
    </row>
    <row r="1017" spans="1:27" x14ac:dyDescent="0.25">
      <c r="A1017" s="1" t="s">
        <v>2616</v>
      </c>
      <c r="B1017" s="2" t="s">
        <v>2632</v>
      </c>
      <c r="C1017" s="2" t="s">
        <v>2633</v>
      </c>
      <c r="D1017" s="6">
        <f t="shared" si="21"/>
        <v>2</v>
      </c>
      <c r="E1017" s="7" t="str">
        <f t="shared" si="22"/>
        <v>ChronicTreatment</v>
      </c>
      <c r="F1017" s="8" t="b">
        <f>IF(D1017&lt;1,FALSE,ISERROR(MATCH(E1017,'Ontology and concepts per UC'!$A$2:$A$62,0)))</f>
        <v>1</v>
      </c>
      <c r="G1017" s="9" t="str">
        <f t="shared" si="23"/>
        <v>PharmacologicalTreatment</v>
      </c>
      <c r="H1017" s="9" t="str">
        <f t="shared" si="24"/>
        <v>PharmacologicalTreatment</v>
      </c>
      <c r="I1017" s="8" t="b">
        <f>IF(D1017&lt;2,FALSE,ISERROR(MATCH(H1017,'Ontology and concepts per UC'!$A$2:$A$62,0)))</f>
        <v>1</v>
      </c>
      <c r="J1017" s="9" t="str">
        <f t="shared" si="25"/>
        <v/>
      </c>
      <c r="K1017" s="8" t="b">
        <f>IF(D1017&lt;3,FALSE,ISERROR(MATCH(J1017,'Ontology and concepts per UC'!$A$2:$A$62,0)))</f>
        <v>0</v>
      </c>
      <c r="L1017" s="2" t="s">
        <v>2634</v>
      </c>
      <c r="M1017" s="2" t="s">
        <v>2635</v>
      </c>
      <c r="N1017" s="2"/>
      <c r="O1017" s="1" t="b">
        <v>0</v>
      </c>
      <c r="P1017" s="1">
        <v>2</v>
      </c>
      <c r="Q1017" s="1">
        <v>4</v>
      </c>
      <c r="R1017" s="1" t="b">
        <f t="shared" si="26"/>
        <v>0</v>
      </c>
      <c r="S1017" s="2" t="s">
        <v>62</v>
      </c>
      <c r="T1017" s="1" t="str">
        <f>IF(S1017="","",VLOOKUP(S1017,'Ontology and concepts per UC'!$F$2:$J$46,5,FALSE))</f>
        <v>Tratamiento/seguimiento</v>
      </c>
      <c r="U1017" s="1" t="b">
        <f t="array" ref="U1017">(INDEX('Ontology and concepts per UC'!$G$2:$I$46,MATCH($S1017,'Ontology and concepts per UC'!$F$2:$F$46,0),MATCH(LEFT($A1017,3),'Ontology and concepts per UC'!$G$1:$I$1,0))=0)</f>
        <v>0</v>
      </c>
      <c r="V1017" s="1" t="b">
        <f t="shared" si="27"/>
        <v>1</v>
      </c>
      <c r="W1017" s="1" t="b">
        <v>1</v>
      </c>
      <c r="X1017" s="1" t="b">
        <v>0</v>
      </c>
      <c r="Y1017" s="1" t="b">
        <v>0</v>
      </c>
      <c r="Z1017" s="1" t="b">
        <v>0</v>
      </c>
      <c r="AA1017" s="1" t="s">
        <v>2636</v>
      </c>
    </row>
    <row r="1018" spans="1:27" x14ac:dyDescent="0.25">
      <c r="A1018" s="1" t="s">
        <v>2616</v>
      </c>
      <c r="B1018" s="2" t="s">
        <v>2637</v>
      </c>
      <c r="C1018" s="2" t="s">
        <v>2638</v>
      </c>
      <c r="D1018" s="6">
        <f t="shared" si="21"/>
        <v>1</v>
      </c>
      <c r="E1018" s="7" t="str">
        <f t="shared" si="22"/>
        <v>ClinicalDetectionPathway</v>
      </c>
      <c r="F1018" s="8" t="b">
        <f>IF(D1018&lt;1,FALSE,ISERROR(MATCH(E1018,'Ontology and concepts per UC'!$A$2:$A$62,0)))</f>
        <v>1</v>
      </c>
      <c r="G1018" s="9" t="str">
        <f t="shared" si="23"/>
        <v/>
      </c>
      <c r="H1018" s="9" t="str">
        <f t="shared" si="24"/>
        <v/>
      </c>
      <c r="I1018" s="8" t="b">
        <f>IF(D1018&lt;2,FALSE,ISERROR(MATCH(H1018,'Ontology and concepts per UC'!$A$2:$A$62,0)))</f>
        <v>0</v>
      </c>
      <c r="J1018" s="9" t="str">
        <f t="shared" si="25"/>
        <v/>
      </c>
      <c r="K1018" s="8" t="b">
        <f>IF(D1018&lt;3,FALSE,ISERROR(MATCH(J1018,'Ontology and concepts per UC'!$A$2:$A$62,0)))</f>
        <v>0</v>
      </c>
      <c r="L1018" s="2" t="s">
        <v>2639</v>
      </c>
      <c r="M1018" s="2" t="s">
        <v>2640</v>
      </c>
      <c r="N1018" s="2"/>
      <c r="O1018" s="1" t="b">
        <v>0</v>
      </c>
      <c r="P1018" s="1">
        <v>1</v>
      </c>
      <c r="Q1018" s="1">
        <v>0</v>
      </c>
      <c r="R1018" s="1" t="b">
        <f t="shared" si="26"/>
        <v>0</v>
      </c>
      <c r="S1018" s="2" t="s">
        <v>22</v>
      </c>
      <c r="T1018" s="1" t="str">
        <f>IF(S1018="","",VLOOKUP(S1018,'Ontology and concepts per UC'!$F$2:$J$46,5,FALSE))</f>
        <v>Modelo Conceptual</v>
      </c>
      <c r="U1018" s="1" t="b">
        <f t="array" ref="U1018">(INDEX('Ontology and concepts per UC'!$G$2:$I$46,MATCH($S1018,'Ontology and concepts per UC'!$F$2:$F$46,0),MATCH(LEFT($A1018,3),'Ontology and concepts per UC'!$G$1:$I$1,0))=0)</f>
        <v>0</v>
      </c>
      <c r="V1018" s="1" t="b">
        <f t="shared" si="27"/>
        <v>1</v>
      </c>
      <c r="W1018" s="1" t="b">
        <v>1</v>
      </c>
      <c r="X1018" s="1" t="b">
        <v>0</v>
      </c>
      <c r="Y1018" s="1" t="b">
        <v>0</v>
      </c>
      <c r="Z1018" s="1" t="b">
        <v>0</v>
      </c>
      <c r="AA1018" s="1" t="s">
        <v>2641</v>
      </c>
    </row>
    <row r="1019" spans="1:27" x14ac:dyDescent="0.25">
      <c r="A1019" s="1" t="s">
        <v>2616</v>
      </c>
      <c r="B1019" s="2" t="s">
        <v>2642</v>
      </c>
      <c r="C1019" s="2" t="s">
        <v>2643</v>
      </c>
      <c r="D1019" s="6">
        <f t="shared" si="21"/>
        <v>1</v>
      </c>
      <c r="E1019" s="7" t="str">
        <f t="shared" si="22"/>
        <v>ClinicalEvaluation</v>
      </c>
      <c r="F1019" s="8" t="b">
        <f>IF(D1019&lt;1,FALSE,ISERROR(MATCH(E1019,'Ontology and concepts per UC'!$A$2:$A$62,0)))</f>
        <v>1</v>
      </c>
      <c r="G1019" s="9" t="str">
        <f t="shared" si="23"/>
        <v/>
      </c>
      <c r="H1019" s="9" t="str">
        <f t="shared" si="24"/>
        <v/>
      </c>
      <c r="I1019" s="8" t="b">
        <f>IF(D1019&lt;2,FALSE,ISERROR(MATCH(H1019,'Ontology and concepts per UC'!$A$2:$A$62,0)))</f>
        <v>0</v>
      </c>
      <c r="J1019" s="9" t="str">
        <f t="shared" si="25"/>
        <v/>
      </c>
      <c r="K1019" s="8" t="b">
        <f>IF(D1019&lt;3,FALSE,ISERROR(MATCH(J1019,'Ontology and concepts per UC'!$A$2:$A$62,0)))</f>
        <v>0</v>
      </c>
      <c r="L1019" s="2" t="s">
        <v>2644</v>
      </c>
      <c r="M1019" s="2" t="s">
        <v>2645</v>
      </c>
      <c r="N1019" s="2"/>
      <c r="O1019" s="1" t="b">
        <v>0</v>
      </c>
      <c r="P1019" s="1">
        <v>1</v>
      </c>
      <c r="Q1019" s="1">
        <v>5</v>
      </c>
      <c r="R1019" s="1" t="b">
        <f t="shared" si="26"/>
        <v>0</v>
      </c>
      <c r="S1019" s="2" t="s">
        <v>60</v>
      </c>
      <c r="T1019" s="1" t="str">
        <f>IF(S1019="","",VLOOKUP(S1019,'Ontology and concepts per UC'!$F$2:$J$46,5,FALSE))</f>
        <v>Tratamiento/seguimiento</v>
      </c>
      <c r="U1019" s="1" t="b">
        <f t="array" ref="U1019">(INDEX('Ontology and concepts per UC'!$G$2:$I$46,MATCH($S1019,'Ontology and concepts per UC'!$F$2:$F$46,0),MATCH(LEFT($A1019,3),'Ontology and concepts per UC'!$G$1:$I$1,0))=0)</f>
        <v>0</v>
      </c>
      <c r="V1019" s="1" t="b">
        <f t="shared" si="27"/>
        <v>1</v>
      </c>
      <c r="W1019" s="1" t="b">
        <v>1</v>
      </c>
      <c r="X1019" s="1" t="b">
        <v>0</v>
      </c>
      <c r="Y1019" s="1" t="b">
        <v>0</v>
      </c>
      <c r="Z1019" s="1" t="b">
        <v>1</v>
      </c>
      <c r="AA1019" s="1" t="s">
        <v>2646</v>
      </c>
    </row>
    <row r="1020" spans="1:27" x14ac:dyDescent="0.25">
      <c r="A1020" s="1" t="s">
        <v>2616</v>
      </c>
      <c r="B1020" s="2" t="s">
        <v>2647</v>
      </c>
      <c r="C1020" s="2" t="s">
        <v>2643</v>
      </c>
      <c r="D1020" s="6">
        <f t="shared" si="21"/>
        <v>1</v>
      </c>
      <c r="E1020" s="7" t="str">
        <f t="shared" si="22"/>
        <v>ClinicalEvaluation</v>
      </c>
      <c r="F1020" s="8" t="b">
        <f>IF(D1020&lt;1,FALSE,ISERROR(MATCH(E1020,'Ontology and concepts per UC'!$A$2:$A$62,0)))</f>
        <v>1</v>
      </c>
      <c r="G1020" s="9" t="str">
        <f t="shared" si="23"/>
        <v/>
      </c>
      <c r="H1020" s="9" t="str">
        <f t="shared" si="24"/>
        <v/>
      </c>
      <c r="I1020" s="8" t="b">
        <f>IF(D1020&lt;2,FALSE,ISERROR(MATCH(H1020,'Ontology and concepts per UC'!$A$2:$A$62,0)))</f>
        <v>0</v>
      </c>
      <c r="J1020" s="9" t="str">
        <f t="shared" si="25"/>
        <v/>
      </c>
      <c r="K1020" s="8" t="b">
        <f>IF(D1020&lt;3,FALSE,ISERROR(MATCH(J1020,'Ontology and concepts per UC'!$A$2:$A$62,0)))</f>
        <v>0</v>
      </c>
      <c r="L1020" s="2" t="s">
        <v>2648</v>
      </c>
      <c r="M1020" s="2" t="s">
        <v>2649</v>
      </c>
      <c r="N1020" s="2"/>
      <c r="O1020" s="1" t="b">
        <v>0</v>
      </c>
      <c r="P1020" s="1">
        <v>1</v>
      </c>
      <c r="Q1020" s="1">
        <v>5</v>
      </c>
      <c r="R1020" s="1" t="b">
        <f t="shared" si="26"/>
        <v>0</v>
      </c>
      <c r="S1020" s="2" t="s">
        <v>60</v>
      </c>
      <c r="T1020" s="1" t="str">
        <f>IF(S1020="","",VLOOKUP(S1020,'Ontology and concepts per UC'!$F$2:$J$46,5,FALSE))</f>
        <v>Tratamiento/seguimiento</v>
      </c>
      <c r="U1020" s="1" t="b">
        <f t="array" ref="U1020">(INDEX('Ontology and concepts per UC'!$G$2:$I$46,MATCH($S1020,'Ontology and concepts per UC'!$F$2:$F$46,0),MATCH(LEFT($A1020,3),'Ontology and concepts per UC'!$G$1:$I$1,0))=0)</f>
        <v>0</v>
      </c>
      <c r="V1020" s="1" t="b">
        <f t="shared" si="27"/>
        <v>1</v>
      </c>
      <c r="W1020" s="1" t="b">
        <v>1</v>
      </c>
      <c r="X1020" s="1" t="b">
        <v>0</v>
      </c>
      <c r="Y1020" s="1" t="b">
        <v>0</v>
      </c>
      <c r="Z1020" s="1" t="b">
        <v>0</v>
      </c>
      <c r="AA1020" s="1" t="s">
        <v>2650</v>
      </c>
    </row>
    <row r="1021" spans="1:27" x14ac:dyDescent="0.25">
      <c r="A1021" s="1" t="s">
        <v>2616</v>
      </c>
      <c r="B1021" s="2" t="s">
        <v>2651</v>
      </c>
      <c r="C1021" s="2" t="s">
        <v>2652</v>
      </c>
      <c r="D1021" s="6">
        <f t="shared" si="21"/>
        <v>1</v>
      </c>
      <c r="E1021" s="7" t="str">
        <f t="shared" si="22"/>
        <v>ClinicalRule</v>
      </c>
      <c r="F1021" s="8" t="b">
        <f>IF(D1021&lt;1,FALSE,ISERROR(MATCH(E1021,'Ontology and concepts per UC'!$A$2:$A$62,0)))</f>
        <v>1</v>
      </c>
      <c r="G1021" s="9" t="str">
        <f t="shared" si="23"/>
        <v/>
      </c>
      <c r="H1021" s="9" t="str">
        <f t="shared" si="24"/>
        <v/>
      </c>
      <c r="I1021" s="8" t="b">
        <f>IF(D1021&lt;2,FALSE,ISERROR(MATCH(H1021,'Ontology and concepts per UC'!$A$2:$A$62,0)))</f>
        <v>0</v>
      </c>
      <c r="J1021" s="9" t="str">
        <f t="shared" si="25"/>
        <v/>
      </c>
      <c r="K1021" s="8" t="b">
        <f>IF(D1021&lt;3,FALSE,ISERROR(MATCH(J1021,'Ontology and concepts per UC'!$A$2:$A$62,0)))</f>
        <v>0</v>
      </c>
      <c r="L1021" s="2"/>
      <c r="M1021" s="2" t="s">
        <v>2653</v>
      </c>
      <c r="N1021" s="2"/>
      <c r="O1021" s="1" t="b">
        <v>0</v>
      </c>
      <c r="P1021" s="1">
        <v>1</v>
      </c>
      <c r="Q1021" s="1">
        <v>1</v>
      </c>
      <c r="R1021" s="1" t="b">
        <f t="shared" si="26"/>
        <v>0</v>
      </c>
      <c r="S1021" s="2" t="s">
        <v>60</v>
      </c>
      <c r="T1021" s="1" t="str">
        <f>IF(S1021="","",VLOOKUP(S1021,'Ontology and concepts per UC'!$F$2:$J$46,5,FALSE))</f>
        <v>Tratamiento/seguimiento</v>
      </c>
      <c r="U1021" s="1" t="b">
        <f t="array" ref="U1021">(INDEX('Ontology and concepts per UC'!$G$2:$I$46,MATCH($S1021,'Ontology and concepts per UC'!$F$2:$F$46,0),MATCH(LEFT($A1021,3),'Ontology and concepts per UC'!$G$1:$I$1,0))=0)</f>
        <v>0</v>
      </c>
      <c r="V1021" s="1" t="b">
        <f t="shared" si="27"/>
        <v>1</v>
      </c>
      <c r="W1021" s="1" t="b">
        <v>1</v>
      </c>
      <c r="X1021" s="1" t="b">
        <v>0</v>
      </c>
      <c r="Y1021" s="1" t="b">
        <v>0</v>
      </c>
      <c r="Z1021" s="1" t="b">
        <v>0</v>
      </c>
      <c r="AA1021" s="1" t="s">
        <v>2654</v>
      </c>
    </row>
    <row r="1022" spans="1:27" x14ac:dyDescent="0.25">
      <c r="A1022" s="1" t="s">
        <v>2616</v>
      </c>
      <c r="B1022" s="2" t="s">
        <v>2655</v>
      </c>
      <c r="C1022" s="2" t="s">
        <v>2656</v>
      </c>
      <c r="D1022" s="6">
        <f t="shared" ref="D1022:D1276" si="28">IF(ISBLANK(C1022),0,LEN(C1022)-LEN(SUBSTITUTE(C1022,";",""))+1)</f>
        <v>1</v>
      </c>
      <c r="E1022" s="7" t="str">
        <f t="shared" ref="E1022:E1276" si="29">IF(D1022&lt;2,C1022,LEFT(C1022,FIND(";",C1022)-1))</f>
        <v>CombinationRule</v>
      </c>
      <c r="F1022" s="8" t="b">
        <f>IF(D1022&lt;1,FALSE,ISERROR(MATCH(E1022,'Ontology and concepts per UC'!$A$2:$A$62,0)))</f>
        <v>1</v>
      </c>
      <c r="G1022" s="9" t="str">
        <f t="shared" ref="G1022:G1276" si="30">IF(D1022&lt;2,"",MID(C1022,LEN(E1022)+3,LEN(C1022)-FIND(";",C1022)-1))</f>
        <v/>
      </c>
      <c r="H1022" s="9" t="str">
        <f t="shared" ref="H1022:H1276" si="31">IF(D1022&lt;3,G1022,LEFT(G1022,FIND(";",G1022)-1))</f>
        <v/>
      </c>
      <c r="I1022" s="8" t="b">
        <f>IF(D1022&lt;2,FALSE,ISERROR(MATCH(H1022,'Ontology and concepts per UC'!$A$2:$A$62,0)))</f>
        <v>0</v>
      </c>
      <c r="J1022" s="9" t="str">
        <f t="shared" ref="J1022:J1276" si="32">IF(D1022&lt;3,"",RIGHT(G1022,LEN(G1022)-FIND(";",G1022)-1))</f>
        <v/>
      </c>
      <c r="K1022" s="8" t="b">
        <f>IF(D1022&lt;3,FALSE,ISERROR(MATCH(J1022,'Ontology and concepts per UC'!$A$2:$A$62,0)))</f>
        <v>0</v>
      </c>
      <c r="L1022" s="2"/>
      <c r="M1022" s="2" t="s">
        <v>2657</v>
      </c>
      <c r="N1022" s="2"/>
      <c r="O1022" s="1" t="b">
        <v>0</v>
      </c>
      <c r="P1022" s="1">
        <v>1</v>
      </c>
      <c r="Q1022" s="1">
        <v>2</v>
      </c>
      <c r="R1022" s="1" t="b">
        <f t="shared" ref="R1022:R1276" si="33">NOT(ISERROR(SEARCH("hasSource",M1022)))</f>
        <v>0</v>
      </c>
      <c r="S1022" s="2" t="s">
        <v>187</v>
      </c>
      <c r="T1022" s="1" t="str">
        <f>IF(S1022="","",VLOOKUP(S1022,'Ontology and concepts per UC'!$F$2:$J$46,5,FALSE))</f>
        <v>Otros</v>
      </c>
      <c r="U1022" s="1" t="b">
        <f t="array" ref="U1022">(INDEX('Ontology and concepts per UC'!$G$2:$I$46,MATCH($S1022,'Ontology and concepts per UC'!$F$2:$F$46,0),MATCH(LEFT($A1022,3),'Ontology and concepts per UC'!$G$1:$I$1,0))=0)</f>
        <v>1</v>
      </c>
      <c r="V1022" s="1" t="b">
        <f t="shared" ref="V1022:V1276" si="34">COUNTIF(W1022:Z1022,TRUE)&gt;0</f>
        <v>1</v>
      </c>
      <c r="W1022" s="1" t="b">
        <v>1</v>
      </c>
      <c r="X1022" s="1" t="b">
        <v>0</v>
      </c>
      <c r="Y1022" s="1" t="b">
        <v>0</v>
      </c>
      <c r="Z1022" s="1" t="b">
        <v>0</v>
      </c>
      <c r="AA1022" s="1" t="s">
        <v>2658</v>
      </c>
    </row>
    <row r="1023" spans="1:27" x14ac:dyDescent="0.25">
      <c r="A1023" s="1" t="s">
        <v>2616</v>
      </c>
      <c r="B1023" s="2" t="s">
        <v>2659</v>
      </c>
      <c r="C1023" s="2" t="s">
        <v>2660</v>
      </c>
      <c r="D1023" s="6">
        <f t="shared" si="28"/>
        <v>1</v>
      </c>
      <c r="E1023" s="7" t="str">
        <f t="shared" si="29"/>
        <v>ControlledStage</v>
      </c>
      <c r="F1023" s="8" t="b">
        <f>IF(D1023&lt;1,FALSE,ISERROR(MATCH(E1023,'Ontology and concepts per UC'!$A$2:$A$62,0)))</f>
        <v>1</v>
      </c>
      <c r="G1023" s="9" t="str">
        <f t="shared" si="30"/>
        <v/>
      </c>
      <c r="H1023" s="9" t="str">
        <f t="shared" si="31"/>
        <v/>
      </c>
      <c r="I1023" s="8" t="b">
        <f>IF(D1023&lt;2,FALSE,ISERROR(MATCH(H1023,'Ontology and concepts per UC'!$A$2:$A$62,0)))</f>
        <v>0</v>
      </c>
      <c r="J1023" s="9" t="str">
        <f t="shared" si="32"/>
        <v/>
      </c>
      <c r="K1023" s="8" t="b">
        <f>IF(D1023&lt;3,FALSE,ISERROR(MATCH(J1023,'Ontology and concepts per UC'!$A$2:$A$62,0)))</f>
        <v>0</v>
      </c>
      <c r="L1023" s="2"/>
      <c r="M1023" s="2" t="s">
        <v>2661</v>
      </c>
      <c r="N1023" s="2"/>
      <c r="O1023" s="1" t="b">
        <v>0</v>
      </c>
      <c r="P1023" s="1">
        <v>1</v>
      </c>
      <c r="Q1023" s="1">
        <v>1</v>
      </c>
      <c r="R1023" s="1" t="b">
        <f t="shared" si="33"/>
        <v>0</v>
      </c>
      <c r="S1023" s="2" t="s">
        <v>187</v>
      </c>
      <c r="T1023" s="1" t="str">
        <f>IF(S1023="","",VLOOKUP(S1023,'Ontology and concepts per UC'!$F$2:$J$46,5,FALSE))</f>
        <v>Otros</v>
      </c>
      <c r="U1023" s="1" t="b">
        <f t="array" ref="U1023">(INDEX('Ontology and concepts per UC'!$G$2:$I$46,MATCH($S1023,'Ontology and concepts per UC'!$F$2:$F$46,0),MATCH(LEFT($A1023,3),'Ontology and concepts per UC'!$G$1:$I$1,0))=0)</f>
        <v>1</v>
      </c>
      <c r="V1023" s="1" t="b">
        <f t="shared" si="34"/>
        <v>1</v>
      </c>
      <c r="W1023" s="1" t="b">
        <v>1</v>
      </c>
      <c r="X1023" s="1" t="b">
        <v>0</v>
      </c>
      <c r="Y1023" s="1" t="b">
        <v>0</v>
      </c>
      <c r="Z1023" s="1" t="b">
        <v>0</v>
      </c>
      <c r="AA1023" s="1" t="s">
        <v>2662</v>
      </c>
    </row>
    <row r="1024" spans="1:27" x14ac:dyDescent="0.25">
      <c r="A1024" s="1" t="s">
        <v>2616</v>
      </c>
      <c r="B1024" s="2" t="s">
        <v>2663</v>
      </c>
      <c r="C1024" s="2" t="s">
        <v>96</v>
      </c>
      <c r="D1024" s="6">
        <f t="shared" si="28"/>
        <v>1</v>
      </c>
      <c r="E1024" s="7" t="str">
        <f t="shared" si="29"/>
        <v>CostParameter</v>
      </c>
      <c r="F1024" s="8" t="b">
        <f>IF(D1024&lt;1,FALSE,ISERROR(MATCH(E1024,'Ontology and concepts per UC'!$A$2:$A$62,0)))</f>
        <v>1</v>
      </c>
      <c r="G1024" s="9" t="str">
        <f t="shared" si="30"/>
        <v/>
      </c>
      <c r="H1024" s="9" t="str">
        <f t="shared" si="31"/>
        <v/>
      </c>
      <c r="I1024" s="8" t="b">
        <f>IF(D1024&lt;2,FALSE,ISERROR(MATCH(H1024,'Ontology and concepts per UC'!$A$2:$A$62,0)))</f>
        <v>0</v>
      </c>
      <c r="J1024" s="9" t="str">
        <f t="shared" si="32"/>
        <v/>
      </c>
      <c r="K1024" s="8" t="b">
        <f>IF(D1024&lt;3,FALSE,ISERROR(MATCH(J1024,'Ontology and concepts per UC'!$A$2:$A$62,0)))</f>
        <v>0</v>
      </c>
      <c r="L1024" s="2"/>
      <c r="M1024" s="2" t="s">
        <v>2664</v>
      </c>
      <c r="N1024" s="2"/>
      <c r="O1024" s="1" t="b">
        <v>0</v>
      </c>
      <c r="P1024" s="1">
        <v>1</v>
      </c>
      <c r="Q1024" s="1">
        <v>2</v>
      </c>
      <c r="R1024" s="1" t="b">
        <f t="shared" si="33"/>
        <v>0</v>
      </c>
      <c r="S1024" s="2" t="s">
        <v>11</v>
      </c>
      <c r="T1024" s="1" t="str">
        <f>IF(S1024="","",VLOOKUP(S1024,'Ontology and concepts per UC'!$F$2:$J$46,5,FALSE))</f>
        <v>Coste</v>
      </c>
      <c r="U1024" s="1" t="b">
        <f t="array" ref="U1024">(INDEX('Ontology and concepts per UC'!$G$2:$I$46,MATCH($S1024,'Ontology and concepts per UC'!$F$2:$F$46,0),MATCH(LEFT($A1024,3),'Ontology and concepts per UC'!$G$1:$I$1,0))=0)</f>
        <v>0</v>
      </c>
      <c r="V1024" s="1" t="b">
        <f t="shared" si="34"/>
        <v>1</v>
      </c>
      <c r="W1024" s="1" t="b">
        <v>1</v>
      </c>
      <c r="X1024" s="1" t="b">
        <v>0</v>
      </c>
      <c r="Y1024" s="1" t="b">
        <v>0</v>
      </c>
      <c r="Z1024" s="1" t="b">
        <v>0</v>
      </c>
      <c r="AA1024" s="1" t="s">
        <v>2665</v>
      </c>
    </row>
    <row r="1025" spans="1:27" x14ac:dyDescent="0.25">
      <c r="A1025" s="1" t="s">
        <v>2616</v>
      </c>
      <c r="B1025" s="2" t="s">
        <v>2666</v>
      </c>
      <c r="C1025" s="2" t="s">
        <v>96</v>
      </c>
      <c r="D1025" s="6">
        <f t="shared" si="28"/>
        <v>1</v>
      </c>
      <c r="E1025" s="7" t="str">
        <f t="shared" si="29"/>
        <v>CostParameter</v>
      </c>
      <c r="F1025" s="8" t="b">
        <f>IF(D1025&lt;1,FALSE,ISERROR(MATCH(E1025,'Ontology and concepts per UC'!$A$2:$A$62,0)))</f>
        <v>1</v>
      </c>
      <c r="G1025" s="9" t="str">
        <f t="shared" si="30"/>
        <v/>
      </c>
      <c r="H1025" s="9" t="str">
        <f t="shared" si="31"/>
        <v/>
      </c>
      <c r="I1025" s="8" t="b">
        <f>IF(D1025&lt;2,FALSE,ISERROR(MATCH(H1025,'Ontology and concepts per UC'!$A$2:$A$62,0)))</f>
        <v>0</v>
      </c>
      <c r="J1025" s="9" t="str">
        <f t="shared" si="32"/>
        <v/>
      </c>
      <c r="K1025" s="8" t="b">
        <f>IF(D1025&lt;3,FALSE,ISERROR(MATCH(J1025,'Ontology and concepts per UC'!$A$2:$A$62,0)))</f>
        <v>0</v>
      </c>
      <c r="L1025" s="2" t="s">
        <v>2667</v>
      </c>
      <c r="M1025" s="2" t="s">
        <v>2668</v>
      </c>
      <c r="N1025" s="2"/>
      <c r="O1025" s="1" t="b">
        <v>0</v>
      </c>
      <c r="P1025" s="1">
        <v>1</v>
      </c>
      <c r="Q1025" s="1">
        <v>1</v>
      </c>
      <c r="R1025" s="1" t="b">
        <f t="shared" si="33"/>
        <v>0</v>
      </c>
      <c r="S1025" s="2" t="s">
        <v>10</v>
      </c>
      <c r="T1025" s="1" t="str">
        <f>IF(S1025="","",VLOOKUP(S1025,'Ontology and concepts per UC'!$F$2:$J$46,5,FALSE))</f>
        <v>Coste</v>
      </c>
      <c r="U1025" s="1" t="b">
        <f t="array" ref="U1025">(INDEX('Ontology and concepts per UC'!$G$2:$I$46,MATCH($S1025,'Ontology and concepts per UC'!$F$2:$F$46,0),MATCH(LEFT($A1025,3),'Ontology and concepts per UC'!$G$1:$I$1,0))=0)</f>
        <v>0</v>
      </c>
      <c r="V1025" s="1" t="b">
        <f t="shared" si="34"/>
        <v>1</v>
      </c>
      <c r="W1025" s="1" t="b">
        <v>1</v>
      </c>
      <c r="X1025" s="1" t="b">
        <v>0</v>
      </c>
      <c r="Y1025" s="1" t="b">
        <v>0</v>
      </c>
      <c r="Z1025" s="1" t="b">
        <v>0</v>
      </c>
      <c r="AA1025" s="1" t="s">
        <v>2665</v>
      </c>
    </row>
    <row r="1026" spans="1:27" x14ac:dyDescent="0.25">
      <c r="A1026" s="1" t="s">
        <v>2616</v>
      </c>
      <c r="B1026" s="2" t="s">
        <v>2669</v>
      </c>
      <c r="C1026" s="2" t="s">
        <v>2670</v>
      </c>
      <c r="D1026" s="6">
        <f t="shared" si="28"/>
        <v>1</v>
      </c>
      <c r="E1026" s="7" t="str">
        <f t="shared" si="29"/>
        <v>DermatologicalManifestation</v>
      </c>
      <c r="F1026" s="8" t="b">
        <f>IF(D1026&lt;1,FALSE,ISERROR(MATCH(E1026,'Ontology and concepts per UC'!$A$2:$A$62,0)))</f>
        <v>1</v>
      </c>
      <c r="G1026" s="9" t="str">
        <f t="shared" si="30"/>
        <v/>
      </c>
      <c r="H1026" s="9" t="str">
        <f t="shared" si="31"/>
        <v/>
      </c>
      <c r="I1026" s="8" t="b">
        <f>IF(D1026&lt;2,FALSE,ISERROR(MATCH(H1026,'Ontology and concepts per UC'!$A$2:$A$62,0)))</f>
        <v>0</v>
      </c>
      <c r="J1026" s="9" t="str">
        <f t="shared" si="32"/>
        <v/>
      </c>
      <c r="K1026" s="8" t="b">
        <f>IF(D1026&lt;3,FALSE,ISERROR(MATCH(J1026,'Ontology and concepts per UC'!$A$2:$A$62,0)))</f>
        <v>0</v>
      </c>
      <c r="L1026" s="2" t="s">
        <v>2671</v>
      </c>
      <c r="M1026" s="2"/>
      <c r="N1026" s="2"/>
      <c r="O1026" s="1" t="b">
        <v>0</v>
      </c>
      <c r="P1026" s="1">
        <v>1</v>
      </c>
      <c r="Q1026" s="1">
        <v>1</v>
      </c>
      <c r="R1026" s="1" t="b">
        <f t="shared" si="33"/>
        <v>0</v>
      </c>
      <c r="S1026" s="2" t="s">
        <v>31</v>
      </c>
      <c r="T1026" s="1" t="str">
        <f>IF(S1026="","",VLOOKUP(S1026,'Ontology and concepts per UC'!$F$2:$J$46,5,FALSE))</f>
        <v>Modelo Conceptual</v>
      </c>
      <c r="U1026" s="1" t="b">
        <f t="array" ref="U1026">(INDEX('Ontology and concepts per UC'!$G$2:$I$46,MATCH($S1026,'Ontology and concepts per UC'!$F$2:$F$46,0),MATCH(LEFT($A1026,3),'Ontology and concepts per UC'!$G$1:$I$1,0))=0)</f>
        <v>0</v>
      </c>
      <c r="V1026" s="1" t="b">
        <f t="shared" si="34"/>
        <v>1</v>
      </c>
      <c r="W1026" s="1" t="b">
        <v>1</v>
      </c>
      <c r="X1026" s="1" t="b">
        <v>0</v>
      </c>
      <c r="Y1026" s="1" t="b">
        <v>0</v>
      </c>
      <c r="Z1026" s="1" t="b">
        <v>0</v>
      </c>
      <c r="AA1026" s="1" t="s">
        <v>2672</v>
      </c>
    </row>
    <row r="1027" spans="1:27" x14ac:dyDescent="0.25">
      <c r="A1027" s="1" t="s">
        <v>2616</v>
      </c>
      <c r="B1027" s="2" t="s">
        <v>2673</v>
      </c>
      <c r="C1027" s="2" t="s">
        <v>929</v>
      </c>
      <c r="D1027" s="6">
        <f t="shared" si="28"/>
        <v>2</v>
      </c>
      <c r="E1027" s="7" t="str">
        <f t="shared" si="29"/>
        <v>DeterministicParameter</v>
      </c>
      <c r="F1027" s="8" t="b">
        <f>IF(D1027&lt;1,FALSE,ISERROR(MATCH(E1027,'Ontology and concepts per UC'!$A$2:$A$62,0)))</f>
        <v>0</v>
      </c>
      <c r="G1027" s="9" t="str">
        <f t="shared" si="30"/>
        <v>EpidemiologicalParameter</v>
      </c>
      <c r="H1027" s="9" t="str">
        <f t="shared" si="31"/>
        <v>EpidemiologicalParameter</v>
      </c>
      <c r="I1027" s="8" t="b">
        <f>IF(D1027&lt;2,FALSE,ISERROR(MATCH(H1027,'Ontology and concepts per UC'!$A$2:$A$62,0)))</f>
        <v>0</v>
      </c>
      <c r="J1027" s="9" t="str">
        <f t="shared" si="32"/>
        <v/>
      </c>
      <c r="K1027" s="8" t="b">
        <f>IF(D1027&lt;3,FALSE,ISERROR(MATCH(J1027,'Ontology and concepts per UC'!$A$2:$A$62,0)))</f>
        <v>0</v>
      </c>
      <c r="L1027" s="2" t="s">
        <v>2674</v>
      </c>
      <c r="M1027" s="2" t="s">
        <v>2675</v>
      </c>
      <c r="N1027" s="2"/>
      <c r="O1027" s="1" t="b">
        <v>0</v>
      </c>
      <c r="P1027" s="1">
        <v>0</v>
      </c>
      <c r="Q1027" s="1">
        <v>2</v>
      </c>
      <c r="R1027" s="1" t="b">
        <f t="shared" si="33"/>
        <v>0</v>
      </c>
      <c r="S1027" s="2" t="s">
        <v>107</v>
      </c>
      <c r="T1027" s="1" t="str">
        <f>IF(S1027="","",VLOOKUP(S1027,'Ontology and concepts per UC'!$F$2:$J$46,5,FALSE))</f>
        <v>Parcial</v>
      </c>
      <c r="U1027" s="1" t="b">
        <f t="array" ref="U1027">(INDEX('Ontology and concepts per UC'!$G$2:$I$46,MATCH($S1027,'Ontology and concepts per UC'!$F$2:$F$46,0),MATCH(LEFT($A1027,3),'Ontology and concepts per UC'!$G$1:$I$1,0))=0)</f>
        <v>0</v>
      </c>
      <c r="V1027" s="1" t="b">
        <f t="shared" si="34"/>
        <v>1</v>
      </c>
      <c r="W1027" s="1" t="b">
        <v>1</v>
      </c>
      <c r="X1027" s="1" t="b">
        <v>0</v>
      </c>
      <c r="Y1027" s="1" t="b">
        <v>0</v>
      </c>
      <c r="Z1027" s="1" t="b">
        <v>0</v>
      </c>
      <c r="AA1027" s="1" t="s">
        <v>2676</v>
      </c>
    </row>
    <row r="1028" spans="1:27" x14ac:dyDescent="0.25">
      <c r="A1028" s="1" t="s">
        <v>2616</v>
      </c>
      <c r="B1028" s="2" t="s">
        <v>2677</v>
      </c>
      <c r="C1028" s="2" t="s">
        <v>929</v>
      </c>
      <c r="D1028" s="6">
        <f t="shared" si="28"/>
        <v>2</v>
      </c>
      <c r="E1028" s="7" t="str">
        <f t="shared" si="29"/>
        <v>DeterministicParameter</v>
      </c>
      <c r="F1028" s="8" t="b">
        <f>IF(D1028&lt;1,FALSE,ISERROR(MATCH(E1028,'Ontology and concepts per UC'!$A$2:$A$62,0)))</f>
        <v>0</v>
      </c>
      <c r="G1028" s="9" t="str">
        <f t="shared" si="30"/>
        <v>EpidemiologicalParameter</v>
      </c>
      <c r="H1028" s="9" t="str">
        <f t="shared" si="31"/>
        <v>EpidemiologicalParameter</v>
      </c>
      <c r="I1028" s="8" t="b">
        <f>IF(D1028&lt;2,FALSE,ISERROR(MATCH(H1028,'Ontology and concepts per UC'!$A$2:$A$62,0)))</f>
        <v>0</v>
      </c>
      <c r="J1028" s="9" t="str">
        <f t="shared" si="32"/>
        <v/>
      </c>
      <c r="K1028" s="8" t="b">
        <f>IF(D1028&lt;3,FALSE,ISERROR(MATCH(J1028,'Ontology and concepts per UC'!$A$2:$A$62,0)))</f>
        <v>0</v>
      </c>
      <c r="L1028" s="2" t="s">
        <v>2678</v>
      </c>
      <c r="M1028" s="2" t="s">
        <v>2679</v>
      </c>
      <c r="N1028" s="2"/>
      <c r="O1028" s="1" t="b">
        <v>0</v>
      </c>
      <c r="P1028" s="1">
        <v>0</v>
      </c>
      <c r="Q1028" s="1">
        <v>4</v>
      </c>
      <c r="R1028" s="1" t="b">
        <f t="shared" si="33"/>
        <v>0</v>
      </c>
      <c r="S1028" s="2" t="s">
        <v>107</v>
      </c>
      <c r="T1028" s="1" t="str">
        <f>IF(S1028="","",VLOOKUP(S1028,'Ontology and concepts per UC'!$F$2:$J$46,5,FALSE))</f>
        <v>Parcial</v>
      </c>
      <c r="U1028" s="1" t="b">
        <f t="array" ref="U1028">(INDEX('Ontology and concepts per UC'!$G$2:$I$46,MATCH($S1028,'Ontology and concepts per UC'!$F$2:$F$46,0),MATCH(LEFT($A1028,3),'Ontology and concepts per UC'!$G$1:$I$1,0))=0)</f>
        <v>0</v>
      </c>
      <c r="V1028" s="1" t="b">
        <f t="shared" si="34"/>
        <v>1</v>
      </c>
      <c r="W1028" s="1" t="b">
        <v>1</v>
      </c>
      <c r="X1028" s="1" t="b">
        <v>0</v>
      </c>
      <c r="Y1028" s="1" t="b">
        <v>0</v>
      </c>
      <c r="Z1028" s="1" t="b">
        <v>0</v>
      </c>
      <c r="AA1028" s="1" t="s">
        <v>2676</v>
      </c>
    </row>
    <row r="1029" spans="1:27" x14ac:dyDescent="0.25">
      <c r="A1029" s="1" t="s">
        <v>2616</v>
      </c>
      <c r="B1029" s="2" t="s">
        <v>2680</v>
      </c>
      <c r="C1029" s="2" t="s">
        <v>929</v>
      </c>
      <c r="D1029" s="6">
        <f t="shared" si="28"/>
        <v>2</v>
      </c>
      <c r="E1029" s="7" t="str">
        <f t="shared" si="29"/>
        <v>DeterministicParameter</v>
      </c>
      <c r="F1029" s="8" t="b">
        <f>IF(D1029&lt;1,FALSE,ISERROR(MATCH(E1029,'Ontology and concepts per UC'!$A$2:$A$62,0)))</f>
        <v>0</v>
      </c>
      <c r="G1029" s="9" t="str">
        <f t="shared" si="30"/>
        <v>EpidemiologicalParameter</v>
      </c>
      <c r="H1029" s="9" t="str">
        <f t="shared" si="31"/>
        <v>EpidemiologicalParameter</v>
      </c>
      <c r="I1029" s="8" t="b">
        <f>IF(D1029&lt;2,FALSE,ISERROR(MATCH(H1029,'Ontology and concepts per UC'!$A$2:$A$62,0)))</f>
        <v>0</v>
      </c>
      <c r="J1029" s="9" t="str">
        <f t="shared" si="32"/>
        <v/>
      </c>
      <c r="K1029" s="8" t="b">
        <f>IF(D1029&lt;3,FALSE,ISERROR(MATCH(J1029,'Ontology and concepts per UC'!$A$2:$A$62,0)))</f>
        <v>0</v>
      </c>
      <c r="L1029" s="2" t="s">
        <v>2681</v>
      </c>
      <c r="M1029" s="2" t="s">
        <v>2682</v>
      </c>
      <c r="N1029" s="2"/>
      <c r="O1029" s="1" t="b">
        <v>0</v>
      </c>
      <c r="P1029" s="1">
        <v>0</v>
      </c>
      <c r="Q1029" s="1">
        <v>4</v>
      </c>
      <c r="R1029" s="1" t="b">
        <f t="shared" si="33"/>
        <v>0</v>
      </c>
      <c r="S1029" s="2" t="s">
        <v>58</v>
      </c>
      <c r="T1029" s="1" t="str">
        <f>IF(S1029="","",VLOOKUP(S1029,'Ontology and concepts per UC'!$F$2:$J$46,5,FALSE))</f>
        <v>Parámetros de progresión</v>
      </c>
      <c r="U1029" s="1" t="b">
        <f t="array" ref="U1029">(INDEX('Ontology and concepts per UC'!$G$2:$I$46,MATCH($S1029,'Ontology and concepts per UC'!$F$2:$F$46,0),MATCH(LEFT($A1029,3),'Ontology and concepts per UC'!$G$1:$I$1,0))=0)</f>
        <v>0</v>
      </c>
      <c r="V1029" s="1" t="b">
        <f t="shared" si="34"/>
        <v>1</v>
      </c>
      <c r="W1029" s="1" t="b">
        <v>1</v>
      </c>
      <c r="X1029" s="1" t="b">
        <v>1</v>
      </c>
      <c r="Y1029" s="1" t="b">
        <v>0</v>
      </c>
      <c r="Z1029" s="1" t="b">
        <v>0</v>
      </c>
      <c r="AA1029" s="1" t="s">
        <v>2683</v>
      </c>
    </row>
    <row r="1030" spans="1:27" x14ac:dyDescent="0.25">
      <c r="A1030" s="1" t="s">
        <v>2616</v>
      </c>
      <c r="B1030" s="2" t="s">
        <v>2684</v>
      </c>
      <c r="C1030" s="2" t="s">
        <v>929</v>
      </c>
      <c r="D1030" s="6">
        <f t="shared" si="28"/>
        <v>2</v>
      </c>
      <c r="E1030" s="7" t="str">
        <f t="shared" si="29"/>
        <v>DeterministicParameter</v>
      </c>
      <c r="F1030" s="8" t="b">
        <f>IF(D1030&lt;1,FALSE,ISERROR(MATCH(E1030,'Ontology and concepts per UC'!$A$2:$A$62,0)))</f>
        <v>0</v>
      </c>
      <c r="G1030" s="9" t="str">
        <f t="shared" si="30"/>
        <v>EpidemiologicalParameter</v>
      </c>
      <c r="H1030" s="9" t="str">
        <f t="shared" si="31"/>
        <v>EpidemiologicalParameter</v>
      </c>
      <c r="I1030" s="8" t="b">
        <f>IF(D1030&lt;2,FALSE,ISERROR(MATCH(H1030,'Ontology and concepts per UC'!$A$2:$A$62,0)))</f>
        <v>0</v>
      </c>
      <c r="J1030" s="9" t="str">
        <f t="shared" si="32"/>
        <v/>
      </c>
      <c r="K1030" s="8" t="b">
        <f>IF(D1030&lt;3,FALSE,ISERROR(MATCH(J1030,'Ontology and concepts per UC'!$A$2:$A$62,0)))</f>
        <v>0</v>
      </c>
      <c r="L1030" s="2" t="s">
        <v>2678</v>
      </c>
      <c r="M1030" s="2" t="s">
        <v>2685</v>
      </c>
      <c r="N1030" s="2"/>
      <c r="O1030" s="1" t="b">
        <v>0</v>
      </c>
      <c r="P1030" s="1">
        <v>0</v>
      </c>
      <c r="Q1030" s="1">
        <v>4</v>
      </c>
      <c r="R1030" s="1" t="b">
        <f t="shared" si="33"/>
        <v>0</v>
      </c>
      <c r="S1030" s="2" t="s">
        <v>38</v>
      </c>
      <c r="T1030" s="1" t="str">
        <f>IF(S1030="","",VLOOKUP(S1030,'Ontology and concepts per UC'!$F$2:$J$46,5,FALSE))</f>
        <v>Parámetro epidemiológico</v>
      </c>
      <c r="U1030" s="1" t="b">
        <f t="array" ref="U1030">(INDEX('Ontology and concepts per UC'!$G$2:$I$46,MATCH($S1030,'Ontology and concepts per UC'!$F$2:$F$46,0),MATCH(LEFT($A1030,3),'Ontology and concepts per UC'!$G$1:$I$1,0))=0)</f>
        <v>0</v>
      </c>
      <c r="V1030" s="1" t="b">
        <f t="shared" si="34"/>
        <v>1</v>
      </c>
      <c r="W1030" s="1" t="b">
        <v>1</v>
      </c>
      <c r="X1030" s="1" t="b">
        <v>1</v>
      </c>
      <c r="Y1030" s="1" t="b">
        <v>0</v>
      </c>
      <c r="Z1030" s="1" t="b">
        <v>0</v>
      </c>
      <c r="AA1030" s="1" t="s">
        <v>2683</v>
      </c>
    </row>
    <row r="1031" spans="1:27" x14ac:dyDescent="0.25">
      <c r="A1031" s="1" t="s">
        <v>2616</v>
      </c>
      <c r="B1031" s="2" t="s">
        <v>2686</v>
      </c>
      <c r="C1031" s="2" t="s">
        <v>1106</v>
      </c>
      <c r="D1031" s="6">
        <f t="shared" si="28"/>
        <v>2</v>
      </c>
      <c r="E1031" s="7" t="str">
        <f t="shared" si="29"/>
        <v>DeterministicParameter</v>
      </c>
      <c r="F1031" s="8" t="b">
        <f>IF(D1031&lt;1,FALSE,ISERROR(MATCH(E1031,'Ontology and concepts per UC'!$A$2:$A$62,0)))</f>
        <v>0</v>
      </c>
      <c r="G1031" s="9" t="str">
        <f t="shared" si="30"/>
        <v>Utility</v>
      </c>
      <c r="H1031" s="9" t="str">
        <f t="shared" si="31"/>
        <v>Utility</v>
      </c>
      <c r="I1031" s="8" t="b">
        <f>IF(D1031&lt;2,FALSE,ISERROR(MATCH(H1031,'Ontology and concepts per UC'!$A$2:$A$62,0)))</f>
        <v>0</v>
      </c>
      <c r="J1031" s="9" t="str">
        <f t="shared" si="32"/>
        <v/>
      </c>
      <c r="K1031" s="8" t="b">
        <f>IF(D1031&lt;3,FALSE,ISERROR(MATCH(J1031,'Ontology and concepts per UC'!$A$2:$A$62,0)))</f>
        <v>0</v>
      </c>
      <c r="L1031" s="2"/>
      <c r="M1031" s="2" t="s">
        <v>2687</v>
      </c>
      <c r="N1031" s="2"/>
      <c r="O1031" s="1" t="b">
        <v>0</v>
      </c>
      <c r="P1031" s="1">
        <v>0</v>
      </c>
      <c r="Q1031" s="1">
        <v>2</v>
      </c>
      <c r="R1031" s="1" t="b">
        <f t="shared" si="33"/>
        <v>0</v>
      </c>
      <c r="S1031" s="2" t="s">
        <v>20</v>
      </c>
      <c r="T1031" s="1" t="str">
        <f>IF(S1031="","",VLOOKUP(S1031,'Ontology and concepts per UC'!$F$2:$J$46,5,FALSE))</f>
        <v>Modelo Conceptual</v>
      </c>
      <c r="U1031" s="1" t="b">
        <f t="array" ref="U1031">(INDEX('Ontology and concepts per UC'!$G$2:$I$46,MATCH($S1031,'Ontology and concepts per UC'!$F$2:$F$46,0),MATCH(LEFT($A1031,3),'Ontology and concepts per UC'!$G$1:$I$1,0))=0)</f>
        <v>0</v>
      </c>
      <c r="V1031" s="1" t="b">
        <f t="shared" si="34"/>
        <v>1</v>
      </c>
      <c r="W1031" s="1" t="b">
        <v>1</v>
      </c>
      <c r="X1031" s="1" t="b">
        <v>0</v>
      </c>
      <c r="Y1031" s="1" t="b">
        <v>0</v>
      </c>
      <c r="Z1031" s="1" t="b">
        <v>0</v>
      </c>
      <c r="AA1031" s="1" t="s">
        <v>2688</v>
      </c>
    </row>
    <row r="1032" spans="1:27" x14ac:dyDescent="0.25">
      <c r="A1032" s="1" t="s">
        <v>2616</v>
      </c>
      <c r="B1032" s="2" t="s">
        <v>2689</v>
      </c>
      <c r="C1032" s="2" t="s">
        <v>2690</v>
      </c>
      <c r="D1032" s="6">
        <f t="shared" si="28"/>
        <v>1</v>
      </c>
      <c r="E1032" s="7" t="str">
        <f t="shared" si="29"/>
        <v>DiagnosticTest</v>
      </c>
      <c r="F1032" s="8" t="b">
        <f>IF(D1032&lt;1,FALSE,ISERROR(MATCH(E1032,'Ontology and concepts per UC'!$A$2:$A$62,0)))</f>
        <v>1</v>
      </c>
      <c r="G1032" s="9" t="str">
        <f t="shared" si="30"/>
        <v/>
      </c>
      <c r="H1032" s="9" t="str">
        <f t="shared" si="31"/>
        <v/>
      </c>
      <c r="I1032" s="8" t="b">
        <f>IF(D1032&lt;2,FALSE,ISERROR(MATCH(H1032,'Ontology and concepts per UC'!$A$2:$A$62,0)))</f>
        <v>0</v>
      </c>
      <c r="J1032" s="9" t="str">
        <f t="shared" si="32"/>
        <v/>
      </c>
      <c r="K1032" s="8" t="b">
        <f>IF(D1032&lt;3,FALSE,ISERROR(MATCH(J1032,'Ontology and concepts per UC'!$A$2:$A$62,0)))</f>
        <v>0</v>
      </c>
      <c r="L1032" s="2" t="s">
        <v>2691</v>
      </c>
      <c r="M1032" s="2" t="s">
        <v>2692</v>
      </c>
      <c r="N1032" s="2"/>
      <c r="O1032" s="1" t="b">
        <v>0</v>
      </c>
      <c r="P1032" s="1">
        <v>1</v>
      </c>
      <c r="Q1032" s="1">
        <v>5</v>
      </c>
      <c r="R1032" s="1" t="b">
        <f t="shared" si="33"/>
        <v>0</v>
      </c>
      <c r="S1032" s="2" t="s">
        <v>60</v>
      </c>
      <c r="T1032" s="1" t="str">
        <f>IF(S1032="","",VLOOKUP(S1032,'Ontology and concepts per UC'!$F$2:$J$46,5,FALSE))</f>
        <v>Tratamiento/seguimiento</v>
      </c>
      <c r="U1032" s="1" t="b">
        <f t="array" ref="U1032">(INDEX('Ontology and concepts per UC'!$G$2:$I$46,MATCH($S1032,'Ontology and concepts per UC'!$F$2:$F$46,0),MATCH(LEFT($A1032,3),'Ontology and concepts per UC'!$G$1:$I$1,0))=0)</f>
        <v>0</v>
      </c>
      <c r="V1032" s="1" t="b">
        <f t="shared" si="34"/>
        <v>1</v>
      </c>
      <c r="W1032" s="1" t="b">
        <v>1</v>
      </c>
      <c r="X1032" s="1" t="b">
        <v>0</v>
      </c>
      <c r="Y1032" s="1" t="b">
        <v>0</v>
      </c>
      <c r="Z1032" s="1" t="b">
        <v>1</v>
      </c>
      <c r="AA1032" s="1" t="s">
        <v>2693</v>
      </c>
    </row>
    <row r="1033" spans="1:27" x14ac:dyDescent="0.25">
      <c r="A1033" s="1" t="s">
        <v>2616</v>
      </c>
      <c r="B1033" s="2" t="s">
        <v>2694</v>
      </c>
      <c r="C1033" s="2" t="s">
        <v>2690</v>
      </c>
      <c r="D1033" s="6">
        <f t="shared" si="28"/>
        <v>1</v>
      </c>
      <c r="E1033" s="7" t="str">
        <f t="shared" si="29"/>
        <v>DiagnosticTest</v>
      </c>
      <c r="F1033" s="8" t="b">
        <f>IF(D1033&lt;1,FALSE,ISERROR(MATCH(E1033,'Ontology and concepts per UC'!$A$2:$A$62,0)))</f>
        <v>1</v>
      </c>
      <c r="G1033" s="9" t="str">
        <f t="shared" si="30"/>
        <v/>
      </c>
      <c r="H1033" s="9" t="str">
        <f t="shared" si="31"/>
        <v/>
      </c>
      <c r="I1033" s="8" t="b">
        <f>IF(D1033&lt;2,FALSE,ISERROR(MATCH(H1033,'Ontology and concepts per UC'!$A$2:$A$62,0)))</f>
        <v>0</v>
      </c>
      <c r="J1033" s="9" t="str">
        <f t="shared" si="32"/>
        <v/>
      </c>
      <c r="K1033" s="8" t="b">
        <f>IF(D1033&lt;3,FALSE,ISERROR(MATCH(J1033,'Ontology and concepts per UC'!$A$2:$A$62,0)))</f>
        <v>0</v>
      </c>
      <c r="L1033" s="2"/>
      <c r="M1033" s="2" t="s">
        <v>2695</v>
      </c>
      <c r="N1033" s="2"/>
      <c r="O1033" s="1" t="b">
        <v>0</v>
      </c>
      <c r="P1033" s="1">
        <v>1</v>
      </c>
      <c r="Q1033" s="1">
        <v>1</v>
      </c>
      <c r="R1033" s="1" t="b">
        <f t="shared" si="33"/>
        <v>0</v>
      </c>
      <c r="S1033" s="2" t="s">
        <v>6</v>
      </c>
      <c r="T1033" s="1" t="str">
        <f>IF(S1033="","",VLOOKUP(S1033,'Ontology and concepts per UC'!$F$2:$J$46,5,FALSE))</f>
        <v>Coste</v>
      </c>
      <c r="U1033" s="1" t="b">
        <f t="array" ref="U1033">(INDEX('Ontology and concepts per UC'!$G$2:$I$46,MATCH($S1033,'Ontology and concepts per UC'!$F$2:$F$46,0),MATCH(LEFT($A1033,3),'Ontology and concepts per UC'!$G$1:$I$1,0))=0)</f>
        <v>0</v>
      </c>
      <c r="V1033" s="1" t="b">
        <f t="shared" si="34"/>
        <v>1</v>
      </c>
      <c r="W1033" s="1" t="b">
        <v>1</v>
      </c>
      <c r="X1033" s="1" t="b">
        <v>0</v>
      </c>
      <c r="Y1033" s="1" t="b">
        <v>0</v>
      </c>
      <c r="Z1033" s="1" t="b">
        <v>0</v>
      </c>
      <c r="AA1033" s="1" t="s">
        <v>2696</v>
      </c>
    </row>
    <row r="1034" spans="1:27" x14ac:dyDescent="0.25">
      <c r="A1034" s="1" t="s">
        <v>2616</v>
      </c>
      <c r="B1034" s="2" t="s">
        <v>2697</v>
      </c>
      <c r="C1034" s="2" t="s">
        <v>2690</v>
      </c>
      <c r="D1034" s="6">
        <f t="shared" si="28"/>
        <v>1</v>
      </c>
      <c r="E1034" s="7" t="str">
        <f t="shared" si="29"/>
        <v>DiagnosticTest</v>
      </c>
      <c r="F1034" s="8" t="b">
        <f>IF(D1034&lt;1,FALSE,ISERROR(MATCH(E1034,'Ontology and concepts per UC'!$A$2:$A$62,0)))</f>
        <v>1</v>
      </c>
      <c r="G1034" s="9" t="str">
        <f t="shared" si="30"/>
        <v/>
      </c>
      <c r="H1034" s="9" t="str">
        <f t="shared" si="31"/>
        <v/>
      </c>
      <c r="I1034" s="8" t="b">
        <f>IF(D1034&lt;2,FALSE,ISERROR(MATCH(H1034,'Ontology and concepts per UC'!$A$2:$A$62,0)))</f>
        <v>0</v>
      </c>
      <c r="J1034" s="9" t="str">
        <f t="shared" si="32"/>
        <v/>
      </c>
      <c r="K1034" s="8" t="b">
        <f>IF(D1034&lt;3,FALSE,ISERROR(MATCH(J1034,'Ontology and concepts per UC'!$A$2:$A$62,0)))</f>
        <v>0</v>
      </c>
      <c r="L1034" s="2" t="s">
        <v>2698</v>
      </c>
      <c r="M1034" s="2" t="s">
        <v>2699</v>
      </c>
      <c r="N1034" s="2"/>
      <c r="O1034" s="1" t="b">
        <v>0</v>
      </c>
      <c r="P1034" s="1">
        <v>1</v>
      </c>
      <c r="Q1034" s="1">
        <v>3</v>
      </c>
      <c r="R1034" s="1" t="b">
        <f t="shared" si="33"/>
        <v>0</v>
      </c>
      <c r="S1034" s="2" t="s">
        <v>42</v>
      </c>
      <c r="T1034" s="1" t="str">
        <f>IF(S1034="","",VLOOKUP(S1034,'Ontology and concepts per UC'!$F$2:$J$46,5,FALSE))</f>
        <v>Parámetros de intervención</v>
      </c>
      <c r="U1034" s="1" t="b">
        <f t="array" ref="U1034">(INDEX('Ontology and concepts per UC'!$G$2:$I$46,MATCH($S1034,'Ontology and concepts per UC'!$F$2:$F$46,0),MATCH(LEFT($A1034,3),'Ontology and concepts per UC'!$G$1:$I$1,0))=0)</f>
        <v>0</v>
      </c>
      <c r="V1034" s="1" t="b">
        <f t="shared" si="34"/>
        <v>1</v>
      </c>
      <c r="W1034" s="1" t="b">
        <v>1</v>
      </c>
      <c r="X1034" s="1" t="b">
        <v>0</v>
      </c>
      <c r="Y1034" s="1" t="b">
        <v>0</v>
      </c>
      <c r="Z1034" s="1" t="b">
        <v>0</v>
      </c>
      <c r="AA1034" s="1" t="s">
        <v>2696</v>
      </c>
    </row>
    <row r="1035" spans="1:27" x14ac:dyDescent="0.25">
      <c r="A1035" s="1" t="s">
        <v>2616</v>
      </c>
      <c r="B1035" s="2" t="s">
        <v>2700</v>
      </c>
      <c r="C1035" s="2" t="s">
        <v>2690</v>
      </c>
      <c r="D1035" s="6">
        <f t="shared" si="28"/>
        <v>1</v>
      </c>
      <c r="E1035" s="7" t="str">
        <f t="shared" si="29"/>
        <v>DiagnosticTest</v>
      </c>
      <c r="F1035" s="8" t="b">
        <f>IF(D1035&lt;1,FALSE,ISERROR(MATCH(E1035,'Ontology and concepts per UC'!$A$2:$A$62,0)))</f>
        <v>1</v>
      </c>
      <c r="G1035" s="9" t="str">
        <f t="shared" si="30"/>
        <v/>
      </c>
      <c r="H1035" s="9" t="str">
        <f t="shared" si="31"/>
        <v/>
      </c>
      <c r="I1035" s="8" t="b">
        <f>IF(D1035&lt;2,FALSE,ISERROR(MATCH(H1035,'Ontology and concepts per UC'!$A$2:$A$62,0)))</f>
        <v>0</v>
      </c>
      <c r="J1035" s="9" t="str">
        <f t="shared" si="32"/>
        <v/>
      </c>
      <c r="K1035" s="8" t="b">
        <f>IF(D1035&lt;3,FALSE,ISERROR(MATCH(J1035,'Ontology and concepts per UC'!$A$2:$A$62,0)))</f>
        <v>0</v>
      </c>
      <c r="L1035" s="2"/>
      <c r="M1035" s="2" t="s">
        <v>2701</v>
      </c>
      <c r="N1035" s="2"/>
      <c r="O1035" s="1" t="b">
        <v>0</v>
      </c>
      <c r="P1035" s="1">
        <v>1</v>
      </c>
      <c r="Q1035" s="1">
        <v>3</v>
      </c>
      <c r="R1035" s="1" t="b">
        <f t="shared" si="33"/>
        <v>0</v>
      </c>
      <c r="S1035" s="2" t="s">
        <v>47</v>
      </c>
      <c r="T1035" s="1" t="str">
        <f>IF(S1035="","",VLOOKUP(S1035,'Ontology and concepts per UC'!$F$2:$J$46,5,FALSE))</f>
        <v>Parámetros de intervención</v>
      </c>
      <c r="U1035" s="1" t="b">
        <f t="array" ref="U1035">(INDEX('Ontology and concepts per UC'!$G$2:$I$46,MATCH($S1035,'Ontology and concepts per UC'!$F$2:$F$46,0),MATCH(LEFT($A1035,3),'Ontology and concepts per UC'!$G$1:$I$1,0))=0)</f>
        <v>0</v>
      </c>
      <c r="V1035" s="1" t="b">
        <f t="shared" si="34"/>
        <v>1</v>
      </c>
      <c r="W1035" s="1" t="b">
        <v>1</v>
      </c>
      <c r="X1035" s="1" t="b">
        <v>0</v>
      </c>
      <c r="Y1035" s="1" t="b">
        <v>0</v>
      </c>
      <c r="Z1035" s="1" t="b">
        <v>0</v>
      </c>
      <c r="AA1035" s="1" t="s">
        <v>2696</v>
      </c>
    </row>
    <row r="1036" spans="1:27" x14ac:dyDescent="0.25">
      <c r="A1036" s="1" t="s">
        <v>2616</v>
      </c>
      <c r="B1036" s="2" t="s">
        <v>2702</v>
      </c>
      <c r="C1036" s="2" t="s">
        <v>2690</v>
      </c>
      <c r="D1036" s="6">
        <f t="shared" si="28"/>
        <v>1</v>
      </c>
      <c r="E1036" s="7" t="str">
        <f t="shared" si="29"/>
        <v>DiagnosticTest</v>
      </c>
      <c r="F1036" s="8" t="b">
        <f>IF(D1036&lt;1,FALSE,ISERROR(MATCH(E1036,'Ontology and concepts per UC'!$A$2:$A$62,0)))</f>
        <v>1</v>
      </c>
      <c r="G1036" s="9" t="str">
        <f t="shared" si="30"/>
        <v/>
      </c>
      <c r="H1036" s="9" t="str">
        <f t="shared" si="31"/>
        <v/>
      </c>
      <c r="I1036" s="8" t="b">
        <f>IF(D1036&lt;2,FALSE,ISERROR(MATCH(H1036,'Ontology and concepts per UC'!$A$2:$A$62,0)))</f>
        <v>0</v>
      </c>
      <c r="J1036" s="9" t="str">
        <f t="shared" si="32"/>
        <v/>
      </c>
      <c r="K1036" s="8" t="b">
        <f>IF(D1036&lt;3,FALSE,ISERROR(MATCH(J1036,'Ontology and concepts per UC'!$A$2:$A$62,0)))</f>
        <v>0</v>
      </c>
      <c r="L1036" s="2"/>
      <c r="M1036" s="2" t="s">
        <v>2703</v>
      </c>
      <c r="N1036" s="2"/>
      <c r="O1036" s="1" t="b">
        <v>0</v>
      </c>
      <c r="P1036" s="1">
        <v>1</v>
      </c>
      <c r="Q1036" s="1">
        <v>2</v>
      </c>
      <c r="R1036" s="1" t="b">
        <f t="shared" si="33"/>
        <v>0</v>
      </c>
      <c r="S1036" s="2" t="s">
        <v>6</v>
      </c>
      <c r="T1036" s="1" t="str">
        <f>IF(S1036="","",VLOOKUP(S1036,'Ontology and concepts per UC'!$F$2:$J$46,5,FALSE))</f>
        <v>Coste</v>
      </c>
      <c r="U1036" s="1" t="b">
        <f t="array" ref="U1036">(INDEX('Ontology and concepts per UC'!$G$2:$I$46,MATCH($S1036,'Ontology and concepts per UC'!$F$2:$F$46,0),MATCH(LEFT($A1036,3),'Ontology and concepts per UC'!$G$1:$I$1,0))=0)</f>
        <v>0</v>
      </c>
      <c r="V1036" s="1" t="b">
        <f t="shared" si="34"/>
        <v>1</v>
      </c>
      <c r="W1036" s="1" t="b">
        <v>1</v>
      </c>
      <c r="X1036" s="1" t="b">
        <v>0</v>
      </c>
      <c r="Y1036" s="1" t="b">
        <v>0</v>
      </c>
      <c r="Z1036" s="1" t="b">
        <v>0</v>
      </c>
      <c r="AA1036" s="1" t="s">
        <v>2696</v>
      </c>
    </row>
    <row r="1037" spans="1:27" x14ac:dyDescent="0.25">
      <c r="A1037" s="1" t="s">
        <v>2616</v>
      </c>
      <c r="B1037" s="2" t="s">
        <v>2704</v>
      </c>
      <c r="C1037" s="2" t="s">
        <v>104</v>
      </c>
      <c r="D1037" s="6">
        <f t="shared" si="28"/>
        <v>1</v>
      </c>
      <c r="E1037" s="7" t="str">
        <f t="shared" si="29"/>
        <v>Disease</v>
      </c>
      <c r="F1037" s="8" t="b">
        <f>IF(D1037&lt;1,FALSE,ISERROR(MATCH(E1037,'Ontology and concepts per UC'!$A$2:$A$62,0)))</f>
        <v>0</v>
      </c>
      <c r="G1037" s="9" t="str">
        <f t="shared" si="30"/>
        <v/>
      </c>
      <c r="H1037" s="9" t="str">
        <f t="shared" si="31"/>
        <v/>
      </c>
      <c r="I1037" s="8" t="b">
        <f>IF(D1037&lt;2,FALSE,ISERROR(MATCH(H1037,'Ontology and concepts per UC'!$A$2:$A$62,0)))</f>
        <v>0</v>
      </c>
      <c r="J1037" s="9" t="str">
        <f t="shared" si="32"/>
        <v/>
      </c>
      <c r="K1037" s="8" t="b">
        <f>IF(D1037&lt;3,FALSE,ISERROR(MATCH(J1037,'Ontology and concepts per UC'!$A$2:$A$62,0)))</f>
        <v>0</v>
      </c>
      <c r="L1037" s="2"/>
      <c r="M1037" s="2" t="s">
        <v>2705</v>
      </c>
      <c r="N1037" s="2"/>
      <c r="O1037" s="1" t="b">
        <v>0</v>
      </c>
      <c r="P1037" s="1">
        <v>0</v>
      </c>
      <c r="Q1037" s="1">
        <v>1</v>
      </c>
      <c r="R1037" s="1" t="b">
        <f t="shared" si="33"/>
        <v>0</v>
      </c>
      <c r="S1037" s="2" t="s">
        <v>35</v>
      </c>
      <c r="T1037" s="1" t="str">
        <f>IF(S1037="","",VLOOKUP(S1037,'Ontology and concepts per UC'!$F$2:$J$46,5,FALSE))</f>
        <v>Modelo Conceptual</v>
      </c>
      <c r="U1037" s="1" t="b">
        <f t="array" ref="U1037">(INDEX('Ontology and concepts per UC'!$G$2:$I$46,MATCH($S1037,'Ontology and concepts per UC'!$F$2:$F$46,0),MATCH(LEFT($A1037,3),'Ontology and concepts per UC'!$G$1:$I$1,0))=0)</f>
        <v>0</v>
      </c>
      <c r="V1037" s="1" t="b">
        <f t="shared" si="34"/>
        <v>1</v>
      </c>
      <c r="W1037" s="1" t="b">
        <v>1</v>
      </c>
      <c r="X1037" s="1" t="b">
        <v>0</v>
      </c>
      <c r="Y1037" s="1" t="b">
        <v>0</v>
      </c>
      <c r="Z1037" s="1" t="b">
        <v>0</v>
      </c>
      <c r="AA1037" s="1" t="s">
        <v>2688</v>
      </c>
    </row>
    <row r="1038" spans="1:27" x14ac:dyDescent="0.25">
      <c r="A1038" s="1" t="s">
        <v>2616</v>
      </c>
      <c r="B1038" s="2" t="s">
        <v>2706</v>
      </c>
      <c r="C1038" s="2" t="s">
        <v>2707</v>
      </c>
      <c r="D1038" s="6">
        <f t="shared" si="28"/>
        <v>1</v>
      </c>
      <c r="E1038" s="7" t="str">
        <f t="shared" si="29"/>
        <v>DiseaseModifier</v>
      </c>
      <c r="F1038" s="8" t="b">
        <f>IF(D1038&lt;1,FALSE,ISERROR(MATCH(E1038,'Ontology and concepts per UC'!$A$2:$A$62,0)))</f>
        <v>1</v>
      </c>
      <c r="G1038" s="9" t="str">
        <f t="shared" si="30"/>
        <v/>
      </c>
      <c r="H1038" s="9" t="str">
        <f t="shared" si="31"/>
        <v/>
      </c>
      <c r="I1038" s="8" t="b">
        <f>IF(D1038&lt;2,FALSE,ISERROR(MATCH(H1038,'Ontology and concepts per UC'!$A$2:$A$62,0)))</f>
        <v>0</v>
      </c>
      <c r="J1038" s="9" t="str">
        <f t="shared" si="32"/>
        <v/>
      </c>
      <c r="K1038" s="8" t="b">
        <f>IF(D1038&lt;3,FALSE,ISERROR(MATCH(J1038,'Ontology and concepts per UC'!$A$2:$A$62,0)))</f>
        <v>0</v>
      </c>
      <c r="L1038" s="2" t="s">
        <v>2708</v>
      </c>
      <c r="M1038" s="2" t="s">
        <v>2709</v>
      </c>
      <c r="N1038" s="2"/>
      <c r="O1038" s="1" t="b">
        <v>0</v>
      </c>
      <c r="P1038" s="1">
        <v>1</v>
      </c>
      <c r="Q1038" s="1">
        <v>2</v>
      </c>
      <c r="R1038" s="1" t="b">
        <f t="shared" si="33"/>
        <v>0</v>
      </c>
      <c r="S1038" s="2" t="s">
        <v>45</v>
      </c>
      <c r="T1038" s="1" t="str">
        <f>IF(S1038="","",VLOOKUP(S1038,'Ontology and concepts per UC'!$F$2:$J$46,5,FALSE))</f>
        <v>Parámetros de intervención</v>
      </c>
      <c r="U1038" s="1" t="b">
        <f t="array" ref="U1038">(INDEX('Ontology and concepts per UC'!$G$2:$I$46,MATCH($S1038,'Ontology and concepts per UC'!$F$2:$F$46,0),MATCH(LEFT($A1038,3),'Ontology and concepts per UC'!$G$1:$I$1,0))=0)</f>
        <v>0</v>
      </c>
      <c r="V1038" s="1" t="b">
        <f t="shared" si="34"/>
        <v>1</v>
      </c>
      <c r="W1038" s="1" t="b">
        <v>1</v>
      </c>
      <c r="X1038" s="1" t="b">
        <v>0</v>
      </c>
      <c r="Y1038" s="1" t="b">
        <v>0</v>
      </c>
      <c r="Z1038" s="1" t="b">
        <v>1</v>
      </c>
      <c r="AA1038" s="1" t="s">
        <v>2710</v>
      </c>
    </row>
    <row r="1039" spans="1:27" x14ac:dyDescent="0.25">
      <c r="A1039" s="1" t="s">
        <v>2616</v>
      </c>
      <c r="B1039" s="2" t="s">
        <v>2711</v>
      </c>
      <c r="C1039" s="2" t="s">
        <v>2707</v>
      </c>
      <c r="D1039" s="6">
        <f t="shared" si="28"/>
        <v>1</v>
      </c>
      <c r="E1039" s="7" t="str">
        <f t="shared" si="29"/>
        <v>DiseaseModifier</v>
      </c>
      <c r="F1039" s="8" t="b">
        <f>IF(D1039&lt;1,FALSE,ISERROR(MATCH(E1039,'Ontology and concepts per UC'!$A$2:$A$62,0)))</f>
        <v>1</v>
      </c>
      <c r="G1039" s="9" t="str">
        <f t="shared" si="30"/>
        <v/>
      </c>
      <c r="H1039" s="9" t="str">
        <f t="shared" si="31"/>
        <v/>
      </c>
      <c r="I1039" s="8" t="b">
        <f>IF(D1039&lt;2,FALSE,ISERROR(MATCH(H1039,'Ontology and concepts per UC'!$A$2:$A$62,0)))</f>
        <v>0</v>
      </c>
      <c r="J1039" s="9" t="str">
        <f t="shared" si="32"/>
        <v/>
      </c>
      <c r="K1039" s="8" t="b">
        <f>IF(D1039&lt;3,FALSE,ISERROR(MATCH(J1039,'Ontology and concepts per UC'!$A$2:$A$62,0)))</f>
        <v>0</v>
      </c>
      <c r="L1039" s="2" t="s">
        <v>2708</v>
      </c>
      <c r="M1039" s="2" t="s">
        <v>2712</v>
      </c>
      <c r="N1039" s="2"/>
      <c r="O1039" s="1" t="b">
        <v>0</v>
      </c>
      <c r="P1039" s="1">
        <v>1</v>
      </c>
      <c r="Q1039" s="1">
        <v>4</v>
      </c>
      <c r="R1039" s="1" t="b">
        <f t="shared" si="33"/>
        <v>0</v>
      </c>
      <c r="S1039" s="2" t="s">
        <v>187</v>
      </c>
      <c r="T1039" s="1" t="str">
        <f>IF(S1039="","",VLOOKUP(S1039,'Ontology and concepts per UC'!$F$2:$J$46,5,FALSE))</f>
        <v>Otros</v>
      </c>
      <c r="U1039" s="1" t="b">
        <f t="array" ref="U1039">(INDEX('Ontology and concepts per UC'!$G$2:$I$46,MATCH($S1039,'Ontology and concepts per UC'!$F$2:$F$46,0),MATCH(LEFT($A1039,3),'Ontology and concepts per UC'!$G$1:$I$1,0))=0)</f>
        <v>1</v>
      </c>
      <c r="V1039" s="1" t="b">
        <f t="shared" si="34"/>
        <v>1</v>
      </c>
      <c r="W1039" s="1" t="b">
        <v>1</v>
      </c>
      <c r="X1039" s="1" t="b">
        <v>0</v>
      </c>
      <c r="Y1039" s="1" t="b">
        <v>0</v>
      </c>
      <c r="Z1039" s="1" t="b">
        <v>0</v>
      </c>
      <c r="AA1039" s="1" t="s">
        <v>2713</v>
      </c>
    </row>
    <row r="1040" spans="1:27" x14ac:dyDescent="0.25">
      <c r="A1040" s="1" t="s">
        <v>2616</v>
      </c>
      <c r="B1040" s="2" t="s">
        <v>2714</v>
      </c>
      <c r="C1040" s="2" t="s">
        <v>2707</v>
      </c>
      <c r="D1040" s="6">
        <f t="shared" si="28"/>
        <v>1</v>
      </c>
      <c r="E1040" s="7" t="str">
        <f t="shared" si="29"/>
        <v>DiseaseModifier</v>
      </c>
      <c r="F1040" s="8" t="b">
        <f>IF(D1040&lt;1,FALSE,ISERROR(MATCH(E1040,'Ontology and concepts per UC'!$A$2:$A$62,0)))</f>
        <v>1</v>
      </c>
      <c r="G1040" s="9" t="str">
        <f t="shared" si="30"/>
        <v/>
      </c>
      <c r="H1040" s="9" t="str">
        <f t="shared" si="31"/>
        <v/>
      </c>
      <c r="I1040" s="8" t="b">
        <f>IF(D1040&lt;2,FALSE,ISERROR(MATCH(H1040,'Ontology and concepts per UC'!$A$2:$A$62,0)))</f>
        <v>0</v>
      </c>
      <c r="J1040" s="9" t="str">
        <f t="shared" si="32"/>
        <v/>
      </c>
      <c r="K1040" s="8" t="b">
        <f>IF(D1040&lt;3,FALSE,ISERROR(MATCH(J1040,'Ontology and concepts per UC'!$A$2:$A$62,0)))</f>
        <v>0</v>
      </c>
      <c r="L1040" s="2" t="s">
        <v>2715</v>
      </c>
      <c r="M1040" s="2"/>
      <c r="N1040" s="2"/>
      <c r="O1040" s="1" t="b">
        <v>0</v>
      </c>
      <c r="P1040" s="1">
        <v>1</v>
      </c>
      <c r="Q1040" s="1">
        <v>1</v>
      </c>
      <c r="R1040" s="1" t="b">
        <f t="shared" si="33"/>
        <v>0</v>
      </c>
      <c r="S1040" s="2" t="s">
        <v>187</v>
      </c>
      <c r="T1040" s="1" t="str">
        <f>IF(S1040="","",VLOOKUP(S1040,'Ontology and concepts per UC'!$F$2:$J$46,5,FALSE))</f>
        <v>Otros</v>
      </c>
      <c r="U1040" s="1" t="b">
        <f t="array" ref="U1040">(INDEX('Ontology and concepts per UC'!$G$2:$I$46,MATCH($S1040,'Ontology and concepts per UC'!$F$2:$F$46,0),MATCH(LEFT($A1040,3),'Ontology and concepts per UC'!$G$1:$I$1,0))=0)</f>
        <v>1</v>
      </c>
      <c r="V1040" s="1" t="b">
        <f t="shared" si="34"/>
        <v>1</v>
      </c>
      <c r="W1040" s="1" t="b">
        <v>1</v>
      </c>
      <c r="X1040" s="1" t="b">
        <v>0</v>
      </c>
      <c r="Y1040" s="1" t="b">
        <v>0</v>
      </c>
      <c r="Z1040" s="1" t="b">
        <v>0</v>
      </c>
      <c r="AA1040" s="1" t="s">
        <v>2713</v>
      </c>
    </row>
    <row r="1041" spans="1:27" x14ac:dyDescent="0.25">
      <c r="A1041" s="1" t="s">
        <v>2616</v>
      </c>
      <c r="B1041" s="2" t="s">
        <v>2716</v>
      </c>
      <c r="C1041" s="2" t="s">
        <v>2717</v>
      </c>
      <c r="D1041" s="6">
        <f t="shared" si="28"/>
        <v>1</v>
      </c>
      <c r="E1041" s="7" t="str">
        <f t="shared" si="29"/>
        <v>EffectivenessParameter</v>
      </c>
      <c r="F1041" s="8" t="b">
        <f>IF(D1041&lt;1,FALSE,ISERROR(MATCH(E1041,'Ontology and concepts per UC'!$A$2:$A$62,0)))</f>
        <v>1</v>
      </c>
      <c r="G1041" s="9" t="str">
        <f t="shared" si="30"/>
        <v/>
      </c>
      <c r="H1041" s="9" t="str">
        <f t="shared" si="31"/>
        <v/>
      </c>
      <c r="I1041" s="8" t="b">
        <f>IF(D1041&lt;2,FALSE,ISERROR(MATCH(H1041,'Ontology and concepts per UC'!$A$2:$A$62,0)))</f>
        <v>0</v>
      </c>
      <c r="J1041" s="9" t="str">
        <f t="shared" si="32"/>
        <v/>
      </c>
      <c r="K1041" s="8" t="b">
        <f>IF(D1041&lt;3,FALSE,ISERROR(MATCH(J1041,'Ontology and concepts per UC'!$A$2:$A$62,0)))</f>
        <v>0</v>
      </c>
      <c r="L1041" s="2" t="s">
        <v>2718</v>
      </c>
      <c r="M1041" s="2" t="s">
        <v>2719</v>
      </c>
      <c r="N1041" s="2"/>
      <c r="O1041" s="1" t="b">
        <v>0</v>
      </c>
      <c r="P1041" s="1">
        <v>1</v>
      </c>
      <c r="Q1041" s="1">
        <v>5</v>
      </c>
      <c r="R1041" s="1" t="b">
        <f t="shared" si="33"/>
        <v>0</v>
      </c>
      <c r="S1041" s="2" t="s">
        <v>187</v>
      </c>
      <c r="T1041" s="1" t="str">
        <f>IF(S1041="","",VLOOKUP(S1041,'Ontology and concepts per UC'!$F$2:$J$46,5,FALSE))</f>
        <v>Otros</v>
      </c>
      <c r="U1041" s="1" t="b">
        <f t="array" ref="U1041">(INDEX('Ontology and concepts per UC'!$G$2:$I$46,MATCH($S1041,'Ontology and concepts per UC'!$F$2:$F$46,0),MATCH(LEFT($A1041,3),'Ontology and concepts per UC'!$G$1:$I$1,0))=0)</f>
        <v>1</v>
      </c>
      <c r="V1041" s="1" t="b">
        <f t="shared" si="34"/>
        <v>1</v>
      </c>
      <c r="W1041" s="1" t="b">
        <v>1</v>
      </c>
      <c r="X1041" s="1" t="b">
        <v>0</v>
      </c>
      <c r="Y1041" s="1" t="b">
        <v>0</v>
      </c>
      <c r="Z1041" s="1" t="b">
        <v>1</v>
      </c>
      <c r="AA1041" s="1" t="s">
        <v>2720</v>
      </c>
    </row>
    <row r="1042" spans="1:27" x14ac:dyDescent="0.25">
      <c r="A1042" s="1" t="s">
        <v>2616</v>
      </c>
      <c r="B1042" s="2" t="s">
        <v>2721</v>
      </c>
      <c r="C1042" s="2" t="s">
        <v>2717</v>
      </c>
      <c r="D1042" s="6">
        <f t="shared" si="28"/>
        <v>1</v>
      </c>
      <c r="E1042" s="7" t="str">
        <f t="shared" si="29"/>
        <v>EffectivenessParameter</v>
      </c>
      <c r="F1042" s="8" t="b">
        <f>IF(D1042&lt;1,FALSE,ISERROR(MATCH(E1042,'Ontology and concepts per UC'!$A$2:$A$62,0)))</f>
        <v>1</v>
      </c>
      <c r="G1042" s="9" t="str">
        <f t="shared" si="30"/>
        <v/>
      </c>
      <c r="H1042" s="9" t="str">
        <f t="shared" si="31"/>
        <v/>
      </c>
      <c r="I1042" s="8" t="b">
        <f>IF(D1042&lt;2,FALSE,ISERROR(MATCH(H1042,'Ontology and concepts per UC'!$A$2:$A$62,0)))</f>
        <v>0</v>
      </c>
      <c r="J1042" s="9" t="str">
        <f t="shared" si="32"/>
        <v/>
      </c>
      <c r="K1042" s="8" t="b">
        <f>IF(D1042&lt;3,FALSE,ISERROR(MATCH(J1042,'Ontology and concepts per UC'!$A$2:$A$62,0)))</f>
        <v>0</v>
      </c>
      <c r="L1042" s="2"/>
      <c r="M1042" s="2" t="s">
        <v>2722</v>
      </c>
      <c r="N1042" s="2"/>
      <c r="O1042" s="1" t="b">
        <v>0</v>
      </c>
      <c r="P1042" s="1">
        <v>1</v>
      </c>
      <c r="Q1042" s="1">
        <v>1</v>
      </c>
      <c r="R1042" s="1" t="b">
        <f t="shared" si="33"/>
        <v>0</v>
      </c>
      <c r="S1042" s="2" t="s">
        <v>107</v>
      </c>
      <c r="T1042" s="1" t="str">
        <f>IF(S1042="","",VLOOKUP(S1042,'Ontology and concepts per UC'!$F$2:$J$46,5,FALSE))</f>
        <v>Parcial</v>
      </c>
      <c r="U1042" s="1" t="b">
        <f t="array" ref="U1042">(INDEX('Ontology and concepts per UC'!$G$2:$I$46,MATCH($S1042,'Ontology and concepts per UC'!$F$2:$F$46,0),MATCH(LEFT($A1042,3),'Ontology and concepts per UC'!$G$1:$I$1,0))=0)</f>
        <v>0</v>
      </c>
      <c r="V1042" s="1" t="b">
        <f t="shared" si="34"/>
        <v>1</v>
      </c>
      <c r="W1042" s="1" t="b">
        <v>1</v>
      </c>
      <c r="X1042" s="1" t="b">
        <v>0</v>
      </c>
      <c r="Y1042" s="1" t="b">
        <v>0</v>
      </c>
      <c r="Z1042" s="1" t="b">
        <v>0</v>
      </c>
      <c r="AA1042" s="1" t="s">
        <v>2723</v>
      </c>
    </row>
    <row r="1043" spans="1:27" x14ac:dyDescent="0.25">
      <c r="A1043" s="1" t="s">
        <v>2616</v>
      </c>
      <c r="B1043" s="2" t="s">
        <v>2724</v>
      </c>
      <c r="C1043" s="2" t="s">
        <v>2717</v>
      </c>
      <c r="D1043" s="6">
        <f t="shared" si="28"/>
        <v>1</v>
      </c>
      <c r="E1043" s="7" t="str">
        <f t="shared" si="29"/>
        <v>EffectivenessParameter</v>
      </c>
      <c r="F1043" s="8" t="b">
        <f>IF(D1043&lt;1,FALSE,ISERROR(MATCH(E1043,'Ontology and concepts per UC'!$A$2:$A$62,0)))</f>
        <v>1</v>
      </c>
      <c r="G1043" s="9" t="str">
        <f t="shared" si="30"/>
        <v/>
      </c>
      <c r="H1043" s="9" t="str">
        <f t="shared" si="31"/>
        <v/>
      </c>
      <c r="I1043" s="8" t="b">
        <f>IF(D1043&lt;2,FALSE,ISERROR(MATCH(H1043,'Ontology and concepts per UC'!$A$2:$A$62,0)))</f>
        <v>0</v>
      </c>
      <c r="J1043" s="9" t="str">
        <f t="shared" si="32"/>
        <v/>
      </c>
      <c r="K1043" s="8" t="b">
        <f>IF(D1043&lt;3,FALSE,ISERROR(MATCH(J1043,'Ontology and concepts per UC'!$A$2:$A$62,0)))</f>
        <v>0</v>
      </c>
      <c r="L1043" s="2"/>
      <c r="M1043" s="2" t="s">
        <v>2725</v>
      </c>
      <c r="N1043" s="2"/>
      <c r="O1043" s="1" t="b">
        <v>0</v>
      </c>
      <c r="P1043" s="1">
        <v>1</v>
      </c>
      <c r="Q1043" s="1">
        <v>1</v>
      </c>
      <c r="R1043" s="1" t="b">
        <f t="shared" si="33"/>
        <v>0</v>
      </c>
      <c r="S1043" s="2" t="s">
        <v>60</v>
      </c>
      <c r="T1043" s="1" t="str">
        <f>IF(S1043="","",VLOOKUP(S1043,'Ontology and concepts per UC'!$F$2:$J$46,5,FALSE))</f>
        <v>Tratamiento/seguimiento</v>
      </c>
      <c r="U1043" s="1" t="b">
        <f t="array" ref="U1043">(INDEX('Ontology and concepts per UC'!$G$2:$I$46,MATCH($S1043,'Ontology and concepts per UC'!$F$2:$F$46,0),MATCH(LEFT($A1043,3),'Ontology and concepts per UC'!$G$1:$I$1,0))=0)</f>
        <v>0</v>
      </c>
      <c r="V1043" s="1" t="b">
        <f t="shared" si="34"/>
        <v>1</v>
      </c>
      <c r="W1043" s="1" t="b">
        <v>1</v>
      </c>
      <c r="X1043" s="1" t="b">
        <v>0</v>
      </c>
      <c r="Y1043" s="1" t="b">
        <v>0</v>
      </c>
      <c r="Z1043" s="1" t="b">
        <v>0</v>
      </c>
      <c r="AA1043" s="1" t="s">
        <v>2723</v>
      </c>
    </row>
    <row r="1044" spans="1:27" x14ac:dyDescent="0.25">
      <c r="A1044" s="1" t="s">
        <v>2616</v>
      </c>
      <c r="B1044" s="2" t="s">
        <v>2726</v>
      </c>
      <c r="C1044" s="2" t="s">
        <v>2717</v>
      </c>
      <c r="D1044" s="6">
        <f t="shared" si="28"/>
        <v>1</v>
      </c>
      <c r="E1044" s="7" t="str">
        <f t="shared" si="29"/>
        <v>EffectivenessParameter</v>
      </c>
      <c r="F1044" s="8" t="b">
        <f>IF(D1044&lt;1,FALSE,ISERROR(MATCH(E1044,'Ontology and concepts per UC'!$A$2:$A$62,0)))</f>
        <v>1</v>
      </c>
      <c r="G1044" s="9" t="str">
        <f t="shared" si="30"/>
        <v/>
      </c>
      <c r="H1044" s="9" t="str">
        <f t="shared" si="31"/>
        <v/>
      </c>
      <c r="I1044" s="8" t="b">
        <f>IF(D1044&lt;2,FALSE,ISERROR(MATCH(H1044,'Ontology and concepts per UC'!$A$2:$A$62,0)))</f>
        <v>0</v>
      </c>
      <c r="J1044" s="9" t="str">
        <f t="shared" si="32"/>
        <v/>
      </c>
      <c r="K1044" s="8" t="b">
        <f>IF(D1044&lt;3,FALSE,ISERROR(MATCH(J1044,'Ontology and concepts per UC'!$A$2:$A$62,0)))</f>
        <v>0</v>
      </c>
      <c r="L1044" s="2" t="s">
        <v>2727</v>
      </c>
      <c r="M1044" s="2" t="s">
        <v>2728</v>
      </c>
      <c r="N1044" s="2"/>
      <c r="O1044" s="1" t="b">
        <v>0</v>
      </c>
      <c r="P1044" s="1">
        <v>1</v>
      </c>
      <c r="Q1044" s="1">
        <v>3</v>
      </c>
      <c r="R1044" s="1" t="b">
        <f t="shared" si="33"/>
        <v>0</v>
      </c>
      <c r="S1044" s="2" t="s">
        <v>45</v>
      </c>
      <c r="T1044" s="1" t="str">
        <f>IF(S1044="","",VLOOKUP(S1044,'Ontology and concepts per UC'!$F$2:$J$46,5,FALSE))</f>
        <v>Parámetros de intervención</v>
      </c>
      <c r="U1044" s="1" t="b">
        <f t="array" ref="U1044">(INDEX('Ontology and concepts per UC'!$G$2:$I$46,MATCH($S1044,'Ontology and concepts per UC'!$F$2:$F$46,0),MATCH(LEFT($A1044,3),'Ontology and concepts per UC'!$G$1:$I$1,0))=0)</f>
        <v>0</v>
      </c>
      <c r="V1044" s="1" t="b">
        <f t="shared" si="34"/>
        <v>1</v>
      </c>
      <c r="W1044" s="1" t="b">
        <v>1</v>
      </c>
      <c r="X1044" s="1" t="b">
        <v>0</v>
      </c>
      <c r="Y1044" s="1" t="b">
        <v>0</v>
      </c>
      <c r="Z1044" s="1" t="b">
        <v>1</v>
      </c>
      <c r="AA1044" s="1" t="s">
        <v>2729</v>
      </c>
    </row>
    <row r="1045" spans="1:27" x14ac:dyDescent="0.25">
      <c r="A1045" s="1" t="s">
        <v>2616</v>
      </c>
      <c r="B1045" s="2" t="s">
        <v>2730</v>
      </c>
      <c r="C1045" s="2" t="s">
        <v>1437</v>
      </c>
      <c r="D1045" s="6">
        <f t="shared" si="28"/>
        <v>2</v>
      </c>
      <c r="E1045" s="7" t="str">
        <f t="shared" si="29"/>
        <v>EpidemiologicalParameter</v>
      </c>
      <c r="F1045" s="8" t="b">
        <f>IF(D1045&lt;1,FALSE,ISERROR(MATCH(E1045,'Ontology and concepts per UC'!$A$2:$A$62,0)))</f>
        <v>0</v>
      </c>
      <c r="G1045" s="9" t="str">
        <f t="shared" si="30"/>
        <v>DeterministicParameter</v>
      </c>
      <c r="H1045" s="9" t="str">
        <f t="shared" si="31"/>
        <v>DeterministicParameter</v>
      </c>
      <c r="I1045" s="8" t="b">
        <f>IF(D1045&lt;2,FALSE,ISERROR(MATCH(H1045,'Ontology and concepts per UC'!$A$2:$A$62,0)))</f>
        <v>0</v>
      </c>
      <c r="J1045" s="9" t="str">
        <f t="shared" si="32"/>
        <v/>
      </c>
      <c r="K1045" s="8" t="b">
        <f>IF(D1045&lt;3,FALSE,ISERROR(MATCH(J1045,'Ontology and concepts per UC'!$A$2:$A$62,0)))</f>
        <v>0</v>
      </c>
      <c r="L1045" s="2" t="s">
        <v>2731</v>
      </c>
      <c r="M1045" s="2" t="s">
        <v>2732</v>
      </c>
      <c r="N1045" s="2"/>
      <c r="O1045" s="1" t="b">
        <v>0</v>
      </c>
      <c r="P1045" s="1">
        <v>0</v>
      </c>
      <c r="Q1045" s="1">
        <v>2</v>
      </c>
      <c r="R1045" s="1" t="b">
        <f t="shared" si="33"/>
        <v>0</v>
      </c>
      <c r="S1045" s="2" t="s">
        <v>107</v>
      </c>
      <c r="T1045" s="1" t="str">
        <f>IF(S1045="","",VLOOKUP(S1045,'Ontology and concepts per UC'!$F$2:$J$46,5,FALSE))</f>
        <v>Parcial</v>
      </c>
      <c r="U1045" s="1" t="b">
        <f t="array" ref="U1045">(INDEX('Ontology and concepts per UC'!$G$2:$I$46,MATCH($S1045,'Ontology and concepts per UC'!$F$2:$F$46,0),MATCH(LEFT($A1045,3),'Ontology and concepts per UC'!$G$1:$I$1,0))=0)</f>
        <v>0</v>
      </c>
      <c r="V1045" s="1" t="b">
        <f t="shared" si="34"/>
        <v>1</v>
      </c>
      <c r="W1045" s="1" t="b">
        <v>1</v>
      </c>
      <c r="X1045" s="1" t="b">
        <v>0</v>
      </c>
      <c r="Y1045" s="1" t="b">
        <v>0</v>
      </c>
      <c r="Z1045" s="1" t="b">
        <v>0</v>
      </c>
      <c r="AA1045" s="1" t="s">
        <v>2676</v>
      </c>
    </row>
    <row r="1046" spans="1:27" x14ac:dyDescent="0.25">
      <c r="A1046" s="1" t="s">
        <v>2616</v>
      </c>
      <c r="B1046" s="2" t="s">
        <v>2733</v>
      </c>
      <c r="C1046" s="2" t="s">
        <v>1437</v>
      </c>
      <c r="D1046" s="6">
        <f t="shared" si="28"/>
        <v>2</v>
      </c>
      <c r="E1046" s="7" t="str">
        <f t="shared" si="29"/>
        <v>EpidemiologicalParameter</v>
      </c>
      <c r="F1046" s="8" t="b">
        <f>IF(D1046&lt;1,FALSE,ISERROR(MATCH(E1046,'Ontology and concepts per UC'!$A$2:$A$62,0)))</f>
        <v>0</v>
      </c>
      <c r="G1046" s="9" t="str">
        <f t="shared" si="30"/>
        <v>DeterministicParameter</v>
      </c>
      <c r="H1046" s="9" t="str">
        <f t="shared" si="31"/>
        <v>DeterministicParameter</v>
      </c>
      <c r="I1046" s="8" t="b">
        <f>IF(D1046&lt;2,FALSE,ISERROR(MATCH(H1046,'Ontology and concepts per UC'!$A$2:$A$62,0)))</f>
        <v>0</v>
      </c>
      <c r="J1046" s="9" t="str">
        <f t="shared" si="32"/>
        <v/>
      </c>
      <c r="K1046" s="8" t="b">
        <f>IF(D1046&lt;3,FALSE,ISERROR(MATCH(J1046,'Ontology and concepts per UC'!$A$2:$A$62,0)))</f>
        <v>0</v>
      </c>
      <c r="L1046" s="2" t="s">
        <v>2734</v>
      </c>
      <c r="M1046" s="2" t="s">
        <v>2735</v>
      </c>
      <c r="N1046" s="2"/>
      <c r="O1046" s="1" t="b">
        <v>0</v>
      </c>
      <c r="P1046" s="1">
        <v>0</v>
      </c>
      <c r="Q1046" s="1">
        <v>2</v>
      </c>
      <c r="R1046" s="1" t="b">
        <f t="shared" si="33"/>
        <v>0</v>
      </c>
      <c r="S1046" s="2" t="s">
        <v>107</v>
      </c>
      <c r="T1046" s="1" t="str">
        <f>IF(S1046="","",VLOOKUP(S1046,'Ontology and concepts per UC'!$F$2:$J$46,5,FALSE))</f>
        <v>Parcial</v>
      </c>
      <c r="U1046" s="1" t="b">
        <f t="array" ref="U1046">(INDEX('Ontology and concepts per UC'!$G$2:$I$46,MATCH($S1046,'Ontology and concepts per UC'!$F$2:$F$46,0),MATCH(LEFT($A1046,3),'Ontology and concepts per UC'!$G$1:$I$1,0))=0)</f>
        <v>0</v>
      </c>
      <c r="V1046" s="1" t="b">
        <f t="shared" si="34"/>
        <v>1</v>
      </c>
      <c r="W1046" s="1" t="b">
        <v>1</v>
      </c>
      <c r="X1046" s="1" t="b">
        <v>0</v>
      </c>
      <c r="Y1046" s="1" t="b">
        <v>0</v>
      </c>
      <c r="Z1046" s="1" t="b">
        <v>0</v>
      </c>
      <c r="AA1046" s="1" t="s">
        <v>2676</v>
      </c>
    </row>
    <row r="1047" spans="1:27" x14ac:dyDescent="0.25">
      <c r="A1047" s="1" t="s">
        <v>2616</v>
      </c>
      <c r="B1047" s="2" t="s">
        <v>2736</v>
      </c>
      <c r="C1047" s="2" t="s">
        <v>1437</v>
      </c>
      <c r="D1047" s="6">
        <f t="shared" si="28"/>
        <v>2</v>
      </c>
      <c r="E1047" s="7" t="str">
        <f t="shared" si="29"/>
        <v>EpidemiologicalParameter</v>
      </c>
      <c r="F1047" s="8" t="b">
        <f>IF(D1047&lt;1,FALSE,ISERROR(MATCH(E1047,'Ontology and concepts per UC'!$A$2:$A$62,0)))</f>
        <v>0</v>
      </c>
      <c r="G1047" s="9" t="str">
        <f t="shared" si="30"/>
        <v>DeterministicParameter</v>
      </c>
      <c r="H1047" s="9" t="str">
        <f t="shared" si="31"/>
        <v>DeterministicParameter</v>
      </c>
      <c r="I1047" s="8" t="b">
        <f>IF(D1047&lt;2,FALSE,ISERROR(MATCH(H1047,'Ontology and concepts per UC'!$A$2:$A$62,0)))</f>
        <v>0</v>
      </c>
      <c r="J1047" s="9" t="str">
        <f t="shared" si="32"/>
        <v/>
      </c>
      <c r="K1047" s="8" t="b">
        <f>IF(D1047&lt;3,FALSE,ISERROR(MATCH(J1047,'Ontology and concepts per UC'!$A$2:$A$62,0)))</f>
        <v>0</v>
      </c>
      <c r="L1047" s="2" t="s">
        <v>2737</v>
      </c>
      <c r="M1047" s="2" t="s">
        <v>2738</v>
      </c>
      <c r="N1047" s="2"/>
      <c r="O1047" s="1" t="b">
        <v>0</v>
      </c>
      <c r="P1047" s="1">
        <v>0</v>
      </c>
      <c r="Q1047" s="1">
        <v>2</v>
      </c>
      <c r="R1047" s="1" t="b">
        <f t="shared" si="33"/>
        <v>0</v>
      </c>
      <c r="S1047" s="2" t="s">
        <v>107</v>
      </c>
      <c r="T1047" s="1" t="str">
        <f>IF(S1047="","",VLOOKUP(S1047,'Ontology and concepts per UC'!$F$2:$J$46,5,FALSE))</f>
        <v>Parcial</v>
      </c>
      <c r="U1047" s="1" t="b">
        <f t="array" ref="U1047">(INDEX('Ontology and concepts per UC'!$G$2:$I$46,MATCH($S1047,'Ontology and concepts per UC'!$F$2:$F$46,0),MATCH(LEFT($A1047,3),'Ontology and concepts per UC'!$G$1:$I$1,0))=0)</f>
        <v>0</v>
      </c>
      <c r="V1047" s="1" t="b">
        <f t="shared" si="34"/>
        <v>1</v>
      </c>
      <c r="W1047" s="1" t="b">
        <v>1</v>
      </c>
      <c r="X1047" s="1" t="b">
        <v>0</v>
      </c>
      <c r="Y1047" s="1" t="b">
        <v>0</v>
      </c>
      <c r="Z1047" s="1" t="b">
        <v>0</v>
      </c>
      <c r="AA1047" s="1" t="s">
        <v>2676</v>
      </c>
    </row>
    <row r="1048" spans="1:27" x14ac:dyDescent="0.25">
      <c r="A1048" s="1" t="s">
        <v>2616</v>
      </c>
      <c r="B1048" s="2" t="s">
        <v>2739</v>
      </c>
      <c r="C1048" s="2" t="s">
        <v>2740</v>
      </c>
      <c r="D1048" s="6">
        <f t="shared" si="28"/>
        <v>2</v>
      </c>
      <c r="E1048" s="7" t="str">
        <f t="shared" si="29"/>
        <v>EpidemiologicalParameter</v>
      </c>
      <c r="F1048" s="8" t="b">
        <f>IF(D1048&lt;1,FALSE,ISERROR(MATCH(E1048,'Ontology and concepts per UC'!$A$2:$A$62,0)))</f>
        <v>0</v>
      </c>
      <c r="G1048" s="9" t="str">
        <f t="shared" si="30"/>
        <v>ProbabilisticParameter</v>
      </c>
      <c r="H1048" s="9" t="str">
        <f t="shared" si="31"/>
        <v>ProbabilisticParameter</v>
      </c>
      <c r="I1048" s="8" t="b">
        <f>IF(D1048&lt;2,FALSE,ISERROR(MATCH(H1048,'Ontology and concepts per UC'!$A$2:$A$62,0)))</f>
        <v>1</v>
      </c>
      <c r="J1048" s="9" t="str">
        <f t="shared" si="32"/>
        <v/>
      </c>
      <c r="K1048" s="8" t="b">
        <f>IF(D1048&lt;3,FALSE,ISERROR(MATCH(J1048,'Ontology and concepts per UC'!$A$2:$A$62,0)))</f>
        <v>0</v>
      </c>
      <c r="L1048" s="2" t="s">
        <v>2731</v>
      </c>
      <c r="M1048" s="2" t="s">
        <v>2741</v>
      </c>
      <c r="N1048" s="2"/>
      <c r="O1048" s="1" t="b">
        <v>0</v>
      </c>
      <c r="P1048" s="1">
        <v>1</v>
      </c>
      <c r="Q1048" s="1">
        <v>7</v>
      </c>
      <c r="R1048" s="1" t="b">
        <f t="shared" si="33"/>
        <v>0</v>
      </c>
      <c r="S1048" s="2" t="s">
        <v>55</v>
      </c>
      <c r="T1048" s="1" t="str">
        <f>IF(S1048="","",VLOOKUP(S1048,'Ontology and concepts per UC'!$F$2:$J$46,5,FALSE))</f>
        <v>Parámetros de progresión</v>
      </c>
      <c r="U1048" s="1" t="b">
        <f t="array" ref="U1048">(INDEX('Ontology and concepts per UC'!$G$2:$I$46,MATCH($S1048,'Ontology and concepts per UC'!$F$2:$F$46,0),MATCH(LEFT($A1048,3),'Ontology and concepts per UC'!$G$1:$I$1,0))=0)</f>
        <v>0</v>
      </c>
      <c r="V1048" s="1" t="b">
        <f t="shared" si="34"/>
        <v>1</v>
      </c>
      <c r="W1048" s="1" t="b">
        <v>1</v>
      </c>
      <c r="X1048" s="1" t="b">
        <v>0</v>
      </c>
      <c r="Y1048" s="1" t="b">
        <v>0</v>
      </c>
      <c r="Z1048" s="1" t="b">
        <v>0</v>
      </c>
      <c r="AA1048" s="1" t="s">
        <v>2742</v>
      </c>
    </row>
    <row r="1049" spans="1:27" x14ac:dyDescent="0.25">
      <c r="A1049" s="1" t="s">
        <v>2616</v>
      </c>
      <c r="B1049" s="2" t="s">
        <v>2743</v>
      </c>
      <c r="C1049" s="2" t="s">
        <v>2740</v>
      </c>
      <c r="D1049" s="6">
        <f t="shared" si="28"/>
        <v>2</v>
      </c>
      <c r="E1049" s="7" t="str">
        <f t="shared" si="29"/>
        <v>EpidemiologicalParameter</v>
      </c>
      <c r="F1049" s="8" t="b">
        <f>IF(D1049&lt;1,FALSE,ISERROR(MATCH(E1049,'Ontology and concepts per UC'!$A$2:$A$62,0)))</f>
        <v>0</v>
      </c>
      <c r="G1049" s="9" t="str">
        <f t="shared" si="30"/>
        <v>ProbabilisticParameter</v>
      </c>
      <c r="H1049" s="9" t="str">
        <f t="shared" si="31"/>
        <v>ProbabilisticParameter</v>
      </c>
      <c r="I1049" s="8" t="b">
        <f>IF(D1049&lt;2,FALSE,ISERROR(MATCH(H1049,'Ontology and concepts per UC'!$A$2:$A$62,0)))</f>
        <v>1</v>
      </c>
      <c r="J1049" s="9" t="str">
        <f t="shared" si="32"/>
        <v/>
      </c>
      <c r="K1049" s="8" t="b">
        <f>IF(D1049&lt;3,FALSE,ISERROR(MATCH(J1049,'Ontology and concepts per UC'!$A$2:$A$62,0)))</f>
        <v>0</v>
      </c>
      <c r="L1049" s="2" t="s">
        <v>2734</v>
      </c>
      <c r="M1049" s="2" t="s">
        <v>2744</v>
      </c>
      <c r="N1049" s="2"/>
      <c r="O1049" s="1" t="b">
        <v>0</v>
      </c>
      <c r="P1049" s="1">
        <v>1</v>
      </c>
      <c r="Q1049" s="1">
        <v>7</v>
      </c>
      <c r="R1049" s="1" t="b">
        <f t="shared" si="33"/>
        <v>0</v>
      </c>
      <c r="S1049" s="2" t="s">
        <v>50</v>
      </c>
      <c r="T1049" s="1" t="str">
        <f>IF(S1049="","",VLOOKUP(S1049,'Ontology and concepts per UC'!$F$2:$J$46,5,FALSE))</f>
        <v>Parámetros de progresión</v>
      </c>
      <c r="U1049" s="1" t="b">
        <f t="array" ref="U1049">(INDEX('Ontology and concepts per UC'!$G$2:$I$46,MATCH($S1049,'Ontology and concepts per UC'!$F$2:$F$46,0),MATCH(LEFT($A1049,3),'Ontology and concepts per UC'!$G$1:$I$1,0))=0)</f>
        <v>0</v>
      </c>
      <c r="V1049" s="1" t="b">
        <f t="shared" si="34"/>
        <v>1</v>
      </c>
      <c r="W1049" s="1" t="b">
        <v>1</v>
      </c>
      <c r="X1049" s="1" t="b">
        <v>0</v>
      </c>
      <c r="Y1049" s="1" t="b">
        <v>0</v>
      </c>
      <c r="Z1049" s="1" t="b">
        <v>0</v>
      </c>
      <c r="AA1049" s="1" t="s">
        <v>2742</v>
      </c>
    </row>
    <row r="1050" spans="1:27" x14ac:dyDescent="0.25">
      <c r="A1050" s="1" t="s">
        <v>2616</v>
      </c>
      <c r="B1050" s="2" t="s">
        <v>2745</v>
      </c>
      <c r="C1050" s="2" t="s">
        <v>2746</v>
      </c>
      <c r="D1050" s="6">
        <f t="shared" si="28"/>
        <v>1</v>
      </c>
      <c r="E1050" s="7" t="str">
        <f t="shared" si="29"/>
        <v>FollowUpProtocol</v>
      </c>
      <c r="F1050" s="8" t="b">
        <f>IF(D1050&lt;1,FALSE,ISERROR(MATCH(E1050,'Ontology and concepts per UC'!$A$2:$A$62,0)))</f>
        <v>1</v>
      </c>
      <c r="G1050" s="9" t="str">
        <f t="shared" si="30"/>
        <v/>
      </c>
      <c r="H1050" s="9" t="str">
        <f t="shared" si="31"/>
        <v/>
      </c>
      <c r="I1050" s="8" t="b">
        <f>IF(D1050&lt;2,FALSE,ISERROR(MATCH(H1050,'Ontology and concepts per UC'!$A$2:$A$62,0)))</f>
        <v>0</v>
      </c>
      <c r="J1050" s="9" t="str">
        <f t="shared" si="32"/>
        <v/>
      </c>
      <c r="K1050" s="8" t="b">
        <f>IF(D1050&lt;3,FALSE,ISERROR(MATCH(J1050,'Ontology and concepts per UC'!$A$2:$A$62,0)))</f>
        <v>0</v>
      </c>
      <c r="L1050" s="2" t="s">
        <v>2747</v>
      </c>
      <c r="M1050" s="2"/>
      <c r="N1050" s="2"/>
      <c r="O1050" s="1" t="b">
        <v>0</v>
      </c>
      <c r="P1050" s="1">
        <v>1</v>
      </c>
      <c r="Q1050" s="1">
        <v>0</v>
      </c>
      <c r="R1050" s="1" t="b">
        <f t="shared" si="33"/>
        <v>0</v>
      </c>
      <c r="S1050" s="2" t="s">
        <v>107</v>
      </c>
      <c r="T1050" s="1" t="str">
        <f>IF(S1050="","",VLOOKUP(S1050,'Ontology and concepts per UC'!$F$2:$J$46,5,FALSE))</f>
        <v>Parcial</v>
      </c>
      <c r="U1050" s="1" t="b">
        <f t="array" ref="U1050">(INDEX('Ontology and concepts per UC'!$G$2:$I$46,MATCH($S1050,'Ontology and concepts per UC'!$F$2:$F$46,0),MATCH(LEFT($A1050,3),'Ontology and concepts per UC'!$G$1:$I$1,0))=0)</f>
        <v>0</v>
      </c>
      <c r="V1050" s="1" t="b">
        <f t="shared" si="34"/>
        <v>1</v>
      </c>
      <c r="W1050" s="1" t="b">
        <v>1</v>
      </c>
      <c r="X1050" s="1" t="b">
        <v>0</v>
      </c>
      <c r="Y1050" s="1" t="b">
        <v>0</v>
      </c>
      <c r="Z1050" s="1" t="b">
        <v>0</v>
      </c>
      <c r="AA1050" s="1" t="s">
        <v>2748</v>
      </c>
    </row>
    <row r="1051" spans="1:27" x14ac:dyDescent="0.25">
      <c r="A1051" s="1" t="s">
        <v>2616</v>
      </c>
      <c r="B1051" s="2" t="s">
        <v>2749</v>
      </c>
      <c r="C1051" s="2" t="s">
        <v>2746</v>
      </c>
      <c r="D1051" s="6">
        <f t="shared" si="28"/>
        <v>1</v>
      </c>
      <c r="E1051" s="7" t="str">
        <f t="shared" si="29"/>
        <v>FollowUpProtocol</v>
      </c>
      <c r="F1051" s="8" t="b">
        <f>IF(D1051&lt;1,FALSE,ISERROR(MATCH(E1051,'Ontology and concepts per UC'!$A$2:$A$62,0)))</f>
        <v>1</v>
      </c>
      <c r="G1051" s="9" t="str">
        <f t="shared" si="30"/>
        <v/>
      </c>
      <c r="H1051" s="9" t="str">
        <f t="shared" si="31"/>
        <v/>
      </c>
      <c r="I1051" s="8" t="b">
        <f>IF(D1051&lt;2,FALSE,ISERROR(MATCH(H1051,'Ontology and concepts per UC'!$A$2:$A$62,0)))</f>
        <v>0</v>
      </c>
      <c r="J1051" s="9" t="str">
        <f t="shared" si="32"/>
        <v/>
      </c>
      <c r="K1051" s="8" t="b">
        <f>IF(D1051&lt;3,FALSE,ISERROR(MATCH(J1051,'Ontology and concepts per UC'!$A$2:$A$62,0)))</f>
        <v>0</v>
      </c>
      <c r="L1051" s="2" t="s">
        <v>2750</v>
      </c>
      <c r="M1051" s="2" t="s">
        <v>2751</v>
      </c>
      <c r="N1051" s="2"/>
      <c r="O1051" s="1" t="b">
        <v>0</v>
      </c>
      <c r="P1051" s="1">
        <v>1</v>
      </c>
      <c r="Q1051" s="1">
        <v>2</v>
      </c>
      <c r="R1051" s="1" t="b">
        <f t="shared" si="33"/>
        <v>0</v>
      </c>
      <c r="S1051" s="2" t="s">
        <v>60</v>
      </c>
      <c r="T1051" s="1" t="str">
        <f>IF(S1051="","",VLOOKUP(S1051,'Ontology and concepts per UC'!$F$2:$J$46,5,FALSE))</f>
        <v>Tratamiento/seguimiento</v>
      </c>
      <c r="U1051" s="1" t="b">
        <f t="array" ref="U1051">(INDEX('Ontology and concepts per UC'!$G$2:$I$46,MATCH($S1051,'Ontology and concepts per UC'!$F$2:$F$46,0),MATCH(LEFT($A1051,3),'Ontology and concepts per UC'!$G$1:$I$1,0))=0)</f>
        <v>0</v>
      </c>
      <c r="V1051" s="1" t="b">
        <f t="shared" si="34"/>
        <v>1</v>
      </c>
      <c r="W1051" s="1" t="b">
        <v>1</v>
      </c>
      <c r="X1051" s="1" t="b">
        <v>0</v>
      </c>
      <c r="Y1051" s="1" t="b">
        <v>0</v>
      </c>
      <c r="Z1051" s="1" t="b">
        <v>0</v>
      </c>
      <c r="AA1051" s="1" t="s">
        <v>2748</v>
      </c>
    </row>
    <row r="1052" spans="1:27" x14ac:dyDescent="0.25">
      <c r="A1052" s="1" t="s">
        <v>2616</v>
      </c>
      <c r="B1052" s="2" t="s">
        <v>2752</v>
      </c>
      <c r="C1052" s="2" t="s">
        <v>2753</v>
      </c>
      <c r="D1052" s="6">
        <f t="shared" si="28"/>
        <v>2</v>
      </c>
      <c r="E1052" s="7" t="str">
        <f t="shared" si="29"/>
        <v>HealthcareProgram</v>
      </c>
      <c r="F1052" s="8" t="b">
        <f>IF(D1052&lt;1,FALSE,ISERROR(MATCH(E1052,'Ontology and concepts per UC'!$A$2:$A$62,0)))</f>
        <v>1</v>
      </c>
      <c r="G1052" s="9" t="str">
        <f t="shared" si="30"/>
        <v>ScreeningIntervention</v>
      </c>
      <c r="H1052" s="9" t="str">
        <f t="shared" si="31"/>
        <v>ScreeningIntervention</v>
      </c>
      <c r="I1052" s="8" t="b">
        <f>IF(D1052&lt;2,FALSE,ISERROR(MATCH(H1052,'Ontology and concepts per UC'!$A$2:$A$62,0)))</f>
        <v>0</v>
      </c>
      <c r="J1052" s="9" t="str">
        <f t="shared" si="32"/>
        <v/>
      </c>
      <c r="K1052" s="8" t="b">
        <f>IF(D1052&lt;3,FALSE,ISERROR(MATCH(J1052,'Ontology and concepts per UC'!$A$2:$A$62,0)))</f>
        <v>0</v>
      </c>
      <c r="L1052" s="2" t="s">
        <v>2754</v>
      </c>
      <c r="M1052" s="2" t="s">
        <v>2755</v>
      </c>
      <c r="N1052" s="2"/>
      <c r="O1052" s="1" t="b">
        <v>0</v>
      </c>
      <c r="P1052" s="1">
        <v>1</v>
      </c>
      <c r="Q1052" s="1">
        <v>4</v>
      </c>
      <c r="R1052" s="1" t="b">
        <f t="shared" si="33"/>
        <v>0</v>
      </c>
      <c r="S1052" s="2" t="s">
        <v>24</v>
      </c>
      <c r="T1052" s="1" t="str">
        <f>IF(S1052="","",VLOOKUP(S1052,'Ontology and concepts per UC'!$F$2:$J$46,5,FALSE))</f>
        <v>Modelo Conceptual</v>
      </c>
      <c r="U1052" s="1" t="b">
        <f t="array" ref="U1052">(INDEX('Ontology and concepts per UC'!$G$2:$I$46,MATCH($S1052,'Ontology and concepts per UC'!$F$2:$F$46,0),MATCH(LEFT($A1052,3),'Ontology and concepts per UC'!$G$1:$I$1,0))=0)</f>
        <v>0</v>
      </c>
      <c r="V1052" s="1" t="b">
        <f t="shared" si="34"/>
        <v>1</v>
      </c>
      <c r="W1052" s="1" t="b">
        <v>1</v>
      </c>
      <c r="X1052" s="1" t="b">
        <v>0</v>
      </c>
      <c r="Y1052" s="1" t="b">
        <v>0</v>
      </c>
      <c r="Z1052" s="1" t="b">
        <v>0</v>
      </c>
      <c r="AA1052" s="1" t="s">
        <v>2756</v>
      </c>
    </row>
    <row r="1053" spans="1:27" x14ac:dyDescent="0.25">
      <c r="A1053" s="1" t="s">
        <v>2616</v>
      </c>
      <c r="B1053" s="2" t="s">
        <v>2757</v>
      </c>
      <c r="C1053" s="2" t="s">
        <v>2758</v>
      </c>
      <c r="D1053" s="6">
        <f t="shared" si="28"/>
        <v>2</v>
      </c>
      <c r="E1053" s="7" t="str">
        <f t="shared" si="29"/>
        <v>IntermittentTreatment</v>
      </c>
      <c r="F1053" s="8" t="b">
        <f>IF(D1053&lt;1,FALSE,ISERROR(MATCH(E1053,'Ontology and concepts per UC'!$A$2:$A$62,0)))</f>
        <v>1</v>
      </c>
      <c r="G1053" s="9" t="str">
        <f t="shared" si="30"/>
        <v>PharmacologicalTreatment</v>
      </c>
      <c r="H1053" s="9" t="str">
        <f t="shared" si="31"/>
        <v>PharmacologicalTreatment</v>
      </c>
      <c r="I1053" s="8" t="b">
        <f>IF(D1053&lt;2,FALSE,ISERROR(MATCH(H1053,'Ontology and concepts per UC'!$A$2:$A$62,0)))</f>
        <v>1</v>
      </c>
      <c r="J1053" s="9" t="str">
        <f t="shared" si="32"/>
        <v/>
      </c>
      <c r="K1053" s="8" t="b">
        <f>IF(D1053&lt;3,FALSE,ISERROR(MATCH(J1053,'Ontology and concepts per UC'!$A$2:$A$62,0)))</f>
        <v>0</v>
      </c>
      <c r="L1053" s="2" t="s">
        <v>2759</v>
      </c>
      <c r="M1053" s="2" t="s">
        <v>2760</v>
      </c>
      <c r="N1053" s="2"/>
      <c r="O1053" s="1" t="b">
        <v>0</v>
      </c>
      <c r="P1053" s="1">
        <v>2</v>
      </c>
      <c r="Q1053" s="1">
        <v>3</v>
      </c>
      <c r="R1053" s="1" t="b">
        <f t="shared" si="33"/>
        <v>0</v>
      </c>
      <c r="S1053" s="2" t="s">
        <v>107</v>
      </c>
      <c r="T1053" s="1" t="str">
        <f>IF(S1053="","",VLOOKUP(S1053,'Ontology and concepts per UC'!$F$2:$J$46,5,FALSE))</f>
        <v>Parcial</v>
      </c>
      <c r="U1053" s="1" t="b">
        <f t="array" ref="U1053">(INDEX('Ontology and concepts per UC'!$G$2:$I$46,MATCH($S1053,'Ontology and concepts per UC'!$F$2:$F$46,0),MATCH(LEFT($A1053,3),'Ontology and concepts per UC'!$G$1:$I$1,0))=0)</f>
        <v>0</v>
      </c>
      <c r="V1053" s="1" t="b">
        <f t="shared" si="34"/>
        <v>1</v>
      </c>
      <c r="W1053" s="1" t="b">
        <v>1</v>
      </c>
      <c r="X1053" s="1" t="b">
        <v>0</v>
      </c>
      <c r="Y1053" s="1" t="b">
        <v>0</v>
      </c>
      <c r="Z1053" s="1" t="b">
        <v>0</v>
      </c>
      <c r="AA1053" s="1" t="s">
        <v>2761</v>
      </c>
    </row>
    <row r="1054" spans="1:27" x14ac:dyDescent="0.25">
      <c r="A1054" s="1" t="s">
        <v>2616</v>
      </c>
      <c r="B1054" s="2" t="s">
        <v>2762</v>
      </c>
      <c r="C1054" s="2" t="s">
        <v>2763</v>
      </c>
      <c r="D1054" s="6">
        <f t="shared" si="28"/>
        <v>1</v>
      </c>
      <c r="E1054" s="7" t="str">
        <f t="shared" si="29"/>
        <v>LaboratoryTest</v>
      </c>
      <c r="F1054" s="8" t="b">
        <f>IF(D1054&lt;1,FALSE,ISERROR(MATCH(E1054,'Ontology and concepts per UC'!$A$2:$A$62,0)))</f>
        <v>1</v>
      </c>
      <c r="G1054" s="9" t="str">
        <f t="shared" si="30"/>
        <v/>
      </c>
      <c r="H1054" s="9" t="str">
        <f t="shared" si="31"/>
        <v/>
      </c>
      <c r="I1054" s="8" t="b">
        <f>IF(D1054&lt;2,FALSE,ISERROR(MATCH(H1054,'Ontology and concepts per UC'!$A$2:$A$62,0)))</f>
        <v>0</v>
      </c>
      <c r="J1054" s="9" t="str">
        <f t="shared" si="32"/>
        <v/>
      </c>
      <c r="K1054" s="8" t="b">
        <f>IF(D1054&lt;3,FALSE,ISERROR(MATCH(J1054,'Ontology and concepts per UC'!$A$2:$A$62,0)))</f>
        <v>0</v>
      </c>
      <c r="L1054" s="2"/>
      <c r="M1054" s="2" t="s">
        <v>2764</v>
      </c>
      <c r="N1054" s="2"/>
      <c r="O1054" s="1" t="b">
        <v>0</v>
      </c>
      <c r="P1054" s="1">
        <v>1</v>
      </c>
      <c r="Q1054" s="1">
        <v>1</v>
      </c>
      <c r="R1054" s="1" t="b">
        <f t="shared" si="33"/>
        <v>0</v>
      </c>
      <c r="S1054" s="2" t="s">
        <v>187</v>
      </c>
      <c r="T1054" s="1" t="str">
        <f>IF(S1054="","",VLOOKUP(S1054,'Ontology and concepts per UC'!$F$2:$J$46,5,FALSE))</f>
        <v>Otros</v>
      </c>
      <c r="U1054" s="1" t="b">
        <f t="array" ref="U1054">(INDEX('Ontology and concepts per UC'!$G$2:$I$46,MATCH($S1054,'Ontology and concepts per UC'!$F$2:$F$46,0),MATCH(LEFT($A1054,3),'Ontology and concepts per UC'!$G$1:$I$1,0))=0)</f>
        <v>1</v>
      </c>
      <c r="V1054" s="1" t="b">
        <f t="shared" si="34"/>
        <v>1</v>
      </c>
      <c r="W1054" s="1" t="b">
        <v>1</v>
      </c>
      <c r="X1054" s="1" t="b">
        <v>0</v>
      </c>
      <c r="Y1054" s="1" t="b">
        <v>0</v>
      </c>
      <c r="Z1054" s="1" t="b">
        <v>0</v>
      </c>
      <c r="AA1054" s="1" t="s">
        <v>2765</v>
      </c>
    </row>
    <row r="1055" spans="1:27" x14ac:dyDescent="0.25">
      <c r="A1055" s="1" t="s">
        <v>2616</v>
      </c>
      <c r="B1055" s="2" t="s">
        <v>2766</v>
      </c>
      <c r="C1055" s="2" t="s">
        <v>2767</v>
      </c>
      <c r="D1055" s="6">
        <f t="shared" si="28"/>
        <v>1</v>
      </c>
      <c r="E1055" s="7" t="str">
        <f t="shared" si="29"/>
        <v>MonitoringProcedure</v>
      </c>
      <c r="F1055" s="8" t="b">
        <f>IF(D1055&lt;1,FALSE,ISERROR(MATCH(E1055,'Ontology and concepts per UC'!$A$2:$A$62,0)))</f>
        <v>1</v>
      </c>
      <c r="G1055" s="9" t="str">
        <f t="shared" si="30"/>
        <v/>
      </c>
      <c r="H1055" s="9" t="str">
        <f t="shared" si="31"/>
        <v/>
      </c>
      <c r="I1055" s="8" t="b">
        <f>IF(D1055&lt;2,FALSE,ISERROR(MATCH(H1055,'Ontology and concepts per UC'!$A$2:$A$62,0)))</f>
        <v>0</v>
      </c>
      <c r="J1055" s="9" t="str">
        <f t="shared" si="32"/>
        <v/>
      </c>
      <c r="K1055" s="8" t="b">
        <f>IF(D1055&lt;3,FALSE,ISERROR(MATCH(J1055,'Ontology and concepts per UC'!$A$2:$A$62,0)))</f>
        <v>0</v>
      </c>
      <c r="L1055" s="2" t="s">
        <v>2768</v>
      </c>
      <c r="M1055" s="2"/>
      <c r="N1055" s="2"/>
      <c r="O1055" s="1" t="b">
        <v>0</v>
      </c>
      <c r="P1055" s="1">
        <v>1</v>
      </c>
      <c r="Q1055" s="1">
        <v>0</v>
      </c>
      <c r="R1055" s="1" t="b">
        <f t="shared" si="33"/>
        <v>0</v>
      </c>
      <c r="S1055" s="2" t="s">
        <v>60</v>
      </c>
      <c r="T1055" s="1" t="str">
        <f>IF(S1055="","",VLOOKUP(S1055,'Ontology and concepts per UC'!$F$2:$J$46,5,FALSE))</f>
        <v>Tratamiento/seguimiento</v>
      </c>
      <c r="U1055" s="1" t="b">
        <f t="array" ref="U1055">(INDEX('Ontology and concepts per UC'!$G$2:$I$46,MATCH($S1055,'Ontology and concepts per UC'!$F$2:$F$46,0),MATCH(LEFT($A1055,3),'Ontology and concepts per UC'!$G$1:$I$1,0))=0)</f>
        <v>0</v>
      </c>
      <c r="V1055" s="1" t="b">
        <f t="shared" si="34"/>
        <v>1</v>
      </c>
      <c r="W1055" s="1" t="b">
        <v>1</v>
      </c>
      <c r="X1055" s="1" t="b">
        <v>0</v>
      </c>
      <c r="Y1055" s="1" t="b">
        <v>0</v>
      </c>
      <c r="Z1055" s="1" t="b">
        <v>0</v>
      </c>
      <c r="AA1055" s="1" t="s">
        <v>2769</v>
      </c>
    </row>
    <row r="1056" spans="1:27" x14ac:dyDescent="0.25">
      <c r="A1056" s="1" t="s">
        <v>2616</v>
      </c>
      <c r="B1056" s="2" t="s">
        <v>2770</v>
      </c>
      <c r="C1056" s="2" t="s">
        <v>2771</v>
      </c>
      <c r="D1056" s="6">
        <f t="shared" si="28"/>
        <v>2</v>
      </c>
      <c r="E1056" s="7" t="str">
        <f t="shared" si="29"/>
        <v>NeurologicalManifestation</v>
      </c>
      <c r="F1056" s="8" t="b">
        <f>IF(D1056&lt;1,FALSE,ISERROR(MATCH(E1056,'Ontology and concepts per UC'!$A$2:$A$62,0)))</f>
        <v>1</v>
      </c>
      <c r="G1056" s="9" t="str">
        <f t="shared" si="30"/>
        <v>AcuteManifestation</v>
      </c>
      <c r="H1056" s="9" t="str">
        <f t="shared" si="31"/>
        <v>AcuteManifestation</v>
      </c>
      <c r="I1056" s="8" t="b">
        <f>IF(D1056&lt;2,FALSE,ISERROR(MATCH(H1056,'Ontology and concepts per UC'!$A$2:$A$62,0)))</f>
        <v>0</v>
      </c>
      <c r="J1056" s="9" t="str">
        <f t="shared" si="32"/>
        <v/>
      </c>
      <c r="K1056" s="8" t="b">
        <f>IF(D1056&lt;3,FALSE,ISERROR(MATCH(J1056,'Ontology and concepts per UC'!$A$2:$A$62,0)))</f>
        <v>0</v>
      </c>
      <c r="L1056" s="2" t="s">
        <v>2772</v>
      </c>
      <c r="M1056" s="2" t="s">
        <v>2773</v>
      </c>
      <c r="N1056" s="2"/>
      <c r="O1056" s="1" t="b">
        <v>0</v>
      </c>
      <c r="P1056" s="1">
        <v>1</v>
      </c>
      <c r="Q1056" s="1">
        <v>3</v>
      </c>
      <c r="R1056" s="1" t="b">
        <f t="shared" si="33"/>
        <v>0</v>
      </c>
      <c r="S1056" s="2" t="s">
        <v>30</v>
      </c>
      <c r="T1056" s="1" t="str">
        <f>IF(S1056="","",VLOOKUP(S1056,'Ontology and concepts per UC'!$F$2:$J$46,5,FALSE))</f>
        <v>Modelo Conceptual</v>
      </c>
      <c r="U1056" s="1" t="b">
        <f t="array" ref="U1056">(INDEX('Ontology and concepts per UC'!$G$2:$I$46,MATCH($S1056,'Ontology and concepts per UC'!$F$2:$F$46,0),MATCH(LEFT($A1056,3),'Ontology and concepts per UC'!$G$1:$I$1,0))=0)</f>
        <v>0</v>
      </c>
      <c r="V1056" s="1" t="b">
        <f t="shared" si="34"/>
        <v>1</v>
      </c>
      <c r="W1056" s="1" t="b">
        <v>1</v>
      </c>
      <c r="X1056" s="1" t="b">
        <v>0</v>
      </c>
      <c r="Y1056" s="1" t="b">
        <v>0</v>
      </c>
      <c r="Z1056" s="1" t="b">
        <v>0</v>
      </c>
      <c r="AA1056" s="1" t="s">
        <v>2774</v>
      </c>
    </row>
    <row r="1057" spans="1:27" x14ac:dyDescent="0.25">
      <c r="A1057" s="1" t="s">
        <v>2616</v>
      </c>
      <c r="B1057" s="2" t="s">
        <v>2775</v>
      </c>
      <c r="C1057" s="2" t="s">
        <v>2776</v>
      </c>
      <c r="D1057" s="6">
        <f t="shared" si="28"/>
        <v>2</v>
      </c>
      <c r="E1057" s="7" t="str">
        <f t="shared" si="29"/>
        <v>OphthalmologicalManifestation</v>
      </c>
      <c r="F1057" s="8" t="b">
        <f>IF(D1057&lt;1,FALSE,ISERROR(MATCH(E1057,'Ontology and concepts per UC'!$A$2:$A$62,0)))</f>
        <v>1</v>
      </c>
      <c r="G1057" s="9" t="str">
        <f t="shared" si="30"/>
        <v>ChronicManifestation</v>
      </c>
      <c r="H1057" s="9" t="str">
        <f t="shared" si="31"/>
        <v>ChronicManifestation</v>
      </c>
      <c r="I1057" s="8" t="b">
        <f>IF(D1057&lt;2,FALSE,ISERROR(MATCH(H1057,'Ontology and concepts per UC'!$A$2:$A$62,0)))</f>
        <v>0</v>
      </c>
      <c r="J1057" s="9" t="str">
        <f t="shared" si="32"/>
        <v/>
      </c>
      <c r="K1057" s="8" t="b">
        <f>IF(D1057&lt;3,FALSE,ISERROR(MATCH(J1057,'Ontology and concepts per UC'!$A$2:$A$62,0)))</f>
        <v>0</v>
      </c>
      <c r="L1057" s="2" t="s">
        <v>2777</v>
      </c>
      <c r="M1057" s="2" t="s">
        <v>2778</v>
      </c>
      <c r="N1057" s="2"/>
      <c r="O1057" s="1" t="b">
        <v>0</v>
      </c>
      <c r="P1057" s="1">
        <v>1</v>
      </c>
      <c r="Q1057" s="1">
        <v>3</v>
      </c>
      <c r="R1057" s="1" t="b">
        <f t="shared" si="33"/>
        <v>0</v>
      </c>
      <c r="S1057" s="2" t="s">
        <v>32</v>
      </c>
      <c r="T1057" s="1" t="str">
        <f>IF(S1057="","",VLOOKUP(S1057,'Ontology and concepts per UC'!$F$2:$J$46,5,FALSE))</f>
        <v>Modelo Conceptual</v>
      </c>
      <c r="U1057" s="1" t="b">
        <f t="array" ref="U1057">(INDEX('Ontology and concepts per UC'!$G$2:$I$46,MATCH($S1057,'Ontology and concepts per UC'!$F$2:$F$46,0),MATCH(LEFT($A1057,3),'Ontology and concepts per UC'!$G$1:$I$1,0))=0)</f>
        <v>0</v>
      </c>
      <c r="V1057" s="1" t="b">
        <f t="shared" si="34"/>
        <v>1</v>
      </c>
      <c r="W1057" s="1" t="b">
        <v>1</v>
      </c>
      <c r="X1057" s="1" t="b">
        <v>0</v>
      </c>
      <c r="Y1057" s="1" t="b">
        <v>0</v>
      </c>
      <c r="Z1057" s="1" t="b">
        <v>0</v>
      </c>
      <c r="AA1057" s="1" t="s">
        <v>2779</v>
      </c>
    </row>
    <row r="1058" spans="1:27" x14ac:dyDescent="0.25">
      <c r="A1058" s="1" t="s">
        <v>2616</v>
      </c>
      <c r="B1058" s="2" t="s">
        <v>2780</v>
      </c>
      <c r="C1058" s="2" t="s">
        <v>512</v>
      </c>
      <c r="D1058" s="6">
        <f t="shared" si="28"/>
        <v>1</v>
      </c>
      <c r="E1058" s="7" t="str">
        <f t="shared" si="29"/>
        <v>PharmacologicalTreatment</v>
      </c>
      <c r="F1058" s="8" t="b">
        <f>IF(D1058&lt;1,FALSE,ISERROR(MATCH(E1058,'Ontology and concepts per UC'!$A$2:$A$62,0)))</f>
        <v>1</v>
      </c>
      <c r="G1058" s="9" t="str">
        <f t="shared" si="30"/>
        <v/>
      </c>
      <c r="H1058" s="9" t="str">
        <f t="shared" si="31"/>
        <v/>
      </c>
      <c r="I1058" s="8" t="b">
        <f>IF(D1058&lt;2,FALSE,ISERROR(MATCH(H1058,'Ontology and concepts per UC'!$A$2:$A$62,0)))</f>
        <v>0</v>
      </c>
      <c r="J1058" s="9" t="str">
        <f t="shared" si="32"/>
        <v/>
      </c>
      <c r="K1058" s="8" t="b">
        <f>IF(D1058&lt;3,FALSE,ISERROR(MATCH(J1058,'Ontology and concepts per UC'!$A$2:$A$62,0)))</f>
        <v>0</v>
      </c>
      <c r="L1058" s="2" t="s">
        <v>2781</v>
      </c>
      <c r="M1058" s="2" t="s">
        <v>2782</v>
      </c>
      <c r="N1058" s="2"/>
      <c r="O1058" s="1" t="b">
        <v>0</v>
      </c>
      <c r="P1058" s="1">
        <v>1</v>
      </c>
      <c r="Q1058" s="1">
        <v>4</v>
      </c>
      <c r="R1058" s="1" t="b">
        <f t="shared" si="33"/>
        <v>0</v>
      </c>
      <c r="S1058" s="2" t="s">
        <v>62</v>
      </c>
      <c r="T1058" s="1" t="str">
        <f>IF(S1058="","",VLOOKUP(S1058,'Ontology and concepts per UC'!$F$2:$J$46,5,FALSE))</f>
        <v>Tratamiento/seguimiento</v>
      </c>
      <c r="U1058" s="1" t="b">
        <f t="array" ref="U1058">(INDEX('Ontology and concepts per UC'!$G$2:$I$46,MATCH($S1058,'Ontology and concepts per UC'!$F$2:$F$46,0),MATCH(LEFT($A1058,3),'Ontology and concepts per UC'!$G$1:$I$1,0))=0)</f>
        <v>0</v>
      </c>
      <c r="V1058" s="1" t="b">
        <f t="shared" si="34"/>
        <v>1</v>
      </c>
      <c r="W1058" s="1" t="b">
        <v>1</v>
      </c>
      <c r="X1058" s="1" t="b">
        <v>0</v>
      </c>
      <c r="Y1058" s="1" t="b">
        <v>0</v>
      </c>
      <c r="Z1058" s="1" t="b">
        <v>0</v>
      </c>
      <c r="AA1058" s="1" t="s">
        <v>2783</v>
      </c>
    </row>
    <row r="1059" spans="1:27" x14ac:dyDescent="0.25">
      <c r="A1059" s="1" t="s">
        <v>2616</v>
      </c>
      <c r="B1059" s="2" t="s">
        <v>2784</v>
      </c>
      <c r="C1059" s="2" t="s">
        <v>2785</v>
      </c>
      <c r="D1059" s="6">
        <f t="shared" si="28"/>
        <v>3</v>
      </c>
      <c r="E1059" s="7" t="str">
        <f t="shared" si="29"/>
        <v>ProbabilisticParameter</v>
      </c>
      <c r="F1059" s="8" t="b">
        <f>IF(D1059&lt;1,FALSE,ISERROR(MATCH(E1059,'Ontology and concepts per UC'!$A$2:$A$62,0)))</f>
        <v>1</v>
      </c>
      <c r="G1059" s="9" t="str">
        <f t="shared" si="30"/>
        <v>DeterministicParameter; EpidemiologicalParameter</v>
      </c>
      <c r="H1059" s="9" t="str">
        <f t="shared" si="31"/>
        <v>DeterministicParameter</v>
      </c>
      <c r="I1059" s="8" t="b">
        <f>IF(D1059&lt;2,FALSE,ISERROR(MATCH(H1059,'Ontology and concepts per UC'!$A$2:$A$62,0)))</f>
        <v>0</v>
      </c>
      <c r="J1059" s="9" t="str">
        <f t="shared" si="32"/>
        <v>EpidemiologicalParameter</v>
      </c>
      <c r="K1059" s="8" t="b">
        <f>IF(D1059&lt;3,FALSE,ISERROR(MATCH(J1059,'Ontology and concepts per UC'!$A$2:$A$62,0)))</f>
        <v>0</v>
      </c>
      <c r="L1059" s="2" t="s">
        <v>2786</v>
      </c>
      <c r="M1059" s="2" t="s">
        <v>2787</v>
      </c>
      <c r="N1059" s="2"/>
      <c r="O1059" s="1" t="b">
        <v>0</v>
      </c>
      <c r="P1059" s="1">
        <v>1</v>
      </c>
      <c r="Q1059" s="1">
        <v>7</v>
      </c>
      <c r="R1059" s="1" t="b">
        <f t="shared" si="33"/>
        <v>0</v>
      </c>
      <c r="S1059" s="2" t="s">
        <v>51</v>
      </c>
      <c r="T1059" s="1" t="str">
        <f>IF(S1059="","",VLOOKUP(S1059,'Ontology and concepts per UC'!$F$2:$J$46,5,FALSE))</f>
        <v>Parámetros de progresión</v>
      </c>
      <c r="U1059" s="1" t="b">
        <f t="array" ref="U1059">(INDEX('Ontology and concepts per UC'!$G$2:$I$46,MATCH($S1059,'Ontology and concepts per UC'!$F$2:$F$46,0),MATCH(LEFT($A1059,3),'Ontology and concepts per UC'!$G$1:$I$1,0))=0)</f>
        <v>0</v>
      </c>
      <c r="V1059" s="1" t="b">
        <f t="shared" si="34"/>
        <v>1</v>
      </c>
      <c r="W1059" s="1" t="b">
        <v>1</v>
      </c>
      <c r="X1059" s="1" t="b">
        <v>0</v>
      </c>
      <c r="Y1059" s="1" t="b">
        <v>0</v>
      </c>
      <c r="Z1059" s="1" t="b">
        <v>0</v>
      </c>
      <c r="AA1059" s="1" t="s">
        <v>2742</v>
      </c>
    </row>
    <row r="1060" spans="1:27" x14ac:dyDescent="0.25">
      <c r="A1060" s="1" t="s">
        <v>2616</v>
      </c>
      <c r="B1060" s="2" t="s">
        <v>2788</v>
      </c>
      <c r="C1060" s="2" t="s">
        <v>2789</v>
      </c>
      <c r="D1060" s="6">
        <f t="shared" si="28"/>
        <v>2</v>
      </c>
      <c r="E1060" s="7" t="str">
        <f t="shared" si="29"/>
        <v>ProbabilisticParameter</v>
      </c>
      <c r="F1060" s="8" t="b">
        <f>IF(D1060&lt;1,FALSE,ISERROR(MATCH(E1060,'Ontology and concepts per UC'!$A$2:$A$62,0)))</f>
        <v>1</v>
      </c>
      <c r="G1060" s="9" t="str">
        <f t="shared" si="30"/>
        <v>EpidemiologicalParameter</v>
      </c>
      <c r="H1060" s="9" t="str">
        <f t="shared" si="31"/>
        <v>EpidemiologicalParameter</v>
      </c>
      <c r="I1060" s="8" t="b">
        <f>IF(D1060&lt;2,FALSE,ISERROR(MATCH(H1060,'Ontology and concepts per UC'!$A$2:$A$62,0)))</f>
        <v>0</v>
      </c>
      <c r="J1060" s="9" t="str">
        <f t="shared" si="32"/>
        <v/>
      </c>
      <c r="K1060" s="8" t="b">
        <f>IF(D1060&lt;3,FALSE,ISERROR(MATCH(J1060,'Ontology and concepts per UC'!$A$2:$A$62,0)))</f>
        <v>0</v>
      </c>
      <c r="L1060" s="2" t="s">
        <v>2737</v>
      </c>
      <c r="M1060" s="2" t="s">
        <v>2790</v>
      </c>
      <c r="N1060" s="2"/>
      <c r="O1060" s="1" t="b">
        <v>0</v>
      </c>
      <c r="P1060" s="1">
        <v>1</v>
      </c>
      <c r="Q1060" s="1">
        <v>7</v>
      </c>
      <c r="R1060" s="1" t="b">
        <f t="shared" si="33"/>
        <v>0</v>
      </c>
      <c r="S1060" s="2" t="s">
        <v>54</v>
      </c>
      <c r="T1060" s="1" t="str">
        <f>IF(S1060="","",VLOOKUP(S1060,'Ontology and concepts per UC'!$F$2:$J$46,5,FALSE))</f>
        <v>Parámetros de progresión</v>
      </c>
      <c r="U1060" s="1" t="b">
        <f t="array" ref="U1060">(INDEX('Ontology and concepts per UC'!$G$2:$I$46,MATCH($S1060,'Ontology and concepts per UC'!$F$2:$F$46,0),MATCH(LEFT($A1060,3),'Ontology and concepts per UC'!$G$1:$I$1,0))=0)</f>
        <v>0</v>
      </c>
      <c r="V1060" s="1" t="b">
        <f t="shared" si="34"/>
        <v>1</v>
      </c>
      <c r="W1060" s="1" t="b">
        <v>1</v>
      </c>
      <c r="X1060" s="1" t="b">
        <v>0</v>
      </c>
      <c r="Y1060" s="1" t="b">
        <v>0</v>
      </c>
      <c r="Z1060" s="1" t="b">
        <v>0</v>
      </c>
      <c r="AA1060" s="1" t="s">
        <v>2742</v>
      </c>
    </row>
    <row r="1061" spans="1:27" x14ac:dyDescent="0.25">
      <c r="A1061" s="1" t="s">
        <v>2616</v>
      </c>
      <c r="B1061" s="2" t="s">
        <v>2791</v>
      </c>
      <c r="C1061" s="2" t="s">
        <v>2789</v>
      </c>
      <c r="D1061" s="6">
        <f t="shared" si="28"/>
        <v>2</v>
      </c>
      <c r="E1061" s="7" t="str">
        <f t="shared" si="29"/>
        <v>ProbabilisticParameter</v>
      </c>
      <c r="F1061" s="8" t="b">
        <f>IF(D1061&lt;1,FALSE,ISERROR(MATCH(E1061,'Ontology and concepts per UC'!$A$2:$A$62,0)))</f>
        <v>1</v>
      </c>
      <c r="G1061" s="9" t="str">
        <f t="shared" si="30"/>
        <v>EpidemiologicalParameter</v>
      </c>
      <c r="H1061" s="9" t="str">
        <f t="shared" si="31"/>
        <v>EpidemiologicalParameter</v>
      </c>
      <c r="I1061" s="8" t="b">
        <f>IF(D1061&lt;2,FALSE,ISERROR(MATCH(H1061,'Ontology and concepts per UC'!$A$2:$A$62,0)))</f>
        <v>0</v>
      </c>
      <c r="J1061" s="9" t="str">
        <f t="shared" si="32"/>
        <v/>
      </c>
      <c r="K1061" s="8" t="b">
        <f>IF(D1061&lt;3,FALSE,ISERROR(MATCH(J1061,'Ontology and concepts per UC'!$A$2:$A$62,0)))</f>
        <v>0</v>
      </c>
      <c r="L1061" s="2" t="s">
        <v>2674</v>
      </c>
      <c r="M1061" s="2" t="s">
        <v>2792</v>
      </c>
      <c r="N1061" s="2"/>
      <c r="O1061" s="1" t="b">
        <v>0</v>
      </c>
      <c r="P1061" s="1">
        <v>1</v>
      </c>
      <c r="Q1061" s="1">
        <v>7</v>
      </c>
      <c r="R1061" s="1" t="b">
        <f t="shared" si="33"/>
        <v>0</v>
      </c>
      <c r="S1061" s="2" t="s">
        <v>56</v>
      </c>
      <c r="T1061" s="1" t="str">
        <f>IF(S1061="","",VLOOKUP(S1061,'Ontology and concepts per UC'!$F$2:$J$46,5,FALSE))</f>
        <v>Parámetros de progresión</v>
      </c>
      <c r="U1061" s="1" t="b">
        <f t="array" ref="U1061">(INDEX('Ontology and concepts per UC'!$G$2:$I$46,MATCH($S1061,'Ontology and concepts per UC'!$F$2:$F$46,0),MATCH(LEFT($A1061,3),'Ontology and concepts per UC'!$G$1:$I$1,0))=0)</f>
        <v>0</v>
      </c>
      <c r="V1061" s="1" t="b">
        <f t="shared" si="34"/>
        <v>1</v>
      </c>
      <c r="W1061" s="1" t="b">
        <v>1</v>
      </c>
      <c r="X1061" s="1" t="b">
        <v>0</v>
      </c>
      <c r="Y1061" s="1" t="b">
        <v>0</v>
      </c>
      <c r="Z1061" s="1" t="b">
        <v>0</v>
      </c>
      <c r="AA1061" s="1" t="s">
        <v>2742</v>
      </c>
    </row>
    <row r="1062" spans="1:27" x14ac:dyDescent="0.25">
      <c r="A1062" s="1" t="s">
        <v>2616</v>
      </c>
      <c r="B1062" s="2" t="s">
        <v>2793</v>
      </c>
      <c r="C1062" s="2" t="s">
        <v>2794</v>
      </c>
      <c r="D1062" s="6">
        <f t="shared" si="28"/>
        <v>2</v>
      </c>
      <c r="E1062" s="7" t="str">
        <f t="shared" si="29"/>
        <v>ProbabilisticParameter</v>
      </c>
      <c r="F1062" s="8" t="b">
        <f>IF(D1062&lt;1,FALSE,ISERROR(MATCH(E1062,'Ontology and concepts per UC'!$A$2:$A$62,0)))</f>
        <v>1</v>
      </c>
      <c r="G1062" s="9" t="str">
        <f t="shared" si="30"/>
        <v>MortalityParameter</v>
      </c>
      <c r="H1062" s="9" t="str">
        <f t="shared" si="31"/>
        <v>MortalityParameter</v>
      </c>
      <c r="I1062" s="8" t="b">
        <f>IF(D1062&lt;2,FALSE,ISERROR(MATCH(H1062,'Ontology and concepts per UC'!$A$2:$A$62,0)))</f>
        <v>1</v>
      </c>
      <c r="J1062" s="9" t="str">
        <f t="shared" si="32"/>
        <v/>
      </c>
      <c r="K1062" s="8" t="b">
        <f>IF(D1062&lt;3,FALSE,ISERROR(MATCH(J1062,'Ontology and concepts per UC'!$A$2:$A$62,0)))</f>
        <v>0</v>
      </c>
      <c r="L1062" s="2" t="s">
        <v>2795</v>
      </c>
      <c r="M1062" s="2" t="s">
        <v>2796</v>
      </c>
      <c r="N1062" s="2"/>
      <c r="O1062" s="1" t="b">
        <v>0</v>
      </c>
      <c r="P1062" s="1">
        <v>2</v>
      </c>
      <c r="Q1062" s="1">
        <v>5</v>
      </c>
      <c r="R1062" s="1" t="b">
        <f t="shared" si="33"/>
        <v>0</v>
      </c>
      <c r="S1062" s="2" t="s">
        <v>52</v>
      </c>
      <c r="T1062" s="1" t="str">
        <f>IF(S1062="","",VLOOKUP(S1062,'Ontology and concepts per UC'!$F$2:$J$46,5,FALSE))</f>
        <v>Parámetros de progresión</v>
      </c>
      <c r="U1062" s="1" t="b">
        <f t="array" ref="U1062">(INDEX('Ontology and concepts per UC'!$G$2:$I$46,MATCH($S1062,'Ontology and concepts per UC'!$F$2:$F$46,0),MATCH(LEFT($A1062,3),'Ontology and concepts per UC'!$G$1:$I$1,0))=0)</f>
        <v>0</v>
      </c>
      <c r="V1062" s="1" t="b">
        <f t="shared" si="34"/>
        <v>1</v>
      </c>
      <c r="W1062" s="1" t="b">
        <v>1</v>
      </c>
      <c r="X1062" s="1" t="b">
        <v>0</v>
      </c>
      <c r="Y1062" s="1" t="b">
        <v>0</v>
      </c>
      <c r="Z1062" s="1" t="b">
        <v>0</v>
      </c>
      <c r="AA1062" s="1" t="s">
        <v>2797</v>
      </c>
    </row>
    <row r="1063" spans="1:27" x14ac:dyDescent="0.25">
      <c r="A1063" s="1" t="s">
        <v>2616</v>
      </c>
      <c r="B1063" s="2" t="s">
        <v>2798</v>
      </c>
      <c r="C1063" s="2" t="s">
        <v>2799</v>
      </c>
      <c r="D1063" s="6">
        <f t="shared" si="28"/>
        <v>2</v>
      </c>
      <c r="E1063" s="7" t="str">
        <f t="shared" si="29"/>
        <v>ProbabilisticParameter</v>
      </c>
      <c r="F1063" s="8" t="b">
        <f>IF(D1063&lt;1,FALSE,ISERROR(MATCH(E1063,'Ontology and concepts per UC'!$A$2:$A$62,0)))</f>
        <v>1</v>
      </c>
      <c r="G1063" s="9" t="str">
        <f t="shared" si="30"/>
        <v>TemporalParameter</v>
      </c>
      <c r="H1063" s="9" t="str">
        <f t="shared" si="31"/>
        <v>TemporalParameter</v>
      </c>
      <c r="I1063" s="8" t="b">
        <f>IF(D1063&lt;2,FALSE,ISERROR(MATCH(H1063,'Ontology and concepts per UC'!$A$2:$A$62,0)))</f>
        <v>1</v>
      </c>
      <c r="J1063" s="9" t="str">
        <f t="shared" si="32"/>
        <v/>
      </c>
      <c r="K1063" s="8" t="b">
        <f>IF(D1063&lt;3,FALSE,ISERROR(MATCH(J1063,'Ontology and concepts per UC'!$A$2:$A$62,0)))</f>
        <v>0</v>
      </c>
      <c r="L1063" s="2" t="s">
        <v>2800</v>
      </c>
      <c r="M1063" s="2" t="s">
        <v>2801</v>
      </c>
      <c r="N1063" s="2"/>
      <c r="O1063" s="1" t="b">
        <v>0</v>
      </c>
      <c r="P1063" s="1">
        <v>2</v>
      </c>
      <c r="Q1063" s="1">
        <v>4</v>
      </c>
      <c r="R1063" s="1" t="b">
        <f t="shared" si="33"/>
        <v>0</v>
      </c>
      <c r="S1063" s="2" t="s">
        <v>55</v>
      </c>
      <c r="T1063" s="1" t="str">
        <f>IF(S1063="","",VLOOKUP(S1063,'Ontology and concepts per UC'!$F$2:$J$46,5,FALSE))</f>
        <v>Parámetros de progresión</v>
      </c>
      <c r="U1063" s="1" t="b">
        <f t="array" ref="U1063">(INDEX('Ontology and concepts per UC'!$G$2:$I$46,MATCH($S1063,'Ontology and concepts per UC'!$F$2:$F$46,0),MATCH(LEFT($A1063,3),'Ontology and concepts per UC'!$G$1:$I$1,0))=0)</f>
        <v>0</v>
      </c>
      <c r="V1063" s="1" t="b">
        <f t="shared" si="34"/>
        <v>1</v>
      </c>
      <c r="W1063" s="1" t="b">
        <v>1</v>
      </c>
      <c r="X1063" s="1" t="b">
        <v>0</v>
      </c>
      <c r="Y1063" s="1" t="b">
        <v>0</v>
      </c>
      <c r="Z1063" s="1" t="b">
        <v>0</v>
      </c>
      <c r="AA1063" s="1" t="s">
        <v>2802</v>
      </c>
    </row>
    <row r="1064" spans="1:27" x14ac:dyDescent="0.25">
      <c r="A1064" s="1" t="s">
        <v>2616</v>
      </c>
      <c r="B1064" s="2" t="s">
        <v>2803</v>
      </c>
      <c r="C1064" s="2" t="s">
        <v>2799</v>
      </c>
      <c r="D1064" s="6">
        <f t="shared" si="28"/>
        <v>2</v>
      </c>
      <c r="E1064" s="7" t="str">
        <f t="shared" si="29"/>
        <v>ProbabilisticParameter</v>
      </c>
      <c r="F1064" s="8" t="b">
        <f>IF(D1064&lt;1,FALSE,ISERROR(MATCH(E1064,'Ontology and concepts per UC'!$A$2:$A$62,0)))</f>
        <v>1</v>
      </c>
      <c r="G1064" s="9" t="str">
        <f t="shared" si="30"/>
        <v>TemporalParameter</v>
      </c>
      <c r="H1064" s="9" t="str">
        <f t="shared" si="31"/>
        <v>TemporalParameter</v>
      </c>
      <c r="I1064" s="8" t="b">
        <f>IF(D1064&lt;2,FALSE,ISERROR(MATCH(H1064,'Ontology and concepts per UC'!$A$2:$A$62,0)))</f>
        <v>1</v>
      </c>
      <c r="J1064" s="9" t="str">
        <f t="shared" si="32"/>
        <v/>
      </c>
      <c r="K1064" s="8" t="b">
        <f>IF(D1064&lt;3,FALSE,ISERROR(MATCH(J1064,'Ontology and concepts per UC'!$A$2:$A$62,0)))</f>
        <v>0</v>
      </c>
      <c r="L1064" s="2" t="s">
        <v>2804</v>
      </c>
      <c r="M1064" s="2" t="s">
        <v>2805</v>
      </c>
      <c r="N1064" s="2"/>
      <c r="O1064" s="1" t="b">
        <v>0</v>
      </c>
      <c r="P1064" s="1">
        <v>2</v>
      </c>
      <c r="Q1064" s="1">
        <v>6</v>
      </c>
      <c r="R1064" s="1" t="b">
        <f t="shared" si="33"/>
        <v>0</v>
      </c>
      <c r="S1064" s="2" t="s">
        <v>50</v>
      </c>
      <c r="T1064" s="1" t="str">
        <f>IF(S1064="","",VLOOKUP(S1064,'Ontology and concepts per UC'!$F$2:$J$46,5,FALSE))</f>
        <v>Parámetros de progresión</v>
      </c>
      <c r="U1064" s="1" t="b">
        <f t="array" ref="U1064">(INDEX('Ontology and concepts per UC'!$G$2:$I$46,MATCH($S1064,'Ontology and concepts per UC'!$F$2:$F$46,0),MATCH(LEFT($A1064,3),'Ontology and concepts per UC'!$G$1:$I$1,0))=0)</f>
        <v>0</v>
      </c>
      <c r="V1064" s="1" t="b">
        <f t="shared" si="34"/>
        <v>1</v>
      </c>
      <c r="W1064" s="1" t="b">
        <v>1</v>
      </c>
      <c r="X1064" s="1" t="b">
        <v>0</v>
      </c>
      <c r="Y1064" s="1" t="b">
        <v>0</v>
      </c>
      <c r="Z1064" s="1" t="b">
        <v>0</v>
      </c>
      <c r="AA1064" s="1" t="s">
        <v>2802</v>
      </c>
    </row>
    <row r="1065" spans="1:27" x14ac:dyDescent="0.25">
      <c r="A1065" s="1" t="s">
        <v>2616</v>
      </c>
      <c r="B1065" s="2" t="s">
        <v>2806</v>
      </c>
      <c r="C1065" s="2" t="s">
        <v>2807</v>
      </c>
      <c r="D1065" s="6">
        <f t="shared" si="28"/>
        <v>2</v>
      </c>
      <c r="E1065" s="7" t="str">
        <f t="shared" si="29"/>
        <v>ProbabilisticParameter</v>
      </c>
      <c r="F1065" s="8" t="b">
        <f>IF(D1065&lt;1,FALSE,ISERROR(MATCH(E1065,'Ontology and concepts per UC'!$A$2:$A$62,0)))</f>
        <v>1</v>
      </c>
      <c r="G1065" s="9" t="str">
        <f t="shared" si="30"/>
        <v>Utility</v>
      </c>
      <c r="H1065" s="9" t="str">
        <f t="shared" si="31"/>
        <v>Utility</v>
      </c>
      <c r="I1065" s="8" t="b">
        <f>IF(D1065&lt;2,FALSE,ISERROR(MATCH(H1065,'Ontology and concepts per UC'!$A$2:$A$62,0)))</f>
        <v>0</v>
      </c>
      <c r="J1065" s="9" t="str">
        <f t="shared" si="32"/>
        <v/>
      </c>
      <c r="K1065" s="8" t="b">
        <f>IF(D1065&lt;3,FALSE,ISERROR(MATCH(J1065,'Ontology and concepts per UC'!$A$2:$A$62,0)))</f>
        <v>0</v>
      </c>
      <c r="L1065" s="2" t="s">
        <v>2808</v>
      </c>
      <c r="M1065" s="2" t="s">
        <v>2809</v>
      </c>
      <c r="N1065" s="2"/>
      <c r="O1065" s="1" t="b">
        <v>0</v>
      </c>
      <c r="P1065" s="1">
        <v>1</v>
      </c>
      <c r="Q1065" s="1">
        <v>4</v>
      </c>
      <c r="R1065" s="1" t="b">
        <f t="shared" si="33"/>
        <v>0</v>
      </c>
      <c r="S1065" s="2" t="s">
        <v>65</v>
      </c>
      <c r="T1065" s="1" t="str">
        <f>IF(S1065="","",VLOOKUP(S1065,'Ontology and concepts per UC'!$F$2:$J$46,5,FALSE))</f>
        <v>Utilidad</v>
      </c>
      <c r="U1065" s="1" t="b">
        <f t="array" ref="U1065">(INDEX('Ontology and concepts per UC'!$G$2:$I$46,MATCH($S1065,'Ontology and concepts per UC'!$F$2:$F$46,0),MATCH(LEFT($A1065,3),'Ontology and concepts per UC'!$G$1:$I$1,0))=0)</f>
        <v>0</v>
      </c>
      <c r="V1065" s="1" t="b">
        <f t="shared" si="34"/>
        <v>1</v>
      </c>
      <c r="W1065" s="1" t="b">
        <v>1</v>
      </c>
      <c r="X1065" s="1" t="b">
        <v>0</v>
      </c>
      <c r="Y1065" s="1" t="b">
        <v>0</v>
      </c>
      <c r="Z1065" s="1" t="b">
        <v>0</v>
      </c>
      <c r="AA1065" s="1" t="s">
        <v>2742</v>
      </c>
    </row>
    <row r="1066" spans="1:27" x14ac:dyDescent="0.25">
      <c r="A1066" s="1" t="s">
        <v>2616</v>
      </c>
      <c r="B1066" s="2" t="s">
        <v>2810</v>
      </c>
      <c r="C1066" s="2" t="s">
        <v>2807</v>
      </c>
      <c r="D1066" s="6">
        <f t="shared" si="28"/>
        <v>2</v>
      </c>
      <c r="E1066" s="7" t="str">
        <f t="shared" si="29"/>
        <v>ProbabilisticParameter</v>
      </c>
      <c r="F1066" s="8" t="b">
        <f>IF(D1066&lt;1,FALSE,ISERROR(MATCH(E1066,'Ontology and concepts per UC'!$A$2:$A$62,0)))</f>
        <v>1</v>
      </c>
      <c r="G1066" s="9" t="str">
        <f t="shared" si="30"/>
        <v>Utility</v>
      </c>
      <c r="H1066" s="9" t="str">
        <f t="shared" si="31"/>
        <v>Utility</v>
      </c>
      <c r="I1066" s="8" t="b">
        <f>IF(D1066&lt;2,FALSE,ISERROR(MATCH(H1066,'Ontology and concepts per UC'!$A$2:$A$62,0)))</f>
        <v>0</v>
      </c>
      <c r="J1066" s="9" t="str">
        <f t="shared" si="32"/>
        <v/>
      </c>
      <c r="K1066" s="8" t="b">
        <f>IF(D1066&lt;3,FALSE,ISERROR(MATCH(J1066,'Ontology and concepts per UC'!$A$2:$A$62,0)))</f>
        <v>0</v>
      </c>
      <c r="L1066" s="2" t="s">
        <v>2737</v>
      </c>
      <c r="M1066" s="2" t="s">
        <v>2811</v>
      </c>
      <c r="N1066" s="2"/>
      <c r="O1066" s="1" t="b">
        <v>0</v>
      </c>
      <c r="P1066" s="1">
        <v>1</v>
      </c>
      <c r="Q1066" s="1">
        <v>5</v>
      </c>
      <c r="R1066" s="1" t="b">
        <f t="shared" si="33"/>
        <v>0</v>
      </c>
      <c r="S1066" s="2" t="s">
        <v>69</v>
      </c>
      <c r="T1066" s="1" t="str">
        <f>IF(S1066="","",VLOOKUP(S1066,'Ontology and concepts per UC'!$F$2:$J$46,5,FALSE))</f>
        <v>Utilidad</v>
      </c>
      <c r="U1066" s="1" t="b">
        <f t="array" ref="U1066">(INDEX('Ontology and concepts per UC'!$G$2:$I$46,MATCH($S1066,'Ontology and concepts per UC'!$F$2:$F$46,0),MATCH(LEFT($A1066,3),'Ontology and concepts per UC'!$G$1:$I$1,0))=0)</f>
        <v>0</v>
      </c>
      <c r="V1066" s="1" t="b">
        <f t="shared" si="34"/>
        <v>1</v>
      </c>
      <c r="W1066" s="1" t="b">
        <v>1</v>
      </c>
      <c r="X1066" s="1" t="b">
        <v>0</v>
      </c>
      <c r="Y1066" s="1" t="b">
        <v>0</v>
      </c>
      <c r="Z1066" s="1" t="b">
        <v>0</v>
      </c>
      <c r="AA1066" s="1" t="s">
        <v>2742</v>
      </c>
    </row>
    <row r="1067" spans="1:27" x14ac:dyDescent="0.25">
      <c r="A1067" s="1" t="s">
        <v>2616</v>
      </c>
      <c r="B1067" s="2" t="s">
        <v>2812</v>
      </c>
      <c r="C1067" s="2" t="s">
        <v>2807</v>
      </c>
      <c r="D1067" s="6">
        <f t="shared" si="28"/>
        <v>2</v>
      </c>
      <c r="E1067" s="7" t="str">
        <f t="shared" si="29"/>
        <v>ProbabilisticParameter</v>
      </c>
      <c r="F1067" s="8" t="b">
        <f>IF(D1067&lt;1,FALSE,ISERROR(MATCH(E1067,'Ontology and concepts per UC'!$A$2:$A$62,0)))</f>
        <v>1</v>
      </c>
      <c r="G1067" s="9" t="str">
        <f t="shared" si="30"/>
        <v>Utility</v>
      </c>
      <c r="H1067" s="9" t="str">
        <f t="shared" si="31"/>
        <v>Utility</v>
      </c>
      <c r="I1067" s="8" t="b">
        <f>IF(D1067&lt;2,FALSE,ISERROR(MATCH(H1067,'Ontology and concepts per UC'!$A$2:$A$62,0)))</f>
        <v>0</v>
      </c>
      <c r="J1067" s="9" t="str">
        <f t="shared" si="32"/>
        <v/>
      </c>
      <c r="K1067" s="8" t="b">
        <f>IF(D1067&lt;3,FALSE,ISERROR(MATCH(J1067,'Ontology and concepts per UC'!$A$2:$A$62,0)))</f>
        <v>0</v>
      </c>
      <c r="L1067" s="2" t="s">
        <v>2681</v>
      </c>
      <c r="M1067" s="2" t="s">
        <v>2813</v>
      </c>
      <c r="N1067" s="2"/>
      <c r="O1067" s="1" t="b">
        <v>0</v>
      </c>
      <c r="P1067" s="1">
        <v>1</v>
      </c>
      <c r="Q1067" s="1">
        <v>4</v>
      </c>
      <c r="R1067" s="1" t="b">
        <f t="shared" si="33"/>
        <v>0</v>
      </c>
      <c r="S1067" s="2" t="s">
        <v>67</v>
      </c>
      <c r="T1067" s="1" t="str">
        <f>IF(S1067="","",VLOOKUP(S1067,'Ontology and concepts per UC'!$F$2:$J$46,5,FALSE))</f>
        <v>Utilidad</v>
      </c>
      <c r="U1067" s="1" t="b">
        <f t="array" ref="U1067">(INDEX('Ontology and concepts per UC'!$G$2:$I$46,MATCH($S1067,'Ontology and concepts per UC'!$F$2:$F$46,0),MATCH(LEFT($A1067,3),'Ontology and concepts per UC'!$G$1:$I$1,0))=0)</f>
        <v>0</v>
      </c>
      <c r="V1067" s="1" t="b">
        <f t="shared" si="34"/>
        <v>1</v>
      </c>
      <c r="W1067" s="1" t="b">
        <v>1</v>
      </c>
      <c r="X1067" s="1" t="b">
        <v>0</v>
      </c>
      <c r="Y1067" s="1" t="b">
        <v>0</v>
      </c>
      <c r="Z1067" s="1" t="b">
        <v>0</v>
      </c>
      <c r="AA1067" s="1" t="s">
        <v>2742</v>
      </c>
    </row>
    <row r="1068" spans="1:27" x14ac:dyDescent="0.25">
      <c r="A1068" s="1" t="s">
        <v>2616</v>
      </c>
      <c r="B1068" s="2" t="s">
        <v>2814</v>
      </c>
      <c r="C1068" s="2" t="s">
        <v>2807</v>
      </c>
      <c r="D1068" s="6">
        <f t="shared" si="28"/>
        <v>2</v>
      </c>
      <c r="E1068" s="7" t="str">
        <f t="shared" si="29"/>
        <v>ProbabilisticParameter</v>
      </c>
      <c r="F1068" s="8" t="b">
        <f>IF(D1068&lt;1,FALSE,ISERROR(MATCH(E1068,'Ontology and concepts per UC'!$A$2:$A$62,0)))</f>
        <v>1</v>
      </c>
      <c r="G1068" s="9" t="str">
        <f t="shared" si="30"/>
        <v>Utility</v>
      </c>
      <c r="H1068" s="9" t="str">
        <f t="shared" si="31"/>
        <v>Utility</v>
      </c>
      <c r="I1068" s="8" t="b">
        <f>IF(D1068&lt;2,FALSE,ISERROR(MATCH(H1068,'Ontology and concepts per UC'!$A$2:$A$62,0)))</f>
        <v>0</v>
      </c>
      <c r="J1068" s="9" t="str">
        <f t="shared" si="32"/>
        <v/>
      </c>
      <c r="K1068" s="8" t="b">
        <f>IF(D1068&lt;3,FALSE,ISERROR(MATCH(J1068,'Ontology and concepts per UC'!$A$2:$A$62,0)))</f>
        <v>0</v>
      </c>
      <c r="L1068" s="2" t="s">
        <v>2674</v>
      </c>
      <c r="M1068" s="2" t="s">
        <v>2815</v>
      </c>
      <c r="N1068" s="2"/>
      <c r="O1068" s="1" t="b">
        <v>0</v>
      </c>
      <c r="P1068" s="1">
        <v>1</v>
      </c>
      <c r="Q1068" s="1">
        <v>6</v>
      </c>
      <c r="R1068" s="1" t="b">
        <f t="shared" si="33"/>
        <v>0</v>
      </c>
      <c r="S1068" s="2" t="s">
        <v>68</v>
      </c>
      <c r="T1068" s="1" t="str">
        <f>IF(S1068="","",VLOOKUP(S1068,'Ontology and concepts per UC'!$F$2:$J$46,5,FALSE))</f>
        <v>Utilidad</v>
      </c>
      <c r="U1068" s="1" t="b">
        <f t="array" ref="U1068">(INDEX('Ontology and concepts per UC'!$G$2:$I$46,MATCH($S1068,'Ontology and concepts per UC'!$F$2:$F$46,0),MATCH(LEFT($A1068,3),'Ontology and concepts per UC'!$G$1:$I$1,0))=0)</f>
        <v>0</v>
      </c>
      <c r="V1068" s="1" t="b">
        <f t="shared" si="34"/>
        <v>1</v>
      </c>
      <c r="W1068" s="1" t="b">
        <v>1</v>
      </c>
      <c r="X1068" s="1" t="b">
        <v>0</v>
      </c>
      <c r="Y1068" s="1" t="b">
        <v>0</v>
      </c>
      <c r="Z1068" s="1" t="b">
        <v>0</v>
      </c>
      <c r="AA1068" s="1" t="s">
        <v>2742</v>
      </c>
    </row>
    <row r="1069" spans="1:27" x14ac:dyDescent="0.25">
      <c r="A1069" s="1" t="s">
        <v>2616</v>
      </c>
      <c r="B1069" s="2" t="s">
        <v>2816</v>
      </c>
      <c r="C1069" s="2" t="s">
        <v>2817</v>
      </c>
      <c r="D1069" s="6">
        <f t="shared" si="28"/>
        <v>2</v>
      </c>
      <c r="E1069" s="7" t="str">
        <f t="shared" si="29"/>
        <v>SensoryManifestation</v>
      </c>
      <c r="F1069" s="8" t="b">
        <f>IF(D1069&lt;1,FALSE,ISERROR(MATCH(E1069,'Ontology and concepts per UC'!$A$2:$A$62,0)))</f>
        <v>1</v>
      </c>
      <c r="G1069" s="9" t="str">
        <f t="shared" si="30"/>
        <v>ChronicManifestation</v>
      </c>
      <c r="H1069" s="9" t="str">
        <f t="shared" si="31"/>
        <v>ChronicManifestation</v>
      </c>
      <c r="I1069" s="8" t="b">
        <f>IF(D1069&lt;2,FALSE,ISERROR(MATCH(H1069,'Ontology and concepts per UC'!$A$2:$A$62,0)))</f>
        <v>0</v>
      </c>
      <c r="J1069" s="9" t="str">
        <f t="shared" si="32"/>
        <v/>
      </c>
      <c r="K1069" s="8" t="b">
        <f>IF(D1069&lt;3,FALSE,ISERROR(MATCH(J1069,'Ontology and concepts per UC'!$A$2:$A$62,0)))</f>
        <v>0</v>
      </c>
      <c r="L1069" s="2" t="s">
        <v>2818</v>
      </c>
      <c r="M1069" s="2" t="s">
        <v>2819</v>
      </c>
      <c r="N1069" s="2"/>
      <c r="O1069" s="1" t="b">
        <v>0</v>
      </c>
      <c r="P1069" s="1">
        <v>1</v>
      </c>
      <c r="Q1069" s="1">
        <v>3</v>
      </c>
      <c r="R1069" s="1" t="b">
        <f t="shared" si="33"/>
        <v>0</v>
      </c>
      <c r="S1069" s="2" t="s">
        <v>26</v>
      </c>
      <c r="T1069" s="1" t="str">
        <f>IF(S1069="","",VLOOKUP(S1069,'Ontology and concepts per UC'!$F$2:$J$46,5,FALSE))</f>
        <v>Modelo Conceptual</v>
      </c>
      <c r="U1069" s="1" t="b">
        <f t="array" ref="U1069">(INDEX('Ontology and concepts per UC'!$G$2:$I$46,MATCH($S1069,'Ontology and concepts per UC'!$F$2:$F$46,0),MATCH(LEFT($A1069,3),'Ontology and concepts per UC'!$G$1:$I$1,0))=0)</f>
        <v>0</v>
      </c>
      <c r="V1069" s="1" t="b">
        <f t="shared" si="34"/>
        <v>1</v>
      </c>
      <c r="W1069" s="1" t="b">
        <v>1</v>
      </c>
      <c r="X1069" s="1" t="b">
        <v>0</v>
      </c>
      <c r="Y1069" s="1" t="b">
        <v>0</v>
      </c>
      <c r="Z1069" s="1" t="b">
        <v>0</v>
      </c>
      <c r="AA1069" s="1" t="s">
        <v>2820</v>
      </c>
    </row>
    <row r="1070" spans="1:27" x14ac:dyDescent="0.25">
      <c r="A1070" s="1" t="s">
        <v>2616</v>
      </c>
      <c r="B1070" s="2" t="s">
        <v>2821</v>
      </c>
      <c r="C1070" s="2" t="s">
        <v>581</v>
      </c>
      <c r="D1070" s="6">
        <f t="shared" si="28"/>
        <v>1</v>
      </c>
      <c r="E1070" s="7" t="str">
        <f t="shared" si="29"/>
        <v>Stage</v>
      </c>
      <c r="F1070" s="8" t="b">
        <f>IF(D1070&lt;1,FALSE,ISERROR(MATCH(E1070,'Ontology and concepts per UC'!$A$2:$A$62,0)))</f>
        <v>0</v>
      </c>
      <c r="G1070" s="9" t="str">
        <f t="shared" si="30"/>
        <v/>
      </c>
      <c r="H1070" s="9" t="str">
        <f t="shared" si="31"/>
        <v/>
      </c>
      <c r="I1070" s="8" t="b">
        <f>IF(D1070&lt;2,FALSE,ISERROR(MATCH(H1070,'Ontology and concepts per UC'!$A$2:$A$62,0)))</f>
        <v>0</v>
      </c>
      <c r="J1070" s="9" t="str">
        <f t="shared" si="32"/>
        <v/>
      </c>
      <c r="K1070" s="8" t="b">
        <f>IF(D1070&lt;3,FALSE,ISERROR(MATCH(J1070,'Ontology and concepts per UC'!$A$2:$A$62,0)))</f>
        <v>0</v>
      </c>
      <c r="L1070" s="2"/>
      <c r="M1070" s="2" t="s">
        <v>2822</v>
      </c>
      <c r="N1070" s="2"/>
      <c r="O1070" s="1" t="b">
        <v>0</v>
      </c>
      <c r="P1070" s="1">
        <v>0</v>
      </c>
      <c r="Q1070" s="1">
        <v>0</v>
      </c>
      <c r="R1070" s="1" t="b">
        <f t="shared" si="33"/>
        <v>0</v>
      </c>
      <c r="S1070" s="2" t="s">
        <v>187</v>
      </c>
      <c r="T1070" s="1" t="str">
        <f>IF(S1070="","",VLOOKUP(S1070,'Ontology and concepts per UC'!$F$2:$J$46,5,FALSE))</f>
        <v>Otros</v>
      </c>
      <c r="U1070" s="1" t="b">
        <f t="array" ref="U1070">(INDEX('Ontology and concepts per UC'!$G$2:$I$46,MATCH($S1070,'Ontology and concepts per UC'!$F$2:$F$46,0),MATCH(LEFT($A1070,3),'Ontology and concepts per UC'!$G$1:$I$1,0))=0)</f>
        <v>1</v>
      </c>
      <c r="V1070" s="1" t="b">
        <f t="shared" si="34"/>
        <v>0</v>
      </c>
      <c r="W1070" s="1" t="b">
        <v>0</v>
      </c>
      <c r="X1070" s="1" t="b">
        <v>0</v>
      </c>
      <c r="Y1070" s="1" t="b">
        <v>0</v>
      </c>
      <c r="Z1070" s="1" t="b">
        <v>0</v>
      </c>
      <c r="AA1070" s="1"/>
    </row>
    <row r="1071" spans="1:27" x14ac:dyDescent="0.25">
      <c r="A1071" s="1" t="s">
        <v>2616</v>
      </c>
      <c r="B1071" s="2" t="s">
        <v>2823</v>
      </c>
      <c r="C1071" s="2" t="s">
        <v>581</v>
      </c>
      <c r="D1071" s="6">
        <f t="shared" si="28"/>
        <v>1</v>
      </c>
      <c r="E1071" s="7" t="str">
        <f t="shared" si="29"/>
        <v>Stage</v>
      </c>
      <c r="F1071" s="8" t="b">
        <f>IF(D1071&lt;1,FALSE,ISERROR(MATCH(E1071,'Ontology and concepts per UC'!$A$2:$A$62,0)))</f>
        <v>0</v>
      </c>
      <c r="G1071" s="9" t="str">
        <f t="shared" si="30"/>
        <v/>
      </c>
      <c r="H1071" s="9" t="str">
        <f t="shared" si="31"/>
        <v/>
      </c>
      <c r="I1071" s="8" t="b">
        <f>IF(D1071&lt;2,FALSE,ISERROR(MATCH(H1071,'Ontology and concepts per UC'!$A$2:$A$62,0)))</f>
        <v>0</v>
      </c>
      <c r="J1071" s="9" t="str">
        <f t="shared" si="32"/>
        <v/>
      </c>
      <c r="K1071" s="8" t="b">
        <f>IF(D1071&lt;3,FALSE,ISERROR(MATCH(J1071,'Ontology and concepts per UC'!$A$2:$A$62,0)))</f>
        <v>0</v>
      </c>
      <c r="L1071" s="2"/>
      <c r="M1071" s="2" t="s">
        <v>2824</v>
      </c>
      <c r="N1071" s="2"/>
      <c r="O1071" s="1" t="b">
        <v>0</v>
      </c>
      <c r="P1071" s="1">
        <v>0</v>
      </c>
      <c r="Q1071" s="1">
        <v>1</v>
      </c>
      <c r="R1071" s="1" t="b">
        <f t="shared" si="33"/>
        <v>0</v>
      </c>
      <c r="S1071" s="2" t="s">
        <v>187</v>
      </c>
      <c r="T1071" s="1" t="str">
        <f>IF(S1071="","",VLOOKUP(S1071,'Ontology and concepts per UC'!$F$2:$J$46,5,FALSE))</f>
        <v>Otros</v>
      </c>
      <c r="U1071" s="1" t="b">
        <f t="array" ref="U1071">(INDEX('Ontology and concepts per UC'!$G$2:$I$46,MATCH($S1071,'Ontology and concepts per UC'!$F$2:$F$46,0),MATCH(LEFT($A1071,3),'Ontology and concepts per UC'!$G$1:$I$1,0))=0)</f>
        <v>1</v>
      </c>
      <c r="V1071" s="1" t="b">
        <f t="shared" si="34"/>
        <v>1</v>
      </c>
      <c r="W1071" s="1" t="b">
        <v>0</v>
      </c>
      <c r="X1071" s="1" t="b">
        <v>1</v>
      </c>
      <c r="Y1071" s="1" t="b">
        <v>0</v>
      </c>
      <c r="Z1071" s="1" t="b">
        <v>0</v>
      </c>
      <c r="AA1071" s="1" t="s">
        <v>2825</v>
      </c>
    </row>
    <row r="1072" spans="1:27" x14ac:dyDescent="0.25">
      <c r="A1072" s="1" t="s">
        <v>2616</v>
      </c>
      <c r="B1072" s="2" t="s">
        <v>2826</v>
      </c>
      <c r="C1072" s="2" t="s">
        <v>2827</v>
      </c>
      <c r="D1072" s="6">
        <f t="shared" si="28"/>
        <v>1</v>
      </c>
      <c r="E1072" s="7" t="str">
        <f t="shared" si="29"/>
        <v>TemporalDistribution</v>
      </c>
      <c r="F1072" s="8" t="b">
        <f>IF(D1072&lt;1,FALSE,ISERROR(MATCH(E1072,'Ontology and concepts per UC'!$A$2:$A$62,0)))</f>
        <v>1</v>
      </c>
      <c r="G1072" s="9" t="str">
        <f t="shared" si="30"/>
        <v/>
      </c>
      <c r="H1072" s="9" t="str">
        <f t="shared" si="31"/>
        <v/>
      </c>
      <c r="I1072" s="8" t="b">
        <f>IF(D1072&lt;2,FALSE,ISERROR(MATCH(H1072,'Ontology and concepts per UC'!$A$2:$A$62,0)))</f>
        <v>0</v>
      </c>
      <c r="J1072" s="9" t="str">
        <f t="shared" si="32"/>
        <v/>
      </c>
      <c r="K1072" s="8" t="b">
        <f>IF(D1072&lt;3,FALSE,ISERROR(MATCH(J1072,'Ontology and concepts per UC'!$A$2:$A$62,0)))</f>
        <v>0</v>
      </c>
      <c r="L1072" s="2" t="s">
        <v>2828</v>
      </c>
      <c r="M1072" s="2" t="s">
        <v>2829</v>
      </c>
      <c r="N1072" s="2"/>
      <c r="O1072" s="1" t="b">
        <v>0</v>
      </c>
      <c r="P1072" s="1">
        <v>1</v>
      </c>
      <c r="Q1072" s="1">
        <v>4</v>
      </c>
      <c r="R1072" s="1" t="b">
        <f t="shared" si="33"/>
        <v>0</v>
      </c>
      <c r="S1072" s="2" t="s">
        <v>55</v>
      </c>
      <c r="T1072" s="1" t="str">
        <f>IF(S1072="","",VLOOKUP(S1072,'Ontology and concepts per UC'!$F$2:$J$46,5,FALSE))</f>
        <v>Parámetros de progresión</v>
      </c>
      <c r="U1072" s="1" t="b">
        <f t="array" ref="U1072">(INDEX('Ontology and concepts per UC'!$G$2:$I$46,MATCH($S1072,'Ontology and concepts per UC'!$F$2:$F$46,0),MATCH(LEFT($A1072,3),'Ontology and concepts per UC'!$G$1:$I$1,0))=0)</f>
        <v>0</v>
      </c>
      <c r="V1072" s="1" t="b">
        <f t="shared" si="34"/>
        <v>1</v>
      </c>
      <c r="W1072" s="1" t="b">
        <v>1</v>
      </c>
      <c r="X1072" s="1" t="b">
        <v>0</v>
      </c>
      <c r="Y1072" s="1" t="b">
        <v>0</v>
      </c>
      <c r="Z1072" s="1" t="b">
        <v>0</v>
      </c>
      <c r="AA1072" s="1" t="s">
        <v>2830</v>
      </c>
    </row>
    <row r="1073" spans="1:27" x14ac:dyDescent="0.25">
      <c r="A1073" s="1" t="s">
        <v>2616</v>
      </c>
      <c r="B1073" s="2" t="s">
        <v>2831</v>
      </c>
      <c r="C1073" s="2" t="s">
        <v>2827</v>
      </c>
      <c r="D1073" s="6">
        <f t="shared" si="28"/>
        <v>1</v>
      </c>
      <c r="E1073" s="7" t="str">
        <f t="shared" si="29"/>
        <v>TemporalDistribution</v>
      </c>
      <c r="F1073" s="8" t="b">
        <f>IF(D1073&lt;1,FALSE,ISERROR(MATCH(E1073,'Ontology and concepts per UC'!$A$2:$A$62,0)))</f>
        <v>1</v>
      </c>
      <c r="G1073" s="9" t="str">
        <f t="shared" si="30"/>
        <v/>
      </c>
      <c r="H1073" s="9" t="str">
        <f t="shared" si="31"/>
        <v/>
      </c>
      <c r="I1073" s="8" t="b">
        <f>IF(D1073&lt;2,FALSE,ISERROR(MATCH(H1073,'Ontology and concepts per UC'!$A$2:$A$62,0)))</f>
        <v>0</v>
      </c>
      <c r="J1073" s="9" t="str">
        <f t="shared" si="32"/>
        <v/>
      </c>
      <c r="K1073" s="8" t="b">
        <f>IF(D1073&lt;3,FALSE,ISERROR(MATCH(J1073,'Ontology and concepts per UC'!$A$2:$A$62,0)))</f>
        <v>0</v>
      </c>
      <c r="L1073" s="2" t="s">
        <v>2832</v>
      </c>
      <c r="M1073" s="2" t="s">
        <v>2833</v>
      </c>
      <c r="N1073" s="2"/>
      <c r="O1073" s="1" t="b">
        <v>0</v>
      </c>
      <c r="P1073" s="1">
        <v>1</v>
      </c>
      <c r="Q1073" s="1">
        <v>5</v>
      </c>
      <c r="R1073" s="1" t="b">
        <f t="shared" si="33"/>
        <v>0</v>
      </c>
      <c r="S1073" s="2" t="s">
        <v>50</v>
      </c>
      <c r="T1073" s="1" t="str">
        <f>IF(S1073="","",VLOOKUP(S1073,'Ontology and concepts per UC'!$F$2:$J$46,5,FALSE))</f>
        <v>Parámetros de progresión</v>
      </c>
      <c r="U1073" s="1" t="b">
        <f t="array" ref="U1073">(INDEX('Ontology and concepts per UC'!$G$2:$I$46,MATCH($S1073,'Ontology and concepts per UC'!$F$2:$F$46,0),MATCH(LEFT($A1073,3),'Ontology and concepts per UC'!$G$1:$I$1,0))=0)</f>
        <v>0</v>
      </c>
      <c r="V1073" s="1" t="b">
        <f t="shared" si="34"/>
        <v>1</v>
      </c>
      <c r="W1073" s="1" t="b">
        <v>1</v>
      </c>
      <c r="X1073" s="1" t="b">
        <v>0</v>
      </c>
      <c r="Y1073" s="1" t="b">
        <v>0</v>
      </c>
      <c r="Z1073" s="1" t="b">
        <v>0</v>
      </c>
      <c r="AA1073" s="1" t="s">
        <v>2830</v>
      </c>
    </row>
    <row r="1074" spans="1:27" x14ac:dyDescent="0.25">
      <c r="A1074" s="1" t="s">
        <v>2616</v>
      </c>
      <c r="B1074" s="2" t="s">
        <v>2834</v>
      </c>
      <c r="C1074" s="2" t="s">
        <v>2835</v>
      </c>
      <c r="D1074" s="6">
        <f t="shared" si="28"/>
        <v>1</v>
      </c>
      <c r="E1074" s="7" t="str">
        <f t="shared" si="29"/>
        <v>TemporalModel</v>
      </c>
      <c r="F1074" s="8" t="b">
        <f>IF(D1074&lt;1,FALSE,ISERROR(MATCH(E1074,'Ontology and concepts per UC'!$A$2:$A$62,0)))</f>
        <v>1</v>
      </c>
      <c r="G1074" s="9" t="str">
        <f t="shared" si="30"/>
        <v/>
      </c>
      <c r="H1074" s="9" t="str">
        <f t="shared" si="31"/>
        <v/>
      </c>
      <c r="I1074" s="8" t="b">
        <f>IF(D1074&lt;2,FALSE,ISERROR(MATCH(H1074,'Ontology and concepts per UC'!$A$2:$A$62,0)))</f>
        <v>0</v>
      </c>
      <c r="J1074" s="9" t="str">
        <f t="shared" si="32"/>
        <v/>
      </c>
      <c r="K1074" s="8" t="b">
        <f>IF(D1074&lt;3,FALSE,ISERROR(MATCH(J1074,'Ontology and concepts per UC'!$A$2:$A$62,0)))</f>
        <v>0</v>
      </c>
      <c r="L1074" s="2" t="s">
        <v>2836</v>
      </c>
      <c r="M1074" s="2" t="s">
        <v>2837</v>
      </c>
      <c r="N1074" s="2"/>
      <c r="O1074" s="1" t="b">
        <v>0</v>
      </c>
      <c r="P1074" s="1">
        <v>1</v>
      </c>
      <c r="Q1074" s="1">
        <v>2</v>
      </c>
      <c r="R1074" s="1" t="b">
        <f t="shared" si="33"/>
        <v>0</v>
      </c>
      <c r="S1074" s="2" t="s">
        <v>367</v>
      </c>
      <c r="T1074" s="1" t="str">
        <f>IF(S1074="","",VLOOKUP(S1074,'Ontology and concepts per UC'!$F$2:$J$46,5,FALSE))</f>
        <v>Parámetros de progresión</v>
      </c>
      <c r="U1074" s="1" t="b">
        <f t="array" ref="U1074">(INDEX('Ontology and concepts per UC'!$G$2:$I$46,MATCH($S1074,'Ontology and concepts per UC'!$F$2:$F$46,0),MATCH(LEFT($A1074,3),'Ontology and concepts per UC'!$G$1:$I$1,0))=0)</f>
        <v>1</v>
      </c>
      <c r="V1074" s="1" t="b">
        <f t="shared" si="34"/>
        <v>1</v>
      </c>
      <c r="W1074" s="1" t="b">
        <v>1</v>
      </c>
      <c r="X1074" s="1" t="b">
        <v>0</v>
      </c>
      <c r="Y1074" s="1" t="b">
        <v>0</v>
      </c>
      <c r="Z1074" s="1" t="b">
        <v>0</v>
      </c>
      <c r="AA1074" s="1" t="s">
        <v>2838</v>
      </c>
    </row>
    <row r="1075" spans="1:27" x14ac:dyDescent="0.25">
      <c r="A1075" s="1" t="s">
        <v>2616</v>
      </c>
      <c r="B1075" s="2" t="s">
        <v>2839</v>
      </c>
      <c r="C1075" s="2" t="s">
        <v>2835</v>
      </c>
      <c r="D1075" s="6">
        <f t="shared" si="28"/>
        <v>1</v>
      </c>
      <c r="E1075" s="7" t="str">
        <f t="shared" si="29"/>
        <v>TemporalModel</v>
      </c>
      <c r="F1075" s="8" t="b">
        <f>IF(D1075&lt;1,FALSE,ISERROR(MATCH(E1075,'Ontology and concepts per UC'!$A$2:$A$62,0)))</f>
        <v>1</v>
      </c>
      <c r="G1075" s="9" t="str">
        <f t="shared" si="30"/>
        <v/>
      </c>
      <c r="H1075" s="9" t="str">
        <f t="shared" si="31"/>
        <v/>
      </c>
      <c r="I1075" s="8" t="b">
        <f>IF(D1075&lt;2,FALSE,ISERROR(MATCH(H1075,'Ontology and concepts per UC'!$A$2:$A$62,0)))</f>
        <v>0</v>
      </c>
      <c r="J1075" s="9" t="str">
        <f t="shared" si="32"/>
        <v/>
      </c>
      <c r="K1075" s="8" t="b">
        <f>IF(D1075&lt;3,FALSE,ISERROR(MATCH(J1075,'Ontology and concepts per UC'!$A$2:$A$62,0)))</f>
        <v>0</v>
      </c>
      <c r="L1075" s="2" t="s">
        <v>2840</v>
      </c>
      <c r="M1075" s="2" t="s">
        <v>2841</v>
      </c>
      <c r="N1075" s="2"/>
      <c r="O1075" s="1" t="b">
        <v>0</v>
      </c>
      <c r="P1075" s="1">
        <v>1</v>
      </c>
      <c r="Q1075" s="1">
        <v>1</v>
      </c>
      <c r="R1075" s="1" t="b">
        <f t="shared" si="33"/>
        <v>0</v>
      </c>
      <c r="S1075" s="2" t="s">
        <v>367</v>
      </c>
      <c r="T1075" s="1" t="str">
        <f>IF(S1075="","",VLOOKUP(S1075,'Ontology and concepts per UC'!$F$2:$J$46,5,FALSE))</f>
        <v>Parámetros de progresión</v>
      </c>
      <c r="U1075" s="1" t="b">
        <f t="array" ref="U1075">(INDEX('Ontology and concepts per UC'!$G$2:$I$46,MATCH($S1075,'Ontology and concepts per UC'!$F$2:$F$46,0),MATCH(LEFT($A1075,3),'Ontology and concepts per UC'!$G$1:$I$1,0))=0)</f>
        <v>1</v>
      </c>
      <c r="V1075" s="1" t="b">
        <f t="shared" si="34"/>
        <v>1</v>
      </c>
      <c r="W1075" s="1" t="b">
        <v>1</v>
      </c>
      <c r="X1075" s="1" t="b">
        <v>0</v>
      </c>
      <c r="Y1075" s="1" t="b">
        <v>0</v>
      </c>
      <c r="Z1075" s="1" t="b">
        <v>0</v>
      </c>
      <c r="AA1075" s="1" t="s">
        <v>2838</v>
      </c>
    </row>
    <row r="1076" spans="1:27" x14ac:dyDescent="0.25">
      <c r="A1076" s="1" t="s">
        <v>2616</v>
      </c>
      <c r="B1076" s="2" t="s">
        <v>2842</v>
      </c>
      <c r="C1076" s="2" t="s">
        <v>2835</v>
      </c>
      <c r="D1076" s="6">
        <f t="shared" si="28"/>
        <v>1</v>
      </c>
      <c r="E1076" s="7" t="str">
        <f t="shared" si="29"/>
        <v>TemporalModel</v>
      </c>
      <c r="F1076" s="8" t="b">
        <f>IF(D1076&lt;1,FALSE,ISERROR(MATCH(E1076,'Ontology and concepts per UC'!$A$2:$A$62,0)))</f>
        <v>1</v>
      </c>
      <c r="G1076" s="9" t="str">
        <f t="shared" si="30"/>
        <v/>
      </c>
      <c r="H1076" s="9" t="str">
        <f t="shared" si="31"/>
        <v/>
      </c>
      <c r="I1076" s="8" t="b">
        <f>IF(D1076&lt;2,FALSE,ISERROR(MATCH(H1076,'Ontology and concepts per UC'!$A$2:$A$62,0)))</f>
        <v>0</v>
      </c>
      <c r="J1076" s="9" t="str">
        <f t="shared" si="32"/>
        <v/>
      </c>
      <c r="K1076" s="8" t="b">
        <f>IF(D1076&lt;3,FALSE,ISERROR(MATCH(J1076,'Ontology and concepts per UC'!$A$2:$A$62,0)))</f>
        <v>0</v>
      </c>
      <c r="L1076" s="2" t="s">
        <v>2843</v>
      </c>
      <c r="M1076" s="2" t="s">
        <v>2844</v>
      </c>
      <c r="N1076" s="2"/>
      <c r="O1076" s="1" t="b">
        <v>0</v>
      </c>
      <c r="P1076" s="1">
        <v>1</v>
      </c>
      <c r="Q1076" s="1">
        <v>5</v>
      </c>
      <c r="R1076" s="1" t="b">
        <f t="shared" si="33"/>
        <v>0</v>
      </c>
      <c r="S1076" s="2" t="s">
        <v>187</v>
      </c>
      <c r="T1076" s="1" t="str">
        <f>IF(S1076="","",VLOOKUP(S1076,'Ontology and concepts per UC'!$F$2:$J$46,5,FALSE))</f>
        <v>Otros</v>
      </c>
      <c r="U1076" s="1" t="b">
        <f t="array" ref="U1076">(INDEX('Ontology and concepts per UC'!$G$2:$I$46,MATCH($S1076,'Ontology and concepts per UC'!$F$2:$F$46,0),MATCH(LEFT($A1076,3),'Ontology and concepts per UC'!$G$1:$I$1,0))=0)</f>
        <v>1</v>
      </c>
      <c r="V1076" s="1" t="b">
        <f t="shared" si="34"/>
        <v>1</v>
      </c>
      <c r="W1076" s="1" t="b">
        <v>1</v>
      </c>
      <c r="X1076" s="1" t="b">
        <v>0</v>
      </c>
      <c r="Y1076" s="1" t="b">
        <v>0</v>
      </c>
      <c r="Z1076" s="1" t="b">
        <v>0</v>
      </c>
      <c r="AA1076" s="1" t="s">
        <v>2838</v>
      </c>
    </row>
    <row r="1077" spans="1:27" x14ac:dyDescent="0.25">
      <c r="A1077" s="1" t="s">
        <v>2616</v>
      </c>
      <c r="B1077" s="2" t="s">
        <v>2845</v>
      </c>
      <c r="C1077" s="2" t="s">
        <v>365</v>
      </c>
      <c r="D1077" s="6">
        <f t="shared" si="28"/>
        <v>1</v>
      </c>
      <c r="E1077" s="7" t="str">
        <f t="shared" si="29"/>
        <v>TemporalParameter</v>
      </c>
      <c r="F1077" s="8" t="b">
        <f>IF(D1077&lt;1,FALSE,ISERROR(MATCH(E1077,'Ontology and concepts per UC'!$A$2:$A$62,0)))</f>
        <v>1</v>
      </c>
      <c r="G1077" s="9" t="str">
        <f t="shared" si="30"/>
        <v/>
      </c>
      <c r="H1077" s="9" t="str">
        <f t="shared" si="31"/>
        <v/>
      </c>
      <c r="I1077" s="8" t="b">
        <f>IF(D1077&lt;2,FALSE,ISERROR(MATCH(H1077,'Ontology and concepts per UC'!$A$2:$A$62,0)))</f>
        <v>0</v>
      </c>
      <c r="J1077" s="9" t="str">
        <f t="shared" si="32"/>
        <v/>
      </c>
      <c r="K1077" s="8" t="b">
        <f>IF(D1077&lt;3,FALSE,ISERROR(MATCH(J1077,'Ontology and concepts per UC'!$A$2:$A$62,0)))</f>
        <v>0</v>
      </c>
      <c r="L1077" s="2" t="s">
        <v>2804</v>
      </c>
      <c r="M1077" s="2" t="s">
        <v>2846</v>
      </c>
      <c r="N1077" s="2"/>
      <c r="O1077" s="1" t="b">
        <v>0</v>
      </c>
      <c r="P1077" s="1">
        <v>1</v>
      </c>
      <c r="Q1077" s="1">
        <v>1</v>
      </c>
      <c r="R1077" s="1" t="b">
        <f t="shared" si="33"/>
        <v>0</v>
      </c>
      <c r="S1077" s="2" t="s">
        <v>50</v>
      </c>
      <c r="T1077" s="1" t="str">
        <f>IF(S1077="","",VLOOKUP(S1077,'Ontology and concepts per UC'!$F$2:$J$46,5,FALSE))</f>
        <v>Parámetros de progresión</v>
      </c>
      <c r="U1077" s="1" t="b">
        <f t="array" ref="U1077">(INDEX('Ontology and concepts per UC'!$G$2:$I$46,MATCH($S1077,'Ontology and concepts per UC'!$F$2:$F$46,0),MATCH(LEFT($A1077,3),'Ontology and concepts per UC'!$G$1:$I$1,0))=0)</f>
        <v>0</v>
      </c>
      <c r="V1077" s="1" t="b">
        <f t="shared" si="34"/>
        <v>1</v>
      </c>
      <c r="W1077" s="1" t="b">
        <v>1</v>
      </c>
      <c r="X1077" s="1" t="b">
        <v>0</v>
      </c>
      <c r="Y1077" s="1" t="b">
        <v>0</v>
      </c>
      <c r="Z1077" s="1" t="b">
        <v>0</v>
      </c>
      <c r="AA1077" s="1" t="s">
        <v>2847</v>
      </c>
    </row>
    <row r="1078" spans="1:27" x14ac:dyDescent="0.25">
      <c r="A1078" s="1" t="s">
        <v>2616</v>
      </c>
      <c r="B1078" s="2" t="s">
        <v>2848</v>
      </c>
      <c r="C1078" s="2" t="s">
        <v>2849</v>
      </c>
      <c r="D1078" s="6">
        <f t="shared" si="28"/>
        <v>2</v>
      </c>
      <c r="E1078" s="7" t="str">
        <f t="shared" si="29"/>
        <v>TemporalParameter</v>
      </c>
      <c r="F1078" s="8" t="b">
        <f>IF(D1078&lt;1,FALSE,ISERROR(MATCH(E1078,'Ontology and concepts per UC'!$A$2:$A$62,0)))</f>
        <v>1</v>
      </c>
      <c r="G1078" s="9" t="str">
        <f t="shared" si="30"/>
        <v>DeterministicParameter</v>
      </c>
      <c r="H1078" s="9" t="str">
        <f t="shared" si="31"/>
        <v>DeterministicParameter</v>
      </c>
      <c r="I1078" s="8" t="b">
        <f>IF(D1078&lt;2,FALSE,ISERROR(MATCH(H1078,'Ontology and concepts per UC'!$A$2:$A$62,0)))</f>
        <v>0</v>
      </c>
      <c r="J1078" s="9" t="str">
        <f t="shared" si="32"/>
        <v/>
      </c>
      <c r="K1078" s="8" t="b">
        <f>IF(D1078&lt;3,FALSE,ISERROR(MATCH(J1078,'Ontology and concepts per UC'!$A$2:$A$62,0)))</f>
        <v>0</v>
      </c>
      <c r="L1078" s="2" t="s">
        <v>2800</v>
      </c>
      <c r="M1078" s="2" t="s">
        <v>2850</v>
      </c>
      <c r="N1078" s="2"/>
      <c r="O1078" s="1" t="b">
        <v>0</v>
      </c>
      <c r="P1078" s="1">
        <v>1</v>
      </c>
      <c r="Q1078" s="1">
        <v>1</v>
      </c>
      <c r="R1078" s="1" t="b">
        <f t="shared" si="33"/>
        <v>0</v>
      </c>
      <c r="S1078" s="2" t="s">
        <v>55</v>
      </c>
      <c r="T1078" s="1" t="str">
        <f>IF(S1078="","",VLOOKUP(S1078,'Ontology and concepts per UC'!$F$2:$J$46,5,FALSE))</f>
        <v>Parámetros de progresión</v>
      </c>
      <c r="U1078" s="1" t="b">
        <f t="array" ref="U1078">(INDEX('Ontology and concepts per UC'!$G$2:$I$46,MATCH($S1078,'Ontology and concepts per UC'!$F$2:$F$46,0),MATCH(LEFT($A1078,3),'Ontology and concepts per UC'!$G$1:$I$1,0))=0)</f>
        <v>0</v>
      </c>
      <c r="V1078" s="1" t="b">
        <f t="shared" si="34"/>
        <v>1</v>
      </c>
      <c r="W1078" s="1" t="b">
        <v>1</v>
      </c>
      <c r="X1078" s="1" t="b">
        <v>0</v>
      </c>
      <c r="Y1078" s="1" t="b">
        <v>0</v>
      </c>
      <c r="Z1078" s="1" t="b">
        <v>0</v>
      </c>
      <c r="AA1078" s="1" t="s">
        <v>2847</v>
      </c>
    </row>
    <row r="1079" spans="1:27" x14ac:dyDescent="0.25">
      <c r="A1079" s="1" t="s">
        <v>2616</v>
      </c>
      <c r="B1079" s="2" t="s">
        <v>2851</v>
      </c>
      <c r="C1079" s="2" t="s">
        <v>2849</v>
      </c>
      <c r="D1079" s="6">
        <f t="shared" si="28"/>
        <v>2</v>
      </c>
      <c r="E1079" s="7" t="str">
        <f t="shared" si="29"/>
        <v>TemporalParameter</v>
      </c>
      <c r="F1079" s="8" t="b">
        <f>IF(D1079&lt;1,FALSE,ISERROR(MATCH(E1079,'Ontology and concepts per UC'!$A$2:$A$62,0)))</f>
        <v>1</v>
      </c>
      <c r="G1079" s="9" t="str">
        <f t="shared" si="30"/>
        <v>DeterministicParameter</v>
      </c>
      <c r="H1079" s="9" t="str">
        <f t="shared" si="31"/>
        <v>DeterministicParameter</v>
      </c>
      <c r="I1079" s="8" t="b">
        <f>IF(D1079&lt;2,FALSE,ISERROR(MATCH(H1079,'Ontology and concepts per UC'!$A$2:$A$62,0)))</f>
        <v>0</v>
      </c>
      <c r="J1079" s="9" t="str">
        <f t="shared" si="32"/>
        <v/>
      </c>
      <c r="K1079" s="8" t="b">
        <f>IF(D1079&lt;3,FALSE,ISERROR(MATCH(J1079,'Ontology and concepts per UC'!$A$2:$A$62,0)))</f>
        <v>0</v>
      </c>
      <c r="L1079" s="2" t="s">
        <v>2852</v>
      </c>
      <c r="M1079" s="2" t="s">
        <v>2853</v>
      </c>
      <c r="N1079" s="2"/>
      <c r="O1079" s="1" t="b">
        <v>0</v>
      </c>
      <c r="P1079" s="1">
        <v>1</v>
      </c>
      <c r="Q1079" s="1">
        <v>4</v>
      </c>
      <c r="R1079" s="1" t="b">
        <f t="shared" si="33"/>
        <v>0</v>
      </c>
      <c r="S1079" s="2" t="s">
        <v>51</v>
      </c>
      <c r="T1079" s="1" t="str">
        <f>IF(S1079="","",VLOOKUP(S1079,'Ontology and concepts per UC'!$F$2:$J$46,5,FALSE))</f>
        <v>Parámetros de progresión</v>
      </c>
      <c r="U1079" s="1" t="b">
        <f t="array" ref="U1079">(INDEX('Ontology and concepts per UC'!$G$2:$I$46,MATCH($S1079,'Ontology and concepts per UC'!$F$2:$F$46,0),MATCH(LEFT($A1079,3),'Ontology and concepts per UC'!$G$1:$I$1,0))=0)</f>
        <v>0</v>
      </c>
      <c r="V1079" s="1" t="b">
        <f t="shared" si="34"/>
        <v>1</v>
      </c>
      <c r="W1079" s="1" t="b">
        <v>1</v>
      </c>
      <c r="X1079" s="1" t="b">
        <v>0</v>
      </c>
      <c r="Y1079" s="1" t="b">
        <v>0</v>
      </c>
      <c r="Z1079" s="1" t="b">
        <v>0</v>
      </c>
      <c r="AA1079" s="1" t="s">
        <v>2847</v>
      </c>
    </row>
    <row r="1080" spans="1:27" x14ac:dyDescent="0.25">
      <c r="A1080" s="1" t="s">
        <v>2616</v>
      </c>
      <c r="B1080" s="2" t="s">
        <v>2854</v>
      </c>
      <c r="C1080" s="2" t="s">
        <v>2849</v>
      </c>
      <c r="D1080" s="6">
        <f t="shared" si="28"/>
        <v>2</v>
      </c>
      <c r="E1080" s="7" t="str">
        <f t="shared" si="29"/>
        <v>TemporalParameter</v>
      </c>
      <c r="F1080" s="8" t="b">
        <f>IF(D1080&lt;1,FALSE,ISERROR(MATCH(E1080,'Ontology and concepts per UC'!$A$2:$A$62,0)))</f>
        <v>1</v>
      </c>
      <c r="G1080" s="9" t="str">
        <f t="shared" si="30"/>
        <v>DeterministicParameter</v>
      </c>
      <c r="H1080" s="9" t="str">
        <f t="shared" si="31"/>
        <v>DeterministicParameter</v>
      </c>
      <c r="I1080" s="8" t="b">
        <f>IF(D1080&lt;2,FALSE,ISERROR(MATCH(H1080,'Ontology and concepts per UC'!$A$2:$A$62,0)))</f>
        <v>0</v>
      </c>
      <c r="J1080" s="9" t="str">
        <f t="shared" si="32"/>
        <v/>
      </c>
      <c r="K1080" s="8" t="b">
        <f>IF(D1080&lt;3,FALSE,ISERROR(MATCH(J1080,'Ontology and concepts per UC'!$A$2:$A$62,0)))</f>
        <v>0</v>
      </c>
      <c r="L1080" s="2" t="s">
        <v>2855</v>
      </c>
      <c r="M1080" s="2" t="s">
        <v>2856</v>
      </c>
      <c r="N1080" s="2"/>
      <c r="O1080" s="1" t="b">
        <v>0</v>
      </c>
      <c r="P1080" s="1">
        <v>1</v>
      </c>
      <c r="Q1080" s="1">
        <v>2</v>
      </c>
      <c r="R1080" s="1" t="b">
        <f t="shared" si="33"/>
        <v>0</v>
      </c>
      <c r="S1080" s="2" t="s">
        <v>54</v>
      </c>
      <c r="T1080" s="1" t="str">
        <f>IF(S1080="","",VLOOKUP(S1080,'Ontology and concepts per UC'!$F$2:$J$46,5,FALSE))</f>
        <v>Parámetros de progresión</v>
      </c>
      <c r="U1080" s="1" t="b">
        <f t="array" ref="U1080">(INDEX('Ontology and concepts per UC'!$G$2:$I$46,MATCH($S1080,'Ontology and concepts per UC'!$F$2:$F$46,0),MATCH(LEFT($A1080,3),'Ontology and concepts per UC'!$G$1:$I$1,0))=0)</f>
        <v>0</v>
      </c>
      <c r="V1080" s="1" t="b">
        <f t="shared" si="34"/>
        <v>1</v>
      </c>
      <c r="W1080" s="1" t="b">
        <v>1</v>
      </c>
      <c r="X1080" s="1" t="b">
        <v>0</v>
      </c>
      <c r="Y1080" s="1" t="b">
        <v>0</v>
      </c>
      <c r="Z1080" s="1" t="b">
        <v>0</v>
      </c>
      <c r="AA1080" s="1" t="s">
        <v>2857</v>
      </c>
    </row>
    <row r="1081" spans="1:27" x14ac:dyDescent="0.25">
      <c r="A1081" s="1" t="s">
        <v>2616</v>
      </c>
      <c r="B1081" s="2" t="s">
        <v>2858</v>
      </c>
      <c r="C1081" s="2" t="s">
        <v>2859</v>
      </c>
      <c r="D1081" s="6">
        <f t="shared" si="28"/>
        <v>2</v>
      </c>
      <c r="E1081" s="7" t="str">
        <f t="shared" si="29"/>
        <v>TemporalParameter</v>
      </c>
      <c r="F1081" s="8" t="b">
        <f>IF(D1081&lt;1,FALSE,ISERROR(MATCH(E1081,'Ontology and concepts per UC'!$A$2:$A$62,0)))</f>
        <v>1</v>
      </c>
      <c r="G1081" s="9" t="str">
        <f t="shared" si="30"/>
        <v>ProbabilisticParameter</v>
      </c>
      <c r="H1081" s="9" t="str">
        <f t="shared" si="31"/>
        <v>ProbabilisticParameter</v>
      </c>
      <c r="I1081" s="8" t="b">
        <f>IF(D1081&lt;2,FALSE,ISERROR(MATCH(H1081,'Ontology and concepts per UC'!$A$2:$A$62,0)))</f>
        <v>1</v>
      </c>
      <c r="J1081" s="9" t="str">
        <f t="shared" si="32"/>
        <v/>
      </c>
      <c r="K1081" s="8" t="b">
        <f>IF(D1081&lt;3,FALSE,ISERROR(MATCH(J1081,'Ontology and concepts per UC'!$A$2:$A$62,0)))</f>
        <v>0</v>
      </c>
      <c r="L1081" s="2" t="s">
        <v>2852</v>
      </c>
      <c r="M1081" s="2" t="s">
        <v>2860</v>
      </c>
      <c r="N1081" s="2"/>
      <c r="O1081" s="1" t="b">
        <v>0</v>
      </c>
      <c r="P1081" s="1">
        <v>2</v>
      </c>
      <c r="Q1081" s="1">
        <v>6</v>
      </c>
      <c r="R1081" s="1" t="b">
        <f t="shared" si="33"/>
        <v>0</v>
      </c>
      <c r="S1081" s="2" t="s">
        <v>51</v>
      </c>
      <c r="T1081" s="1" t="str">
        <f>IF(S1081="","",VLOOKUP(S1081,'Ontology and concepts per UC'!$F$2:$J$46,5,FALSE))</f>
        <v>Parámetros de progresión</v>
      </c>
      <c r="U1081" s="1" t="b">
        <f t="array" ref="U1081">(INDEX('Ontology and concepts per UC'!$G$2:$I$46,MATCH($S1081,'Ontology and concepts per UC'!$F$2:$F$46,0),MATCH(LEFT($A1081,3),'Ontology and concepts per UC'!$G$1:$I$1,0))=0)</f>
        <v>0</v>
      </c>
      <c r="V1081" s="1" t="b">
        <f t="shared" si="34"/>
        <v>1</v>
      </c>
      <c r="W1081" s="1" t="b">
        <v>1</v>
      </c>
      <c r="X1081" s="1" t="b">
        <v>0</v>
      </c>
      <c r="Y1081" s="1" t="b">
        <v>0</v>
      </c>
      <c r="Z1081" s="1" t="b">
        <v>0</v>
      </c>
      <c r="AA1081" s="1" t="s">
        <v>2861</v>
      </c>
    </row>
    <row r="1082" spans="1:27" x14ac:dyDescent="0.25">
      <c r="A1082" s="1" t="s">
        <v>2616</v>
      </c>
      <c r="B1082" s="2" t="s">
        <v>2862</v>
      </c>
      <c r="C1082" s="2" t="s">
        <v>2859</v>
      </c>
      <c r="D1082" s="6">
        <f t="shared" si="28"/>
        <v>2</v>
      </c>
      <c r="E1082" s="7" t="str">
        <f t="shared" si="29"/>
        <v>TemporalParameter</v>
      </c>
      <c r="F1082" s="8" t="b">
        <f>IF(D1082&lt;1,FALSE,ISERROR(MATCH(E1082,'Ontology and concepts per UC'!$A$2:$A$62,0)))</f>
        <v>1</v>
      </c>
      <c r="G1082" s="9" t="str">
        <f t="shared" si="30"/>
        <v>ProbabilisticParameter</v>
      </c>
      <c r="H1082" s="9" t="str">
        <f t="shared" si="31"/>
        <v>ProbabilisticParameter</v>
      </c>
      <c r="I1082" s="8" t="b">
        <f>IF(D1082&lt;2,FALSE,ISERROR(MATCH(H1082,'Ontology and concepts per UC'!$A$2:$A$62,0)))</f>
        <v>1</v>
      </c>
      <c r="J1082" s="9" t="str">
        <f t="shared" si="32"/>
        <v/>
      </c>
      <c r="K1082" s="8" t="b">
        <f>IF(D1082&lt;3,FALSE,ISERROR(MATCH(J1082,'Ontology and concepts per UC'!$A$2:$A$62,0)))</f>
        <v>0</v>
      </c>
      <c r="L1082" s="2" t="s">
        <v>2855</v>
      </c>
      <c r="M1082" s="2" t="s">
        <v>2863</v>
      </c>
      <c r="N1082" s="2"/>
      <c r="O1082" s="1" t="b">
        <v>0</v>
      </c>
      <c r="P1082" s="1">
        <v>2</v>
      </c>
      <c r="Q1082" s="1">
        <v>6</v>
      </c>
      <c r="R1082" s="1" t="b">
        <f t="shared" si="33"/>
        <v>0</v>
      </c>
      <c r="S1082" s="2" t="s">
        <v>54</v>
      </c>
      <c r="T1082" s="1" t="str">
        <f>IF(S1082="","",VLOOKUP(S1082,'Ontology and concepts per UC'!$F$2:$J$46,5,FALSE))</f>
        <v>Parámetros de progresión</v>
      </c>
      <c r="U1082" s="1" t="b">
        <f t="array" ref="U1082">(INDEX('Ontology and concepts per UC'!$G$2:$I$46,MATCH($S1082,'Ontology and concepts per UC'!$F$2:$F$46,0),MATCH(LEFT($A1082,3),'Ontology and concepts per UC'!$G$1:$I$1,0))=0)</f>
        <v>0</v>
      </c>
      <c r="V1082" s="1" t="b">
        <f t="shared" si="34"/>
        <v>1</v>
      </c>
      <c r="W1082" s="1" t="b">
        <v>1</v>
      </c>
      <c r="X1082" s="1" t="b">
        <v>0</v>
      </c>
      <c r="Y1082" s="1" t="b">
        <v>0</v>
      </c>
      <c r="Z1082" s="1" t="b">
        <v>0</v>
      </c>
      <c r="AA1082" s="1" t="s">
        <v>2861</v>
      </c>
    </row>
    <row r="1083" spans="1:27" x14ac:dyDescent="0.25">
      <c r="A1083" s="1" t="s">
        <v>2616</v>
      </c>
      <c r="B1083" s="2" t="s">
        <v>2864</v>
      </c>
      <c r="C1083" s="2" t="s">
        <v>1115</v>
      </c>
      <c r="D1083" s="6">
        <f t="shared" si="28"/>
        <v>2</v>
      </c>
      <c r="E1083" s="7" t="str">
        <f t="shared" si="29"/>
        <v>Utility</v>
      </c>
      <c r="F1083" s="8" t="b">
        <f>IF(D1083&lt;1,FALSE,ISERROR(MATCH(E1083,'Ontology and concepts per UC'!$A$2:$A$62,0)))</f>
        <v>0</v>
      </c>
      <c r="G1083" s="9" t="str">
        <f t="shared" si="30"/>
        <v>DeterministicParameter</v>
      </c>
      <c r="H1083" s="9" t="str">
        <f t="shared" si="31"/>
        <v>DeterministicParameter</v>
      </c>
      <c r="I1083" s="8" t="b">
        <f>IF(D1083&lt;2,FALSE,ISERROR(MATCH(H1083,'Ontology and concepts per UC'!$A$2:$A$62,0)))</f>
        <v>0</v>
      </c>
      <c r="J1083" s="9" t="str">
        <f t="shared" si="32"/>
        <v/>
      </c>
      <c r="K1083" s="8" t="b">
        <f>IF(D1083&lt;3,FALSE,ISERROR(MATCH(J1083,'Ontology and concepts per UC'!$A$2:$A$62,0)))</f>
        <v>0</v>
      </c>
      <c r="L1083" s="2" t="s">
        <v>2786</v>
      </c>
      <c r="M1083" s="2" t="s">
        <v>2865</v>
      </c>
      <c r="N1083" s="2"/>
      <c r="O1083" s="1" t="b">
        <v>0</v>
      </c>
      <c r="P1083" s="1">
        <v>0</v>
      </c>
      <c r="Q1083" s="1">
        <v>2</v>
      </c>
      <c r="R1083" s="1" t="b">
        <f t="shared" si="33"/>
        <v>0</v>
      </c>
      <c r="S1083" s="2" t="s">
        <v>66</v>
      </c>
      <c r="T1083" s="1" t="str">
        <f>IF(S1083="","",VLOOKUP(S1083,'Ontology and concepts per UC'!$F$2:$J$46,5,FALSE))</f>
        <v>Utilidad</v>
      </c>
      <c r="U1083" s="1" t="b">
        <f t="array" ref="U1083">(INDEX('Ontology and concepts per UC'!$G$2:$I$46,MATCH($S1083,'Ontology and concepts per UC'!$F$2:$F$46,0),MATCH(LEFT($A1083,3),'Ontology and concepts per UC'!$G$1:$I$1,0))=0)</f>
        <v>0</v>
      </c>
      <c r="V1083" s="1" t="b">
        <f t="shared" si="34"/>
        <v>1</v>
      </c>
      <c r="W1083" s="1" t="b">
        <v>0</v>
      </c>
      <c r="X1083" s="1" t="b">
        <v>1</v>
      </c>
      <c r="Y1083" s="1" t="b">
        <v>0</v>
      </c>
      <c r="Z1083" s="1" t="b">
        <v>0</v>
      </c>
      <c r="AA1083" s="1" t="s">
        <v>2866</v>
      </c>
    </row>
    <row r="1084" spans="1:27" x14ac:dyDescent="0.25">
      <c r="A1084" s="1" t="s">
        <v>2616</v>
      </c>
      <c r="B1084" s="2" t="s">
        <v>2867</v>
      </c>
      <c r="C1084" s="2" t="s">
        <v>2868</v>
      </c>
      <c r="D1084" s="6">
        <f t="shared" si="28"/>
        <v>3</v>
      </c>
      <c r="E1084" s="7" t="str">
        <f t="shared" si="29"/>
        <v>Utility</v>
      </c>
      <c r="F1084" s="8" t="b">
        <f>IF(D1084&lt;1,FALSE,ISERROR(MATCH(E1084,'Ontology and concepts per UC'!$A$2:$A$62,0)))</f>
        <v>0</v>
      </c>
      <c r="G1084" s="9" t="str">
        <f t="shared" si="30"/>
        <v>ProbabilisticParameter; UtilityParameter</v>
      </c>
      <c r="H1084" s="9" t="str">
        <f t="shared" si="31"/>
        <v>ProbabilisticParameter</v>
      </c>
      <c r="I1084" s="8" t="b">
        <f>IF(D1084&lt;2,FALSE,ISERROR(MATCH(H1084,'Ontology and concepts per UC'!$A$2:$A$62,0)))</f>
        <v>1</v>
      </c>
      <c r="J1084" s="9" t="str">
        <f t="shared" si="32"/>
        <v>UtilityParameter</v>
      </c>
      <c r="K1084" s="8" t="b">
        <f>IF(D1084&lt;3,FALSE,ISERROR(MATCH(J1084,'Ontology and concepts per UC'!$A$2:$A$62,0)))</f>
        <v>1</v>
      </c>
      <c r="L1084" s="2" t="s">
        <v>2869</v>
      </c>
      <c r="M1084" s="2" t="s">
        <v>2870</v>
      </c>
      <c r="N1084" s="2"/>
      <c r="O1084" s="1" t="b">
        <v>0</v>
      </c>
      <c r="P1084" s="1">
        <v>2</v>
      </c>
      <c r="Q1084" s="1">
        <v>5</v>
      </c>
      <c r="R1084" s="1" t="b">
        <f t="shared" si="33"/>
        <v>0</v>
      </c>
      <c r="S1084" s="2" t="s">
        <v>70</v>
      </c>
      <c r="T1084" s="1" t="str">
        <f>IF(S1084="","",VLOOKUP(S1084,'Ontology and concepts per UC'!$F$2:$J$46,5,FALSE))</f>
        <v>Utilidad</v>
      </c>
      <c r="U1084" s="1" t="b">
        <f t="array" ref="U1084">(INDEX('Ontology and concepts per UC'!$G$2:$I$46,MATCH($S1084,'Ontology and concepts per UC'!$F$2:$F$46,0),MATCH(LEFT($A1084,3),'Ontology and concepts per UC'!$G$1:$I$1,0))=0)</f>
        <v>0</v>
      </c>
      <c r="V1084" s="1" t="b">
        <f t="shared" si="34"/>
        <v>1</v>
      </c>
      <c r="W1084" s="1" t="b">
        <v>1</v>
      </c>
      <c r="X1084" s="1" t="b">
        <v>0</v>
      </c>
      <c r="Y1084" s="1" t="b">
        <v>0</v>
      </c>
      <c r="Z1084" s="1" t="b">
        <v>0</v>
      </c>
      <c r="AA1084" s="1" t="s">
        <v>2871</v>
      </c>
    </row>
    <row r="1085" spans="1:27" x14ac:dyDescent="0.25">
      <c r="A1085" s="1" t="s">
        <v>2616</v>
      </c>
      <c r="B1085" s="2" t="s">
        <v>2872</v>
      </c>
      <c r="C1085" s="2" t="s">
        <v>2873</v>
      </c>
      <c r="D1085" s="6">
        <f t="shared" si="28"/>
        <v>1</v>
      </c>
      <c r="E1085" s="7" t="str">
        <f t="shared" si="29"/>
        <v>UtilityAdjustment</v>
      </c>
      <c r="F1085" s="8" t="b">
        <f>IF(D1085&lt;1,FALSE,ISERROR(MATCH(E1085,'Ontology and concepts per UC'!$A$2:$A$62,0)))</f>
        <v>1</v>
      </c>
      <c r="G1085" s="9" t="str">
        <f t="shared" si="30"/>
        <v/>
      </c>
      <c r="H1085" s="9" t="str">
        <f t="shared" si="31"/>
        <v/>
      </c>
      <c r="I1085" s="8" t="b">
        <f>IF(D1085&lt;2,FALSE,ISERROR(MATCH(H1085,'Ontology and concepts per UC'!$A$2:$A$62,0)))</f>
        <v>0</v>
      </c>
      <c r="J1085" s="9" t="str">
        <f t="shared" si="32"/>
        <v/>
      </c>
      <c r="K1085" s="8" t="b">
        <f>IF(D1085&lt;3,FALSE,ISERROR(MATCH(J1085,'Ontology and concepts per UC'!$A$2:$A$62,0)))</f>
        <v>0</v>
      </c>
      <c r="L1085" s="2" t="s">
        <v>2874</v>
      </c>
      <c r="M1085" s="2" t="s">
        <v>2875</v>
      </c>
      <c r="N1085" s="2"/>
      <c r="O1085" s="1" t="b">
        <v>0</v>
      </c>
      <c r="P1085" s="1">
        <v>1</v>
      </c>
      <c r="Q1085" s="1">
        <v>2</v>
      </c>
      <c r="R1085" s="1" t="b">
        <f t="shared" si="33"/>
        <v>0</v>
      </c>
      <c r="S1085" s="2" t="s">
        <v>174</v>
      </c>
      <c r="T1085" s="1" t="str">
        <f>IF(S1085="","",VLOOKUP(S1085,'Ontology and concepts per UC'!$F$2:$J$46,5,FALSE))</f>
        <v>Utilidad</v>
      </c>
      <c r="U1085" s="1" t="b">
        <f t="array" ref="U1085">(INDEX('Ontology and concepts per UC'!$G$2:$I$46,MATCH($S1085,'Ontology and concepts per UC'!$F$2:$F$46,0),MATCH(LEFT($A1085,3),'Ontology and concepts per UC'!$G$1:$I$1,0))=0)</f>
        <v>1</v>
      </c>
      <c r="V1085" s="1" t="b">
        <f t="shared" si="34"/>
        <v>1</v>
      </c>
      <c r="W1085" s="1" t="b">
        <v>1</v>
      </c>
      <c r="X1085" s="1" t="b">
        <v>0</v>
      </c>
      <c r="Y1085" s="1" t="b">
        <v>0</v>
      </c>
      <c r="Z1085" s="1" t="b">
        <v>0</v>
      </c>
      <c r="AA1085" s="1" t="s">
        <v>2876</v>
      </c>
    </row>
    <row r="1086" spans="1:27" x14ac:dyDescent="0.25">
      <c r="A1086" s="1" t="s">
        <v>2616</v>
      </c>
      <c r="B1086" s="2" t="s">
        <v>2877</v>
      </c>
      <c r="C1086" s="2" t="s">
        <v>172</v>
      </c>
      <c r="D1086" s="6">
        <f t="shared" si="28"/>
        <v>1</v>
      </c>
      <c r="E1086" s="7" t="str">
        <f t="shared" si="29"/>
        <v>UtilityParameter</v>
      </c>
      <c r="F1086" s="8" t="b">
        <f>IF(D1086&lt;1,FALSE,ISERROR(MATCH(E1086,'Ontology and concepts per UC'!$A$2:$A$62,0)))</f>
        <v>1</v>
      </c>
      <c r="G1086" s="9" t="str">
        <f t="shared" si="30"/>
        <v/>
      </c>
      <c r="H1086" s="9" t="str">
        <f t="shared" si="31"/>
        <v/>
      </c>
      <c r="I1086" s="8" t="b">
        <f>IF(D1086&lt;2,FALSE,ISERROR(MATCH(H1086,'Ontology and concepts per UC'!$A$2:$A$62,0)))</f>
        <v>0</v>
      </c>
      <c r="J1086" s="9" t="str">
        <f t="shared" si="32"/>
        <v/>
      </c>
      <c r="K1086" s="8" t="b">
        <f>IF(D1086&lt;3,FALSE,ISERROR(MATCH(J1086,'Ontology and concepts per UC'!$A$2:$A$62,0)))</f>
        <v>0</v>
      </c>
      <c r="L1086" s="2"/>
      <c r="M1086" s="2" t="s">
        <v>2878</v>
      </c>
      <c r="N1086" s="2"/>
      <c r="O1086" s="1" t="b">
        <v>0</v>
      </c>
      <c r="P1086" s="1">
        <v>1</v>
      </c>
      <c r="Q1086" s="1">
        <v>0</v>
      </c>
      <c r="R1086" s="1" t="b">
        <f t="shared" si="33"/>
        <v>0</v>
      </c>
      <c r="S1086" s="2" t="s">
        <v>20</v>
      </c>
      <c r="T1086" s="1" t="str">
        <f>IF(S1086="","",VLOOKUP(S1086,'Ontology and concepts per UC'!$F$2:$J$46,5,FALSE))</f>
        <v>Modelo Conceptual</v>
      </c>
      <c r="U1086" s="1" t="b">
        <f t="array" ref="U1086">(INDEX('Ontology and concepts per UC'!$G$2:$I$46,MATCH($S1086,'Ontology and concepts per UC'!$F$2:$F$46,0),MATCH(LEFT($A1086,3),'Ontology and concepts per UC'!$G$1:$I$1,0))=0)</f>
        <v>0</v>
      </c>
      <c r="V1086" s="1" t="b">
        <f t="shared" si="34"/>
        <v>1</v>
      </c>
      <c r="W1086" s="1" t="b">
        <v>1</v>
      </c>
      <c r="X1086" s="1" t="b">
        <v>0</v>
      </c>
      <c r="Y1086" s="1" t="b">
        <v>0</v>
      </c>
      <c r="Z1086" s="1" t="b">
        <v>0</v>
      </c>
      <c r="AA1086" s="1" t="s">
        <v>2349</v>
      </c>
    </row>
    <row r="1087" spans="1:27" x14ac:dyDescent="0.25">
      <c r="A1087" s="1" t="s">
        <v>2616</v>
      </c>
      <c r="B1087" s="2" t="s">
        <v>2879</v>
      </c>
      <c r="C1087" s="2"/>
      <c r="D1087" s="6">
        <f t="shared" si="28"/>
        <v>0</v>
      </c>
      <c r="E1087" s="7">
        <f t="shared" si="29"/>
        <v>0</v>
      </c>
      <c r="F1087" s="8" t="b">
        <f>IF(D1087&lt;1,FALSE,ISERROR(MATCH(E1087,'Ontology and concepts per UC'!$A$2:$A$62,0)))</f>
        <v>0</v>
      </c>
      <c r="G1087" s="9" t="str">
        <f t="shared" si="30"/>
        <v/>
      </c>
      <c r="H1087" s="9" t="str">
        <f t="shared" si="31"/>
        <v/>
      </c>
      <c r="I1087" s="8" t="b">
        <f>IF(D1087&lt;2,FALSE,ISERROR(MATCH(H1087,'Ontology and concepts per UC'!$A$2:$A$62,0)))</f>
        <v>0</v>
      </c>
      <c r="J1087" s="9" t="str">
        <f t="shared" si="32"/>
        <v/>
      </c>
      <c r="K1087" s="8" t="b">
        <f>IF(D1087&lt;3,FALSE,ISERROR(MATCH(J1087,'Ontology and concepts per UC'!$A$2:$A$62,0)))</f>
        <v>0</v>
      </c>
      <c r="L1087" s="2"/>
      <c r="M1087" s="2"/>
      <c r="N1087" s="2"/>
      <c r="O1087" s="1" t="b">
        <v>1</v>
      </c>
      <c r="P1087" s="1">
        <v>0</v>
      </c>
      <c r="Q1087" s="1">
        <v>0</v>
      </c>
      <c r="R1087" s="1" t="b">
        <f t="shared" si="33"/>
        <v>0</v>
      </c>
      <c r="S1087" s="2" t="s">
        <v>11</v>
      </c>
      <c r="T1087" s="1" t="str">
        <f>IF(S1087="","",VLOOKUP(S1087,'Ontology and concepts per UC'!$F$2:$J$46,5,FALSE))</f>
        <v>Coste</v>
      </c>
      <c r="U1087" s="1" t="b">
        <f t="array" ref="U1087">(INDEX('Ontology and concepts per UC'!$G$2:$I$46,MATCH($S1087,'Ontology and concepts per UC'!$F$2:$F$46,0),MATCH(LEFT($A1087,3),'Ontology and concepts per UC'!$G$1:$I$1,0))=0)</f>
        <v>0</v>
      </c>
      <c r="V1087" s="1" t="b">
        <f t="shared" si="34"/>
        <v>1</v>
      </c>
      <c r="W1087" s="1" t="b">
        <v>1</v>
      </c>
      <c r="X1087" s="1" t="b">
        <v>0</v>
      </c>
      <c r="Y1087" s="1" t="b">
        <v>0</v>
      </c>
      <c r="Z1087" s="1" t="b">
        <v>0</v>
      </c>
      <c r="AA1087" s="1" t="s">
        <v>188</v>
      </c>
    </row>
    <row r="1088" spans="1:27" x14ac:dyDescent="0.25">
      <c r="A1088" s="1" t="s">
        <v>2616</v>
      </c>
      <c r="B1088" s="2" t="s">
        <v>2880</v>
      </c>
      <c r="C1088" s="2"/>
      <c r="D1088" s="6">
        <f t="shared" si="28"/>
        <v>0</v>
      </c>
      <c r="E1088" s="7">
        <f t="shared" si="29"/>
        <v>0</v>
      </c>
      <c r="F1088" s="8" t="b">
        <f>IF(D1088&lt;1,FALSE,ISERROR(MATCH(E1088,'Ontology and concepts per UC'!$A$2:$A$62,0)))</f>
        <v>0</v>
      </c>
      <c r="G1088" s="9" t="str">
        <f t="shared" si="30"/>
        <v/>
      </c>
      <c r="H1088" s="9" t="str">
        <f t="shared" si="31"/>
        <v/>
      </c>
      <c r="I1088" s="8" t="b">
        <f>IF(D1088&lt;2,FALSE,ISERROR(MATCH(H1088,'Ontology and concepts per UC'!$A$2:$A$62,0)))</f>
        <v>0</v>
      </c>
      <c r="J1088" s="9" t="str">
        <f t="shared" si="32"/>
        <v/>
      </c>
      <c r="K1088" s="8" t="b">
        <f>IF(D1088&lt;3,FALSE,ISERROR(MATCH(J1088,'Ontology and concepts per UC'!$A$2:$A$62,0)))</f>
        <v>0</v>
      </c>
      <c r="L1088" s="2"/>
      <c r="M1088" s="2"/>
      <c r="N1088" s="2"/>
      <c r="O1088" s="1" t="b">
        <v>1</v>
      </c>
      <c r="P1088" s="1">
        <v>0</v>
      </c>
      <c r="Q1088" s="1">
        <v>0</v>
      </c>
      <c r="R1088" s="1" t="b">
        <f t="shared" si="33"/>
        <v>0</v>
      </c>
      <c r="S1088" s="2" t="s">
        <v>6</v>
      </c>
      <c r="T1088" s="1" t="str">
        <f>IF(S1088="","",VLOOKUP(S1088,'Ontology and concepts per UC'!$F$2:$J$46,5,FALSE))</f>
        <v>Coste</v>
      </c>
      <c r="U1088" s="1" t="b">
        <f t="array" ref="U1088">(INDEX('Ontology and concepts per UC'!$G$2:$I$46,MATCH($S1088,'Ontology and concepts per UC'!$F$2:$F$46,0),MATCH(LEFT($A1088,3),'Ontology and concepts per UC'!$G$1:$I$1,0))=0)</f>
        <v>0</v>
      </c>
      <c r="V1088" s="1" t="b">
        <f t="shared" si="34"/>
        <v>1</v>
      </c>
      <c r="W1088" s="1" t="b">
        <v>1</v>
      </c>
      <c r="X1088" s="1" t="b">
        <v>0</v>
      </c>
      <c r="Y1088" s="1" t="b">
        <v>0</v>
      </c>
      <c r="Z1088" s="1" t="b">
        <v>0</v>
      </c>
      <c r="AA1088" s="1" t="s">
        <v>188</v>
      </c>
    </row>
    <row r="1089" spans="1:27" x14ac:dyDescent="0.25">
      <c r="A1089" s="1" t="s">
        <v>2616</v>
      </c>
      <c r="B1089" s="2" t="s">
        <v>2881</v>
      </c>
      <c r="C1089" s="2"/>
      <c r="D1089" s="6">
        <f t="shared" si="28"/>
        <v>0</v>
      </c>
      <c r="E1089" s="7">
        <f t="shared" si="29"/>
        <v>0</v>
      </c>
      <c r="F1089" s="8" t="b">
        <f>IF(D1089&lt;1,FALSE,ISERROR(MATCH(E1089,'Ontology and concepts per UC'!$A$2:$A$62,0)))</f>
        <v>0</v>
      </c>
      <c r="G1089" s="9" t="str">
        <f t="shared" si="30"/>
        <v/>
      </c>
      <c r="H1089" s="9" t="str">
        <f t="shared" si="31"/>
        <v/>
      </c>
      <c r="I1089" s="8" t="b">
        <f>IF(D1089&lt;2,FALSE,ISERROR(MATCH(H1089,'Ontology and concepts per UC'!$A$2:$A$62,0)))</f>
        <v>0</v>
      </c>
      <c r="J1089" s="9" t="str">
        <f t="shared" si="32"/>
        <v/>
      </c>
      <c r="K1089" s="8" t="b">
        <f>IF(D1089&lt;3,FALSE,ISERROR(MATCH(J1089,'Ontology and concepts per UC'!$A$2:$A$62,0)))</f>
        <v>0</v>
      </c>
      <c r="L1089" s="2"/>
      <c r="M1089" s="2"/>
      <c r="N1089" s="2"/>
      <c r="O1089" s="1" t="b">
        <v>1</v>
      </c>
      <c r="P1089" s="1">
        <v>0</v>
      </c>
      <c r="Q1089" s="1">
        <v>0</v>
      </c>
      <c r="R1089" s="1" t="b">
        <f t="shared" si="33"/>
        <v>0</v>
      </c>
      <c r="S1089" s="2" t="s">
        <v>187</v>
      </c>
      <c r="T1089" s="1" t="str">
        <f>IF(S1089="","",VLOOKUP(S1089,'Ontology and concepts per UC'!$F$2:$J$46,5,FALSE))</f>
        <v>Otros</v>
      </c>
      <c r="U1089" s="1" t="b">
        <f t="array" ref="U1089">(INDEX('Ontology and concepts per UC'!$G$2:$I$46,MATCH($S1089,'Ontology and concepts per UC'!$F$2:$F$46,0),MATCH(LEFT($A1089,3),'Ontology and concepts per UC'!$G$1:$I$1,0))=0)</f>
        <v>1</v>
      </c>
      <c r="V1089" s="1" t="b">
        <f t="shared" si="34"/>
        <v>1</v>
      </c>
      <c r="W1089" s="1" t="b">
        <v>1</v>
      </c>
      <c r="X1089" s="1" t="b">
        <v>0</v>
      </c>
      <c r="Y1089" s="1" t="b">
        <v>0</v>
      </c>
      <c r="Z1089" s="1" t="b">
        <v>0</v>
      </c>
      <c r="AA1089" s="1" t="s">
        <v>188</v>
      </c>
    </row>
    <row r="1090" spans="1:27" x14ac:dyDescent="0.25">
      <c r="A1090" s="1" t="s">
        <v>2616</v>
      </c>
      <c r="B1090" s="2" t="s">
        <v>2882</v>
      </c>
      <c r="C1090" s="2"/>
      <c r="D1090" s="6">
        <f t="shared" si="28"/>
        <v>0</v>
      </c>
      <c r="E1090" s="7">
        <f t="shared" si="29"/>
        <v>0</v>
      </c>
      <c r="F1090" s="8" t="b">
        <f>IF(D1090&lt;1,FALSE,ISERROR(MATCH(E1090,'Ontology and concepts per UC'!$A$2:$A$62,0)))</f>
        <v>0</v>
      </c>
      <c r="G1090" s="9" t="str">
        <f t="shared" si="30"/>
        <v/>
      </c>
      <c r="H1090" s="9" t="str">
        <f t="shared" si="31"/>
        <v/>
      </c>
      <c r="I1090" s="8" t="b">
        <f>IF(D1090&lt;2,FALSE,ISERROR(MATCH(H1090,'Ontology and concepts per UC'!$A$2:$A$62,0)))</f>
        <v>0</v>
      </c>
      <c r="J1090" s="9" t="str">
        <f t="shared" si="32"/>
        <v/>
      </c>
      <c r="K1090" s="8" t="b">
        <f>IF(D1090&lt;3,FALSE,ISERROR(MATCH(J1090,'Ontology and concepts per UC'!$A$2:$A$62,0)))</f>
        <v>0</v>
      </c>
      <c r="L1090" s="2"/>
      <c r="M1090" s="2"/>
      <c r="N1090" s="2"/>
      <c r="O1090" s="1" t="b">
        <v>1</v>
      </c>
      <c r="P1090" s="1">
        <v>0</v>
      </c>
      <c r="Q1090" s="1">
        <v>0</v>
      </c>
      <c r="R1090" s="1" t="b">
        <f t="shared" si="33"/>
        <v>0</v>
      </c>
      <c r="S1090" s="2" t="s">
        <v>187</v>
      </c>
      <c r="T1090" s="1" t="str">
        <f>IF(S1090="","",VLOOKUP(S1090,'Ontology and concepts per UC'!$F$2:$J$46,5,FALSE))</f>
        <v>Otros</v>
      </c>
      <c r="U1090" s="1" t="b">
        <f t="array" ref="U1090">(INDEX('Ontology and concepts per UC'!$G$2:$I$46,MATCH($S1090,'Ontology and concepts per UC'!$F$2:$F$46,0),MATCH(LEFT($A1090,3),'Ontology and concepts per UC'!$G$1:$I$1,0))=0)</f>
        <v>1</v>
      </c>
      <c r="V1090" s="1" t="b">
        <f t="shared" si="34"/>
        <v>1</v>
      </c>
      <c r="W1090" s="1" t="b">
        <v>1</v>
      </c>
      <c r="X1090" s="1" t="b">
        <v>0</v>
      </c>
      <c r="Y1090" s="1" t="b">
        <v>0</v>
      </c>
      <c r="Z1090" s="1" t="b">
        <v>0</v>
      </c>
      <c r="AA1090" s="1" t="s">
        <v>188</v>
      </c>
    </row>
    <row r="1091" spans="1:27" x14ac:dyDescent="0.25">
      <c r="A1091" s="1" t="s">
        <v>2616</v>
      </c>
      <c r="B1091" s="2" t="s">
        <v>2883</v>
      </c>
      <c r="C1091" s="2"/>
      <c r="D1091" s="6">
        <f t="shared" si="28"/>
        <v>0</v>
      </c>
      <c r="E1091" s="7">
        <f t="shared" si="29"/>
        <v>0</v>
      </c>
      <c r="F1091" s="8" t="b">
        <f>IF(D1091&lt;1,FALSE,ISERROR(MATCH(E1091,'Ontology and concepts per UC'!$A$2:$A$62,0)))</f>
        <v>0</v>
      </c>
      <c r="G1091" s="9" t="str">
        <f t="shared" si="30"/>
        <v/>
      </c>
      <c r="H1091" s="9" t="str">
        <f t="shared" si="31"/>
        <v/>
      </c>
      <c r="I1091" s="8" t="b">
        <f>IF(D1091&lt;2,FALSE,ISERROR(MATCH(H1091,'Ontology and concepts per UC'!$A$2:$A$62,0)))</f>
        <v>0</v>
      </c>
      <c r="J1091" s="9" t="str">
        <f t="shared" si="32"/>
        <v/>
      </c>
      <c r="K1091" s="8" t="b">
        <f>IF(D1091&lt;3,FALSE,ISERROR(MATCH(J1091,'Ontology and concepts per UC'!$A$2:$A$62,0)))</f>
        <v>0</v>
      </c>
      <c r="L1091" s="2"/>
      <c r="M1091" s="2"/>
      <c r="N1091" s="2"/>
      <c r="O1091" s="1" t="b">
        <v>1</v>
      </c>
      <c r="P1091" s="1">
        <v>0</v>
      </c>
      <c r="Q1091" s="1">
        <v>0</v>
      </c>
      <c r="R1091" s="1" t="b">
        <f t="shared" si="33"/>
        <v>0</v>
      </c>
      <c r="S1091" s="2" t="s">
        <v>29</v>
      </c>
      <c r="T1091" s="1" t="str">
        <f>IF(S1091="","",VLOOKUP(S1091,'Ontology and concepts per UC'!$F$2:$J$46,5,FALSE))</f>
        <v>Modelo Conceptual</v>
      </c>
      <c r="U1091" s="1" t="b">
        <f t="array" ref="U1091">(INDEX('Ontology and concepts per UC'!$G$2:$I$46,MATCH($S1091,'Ontology and concepts per UC'!$F$2:$F$46,0),MATCH(LEFT($A1091,3),'Ontology and concepts per UC'!$G$1:$I$1,0))=0)</f>
        <v>0</v>
      </c>
      <c r="V1091" s="1" t="b">
        <f t="shared" si="34"/>
        <v>1</v>
      </c>
      <c r="W1091" s="1" t="b">
        <v>1</v>
      </c>
      <c r="X1091" s="1" t="b">
        <v>0</v>
      </c>
      <c r="Y1091" s="1" t="b">
        <v>0</v>
      </c>
      <c r="Z1091" s="1" t="b">
        <v>0</v>
      </c>
      <c r="AA1091" s="1" t="s">
        <v>188</v>
      </c>
    </row>
    <row r="1092" spans="1:27" x14ac:dyDescent="0.25">
      <c r="A1092" s="1" t="s">
        <v>2616</v>
      </c>
      <c r="B1092" s="2" t="s">
        <v>2884</v>
      </c>
      <c r="C1092" s="2"/>
      <c r="D1092" s="6">
        <f t="shared" si="28"/>
        <v>0</v>
      </c>
      <c r="E1092" s="7">
        <f t="shared" si="29"/>
        <v>0</v>
      </c>
      <c r="F1092" s="8" t="b">
        <f>IF(D1092&lt;1,FALSE,ISERROR(MATCH(E1092,'Ontology and concepts per UC'!$A$2:$A$62,0)))</f>
        <v>0</v>
      </c>
      <c r="G1092" s="9" t="str">
        <f t="shared" si="30"/>
        <v/>
      </c>
      <c r="H1092" s="9" t="str">
        <f t="shared" si="31"/>
        <v/>
      </c>
      <c r="I1092" s="8" t="b">
        <f>IF(D1092&lt;2,FALSE,ISERROR(MATCH(H1092,'Ontology and concepts per UC'!$A$2:$A$62,0)))</f>
        <v>0</v>
      </c>
      <c r="J1092" s="9" t="str">
        <f t="shared" si="32"/>
        <v/>
      </c>
      <c r="K1092" s="8" t="b">
        <f>IF(D1092&lt;3,FALSE,ISERROR(MATCH(J1092,'Ontology and concepts per UC'!$A$2:$A$62,0)))</f>
        <v>0</v>
      </c>
      <c r="L1092" s="2"/>
      <c r="M1092" s="2"/>
      <c r="N1092" s="2"/>
      <c r="O1092" s="1" t="b">
        <v>1</v>
      </c>
      <c r="P1092" s="1">
        <v>0</v>
      </c>
      <c r="Q1092" s="1">
        <v>0</v>
      </c>
      <c r="R1092" s="1" t="b">
        <f t="shared" si="33"/>
        <v>0</v>
      </c>
      <c r="S1092" s="2" t="s">
        <v>107</v>
      </c>
      <c r="T1092" s="1" t="str">
        <f>IF(S1092="","",VLOOKUP(S1092,'Ontology and concepts per UC'!$F$2:$J$46,5,FALSE))</f>
        <v>Parcial</v>
      </c>
      <c r="U1092" s="1" t="b">
        <f t="array" ref="U1092">(INDEX('Ontology and concepts per UC'!$G$2:$I$46,MATCH($S1092,'Ontology and concepts per UC'!$F$2:$F$46,0),MATCH(LEFT($A1092,3),'Ontology and concepts per UC'!$G$1:$I$1,0))=0)</f>
        <v>0</v>
      </c>
      <c r="V1092" s="1" t="b">
        <f t="shared" si="34"/>
        <v>1</v>
      </c>
      <c r="W1092" s="1" t="b">
        <v>1</v>
      </c>
      <c r="X1092" s="1" t="b">
        <v>0</v>
      </c>
      <c r="Y1092" s="1" t="b">
        <v>0</v>
      </c>
      <c r="Z1092" s="1" t="b">
        <v>0</v>
      </c>
      <c r="AA1092" s="1" t="s">
        <v>188</v>
      </c>
    </row>
    <row r="1093" spans="1:27" x14ac:dyDescent="0.25">
      <c r="A1093" s="1" t="s">
        <v>2616</v>
      </c>
      <c r="B1093" s="2" t="s">
        <v>2885</v>
      </c>
      <c r="C1093" s="2"/>
      <c r="D1093" s="6">
        <f t="shared" si="28"/>
        <v>0</v>
      </c>
      <c r="E1093" s="7">
        <f t="shared" si="29"/>
        <v>0</v>
      </c>
      <c r="F1093" s="8" t="b">
        <f>IF(D1093&lt;1,FALSE,ISERROR(MATCH(E1093,'Ontology and concepts per UC'!$A$2:$A$62,0)))</f>
        <v>0</v>
      </c>
      <c r="G1093" s="9" t="str">
        <f t="shared" si="30"/>
        <v/>
      </c>
      <c r="H1093" s="9" t="str">
        <f t="shared" si="31"/>
        <v/>
      </c>
      <c r="I1093" s="8" t="b">
        <f>IF(D1093&lt;2,FALSE,ISERROR(MATCH(H1093,'Ontology and concepts per UC'!$A$2:$A$62,0)))</f>
        <v>0</v>
      </c>
      <c r="J1093" s="9" t="str">
        <f t="shared" si="32"/>
        <v/>
      </c>
      <c r="K1093" s="8" t="b">
        <f>IF(D1093&lt;3,FALSE,ISERROR(MATCH(J1093,'Ontology and concepts per UC'!$A$2:$A$62,0)))</f>
        <v>0</v>
      </c>
      <c r="L1093" s="2"/>
      <c r="M1093" s="2"/>
      <c r="N1093" s="2"/>
      <c r="O1093" s="1" t="b">
        <v>1</v>
      </c>
      <c r="P1093" s="1">
        <v>0</v>
      </c>
      <c r="Q1093" s="1">
        <v>0</v>
      </c>
      <c r="R1093" s="1" t="b">
        <f t="shared" si="33"/>
        <v>0</v>
      </c>
      <c r="S1093" s="2" t="s">
        <v>10</v>
      </c>
      <c r="T1093" s="1" t="str">
        <f>IF(S1093="","",VLOOKUP(S1093,'Ontology and concepts per UC'!$F$2:$J$46,5,FALSE))</f>
        <v>Coste</v>
      </c>
      <c r="U1093" s="1" t="b">
        <f t="array" ref="U1093">(INDEX('Ontology and concepts per UC'!$G$2:$I$46,MATCH($S1093,'Ontology and concepts per UC'!$F$2:$F$46,0),MATCH(LEFT($A1093,3),'Ontology and concepts per UC'!$G$1:$I$1,0))=0)</f>
        <v>0</v>
      </c>
      <c r="V1093" s="1" t="b">
        <f t="shared" si="34"/>
        <v>1</v>
      </c>
      <c r="W1093" s="1" t="b">
        <v>1</v>
      </c>
      <c r="X1093" s="1" t="b">
        <v>0</v>
      </c>
      <c r="Y1093" s="1" t="b">
        <v>0</v>
      </c>
      <c r="Z1093" s="1" t="b">
        <v>0</v>
      </c>
      <c r="AA1093" s="1" t="s">
        <v>188</v>
      </c>
    </row>
    <row r="1094" spans="1:27" x14ac:dyDescent="0.25">
      <c r="A1094" s="1" t="s">
        <v>2886</v>
      </c>
      <c r="B1094" s="2" t="s">
        <v>2887</v>
      </c>
      <c r="C1094" s="2" t="s">
        <v>192</v>
      </c>
      <c r="D1094" s="6">
        <f t="shared" si="28"/>
        <v>1</v>
      </c>
      <c r="E1094" s="7" t="str">
        <f t="shared" si="29"/>
        <v>AcuteManifestation</v>
      </c>
      <c r="F1094" s="8" t="b">
        <f>IF(D1094&lt;1,FALSE,ISERROR(MATCH(E1094,'Ontology and concepts per UC'!$A$2:$A$62,0)))</f>
        <v>0</v>
      </c>
      <c r="G1094" s="9" t="str">
        <f t="shared" si="30"/>
        <v/>
      </c>
      <c r="H1094" s="9" t="str">
        <f t="shared" si="31"/>
        <v/>
      </c>
      <c r="I1094" s="8" t="b">
        <f>IF(D1094&lt;2,FALSE,ISERROR(MATCH(H1094,'Ontology and concepts per UC'!$A$2:$A$62,0)))</f>
        <v>0</v>
      </c>
      <c r="J1094" s="9" t="str">
        <f t="shared" si="32"/>
        <v/>
      </c>
      <c r="K1094" s="8" t="b">
        <f>IF(D1094&lt;3,FALSE,ISERROR(MATCH(J1094,'Ontology and concepts per UC'!$A$2:$A$62,0)))</f>
        <v>0</v>
      </c>
      <c r="L1094" s="2"/>
      <c r="M1094" s="2" t="s">
        <v>2888</v>
      </c>
      <c r="N1094" s="2"/>
      <c r="O1094" s="1" t="b">
        <v>0</v>
      </c>
      <c r="P1094" s="1">
        <v>0</v>
      </c>
      <c r="Q1094" s="1">
        <v>0</v>
      </c>
      <c r="R1094" s="1" t="b">
        <f t="shared" si="33"/>
        <v>0</v>
      </c>
      <c r="S1094" s="2" t="s">
        <v>30</v>
      </c>
      <c r="T1094" s="1" t="str">
        <f>IF(S1094="","",VLOOKUP(S1094,'Ontology and concepts per UC'!$F$2:$J$46,5,FALSE))</f>
        <v>Modelo Conceptual</v>
      </c>
      <c r="U1094" s="1" t="b">
        <f t="array" ref="U1094">(INDEX('Ontology and concepts per UC'!$G$2:$I$46,MATCH($S1094,'Ontology and concepts per UC'!$F$2:$F$46,0),MATCH(LEFT($A1094,3),'Ontology and concepts per UC'!$G$1:$I$1,0))=0)</f>
        <v>0</v>
      </c>
      <c r="V1094" s="1" t="b">
        <f t="shared" si="34"/>
        <v>0</v>
      </c>
      <c r="W1094" s="1" t="b">
        <v>0</v>
      </c>
      <c r="X1094" s="1" t="b">
        <v>0</v>
      </c>
      <c r="Y1094" s="1" t="b">
        <v>0</v>
      </c>
      <c r="Z1094" s="1" t="b">
        <v>0</v>
      </c>
      <c r="AA1094" s="1"/>
    </row>
    <row r="1095" spans="1:27" x14ac:dyDescent="0.25">
      <c r="A1095" s="1" t="s">
        <v>2886</v>
      </c>
      <c r="B1095" s="2" t="s">
        <v>2889</v>
      </c>
      <c r="C1095" s="2" t="s">
        <v>192</v>
      </c>
      <c r="D1095" s="6">
        <f t="shared" si="28"/>
        <v>1</v>
      </c>
      <c r="E1095" s="7" t="str">
        <f t="shared" si="29"/>
        <v>AcuteManifestation</v>
      </c>
      <c r="F1095" s="8" t="b">
        <f>IF(D1095&lt;1,FALSE,ISERROR(MATCH(E1095,'Ontology and concepts per UC'!$A$2:$A$62,0)))</f>
        <v>0</v>
      </c>
      <c r="G1095" s="9" t="str">
        <f t="shared" si="30"/>
        <v/>
      </c>
      <c r="H1095" s="9" t="str">
        <f t="shared" si="31"/>
        <v/>
      </c>
      <c r="I1095" s="8" t="b">
        <f>IF(D1095&lt;2,FALSE,ISERROR(MATCH(H1095,'Ontology and concepts per UC'!$A$2:$A$62,0)))</f>
        <v>0</v>
      </c>
      <c r="J1095" s="9" t="str">
        <f t="shared" si="32"/>
        <v/>
      </c>
      <c r="K1095" s="8" t="b">
        <f>IF(D1095&lt;3,FALSE,ISERROR(MATCH(J1095,'Ontology and concepts per UC'!$A$2:$A$62,0)))</f>
        <v>0</v>
      </c>
      <c r="L1095" s="2"/>
      <c r="M1095" s="2" t="s">
        <v>2890</v>
      </c>
      <c r="N1095" s="2"/>
      <c r="O1095" s="1" t="b">
        <v>0</v>
      </c>
      <c r="P1095" s="1">
        <v>0</v>
      </c>
      <c r="Q1095" s="1">
        <v>0</v>
      </c>
      <c r="R1095" s="1" t="b">
        <f t="shared" si="33"/>
        <v>0</v>
      </c>
      <c r="S1095" s="2" t="s">
        <v>28</v>
      </c>
      <c r="T1095" s="1" t="str">
        <f>IF(S1095="","",VLOOKUP(S1095,'Ontology and concepts per UC'!$F$2:$J$46,5,FALSE))</f>
        <v>Modelo Conceptual</v>
      </c>
      <c r="U1095" s="1" t="b">
        <f t="array" ref="U1095">(INDEX('Ontology and concepts per UC'!$G$2:$I$46,MATCH($S1095,'Ontology and concepts per UC'!$F$2:$F$46,0),MATCH(LEFT($A1095,3),'Ontology and concepts per UC'!$G$1:$I$1,0))=0)</f>
        <v>0</v>
      </c>
      <c r="V1095" s="1" t="b">
        <f t="shared" si="34"/>
        <v>0</v>
      </c>
      <c r="W1095" s="1" t="b">
        <v>0</v>
      </c>
      <c r="X1095" s="1" t="b">
        <v>0</v>
      </c>
      <c r="Y1095" s="1" t="b">
        <v>0</v>
      </c>
      <c r="Z1095" s="1" t="b">
        <v>0</v>
      </c>
      <c r="AA1095" s="1"/>
    </row>
    <row r="1096" spans="1:27" x14ac:dyDescent="0.25">
      <c r="A1096" s="1" t="s">
        <v>2886</v>
      </c>
      <c r="B1096" s="2" t="s">
        <v>2891</v>
      </c>
      <c r="C1096" s="2" t="s">
        <v>192</v>
      </c>
      <c r="D1096" s="6">
        <f t="shared" si="28"/>
        <v>1</v>
      </c>
      <c r="E1096" s="7" t="str">
        <f t="shared" si="29"/>
        <v>AcuteManifestation</v>
      </c>
      <c r="F1096" s="8" t="b">
        <f>IF(D1096&lt;1,FALSE,ISERROR(MATCH(E1096,'Ontology and concepts per UC'!$A$2:$A$62,0)))</f>
        <v>0</v>
      </c>
      <c r="G1096" s="9" t="str">
        <f t="shared" si="30"/>
        <v/>
      </c>
      <c r="H1096" s="9" t="str">
        <f t="shared" si="31"/>
        <v/>
      </c>
      <c r="I1096" s="8" t="b">
        <f>IF(D1096&lt;2,FALSE,ISERROR(MATCH(H1096,'Ontology and concepts per UC'!$A$2:$A$62,0)))</f>
        <v>0</v>
      </c>
      <c r="J1096" s="9" t="str">
        <f t="shared" si="32"/>
        <v/>
      </c>
      <c r="K1096" s="8" t="b">
        <f>IF(D1096&lt;3,FALSE,ISERROR(MATCH(J1096,'Ontology and concepts per UC'!$A$2:$A$62,0)))</f>
        <v>0</v>
      </c>
      <c r="L1096" s="2"/>
      <c r="M1096" s="2" t="s">
        <v>2892</v>
      </c>
      <c r="N1096" s="2"/>
      <c r="O1096" s="1" t="b">
        <v>0</v>
      </c>
      <c r="P1096" s="1">
        <v>0</v>
      </c>
      <c r="Q1096" s="1">
        <v>0</v>
      </c>
      <c r="R1096" s="1" t="b">
        <f t="shared" si="33"/>
        <v>0</v>
      </c>
      <c r="S1096" s="2" t="s">
        <v>31</v>
      </c>
      <c r="T1096" s="1" t="str">
        <f>IF(S1096="","",VLOOKUP(S1096,'Ontology and concepts per UC'!$F$2:$J$46,5,FALSE))</f>
        <v>Modelo Conceptual</v>
      </c>
      <c r="U1096" s="1" t="b">
        <f t="array" ref="U1096">(INDEX('Ontology and concepts per UC'!$G$2:$I$46,MATCH($S1096,'Ontology and concepts per UC'!$F$2:$F$46,0),MATCH(LEFT($A1096,3),'Ontology and concepts per UC'!$G$1:$I$1,0))=0)</f>
        <v>0</v>
      </c>
      <c r="V1096" s="1" t="b">
        <f t="shared" si="34"/>
        <v>0</v>
      </c>
      <c r="W1096" s="1" t="b">
        <v>0</v>
      </c>
      <c r="X1096" s="1" t="b">
        <v>0</v>
      </c>
      <c r="Y1096" s="1" t="b">
        <v>0</v>
      </c>
      <c r="Z1096" s="1" t="b">
        <v>0</v>
      </c>
      <c r="AA1096" s="1"/>
    </row>
    <row r="1097" spans="1:27" x14ac:dyDescent="0.25">
      <c r="A1097" s="1" t="s">
        <v>2886</v>
      </c>
      <c r="B1097" s="2" t="s">
        <v>2893</v>
      </c>
      <c r="C1097" s="2" t="s">
        <v>27</v>
      </c>
      <c r="D1097" s="6">
        <f t="shared" si="28"/>
        <v>1</v>
      </c>
      <c r="E1097" s="7" t="str">
        <f t="shared" si="29"/>
        <v>ChronicManifestation</v>
      </c>
      <c r="F1097" s="8" t="b">
        <f>IF(D1097&lt;1,FALSE,ISERROR(MATCH(E1097,'Ontology and concepts per UC'!$A$2:$A$62,0)))</f>
        <v>0</v>
      </c>
      <c r="G1097" s="9" t="str">
        <f t="shared" si="30"/>
        <v/>
      </c>
      <c r="H1097" s="9" t="str">
        <f t="shared" si="31"/>
        <v/>
      </c>
      <c r="I1097" s="8" t="b">
        <f>IF(D1097&lt;2,FALSE,ISERROR(MATCH(H1097,'Ontology and concepts per UC'!$A$2:$A$62,0)))</f>
        <v>0</v>
      </c>
      <c r="J1097" s="9" t="str">
        <f t="shared" si="32"/>
        <v/>
      </c>
      <c r="K1097" s="8" t="b">
        <f>IF(D1097&lt;3,FALSE,ISERROR(MATCH(J1097,'Ontology and concepts per UC'!$A$2:$A$62,0)))</f>
        <v>0</v>
      </c>
      <c r="L1097" s="2"/>
      <c r="M1097" s="2" t="s">
        <v>2894</v>
      </c>
      <c r="N1097" s="2"/>
      <c r="O1097" s="1" t="b">
        <v>0</v>
      </c>
      <c r="P1097" s="1">
        <v>0</v>
      </c>
      <c r="Q1097" s="1">
        <v>0</v>
      </c>
      <c r="R1097" s="1" t="b">
        <f t="shared" si="33"/>
        <v>0</v>
      </c>
      <c r="S1097" s="2" t="s">
        <v>26</v>
      </c>
      <c r="T1097" s="1" t="str">
        <f>IF(S1097="","",VLOOKUP(S1097,'Ontology and concepts per UC'!$F$2:$J$46,5,FALSE))</f>
        <v>Modelo Conceptual</v>
      </c>
      <c r="U1097" s="1" t="b">
        <f t="array" ref="U1097">(INDEX('Ontology and concepts per UC'!$G$2:$I$46,MATCH($S1097,'Ontology and concepts per UC'!$F$2:$F$46,0),MATCH(LEFT($A1097,3),'Ontology and concepts per UC'!$G$1:$I$1,0))=0)</f>
        <v>0</v>
      </c>
      <c r="V1097" s="1" t="b">
        <f t="shared" si="34"/>
        <v>0</v>
      </c>
      <c r="W1097" s="1" t="b">
        <v>0</v>
      </c>
      <c r="X1097" s="1" t="b">
        <v>0</v>
      </c>
      <c r="Y1097" s="1" t="b">
        <v>0</v>
      </c>
      <c r="Z1097" s="1" t="b">
        <v>0</v>
      </c>
      <c r="AA1097" s="1"/>
    </row>
    <row r="1098" spans="1:27" x14ac:dyDescent="0.25">
      <c r="A1098" s="1" t="s">
        <v>2886</v>
      </c>
      <c r="B1098" s="2" t="s">
        <v>2895</v>
      </c>
      <c r="C1098" s="2" t="s">
        <v>27</v>
      </c>
      <c r="D1098" s="6">
        <f t="shared" si="28"/>
        <v>1</v>
      </c>
      <c r="E1098" s="7" t="str">
        <f t="shared" si="29"/>
        <v>ChronicManifestation</v>
      </c>
      <c r="F1098" s="8" t="b">
        <f>IF(D1098&lt;1,FALSE,ISERROR(MATCH(E1098,'Ontology and concepts per UC'!$A$2:$A$62,0)))</f>
        <v>0</v>
      </c>
      <c r="G1098" s="9" t="str">
        <f t="shared" si="30"/>
        <v/>
      </c>
      <c r="H1098" s="9" t="str">
        <f t="shared" si="31"/>
        <v/>
      </c>
      <c r="I1098" s="8" t="b">
        <f>IF(D1098&lt;2,FALSE,ISERROR(MATCH(H1098,'Ontology and concepts per UC'!$A$2:$A$62,0)))</f>
        <v>0</v>
      </c>
      <c r="J1098" s="9" t="str">
        <f t="shared" si="32"/>
        <v/>
      </c>
      <c r="K1098" s="8" t="b">
        <f>IF(D1098&lt;3,FALSE,ISERROR(MATCH(J1098,'Ontology and concepts per UC'!$A$2:$A$62,0)))</f>
        <v>0</v>
      </c>
      <c r="L1098" s="2"/>
      <c r="M1098" s="2" t="s">
        <v>2896</v>
      </c>
      <c r="N1098" s="2"/>
      <c r="O1098" s="1" t="b">
        <v>0</v>
      </c>
      <c r="P1098" s="1">
        <v>0</v>
      </c>
      <c r="Q1098" s="1">
        <v>0</v>
      </c>
      <c r="R1098" s="1" t="b">
        <f t="shared" si="33"/>
        <v>0</v>
      </c>
      <c r="S1098" s="2" t="s">
        <v>29</v>
      </c>
      <c r="T1098" s="1" t="str">
        <f>IF(S1098="","",VLOOKUP(S1098,'Ontology and concepts per UC'!$F$2:$J$46,5,FALSE))</f>
        <v>Modelo Conceptual</v>
      </c>
      <c r="U1098" s="1" t="b">
        <f t="array" ref="U1098">(INDEX('Ontology and concepts per UC'!$G$2:$I$46,MATCH($S1098,'Ontology and concepts per UC'!$F$2:$F$46,0),MATCH(LEFT($A1098,3),'Ontology and concepts per UC'!$G$1:$I$1,0))=0)</f>
        <v>0</v>
      </c>
      <c r="V1098" s="1" t="b">
        <f t="shared" si="34"/>
        <v>0</v>
      </c>
      <c r="W1098" s="1" t="b">
        <v>0</v>
      </c>
      <c r="X1098" s="1" t="b">
        <v>0</v>
      </c>
      <c r="Y1098" s="1" t="b">
        <v>0</v>
      </c>
      <c r="Z1098" s="1" t="b">
        <v>0</v>
      </c>
      <c r="AA1098" s="1"/>
    </row>
    <row r="1099" spans="1:27" x14ac:dyDescent="0.25">
      <c r="A1099" s="1" t="s">
        <v>2886</v>
      </c>
      <c r="B1099" s="2" t="s">
        <v>2897</v>
      </c>
      <c r="C1099" s="2" t="s">
        <v>27</v>
      </c>
      <c r="D1099" s="6">
        <f t="shared" si="28"/>
        <v>1</v>
      </c>
      <c r="E1099" s="7" t="str">
        <f t="shared" si="29"/>
        <v>ChronicManifestation</v>
      </c>
      <c r="F1099" s="8" t="b">
        <f>IF(D1099&lt;1,FALSE,ISERROR(MATCH(E1099,'Ontology and concepts per UC'!$A$2:$A$62,0)))</f>
        <v>0</v>
      </c>
      <c r="G1099" s="9" t="str">
        <f t="shared" si="30"/>
        <v/>
      </c>
      <c r="H1099" s="9" t="str">
        <f t="shared" si="31"/>
        <v/>
      </c>
      <c r="I1099" s="8" t="b">
        <f>IF(D1099&lt;2,FALSE,ISERROR(MATCH(H1099,'Ontology and concepts per UC'!$A$2:$A$62,0)))</f>
        <v>0</v>
      </c>
      <c r="J1099" s="9" t="str">
        <f t="shared" si="32"/>
        <v/>
      </c>
      <c r="K1099" s="8" t="b">
        <f>IF(D1099&lt;3,FALSE,ISERROR(MATCH(J1099,'Ontology and concepts per UC'!$A$2:$A$62,0)))</f>
        <v>0</v>
      </c>
      <c r="L1099" s="2"/>
      <c r="M1099" s="2" t="s">
        <v>2898</v>
      </c>
      <c r="N1099" s="2"/>
      <c r="O1099" s="1" t="b">
        <v>0</v>
      </c>
      <c r="P1099" s="1">
        <v>0</v>
      </c>
      <c r="Q1099" s="1">
        <v>0</v>
      </c>
      <c r="R1099" s="1" t="b">
        <f t="shared" si="33"/>
        <v>0</v>
      </c>
      <c r="S1099" s="2" t="s">
        <v>32</v>
      </c>
      <c r="T1099" s="1" t="str">
        <f>IF(S1099="","",VLOOKUP(S1099,'Ontology and concepts per UC'!$F$2:$J$46,5,FALSE))</f>
        <v>Modelo Conceptual</v>
      </c>
      <c r="U1099" s="1" t="b">
        <f t="array" ref="U1099">(INDEX('Ontology and concepts per UC'!$G$2:$I$46,MATCH($S1099,'Ontology and concepts per UC'!$F$2:$F$46,0),MATCH(LEFT($A1099,3),'Ontology and concepts per UC'!$G$1:$I$1,0))=0)</f>
        <v>0</v>
      </c>
      <c r="V1099" s="1" t="b">
        <f t="shared" si="34"/>
        <v>0</v>
      </c>
      <c r="W1099" s="1" t="b">
        <v>0</v>
      </c>
      <c r="X1099" s="1" t="b">
        <v>0</v>
      </c>
      <c r="Y1099" s="1" t="b">
        <v>0</v>
      </c>
      <c r="Z1099" s="1" t="b">
        <v>0</v>
      </c>
      <c r="AA1099" s="1"/>
    </row>
    <row r="1100" spans="1:27" x14ac:dyDescent="0.25">
      <c r="A1100" s="1" t="s">
        <v>2886</v>
      </c>
      <c r="B1100" s="2" t="s">
        <v>2899</v>
      </c>
      <c r="C1100" s="2" t="s">
        <v>201</v>
      </c>
      <c r="D1100" s="6">
        <f t="shared" si="28"/>
        <v>1</v>
      </c>
      <c r="E1100" s="7" t="str">
        <f t="shared" si="29"/>
        <v>DeterministicParameter</v>
      </c>
      <c r="F1100" s="8" t="b">
        <f>IF(D1100&lt;1,FALSE,ISERROR(MATCH(E1100,'Ontology and concepts per UC'!$A$2:$A$62,0)))</f>
        <v>0</v>
      </c>
      <c r="G1100" s="9" t="str">
        <f t="shared" si="30"/>
        <v/>
      </c>
      <c r="H1100" s="9" t="str">
        <f t="shared" si="31"/>
        <v/>
      </c>
      <c r="I1100" s="8" t="b">
        <f>IF(D1100&lt;2,FALSE,ISERROR(MATCH(H1100,'Ontology and concepts per UC'!$A$2:$A$62,0)))</f>
        <v>0</v>
      </c>
      <c r="J1100" s="9" t="str">
        <f t="shared" si="32"/>
        <v/>
      </c>
      <c r="K1100" s="8" t="b">
        <f>IF(D1100&lt;3,FALSE,ISERROR(MATCH(J1100,'Ontology and concepts per UC'!$A$2:$A$62,0)))</f>
        <v>0</v>
      </c>
      <c r="L1100" s="2"/>
      <c r="M1100" s="2" t="s">
        <v>2900</v>
      </c>
      <c r="N1100" s="2"/>
      <c r="O1100" s="1" t="b">
        <v>0</v>
      </c>
      <c r="P1100" s="1">
        <v>0</v>
      </c>
      <c r="Q1100" s="1">
        <v>0</v>
      </c>
      <c r="R1100" s="1" t="b">
        <f t="shared" si="33"/>
        <v>0</v>
      </c>
      <c r="S1100" s="2" t="s">
        <v>107</v>
      </c>
      <c r="T1100" s="1" t="str">
        <f>IF(S1100="","",VLOOKUP(S1100,'Ontology and concepts per UC'!$F$2:$J$46,5,FALSE))</f>
        <v>Parcial</v>
      </c>
      <c r="U1100" s="1" t="b">
        <f t="array" ref="U1100">(INDEX('Ontology and concepts per UC'!$G$2:$I$46,MATCH($S1100,'Ontology and concepts per UC'!$F$2:$F$46,0),MATCH(LEFT($A1100,3),'Ontology and concepts per UC'!$G$1:$I$1,0))=0)</f>
        <v>0</v>
      </c>
      <c r="V1100" s="1" t="b">
        <f t="shared" si="34"/>
        <v>0</v>
      </c>
      <c r="W1100" s="1" t="b">
        <v>0</v>
      </c>
      <c r="X1100" s="1" t="b">
        <v>0</v>
      </c>
      <c r="Y1100" s="1" t="b">
        <v>0</v>
      </c>
      <c r="Z1100" s="1" t="b">
        <v>0</v>
      </c>
      <c r="AA1100" s="1"/>
    </row>
    <row r="1101" spans="1:27" x14ac:dyDescent="0.25">
      <c r="A1101" s="1" t="s">
        <v>2886</v>
      </c>
      <c r="B1101" s="2" t="s">
        <v>2901</v>
      </c>
      <c r="C1101" s="2" t="s">
        <v>201</v>
      </c>
      <c r="D1101" s="6">
        <f t="shared" si="28"/>
        <v>1</v>
      </c>
      <c r="E1101" s="7" t="str">
        <f t="shared" si="29"/>
        <v>DeterministicParameter</v>
      </c>
      <c r="F1101" s="8" t="b">
        <f>IF(D1101&lt;1,FALSE,ISERROR(MATCH(E1101,'Ontology and concepts per UC'!$A$2:$A$62,0)))</f>
        <v>0</v>
      </c>
      <c r="G1101" s="9" t="str">
        <f t="shared" si="30"/>
        <v/>
      </c>
      <c r="H1101" s="9" t="str">
        <f t="shared" si="31"/>
        <v/>
      </c>
      <c r="I1101" s="8" t="b">
        <f>IF(D1101&lt;2,FALSE,ISERROR(MATCH(H1101,'Ontology and concepts per UC'!$A$2:$A$62,0)))</f>
        <v>0</v>
      </c>
      <c r="J1101" s="9" t="str">
        <f t="shared" si="32"/>
        <v/>
      </c>
      <c r="K1101" s="8" t="b">
        <f>IF(D1101&lt;3,FALSE,ISERROR(MATCH(J1101,'Ontology and concepts per UC'!$A$2:$A$62,0)))</f>
        <v>0</v>
      </c>
      <c r="L1101" s="2"/>
      <c r="M1101" s="2" t="s">
        <v>2902</v>
      </c>
      <c r="N1101" s="2"/>
      <c r="O1101" s="1" t="b">
        <v>0</v>
      </c>
      <c r="P1101" s="1">
        <v>0</v>
      </c>
      <c r="Q1101" s="1">
        <v>0</v>
      </c>
      <c r="R1101" s="1" t="b">
        <f t="shared" si="33"/>
        <v>0</v>
      </c>
      <c r="S1101" s="2" t="s">
        <v>107</v>
      </c>
      <c r="T1101" s="1" t="str">
        <f>IF(S1101="","",VLOOKUP(S1101,'Ontology and concepts per UC'!$F$2:$J$46,5,FALSE))</f>
        <v>Parcial</v>
      </c>
      <c r="U1101" s="1" t="b">
        <f t="array" ref="U1101">(INDEX('Ontology and concepts per UC'!$G$2:$I$46,MATCH($S1101,'Ontology and concepts per UC'!$F$2:$F$46,0),MATCH(LEFT($A1101,3),'Ontology and concepts per UC'!$G$1:$I$1,0))=0)</f>
        <v>0</v>
      </c>
      <c r="V1101" s="1" t="b">
        <f t="shared" si="34"/>
        <v>0</v>
      </c>
      <c r="W1101" s="1" t="b">
        <v>0</v>
      </c>
      <c r="X1101" s="1" t="b">
        <v>0</v>
      </c>
      <c r="Y1101" s="1" t="b">
        <v>0</v>
      </c>
      <c r="Z1101" s="1" t="b">
        <v>0</v>
      </c>
      <c r="AA1101" s="1"/>
    </row>
    <row r="1102" spans="1:27" x14ac:dyDescent="0.25">
      <c r="A1102" s="1" t="s">
        <v>2886</v>
      </c>
      <c r="B1102" s="2" t="s">
        <v>2903</v>
      </c>
      <c r="C1102" s="2" t="s">
        <v>201</v>
      </c>
      <c r="D1102" s="6">
        <f t="shared" si="28"/>
        <v>1</v>
      </c>
      <c r="E1102" s="7" t="str">
        <f t="shared" si="29"/>
        <v>DeterministicParameter</v>
      </c>
      <c r="F1102" s="8" t="b">
        <f>IF(D1102&lt;1,FALSE,ISERROR(MATCH(E1102,'Ontology and concepts per UC'!$A$2:$A$62,0)))</f>
        <v>0</v>
      </c>
      <c r="G1102" s="9" t="str">
        <f t="shared" si="30"/>
        <v/>
      </c>
      <c r="H1102" s="9" t="str">
        <f t="shared" si="31"/>
        <v/>
      </c>
      <c r="I1102" s="8" t="b">
        <f>IF(D1102&lt;2,FALSE,ISERROR(MATCH(H1102,'Ontology and concepts per UC'!$A$2:$A$62,0)))</f>
        <v>0</v>
      </c>
      <c r="J1102" s="9" t="str">
        <f t="shared" si="32"/>
        <v/>
      </c>
      <c r="K1102" s="8" t="b">
        <f>IF(D1102&lt;3,FALSE,ISERROR(MATCH(J1102,'Ontology and concepts per UC'!$A$2:$A$62,0)))</f>
        <v>0</v>
      </c>
      <c r="L1102" s="2"/>
      <c r="M1102" s="2" t="s">
        <v>2904</v>
      </c>
      <c r="N1102" s="2"/>
      <c r="O1102" s="1" t="b">
        <v>0</v>
      </c>
      <c r="P1102" s="1">
        <v>0</v>
      </c>
      <c r="Q1102" s="1">
        <v>0</v>
      </c>
      <c r="R1102" s="1" t="b">
        <f t="shared" si="33"/>
        <v>0</v>
      </c>
      <c r="S1102" s="2" t="s">
        <v>107</v>
      </c>
      <c r="T1102" s="1" t="str">
        <f>IF(S1102="","",VLOOKUP(S1102,'Ontology and concepts per UC'!$F$2:$J$46,5,FALSE))</f>
        <v>Parcial</v>
      </c>
      <c r="U1102" s="1" t="b">
        <f t="array" ref="U1102">(INDEX('Ontology and concepts per UC'!$G$2:$I$46,MATCH($S1102,'Ontology and concepts per UC'!$F$2:$F$46,0),MATCH(LEFT($A1102,3),'Ontology and concepts per UC'!$G$1:$I$1,0))=0)</f>
        <v>0</v>
      </c>
      <c r="V1102" s="1" t="b">
        <f t="shared" si="34"/>
        <v>0</v>
      </c>
      <c r="W1102" s="1" t="b">
        <v>0</v>
      </c>
      <c r="X1102" s="1" t="b">
        <v>0</v>
      </c>
      <c r="Y1102" s="1" t="b">
        <v>0</v>
      </c>
      <c r="Z1102" s="1" t="b">
        <v>0</v>
      </c>
      <c r="AA1102" s="1"/>
    </row>
    <row r="1103" spans="1:27" x14ac:dyDescent="0.25">
      <c r="A1103" s="1" t="s">
        <v>2886</v>
      </c>
      <c r="B1103" s="2" t="s">
        <v>2905</v>
      </c>
      <c r="C1103" s="2" t="s">
        <v>201</v>
      </c>
      <c r="D1103" s="6">
        <f t="shared" si="28"/>
        <v>1</v>
      </c>
      <c r="E1103" s="7" t="str">
        <f t="shared" si="29"/>
        <v>DeterministicParameter</v>
      </c>
      <c r="F1103" s="8" t="b">
        <f>IF(D1103&lt;1,FALSE,ISERROR(MATCH(E1103,'Ontology and concepts per UC'!$A$2:$A$62,0)))</f>
        <v>0</v>
      </c>
      <c r="G1103" s="9" t="str">
        <f t="shared" si="30"/>
        <v/>
      </c>
      <c r="H1103" s="9" t="str">
        <f t="shared" si="31"/>
        <v/>
      </c>
      <c r="I1103" s="8" t="b">
        <f>IF(D1103&lt;2,FALSE,ISERROR(MATCH(H1103,'Ontology and concepts per UC'!$A$2:$A$62,0)))</f>
        <v>0</v>
      </c>
      <c r="J1103" s="9" t="str">
        <f t="shared" si="32"/>
        <v/>
      </c>
      <c r="K1103" s="8" t="b">
        <f>IF(D1103&lt;3,FALSE,ISERROR(MATCH(J1103,'Ontology and concepts per UC'!$A$2:$A$62,0)))</f>
        <v>0</v>
      </c>
      <c r="L1103" s="2"/>
      <c r="M1103" s="2" t="s">
        <v>2906</v>
      </c>
      <c r="N1103" s="2"/>
      <c r="O1103" s="1" t="b">
        <v>0</v>
      </c>
      <c r="P1103" s="1">
        <v>0</v>
      </c>
      <c r="Q1103" s="1">
        <v>0</v>
      </c>
      <c r="R1103" s="1" t="b">
        <f t="shared" si="33"/>
        <v>0</v>
      </c>
      <c r="S1103" s="2" t="s">
        <v>107</v>
      </c>
      <c r="T1103" s="1" t="str">
        <f>IF(S1103="","",VLOOKUP(S1103,'Ontology and concepts per UC'!$F$2:$J$46,5,FALSE))</f>
        <v>Parcial</v>
      </c>
      <c r="U1103" s="1" t="b">
        <f t="array" ref="U1103">(INDEX('Ontology and concepts per UC'!$G$2:$I$46,MATCH($S1103,'Ontology and concepts per UC'!$F$2:$F$46,0),MATCH(LEFT($A1103,3),'Ontology and concepts per UC'!$G$1:$I$1,0))=0)</f>
        <v>0</v>
      </c>
      <c r="V1103" s="1" t="b">
        <f t="shared" si="34"/>
        <v>0</v>
      </c>
      <c r="W1103" s="1" t="b">
        <v>0</v>
      </c>
      <c r="X1103" s="1" t="b">
        <v>0</v>
      </c>
      <c r="Y1103" s="1" t="b">
        <v>0</v>
      </c>
      <c r="Z1103" s="1" t="b">
        <v>0</v>
      </c>
      <c r="AA1103" s="1"/>
    </row>
    <row r="1104" spans="1:27" x14ac:dyDescent="0.25">
      <c r="A1104" s="1" t="s">
        <v>2886</v>
      </c>
      <c r="B1104" s="2" t="s">
        <v>2907</v>
      </c>
      <c r="C1104" s="2" t="s">
        <v>201</v>
      </c>
      <c r="D1104" s="6">
        <f t="shared" si="28"/>
        <v>1</v>
      </c>
      <c r="E1104" s="7" t="str">
        <f t="shared" si="29"/>
        <v>DeterministicParameter</v>
      </c>
      <c r="F1104" s="8" t="b">
        <f>IF(D1104&lt;1,FALSE,ISERROR(MATCH(E1104,'Ontology and concepts per UC'!$A$2:$A$62,0)))</f>
        <v>0</v>
      </c>
      <c r="G1104" s="9" t="str">
        <f t="shared" si="30"/>
        <v/>
      </c>
      <c r="H1104" s="9" t="str">
        <f t="shared" si="31"/>
        <v/>
      </c>
      <c r="I1104" s="8" t="b">
        <f>IF(D1104&lt;2,FALSE,ISERROR(MATCH(H1104,'Ontology and concepts per UC'!$A$2:$A$62,0)))</f>
        <v>0</v>
      </c>
      <c r="J1104" s="9" t="str">
        <f t="shared" si="32"/>
        <v/>
      </c>
      <c r="K1104" s="8" t="b">
        <f>IF(D1104&lt;3,FALSE,ISERROR(MATCH(J1104,'Ontology and concepts per UC'!$A$2:$A$62,0)))</f>
        <v>0</v>
      </c>
      <c r="L1104" s="2"/>
      <c r="M1104" s="2" t="s">
        <v>2904</v>
      </c>
      <c r="N1104" s="2"/>
      <c r="O1104" s="1" t="b">
        <v>0</v>
      </c>
      <c r="P1104" s="1">
        <v>0</v>
      </c>
      <c r="Q1104" s="1">
        <v>0</v>
      </c>
      <c r="R1104" s="1" t="b">
        <f t="shared" si="33"/>
        <v>0</v>
      </c>
      <c r="S1104" s="2" t="s">
        <v>107</v>
      </c>
      <c r="T1104" s="1" t="str">
        <f>IF(S1104="","",VLOOKUP(S1104,'Ontology and concepts per UC'!$F$2:$J$46,5,FALSE))</f>
        <v>Parcial</v>
      </c>
      <c r="U1104" s="1" t="b">
        <f t="array" ref="U1104">(INDEX('Ontology and concepts per UC'!$G$2:$I$46,MATCH($S1104,'Ontology and concepts per UC'!$F$2:$F$46,0),MATCH(LEFT($A1104,3),'Ontology and concepts per UC'!$G$1:$I$1,0))=0)</f>
        <v>0</v>
      </c>
      <c r="V1104" s="1" t="b">
        <f t="shared" si="34"/>
        <v>0</v>
      </c>
      <c r="W1104" s="1" t="b">
        <v>0</v>
      </c>
      <c r="X1104" s="1" t="b">
        <v>0</v>
      </c>
      <c r="Y1104" s="1" t="b">
        <v>0</v>
      </c>
      <c r="Z1104" s="1" t="b">
        <v>0</v>
      </c>
      <c r="AA1104" s="1"/>
    </row>
    <row r="1105" spans="1:27" x14ac:dyDescent="0.25">
      <c r="A1105" s="1" t="s">
        <v>2886</v>
      </c>
      <c r="B1105" s="2" t="s">
        <v>2908</v>
      </c>
      <c r="C1105" s="2" t="s">
        <v>201</v>
      </c>
      <c r="D1105" s="6">
        <f t="shared" si="28"/>
        <v>1</v>
      </c>
      <c r="E1105" s="7" t="str">
        <f t="shared" si="29"/>
        <v>DeterministicParameter</v>
      </c>
      <c r="F1105" s="8" t="b">
        <f>IF(D1105&lt;1,FALSE,ISERROR(MATCH(E1105,'Ontology and concepts per UC'!$A$2:$A$62,0)))</f>
        <v>0</v>
      </c>
      <c r="G1105" s="9" t="str">
        <f t="shared" si="30"/>
        <v/>
      </c>
      <c r="H1105" s="9" t="str">
        <f t="shared" si="31"/>
        <v/>
      </c>
      <c r="I1105" s="8" t="b">
        <f>IF(D1105&lt;2,FALSE,ISERROR(MATCH(H1105,'Ontology and concepts per UC'!$A$2:$A$62,0)))</f>
        <v>0</v>
      </c>
      <c r="J1105" s="9" t="str">
        <f t="shared" si="32"/>
        <v/>
      </c>
      <c r="K1105" s="8" t="b">
        <f>IF(D1105&lt;3,FALSE,ISERROR(MATCH(J1105,'Ontology and concepts per UC'!$A$2:$A$62,0)))</f>
        <v>0</v>
      </c>
      <c r="L1105" s="2"/>
      <c r="M1105" s="2" t="s">
        <v>2902</v>
      </c>
      <c r="N1105" s="2"/>
      <c r="O1105" s="1" t="b">
        <v>0</v>
      </c>
      <c r="P1105" s="1">
        <v>0</v>
      </c>
      <c r="Q1105" s="1">
        <v>0</v>
      </c>
      <c r="R1105" s="1" t="b">
        <f t="shared" si="33"/>
        <v>0</v>
      </c>
      <c r="S1105" s="2" t="s">
        <v>107</v>
      </c>
      <c r="T1105" s="1" t="str">
        <f>IF(S1105="","",VLOOKUP(S1105,'Ontology and concepts per UC'!$F$2:$J$46,5,FALSE))</f>
        <v>Parcial</v>
      </c>
      <c r="U1105" s="1" t="b">
        <f t="array" ref="U1105">(INDEX('Ontology and concepts per UC'!$G$2:$I$46,MATCH($S1105,'Ontology and concepts per UC'!$F$2:$F$46,0),MATCH(LEFT($A1105,3),'Ontology and concepts per UC'!$G$1:$I$1,0))=0)</f>
        <v>0</v>
      </c>
      <c r="V1105" s="1" t="b">
        <f t="shared" si="34"/>
        <v>0</v>
      </c>
      <c r="W1105" s="1" t="b">
        <v>0</v>
      </c>
      <c r="X1105" s="1" t="b">
        <v>0</v>
      </c>
      <c r="Y1105" s="1" t="b">
        <v>0</v>
      </c>
      <c r="Z1105" s="1" t="b">
        <v>0</v>
      </c>
      <c r="AA1105" s="1"/>
    </row>
    <row r="1106" spans="1:27" x14ac:dyDescent="0.25">
      <c r="A1106" s="1" t="s">
        <v>2886</v>
      </c>
      <c r="B1106" s="2" t="s">
        <v>2909</v>
      </c>
      <c r="C1106" s="2" t="s">
        <v>201</v>
      </c>
      <c r="D1106" s="6">
        <f t="shared" si="28"/>
        <v>1</v>
      </c>
      <c r="E1106" s="7" t="str">
        <f t="shared" si="29"/>
        <v>DeterministicParameter</v>
      </c>
      <c r="F1106" s="8" t="b">
        <f>IF(D1106&lt;1,FALSE,ISERROR(MATCH(E1106,'Ontology and concepts per UC'!$A$2:$A$62,0)))</f>
        <v>0</v>
      </c>
      <c r="G1106" s="9" t="str">
        <f t="shared" si="30"/>
        <v/>
      </c>
      <c r="H1106" s="9" t="str">
        <f t="shared" si="31"/>
        <v/>
      </c>
      <c r="I1106" s="8" t="b">
        <f>IF(D1106&lt;2,FALSE,ISERROR(MATCH(H1106,'Ontology and concepts per UC'!$A$2:$A$62,0)))</f>
        <v>0</v>
      </c>
      <c r="J1106" s="9" t="str">
        <f t="shared" si="32"/>
        <v/>
      </c>
      <c r="K1106" s="8" t="b">
        <f>IF(D1106&lt;3,FALSE,ISERROR(MATCH(J1106,'Ontology and concepts per UC'!$A$2:$A$62,0)))</f>
        <v>0</v>
      </c>
      <c r="L1106" s="2"/>
      <c r="M1106" s="2" t="s">
        <v>2900</v>
      </c>
      <c r="N1106" s="2"/>
      <c r="O1106" s="1" t="b">
        <v>0</v>
      </c>
      <c r="P1106" s="1">
        <v>0</v>
      </c>
      <c r="Q1106" s="1">
        <v>0</v>
      </c>
      <c r="R1106" s="1" t="b">
        <f t="shared" si="33"/>
        <v>0</v>
      </c>
      <c r="S1106" s="2" t="s">
        <v>55</v>
      </c>
      <c r="T1106" s="1" t="str">
        <f>IF(S1106="","",VLOOKUP(S1106,'Ontology and concepts per UC'!$F$2:$J$46,5,FALSE))</f>
        <v>Parámetros de progresión</v>
      </c>
      <c r="U1106" s="1" t="b">
        <f t="array" ref="U1106">(INDEX('Ontology and concepts per UC'!$G$2:$I$46,MATCH($S1106,'Ontology and concepts per UC'!$F$2:$F$46,0),MATCH(LEFT($A1106,3),'Ontology and concepts per UC'!$G$1:$I$1,0))=0)</f>
        <v>0</v>
      </c>
      <c r="V1106" s="1" t="b">
        <f t="shared" si="34"/>
        <v>0</v>
      </c>
      <c r="W1106" s="1" t="b">
        <v>0</v>
      </c>
      <c r="X1106" s="1" t="b">
        <v>0</v>
      </c>
      <c r="Y1106" s="1" t="b">
        <v>0</v>
      </c>
      <c r="Z1106" s="1" t="b">
        <v>0</v>
      </c>
      <c r="AA1106" s="1"/>
    </row>
    <row r="1107" spans="1:27" x14ac:dyDescent="0.25">
      <c r="A1107" s="1" t="s">
        <v>2886</v>
      </c>
      <c r="B1107" s="2" t="s">
        <v>2910</v>
      </c>
      <c r="C1107" s="2" t="s">
        <v>201</v>
      </c>
      <c r="D1107" s="6">
        <f t="shared" si="28"/>
        <v>1</v>
      </c>
      <c r="E1107" s="7" t="str">
        <f t="shared" si="29"/>
        <v>DeterministicParameter</v>
      </c>
      <c r="F1107" s="8" t="b">
        <f>IF(D1107&lt;1,FALSE,ISERROR(MATCH(E1107,'Ontology and concepts per UC'!$A$2:$A$62,0)))</f>
        <v>0</v>
      </c>
      <c r="G1107" s="9" t="str">
        <f t="shared" si="30"/>
        <v/>
      </c>
      <c r="H1107" s="9" t="str">
        <f t="shared" si="31"/>
        <v/>
      </c>
      <c r="I1107" s="8" t="b">
        <f>IF(D1107&lt;2,FALSE,ISERROR(MATCH(H1107,'Ontology and concepts per UC'!$A$2:$A$62,0)))</f>
        <v>0</v>
      </c>
      <c r="J1107" s="9" t="str">
        <f t="shared" si="32"/>
        <v/>
      </c>
      <c r="K1107" s="8" t="b">
        <f>IF(D1107&lt;3,FALSE,ISERROR(MATCH(J1107,'Ontology and concepts per UC'!$A$2:$A$62,0)))</f>
        <v>0</v>
      </c>
      <c r="L1107" s="2"/>
      <c r="M1107" s="2" t="s">
        <v>2911</v>
      </c>
      <c r="N1107" s="2"/>
      <c r="O1107" s="1" t="b">
        <v>0</v>
      </c>
      <c r="P1107" s="1">
        <v>0</v>
      </c>
      <c r="Q1107" s="1">
        <v>0</v>
      </c>
      <c r="R1107" s="1" t="b">
        <f t="shared" si="33"/>
        <v>0</v>
      </c>
      <c r="S1107" s="2" t="s">
        <v>50</v>
      </c>
      <c r="T1107" s="1" t="str">
        <f>IF(S1107="","",VLOOKUP(S1107,'Ontology and concepts per UC'!$F$2:$J$46,5,FALSE))</f>
        <v>Parámetros de progresión</v>
      </c>
      <c r="U1107" s="1" t="b">
        <f t="array" ref="U1107">(INDEX('Ontology and concepts per UC'!$G$2:$I$46,MATCH($S1107,'Ontology and concepts per UC'!$F$2:$F$46,0),MATCH(LEFT($A1107,3),'Ontology and concepts per UC'!$G$1:$I$1,0))=0)</f>
        <v>0</v>
      </c>
      <c r="V1107" s="1" t="b">
        <f t="shared" si="34"/>
        <v>0</v>
      </c>
      <c r="W1107" s="1" t="b">
        <v>0</v>
      </c>
      <c r="X1107" s="1" t="b">
        <v>0</v>
      </c>
      <c r="Y1107" s="1" t="b">
        <v>0</v>
      </c>
      <c r="Z1107" s="1" t="b">
        <v>0</v>
      </c>
      <c r="AA1107" s="1"/>
    </row>
    <row r="1108" spans="1:27" x14ac:dyDescent="0.25">
      <c r="A1108" s="1" t="s">
        <v>2886</v>
      </c>
      <c r="B1108" s="2" t="s">
        <v>2912</v>
      </c>
      <c r="C1108" s="2" t="s">
        <v>201</v>
      </c>
      <c r="D1108" s="6">
        <f t="shared" si="28"/>
        <v>1</v>
      </c>
      <c r="E1108" s="7" t="str">
        <f t="shared" si="29"/>
        <v>DeterministicParameter</v>
      </c>
      <c r="F1108" s="8" t="b">
        <f>IF(D1108&lt;1,FALSE,ISERROR(MATCH(E1108,'Ontology and concepts per UC'!$A$2:$A$62,0)))</f>
        <v>0</v>
      </c>
      <c r="G1108" s="9" t="str">
        <f t="shared" si="30"/>
        <v/>
      </c>
      <c r="H1108" s="9" t="str">
        <f t="shared" si="31"/>
        <v/>
      </c>
      <c r="I1108" s="8" t="b">
        <f>IF(D1108&lt;2,FALSE,ISERROR(MATCH(H1108,'Ontology and concepts per UC'!$A$2:$A$62,0)))</f>
        <v>0</v>
      </c>
      <c r="J1108" s="9" t="str">
        <f t="shared" si="32"/>
        <v/>
      </c>
      <c r="K1108" s="8" t="b">
        <f>IF(D1108&lt;3,FALSE,ISERROR(MATCH(J1108,'Ontology and concepts per UC'!$A$2:$A$62,0)))</f>
        <v>0</v>
      </c>
      <c r="L1108" s="2"/>
      <c r="M1108" s="2" t="s">
        <v>2913</v>
      </c>
      <c r="N1108" s="2"/>
      <c r="O1108" s="1" t="b">
        <v>0</v>
      </c>
      <c r="P1108" s="1">
        <v>0</v>
      </c>
      <c r="Q1108" s="1">
        <v>0</v>
      </c>
      <c r="R1108" s="1" t="b">
        <f t="shared" si="33"/>
        <v>0</v>
      </c>
      <c r="S1108" s="2" t="s">
        <v>51</v>
      </c>
      <c r="T1108" s="1" t="str">
        <f>IF(S1108="","",VLOOKUP(S1108,'Ontology and concepts per UC'!$F$2:$J$46,5,FALSE))</f>
        <v>Parámetros de progresión</v>
      </c>
      <c r="U1108" s="1" t="b">
        <f t="array" ref="U1108">(INDEX('Ontology and concepts per UC'!$G$2:$I$46,MATCH($S1108,'Ontology and concepts per UC'!$F$2:$F$46,0),MATCH(LEFT($A1108,3),'Ontology and concepts per UC'!$G$1:$I$1,0))=0)</f>
        <v>0</v>
      </c>
      <c r="V1108" s="1" t="b">
        <f t="shared" si="34"/>
        <v>0</v>
      </c>
      <c r="W1108" s="1" t="b">
        <v>0</v>
      </c>
      <c r="X1108" s="1" t="b">
        <v>0</v>
      </c>
      <c r="Y1108" s="1" t="b">
        <v>0</v>
      </c>
      <c r="Z1108" s="1" t="b">
        <v>0</v>
      </c>
      <c r="AA1108" s="1"/>
    </row>
    <row r="1109" spans="1:27" x14ac:dyDescent="0.25">
      <c r="A1109" s="1" t="s">
        <v>2886</v>
      </c>
      <c r="B1109" s="2" t="s">
        <v>2914</v>
      </c>
      <c r="C1109" s="2" t="s">
        <v>201</v>
      </c>
      <c r="D1109" s="6">
        <f t="shared" si="28"/>
        <v>1</v>
      </c>
      <c r="E1109" s="7" t="str">
        <f t="shared" si="29"/>
        <v>DeterministicParameter</v>
      </c>
      <c r="F1109" s="8" t="b">
        <f>IF(D1109&lt;1,FALSE,ISERROR(MATCH(E1109,'Ontology and concepts per UC'!$A$2:$A$62,0)))</f>
        <v>0</v>
      </c>
      <c r="G1109" s="9" t="str">
        <f t="shared" si="30"/>
        <v/>
      </c>
      <c r="H1109" s="9" t="str">
        <f t="shared" si="31"/>
        <v/>
      </c>
      <c r="I1109" s="8" t="b">
        <f>IF(D1109&lt;2,FALSE,ISERROR(MATCH(H1109,'Ontology and concepts per UC'!$A$2:$A$62,0)))</f>
        <v>0</v>
      </c>
      <c r="J1109" s="9" t="str">
        <f t="shared" si="32"/>
        <v/>
      </c>
      <c r="K1109" s="8" t="b">
        <f>IF(D1109&lt;3,FALSE,ISERROR(MATCH(J1109,'Ontology and concepts per UC'!$A$2:$A$62,0)))</f>
        <v>0</v>
      </c>
      <c r="L1109" s="2"/>
      <c r="M1109" s="2" t="s">
        <v>2906</v>
      </c>
      <c r="N1109" s="2"/>
      <c r="O1109" s="1" t="b">
        <v>0</v>
      </c>
      <c r="P1109" s="1">
        <v>0</v>
      </c>
      <c r="Q1109" s="1">
        <v>0</v>
      </c>
      <c r="R1109" s="1" t="b">
        <f t="shared" si="33"/>
        <v>0</v>
      </c>
      <c r="S1109" s="2" t="s">
        <v>54</v>
      </c>
      <c r="T1109" s="1" t="str">
        <f>IF(S1109="","",VLOOKUP(S1109,'Ontology and concepts per UC'!$F$2:$J$46,5,FALSE))</f>
        <v>Parámetros de progresión</v>
      </c>
      <c r="U1109" s="1" t="b">
        <f t="array" ref="U1109">(INDEX('Ontology and concepts per UC'!$G$2:$I$46,MATCH($S1109,'Ontology and concepts per UC'!$F$2:$F$46,0),MATCH(LEFT($A1109,3),'Ontology and concepts per UC'!$G$1:$I$1,0))=0)</f>
        <v>0</v>
      </c>
      <c r="V1109" s="1" t="b">
        <f t="shared" si="34"/>
        <v>0</v>
      </c>
      <c r="W1109" s="1" t="b">
        <v>0</v>
      </c>
      <c r="X1109" s="1" t="b">
        <v>0</v>
      </c>
      <c r="Y1109" s="1" t="b">
        <v>0</v>
      </c>
      <c r="Z1109" s="1" t="b">
        <v>0</v>
      </c>
      <c r="AA1109" s="1"/>
    </row>
    <row r="1110" spans="1:27" x14ac:dyDescent="0.25">
      <c r="A1110" s="1" t="s">
        <v>2886</v>
      </c>
      <c r="B1110" s="2" t="s">
        <v>2915</v>
      </c>
      <c r="C1110" s="2" t="s">
        <v>201</v>
      </c>
      <c r="D1110" s="6">
        <f t="shared" si="28"/>
        <v>1</v>
      </c>
      <c r="E1110" s="7" t="str">
        <f t="shared" si="29"/>
        <v>DeterministicParameter</v>
      </c>
      <c r="F1110" s="8" t="b">
        <f>IF(D1110&lt;1,FALSE,ISERROR(MATCH(E1110,'Ontology and concepts per UC'!$A$2:$A$62,0)))</f>
        <v>0</v>
      </c>
      <c r="G1110" s="9" t="str">
        <f t="shared" si="30"/>
        <v/>
      </c>
      <c r="H1110" s="9" t="str">
        <f t="shared" si="31"/>
        <v/>
      </c>
      <c r="I1110" s="8" t="b">
        <f>IF(D1110&lt;2,FALSE,ISERROR(MATCH(H1110,'Ontology and concepts per UC'!$A$2:$A$62,0)))</f>
        <v>0</v>
      </c>
      <c r="J1110" s="9" t="str">
        <f t="shared" si="32"/>
        <v/>
      </c>
      <c r="K1110" s="8" t="b">
        <f>IF(D1110&lt;3,FALSE,ISERROR(MATCH(J1110,'Ontology and concepts per UC'!$A$2:$A$62,0)))</f>
        <v>0</v>
      </c>
      <c r="L1110" s="2"/>
      <c r="M1110" s="2" t="s">
        <v>2916</v>
      </c>
      <c r="N1110" s="2"/>
      <c r="O1110" s="1" t="b">
        <v>0</v>
      </c>
      <c r="P1110" s="1">
        <v>0</v>
      </c>
      <c r="Q1110" s="1">
        <v>0</v>
      </c>
      <c r="R1110" s="1" t="b">
        <f t="shared" si="33"/>
        <v>0</v>
      </c>
      <c r="S1110" s="2" t="s">
        <v>58</v>
      </c>
      <c r="T1110" s="1" t="str">
        <f>IF(S1110="","",VLOOKUP(S1110,'Ontology and concepts per UC'!$F$2:$J$46,5,FALSE))</f>
        <v>Parámetros de progresión</v>
      </c>
      <c r="U1110" s="1" t="b">
        <f t="array" ref="U1110">(INDEX('Ontology and concepts per UC'!$G$2:$I$46,MATCH($S1110,'Ontology and concepts per UC'!$F$2:$F$46,0),MATCH(LEFT($A1110,3),'Ontology and concepts per UC'!$G$1:$I$1,0))=0)</f>
        <v>0</v>
      </c>
      <c r="V1110" s="1" t="b">
        <f t="shared" si="34"/>
        <v>0</v>
      </c>
      <c r="W1110" s="1" t="b">
        <v>0</v>
      </c>
      <c r="X1110" s="1" t="b">
        <v>0</v>
      </c>
      <c r="Y1110" s="1" t="b">
        <v>0</v>
      </c>
      <c r="Z1110" s="1" t="b">
        <v>0</v>
      </c>
      <c r="AA1110" s="1"/>
    </row>
    <row r="1111" spans="1:27" x14ac:dyDescent="0.25">
      <c r="A1111" s="1" t="s">
        <v>2886</v>
      </c>
      <c r="B1111" s="2" t="s">
        <v>2917</v>
      </c>
      <c r="C1111" s="2" t="s">
        <v>201</v>
      </c>
      <c r="D1111" s="6">
        <f t="shared" si="28"/>
        <v>1</v>
      </c>
      <c r="E1111" s="7" t="str">
        <f t="shared" si="29"/>
        <v>DeterministicParameter</v>
      </c>
      <c r="F1111" s="8" t="b">
        <f>IF(D1111&lt;1,FALSE,ISERROR(MATCH(E1111,'Ontology and concepts per UC'!$A$2:$A$62,0)))</f>
        <v>0</v>
      </c>
      <c r="G1111" s="9" t="str">
        <f t="shared" si="30"/>
        <v/>
      </c>
      <c r="H1111" s="9" t="str">
        <f t="shared" si="31"/>
        <v/>
      </c>
      <c r="I1111" s="8" t="b">
        <f>IF(D1111&lt;2,FALSE,ISERROR(MATCH(H1111,'Ontology and concepts per UC'!$A$2:$A$62,0)))</f>
        <v>0</v>
      </c>
      <c r="J1111" s="9" t="str">
        <f t="shared" si="32"/>
        <v/>
      </c>
      <c r="K1111" s="8" t="b">
        <f>IF(D1111&lt;3,FALSE,ISERROR(MATCH(J1111,'Ontology and concepts per UC'!$A$2:$A$62,0)))</f>
        <v>0</v>
      </c>
      <c r="L1111" s="2"/>
      <c r="M1111" s="2" t="s">
        <v>2902</v>
      </c>
      <c r="N1111" s="2"/>
      <c r="O1111" s="1" t="b">
        <v>0</v>
      </c>
      <c r="P1111" s="1">
        <v>0</v>
      </c>
      <c r="Q1111" s="1">
        <v>0</v>
      </c>
      <c r="R1111" s="1" t="b">
        <f t="shared" si="33"/>
        <v>0</v>
      </c>
      <c r="S1111" s="2" t="s">
        <v>56</v>
      </c>
      <c r="T1111" s="1" t="str">
        <f>IF(S1111="","",VLOOKUP(S1111,'Ontology and concepts per UC'!$F$2:$J$46,5,FALSE))</f>
        <v>Parámetros de progresión</v>
      </c>
      <c r="U1111" s="1" t="b">
        <f t="array" ref="U1111">(INDEX('Ontology and concepts per UC'!$G$2:$I$46,MATCH($S1111,'Ontology and concepts per UC'!$F$2:$F$46,0),MATCH(LEFT($A1111,3),'Ontology and concepts per UC'!$G$1:$I$1,0))=0)</f>
        <v>0</v>
      </c>
      <c r="V1111" s="1" t="b">
        <f t="shared" si="34"/>
        <v>0</v>
      </c>
      <c r="W1111" s="1" t="b">
        <v>0</v>
      </c>
      <c r="X1111" s="1" t="b">
        <v>0</v>
      </c>
      <c r="Y1111" s="1" t="b">
        <v>0</v>
      </c>
      <c r="Z1111" s="1" t="b">
        <v>0</v>
      </c>
      <c r="AA1111" s="1"/>
    </row>
    <row r="1112" spans="1:27" x14ac:dyDescent="0.25">
      <c r="A1112" s="1" t="s">
        <v>2886</v>
      </c>
      <c r="B1112" s="2" t="s">
        <v>2918</v>
      </c>
      <c r="C1112" s="2" t="s">
        <v>2919</v>
      </c>
      <c r="D1112" s="6">
        <f t="shared" si="28"/>
        <v>1</v>
      </c>
      <c r="E1112" s="7" t="str">
        <f t="shared" si="29"/>
        <v>disease-simulationIRIChronicManifestation</v>
      </c>
      <c r="F1112" s="8" t="b">
        <f>IF(D1112&lt;1,FALSE,ISERROR(MATCH(E1112,'Ontology and concepts per UC'!$A$2:$A$62,0)))</f>
        <v>1</v>
      </c>
      <c r="G1112" s="9" t="str">
        <f t="shared" si="30"/>
        <v/>
      </c>
      <c r="H1112" s="9" t="str">
        <f t="shared" si="31"/>
        <v/>
      </c>
      <c r="I1112" s="8" t="b">
        <f>IF(D1112&lt;2,FALSE,ISERROR(MATCH(H1112,'Ontology and concepts per UC'!$A$2:$A$62,0)))</f>
        <v>0</v>
      </c>
      <c r="J1112" s="9" t="str">
        <f t="shared" si="32"/>
        <v/>
      </c>
      <c r="K1112" s="8" t="b">
        <f>IF(D1112&lt;3,FALSE,ISERROR(MATCH(J1112,'Ontology and concepts per UC'!$A$2:$A$62,0)))</f>
        <v>0</v>
      </c>
      <c r="L1112" s="2"/>
      <c r="M1112" s="2" t="s">
        <v>2920</v>
      </c>
      <c r="N1112" s="2"/>
      <c r="O1112" s="1" t="b">
        <v>1</v>
      </c>
      <c r="P1112" s="1">
        <v>0</v>
      </c>
      <c r="Q1112" s="1">
        <v>0</v>
      </c>
      <c r="R1112" s="1" t="b">
        <f t="shared" si="33"/>
        <v>0</v>
      </c>
      <c r="S1112" s="2" t="s">
        <v>26</v>
      </c>
      <c r="T1112" s="1" t="str">
        <f>IF(S1112="","",VLOOKUP(S1112,'Ontology and concepts per UC'!$F$2:$J$46,5,FALSE))</f>
        <v>Modelo Conceptual</v>
      </c>
      <c r="U1112" s="1" t="b">
        <f t="array" ref="U1112">(INDEX('Ontology and concepts per UC'!$G$2:$I$46,MATCH($S1112,'Ontology and concepts per UC'!$F$2:$F$46,0),MATCH(LEFT($A1112,3),'Ontology and concepts per UC'!$G$1:$I$1,0))=0)</f>
        <v>0</v>
      </c>
      <c r="V1112" s="1" t="b">
        <f t="shared" si="34"/>
        <v>1</v>
      </c>
      <c r="W1112" s="1" t="b">
        <v>1</v>
      </c>
      <c r="X1112" s="1" t="b">
        <v>0</v>
      </c>
      <c r="Y1112" s="1" t="b">
        <v>0</v>
      </c>
      <c r="Z1112" s="1" t="b">
        <v>0</v>
      </c>
      <c r="AA1112" s="1" t="s">
        <v>2921</v>
      </c>
    </row>
    <row r="1113" spans="1:27" x14ac:dyDescent="0.25">
      <c r="A1113" s="1" t="s">
        <v>2886</v>
      </c>
      <c r="B1113" s="2" t="s">
        <v>2922</v>
      </c>
      <c r="C1113" s="2" t="s">
        <v>2919</v>
      </c>
      <c r="D1113" s="6">
        <f t="shared" si="28"/>
        <v>1</v>
      </c>
      <c r="E1113" s="7" t="str">
        <f t="shared" si="29"/>
        <v>disease-simulationIRIChronicManifestation</v>
      </c>
      <c r="F1113" s="8" t="b">
        <f>IF(D1113&lt;1,FALSE,ISERROR(MATCH(E1113,'Ontology and concepts per UC'!$A$2:$A$62,0)))</f>
        <v>1</v>
      </c>
      <c r="G1113" s="9" t="str">
        <f t="shared" si="30"/>
        <v/>
      </c>
      <c r="H1113" s="9" t="str">
        <f t="shared" si="31"/>
        <v/>
      </c>
      <c r="I1113" s="8" t="b">
        <f>IF(D1113&lt;2,FALSE,ISERROR(MATCH(H1113,'Ontology and concepts per UC'!$A$2:$A$62,0)))</f>
        <v>0</v>
      </c>
      <c r="J1113" s="9" t="str">
        <f t="shared" si="32"/>
        <v/>
      </c>
      <c r="K1113" s="8" t="b">
        <f>IF(D1113&lt;3,FALSE,ISERROR(MATCH(J1113,'Ontology and concepts per UC'!$A$2:$A$62,0)))</f>
        <v>0</v>
      </c>
      <c r="L1113" s="2"/>
      <c r="M1113" s="2" t="s">
        <v>2923</v>
      </c>
      <c r="N1113" s="2"/>
      <c r="O1113" s="1" t="b">
        <v>1</v>
      </c>
      <c r="P1113" s="1">
        <v>0</v>
      </c>
      <c r="Q1113" s="1">
        <v>0</v>
      </c>
      <c r="R1113" s="1" t="b">
        <f t="shared" si="33"/>
        <v>0</v>
      </c>
      <c r="S1113" s="2" t="s">
        <v>29</v>
      </c>
      <c r="T1113" s="1" t="str">
        <f>IF(S1113="","",VLOOKUP(S1113,'Ontology and concepts per UC'!$F$2:$J$46,5,FALSE))</f>
        <v>Modelo Conceptual</v>
      </c>
      <c r="U1113" s="1" t="b">
        <f t="array" ref="U1113">(INDEX('Ontology and concepts per UC'!$G$2:$I$46,MATCH($S1113,'Ontology and concepts per UC'!$F$2:$F$46,0),MATCH(LEFT($A1113,3),'Ontology and concepts per UC'!$G$1:$I$1,0))=0)</f>
        <v>0</v>
      </c>
      <c r="V1113" s="1" t="b">
        <f t="shared" si="34"/>
        <v>1</v>
      </c>
      <c r="W1113" s="1" t="b">
        <v>1</v>
      </c>
      <c r="X1113" s="1" t="b">
        <v>0</v>
      </c>
      <c r="Y1113" s="1" t="b">
        <v>0</v>
      </c>
      <c r="Z1113" s="1" t="b">
        <v>0</v>
      </c>
      <c r="AA1113" s="1" t="s">
        <v>2921</v>
      </c>
    </row>
    <row r="1114" spans="1:27" x14ac:dyDescent="0.25">
      <c r="A1114" s="1" t="s">
        <v>2886</v>
      </c>
      <c r="B1114" s="2" t="s">
        <v>2924</v>
      </c>
      <c r="C1114" s="2" t="s">
        <v>2919</v>
      </c>
      <c r="D1114" s="6">
        <f t="shared" si="28"/>
        <v>1</v>
      </c>
      <c r="E1114" s="7" t="str">
        <f t="shared" si="29"/>
        <v>disease-simulationIRIChronicManifestation</v>
      </c>
      <c r="F1114" s="8" t="b">
        <f>IF(D1114&lt;1,FALSE,ISERROR(MATCH(E1114,'Ontology and concepts per UC'!$A$2:$A$62,0)))</f>
        <v>1</v>
      </c>
      <c r="G1114" s="9" t="str">
        <f t="shared" si="30"/>
        <v/>
      </c>
      <c r="H1114" s="9" t="str">
        <f t="shared" si="31"/>
        <v/>
      </c>
      <c r="I1114" s="8" t="b">
        <f>IF(D1114&lt;2,FALSE,ISERROR(MATCH(H1114,'Ontology and concepts per UC'!$A$2:$A$62,0)))</f>
        <v>0</v>
      </c>
      <c r="J1114" s="9" t="str">
        <f t="shared" si="32"/>
        <v/>
      </c>
      <c r="K1114" s="8" t="b">
        <f>IF(D1114&lt;3,FALSE,ISERROR(MATCH(J1114,'Ontology and concepts per UC'!$A$2:$A$62,0)))</f>
        <v>0</v>
      </c>
      <c r="L1114" s="2"/>
      <c r="M1114" s="2" t="s">
        <v>2925</v>
      </c>
      <c r="N1114" s="2"/>
      <c r="O1114" s="1" t="b">
        <v>1</v>
      </c>
      <c r="P1114" s="1">
        <v>0</v>
      </c>
      <c r="Q1114" s="1">
        <v>0</v>
      </c>
      <c r="R1114" s="1" t="b">
        <f t="shared" si="33"/>
        <v>0</v>
      </c>
      <c r="S1114" s="2" t="s">
        <v>32</v>
      </c>
      <c r="T1114" s="1" t="str">
        <f>IF(S1114="","",VLOOKUP(S1114,'Ontology and concepts per UC'!$F$2:$J$46,5,FALSE))</f>
        <v>Modelo Conceptual</v>
      </c>
      <c r="U1114" s="1" t="b">
        <f t="array" ref="U1114">(INDEX('Ontology and concepts per UC'!$G$2:$I$46,MATCH($S1114,'Ontology and concepts per UC'!$F$2:$F$46,0),MATCH(LEFT($A1114,3),'Ontology and concepts per UC'!$G$1:$I$1,0))=0)</f>
        <v>0</v>
      </c>
      <c r="V1114" s="1" t="b">
        <f t="shared" si="34"/>
        <v>1</v>
      </c>
      <c r="W1114" s="1" t="b">
        <v>1</v>
      </c>
      <c r="X1114" s="1" t="b">
        <v>0</v>
      </c>
      <c r="Y1114" s="1" t="b">
        <v>0</v>
      </c>
      <c r="Z1114" s="1" t="b">
        <v>0</v>
      </c>
      <c r="AA1114" s="1" t="s">
        <v>2921</v>
      </c>
    </row>
    <row r="1115" spans="1:27" x14ac:dyDescent="0.25">
      <c r="A1115" s="1" t="s">
        <v>2886</v>
      </c>
      <c r="B1115" s="2" t="s">
        <v>2926</v>
      </c>
      <c r="C1115" s="2" t="s">
        <v>2927</v>
      </c>
      <c r="D1115" s="6">
        <f t="shared" si="28"/>
        <v>1</v>
      </c>
      <c r="E1115" s="7" t="str">
        <f t="shared" si="29"/>
        <v>disease-simulationIRIDiagnosisIntervention</v>
      </c>
      <c r="F1115" s="8" t="b">
        <f>IF(D1115&lt;1,FALSE,ISERROR(MATCH(E1115,'Ontology and concepts per UC'!$A$2:$A$62,0)))</f>
        <v>1</v>
      </c>
      <c r="G1115" s="9" t="str">
        <f t="shared" si="30"/>
        <v/>
      </c>
      <c r="H1115" s="9" t="str">
        <f t="shared" si="31"/>
        <v/>
      </c>
      <c r="I1115" s="8" t="b">
        <f>IF(D1115&lt;2,FALSE,ISERROR(MATCH(H1115,'Ontology and concepts per UC'!$A$2:$A$62,0)))</f>
        <v>0</v>
      </c>
      <c r="J1115" s="9" t="str">
        <f t="shared" si="32"/>
        <v/>
      </c>
      <c r="K1115" s="8" t="b">
        <f>IF(D1115&lt;3,FALSE,ISERROR(MATCH(J1115,'Ontology and concepts per UC'!$A$2:$A$62,0)))</f>
        <v>0</v>
      </c>
      <c r="L1115" s="2"/>
      <c r="M1115" s="2" t="s">
        <v>2928</v>
      </c>
      <c r="N1115" s="2"/>
      <c r="O1115" s="1" t="b">
        <v>1</v>
      </c>
      <c r="P1115" s="1">
        <v>0</v>
      </c>
      <c r="Q1115" s="1">
        <v>0</v>
      </c>
      <c r="R1115" s="1" t="b">
        <f t="shared" si="33"/>
        <v>0</v>
      </c>
      <c r="S1115" s="2" t="s">
        <v>22</v>
      </c>
      <c r="T1115" s="1" t="str">
        <f>IF(S1115="","",VLOOKUP(S1115,'Ontology and concepts per UC'!$F$2:$J$46,5,FALSE))</f>
        <v>Modelo Conceptual</v>
      </c>
      <c r="U1115" s="1" t="b">
        <f t="array" ref="U1115">(INDEX('Ontology and concepts per UC'!$G$2:$I$46,MATCH($S1115,'Ontology and concepts per UC'!$F$2:$F$46,0),MATCH(LEFT($A1115,3),'Ontology and concepts per UC'!$G$1:$I$1,0))=0)</f>
        <v>0</v>
      </c>
      <c r="V1115" s="1" t="b">
        <f t="shared" si="34"/>
        <v>1</v>
      </c>
      <c r="W1115" s="1" t="b">
        <v>1</v>
      </c>
      <c r="X1115" s="1" t="b">
        <v>0</v>
      </c>
      <c r="Y1115" s="1" t="b">
        <v>0</v>
      </c>
      <c r="Z1115" s="1" t="b">
        <v>0</v>
      </c>
      <c r="AA1115" s="1" t="s">
        <v>2929</v>
      </c>
    </row>
    <row r="1116" spans="1:27" x14ac:dyDescent="0.25">
      <c r="A1116" s="1" t="s">
        <v>2886</v>
      </c>
      <c r="B1116" s="2" t="s">
        <v>2930</v>
      </c>
      <c r="C1116" s="2" t="s">
        <v>2927</v>
      </c>
      <c r="D1116" s="6">
        <f t="shared" si="28"/>
        <v>1</v>
      </c>
      <c r="E1116" s="7" t="str">
        <f t="shared" si="29"/>
        <v>disease-simulationIRIDiagnosisIntervention</v>
      </c>
      <c r="F1116" s="8" t="b">
        <f>IF(D1116&lt;1,FALSE,ISERROR(MATCH(E1116,'Ontology and concepts per UC'!$A$2:$A$62,0)))</f>
        <v>1</v>
      </c>
      <c r="G1116" s="9" t="str">
        <f t="shared" si="30"/>
        <v/>
      </c>
      <c r="H1116" s="9" t="str">
        <f t="shared" si="31"/>
        <v/>
      </c>
      <c r="I1116" s="8" t="b">
        <f>IF(D1116&lt;2,FALSE,ISERROR(MATCH(H1116,'Ontology and concepts per UC'!$A$2:$A$62,0)))</f>
        <v>0</v>
      </c>
      <c r="J1116" s="9" t="str">
        <f t="shared" si="32"/>
        <v/>
      </c>
      <c r="K1116" s="8" t="b">
        <f>IF(D1116&lt;3,FALSE,ISERROR(MATCH(J1116,'Ontology and concepts per UC'!$A$2:$A$62,0)))</f>
        <v>0</v>
      </c>
      <c r="L1116" s="2"/>
      <c r="M1116" s="2" t="s">
        <v>2931</v>
      </c>
      <c r="N1116" s="2"/>
      <c r="O1116" s="1" t="b">
        <v>1</v>
      </c>
      <c r="P1116" s="1">
        <v>0</v>
      </c>
      <c r="Q1116" s="1">
        <v>0</v>
      </c>
      <c r="R1116" s="1" t="b">
        <f t="shared" si="33"/>
        <v>0</v>
      </c>
      <c r="S1116" s="2" t="s">
        <v>42</v>
      </c>
      <c r="T1116" s="1" t="str">
        <f>IF(S1116="","",VLOOKUP(S1116,'Ontology and concepts per UC'!$F$2:$J$46,5,FALSE))</f>
        <v>Parámetros de intervención</v>
      </c>
      <c r="U1116" s="1" t="b">
        <f t="array" ref="U1116">(INDEX('Ontology and concepts per UC'!$G$2:$I$46,MATCH($S1116,'Ontology and concepts per UC'!$F$2:$F$46,0),MATCH(LEFT($A1116,3),'Ontology and concepts per UC'!$G$1:$I$1,0))=0)</f>
        <v>0</v>
      </c>
      <c r="V1116" s="1" t="b">
        <f t="shared" si="34"/>
        <v>1</v>
      </c>
      <c r="W1116" s="1" t="b">
        <v>1</v>
      </c>
      <c r="X1116" s="1" t="b">
        <v>0</v>
      </c>
      <c r="Y1116" s="1" t="b">
        <v>0</v>
      </c>
      <c r="Z1116" s="1" t="b">
        <v>1</v>
      </c>
      <c r="AA1116" s="1" t="s">
        <v>2932</v>
      </c>
    </row>
    <row r="1117" spans="1:27" x14ac:dyDescent="0.25">
      <c r="A1117" s="1" t="s">
        <v>2886</v>
      </c>
      <c r="B1117" s="2" t="s">
        <v>2933</v>
      </c>
      <c r="C1117" s="2" t="s">
        <v>2934</v>
      </c>
      <c r="D1117" s="6">
        <f t="shared" si="28"/>
        <v>1</v>
      </c>
      <c r="E1117" s="7" t="str">
        <f t="shared" si="29"/>
        <v>disease-simulationIRIDIDisutility</v>
      </c>
      <c r="F1117" s="8" t="b">
        <f>IF(D1117&lt;1,FALSE,ISERROR(MATCH(E1117,'Ontology and concepts per UC'!$A$2:$A$62,0)))</f>
        <v>1</v>
      </c>
      <c r="G1117" s="9" t="str">
        <f t="shared" si="30"/>
        <v/>
      </c>
      <c r="H1117" s="9" t="str">
        <f t="shared" si="31"/>
        <v/>
      </c>
      <c r="I1117" s="8" t="b">
        <f>IF(D1117&lt;2,FALSE,ISERROR(MATCH(H1117,'Ontology and concepts per UC'!$A$2:$A$62,0)))</f>
        <v>0</v>
      </c>
      <c r="J1117" s="9" t="str">
        <f t="shared" si="32"/>
        <v/>
      </c>
      <c r="K1117" s="8" t="b">
        <f>IF(D1117&lt;3,FALSE,ISERROR(MATCH(J1117,'Ontology and concepts per UC'!$A$2:$A$62,0)))</f>
        <v>0</v>
      </c>
      <c r="L1117" s="2" t="s">
        <v>2935</v>
      </c>
      <c r="M1117" s="2" t="s">
        <v>2936</v>
      </c>
      <c r="N1117" s="2"/>
      <c r="O1117" s="1" t="b">
        <v>1</v>
      </c>
      <c r="P1117" s="1">
        <v>0</v>
      </c>
      <c r="Q1117" s="1">
        <v>0</v>
      </c>
      <c r="R1117" s="1" t="b">
        <f t="shared" si="33"/>
        <v>1</v>
      </c>
      <c r="S1117" s="2" t="s">
        <v>70</v>
      </c>
      <c r="T1117" s="1" t="str">
        <f>IF(S1117="","",VLOOKUP(S1117,'Ontology and concepts per UC'!$F$2:$J$46,5,FALSE))</f>
        <v>Utilidad</v>
      </c>
      <c r="U1117" s="1" t="b">
        <f t="array" ref="U1117">(INDEX('Ontology and concepts per UC'!$G$2:$I$46,MATCH($S1117,'Ontology and concepts per UC'!$F$2:$F$46,0),MATCH(LEFT($A1117,3),'Ontology and concepts per UC'!$G$1:$I$1,0))=0)</f>
        <v>0</v>
      </c>
      <c r="V1117" s="1" t="b">
        <f t="shared" si="34"/>
        <v>1</v>
      </c>
      <c r="W1117" s="1" t="b">
        <v>1</v>
      </c>
      <c r="X1117" s="1" t="b">
        <v>0</v>
      </c>
      <c r="Y1117" s="1" t="b">
        <v>0</v>
      </c>
      <c r="Z1117" s="1" t="b">
        <v>0</v>
      </c>
      <c r="AA1117" s="1" t="s">
        <v>2937</v>
      </c>
    </row>
    <row r="1118" spans="1:27" x14ac:dyDescent="0.25">
      <c r="A1118" s="1" t="s">
        <v>2886</v>
      </c>
      <c r="B1118" s="2" t="s">
        <v>2938</v>
      </c>
      <c r="C1118" s="2" t="s">
        <v>2934</v>
      </c>
      <c r="D1118" s="6">
        <f t="shared" si="28"/>
        <v>1</v>
      </c>
      <c r="E1118" s="7" t="str">
        <f t="shared" si="29"/>
        <v>disease-simulationIRIDIDisutility</v>
      </c>
      <c r="F1118" s="8" t="b">
        <f>IF(D1118&lt;1,FALSE,ISERROR(MATCH(E1118,'Ontology and concepts per UC'!$A$2:$A$62,0)))</f>
        <v>1</v>
      </c>
      <c r="G1118" s="9" t="str">
        <f t="shared" si="30"/>
        <v/>
      </c>
      <c r="H1118" s="9" t="str">
        <f t="shared" si="31"/>
        <v/>
      </c>
      <c r="I1118" s="8" t="b">
        <f>IF(D1118&lt;2,FALSE,ISERROR(MATCH(H1118,'Ontology and concepts per UC'!$A$2:$A$62,0)))</f>
        <v>0</v>
      </c>
      <c r="J1118" s="9" t="str">
        <f t="shared" si="32"/>
        <v/>
      </c>
      <c r="K1118" s="8" t="b">
        <f>IF(D1118&lt;3,FALSE,ISERROR(MATCH(J1118,'Ontology and concepts per UC'!$A$2:$A$62,0)))</f>
        <v>0</v>
      </c>
      <c r="L1118" s="2" t="s">
        <v>2939</v>
      </c>
      <c r="M1118" s="2" t="s">
        <v>2940</v>
      </c>
      <c r="N1118" s="2"/>
      <c r="O1118" s="1" t="b">
        <v>1</v>
      </c>
      <c r="P1118" s="1">
        <v>0</v>
      </c>
      <c r="Q1118" s="1">
        <v>0</v>
      </c>
      <c r="R1118" s="1" t="b">
        <f t="shared" si="33"/>
        <v>1</v>
      </c>
      <c r="S1118" s="2" t="s">
        <v>65</v>
      </c>
      <c r="T1118" s="1" t="str">
        <f>IF(S1118="","",VLOOKUP(S1118,'Ontology and concepts per UC'!$F$2:$J$46,5,FALSE))</f>
        <v>Utilidad</v>
      </c>
      <c r="U1118" s="1" t="b">
        <f t="array" ref="U1118">(INDEX('Ontology and concepts per UC'!$G$2:$I$46,MATCH($S1118,'Ontology and concepts per UC'!$F$2:$F$46,0),MATCH(LEFT($A1118,3),'Ontology and concepts per UC'!$G$1:$I$1,0))=0)</f>
        <v>0</v>
      </c>
      <c r="V1118" s="1" t="b">
        <f t="shared" si="34"/>
        <v>1</v>
      </c>
      <c r="W1118" s="1" t="b">
        <v>1</v>
      </c>
      <c r="X1118" s="1" t="b">
        <v>0</v>
      </c>
      <c r="Y1118" s="1" t="b">
        <v>0</v>
      </c>
      <c r="Z1118" s="1" t="b">
        <v>0</v>
      </c>
      <c r="AA1118" s="1" t="s">
        <v>2937</v>
      </c>
    </row>
    <row r="1119" spans="1:27" x14ac:dyDescent="0.25">
      <c r="A1119" s="1" t="s">
        <v>2886</v>
      </c>
      <c r="B1119" s="2" t="s">
        <v>2941</v>
      </c>
      <c r="C1119" s="2" t="s">
        <v>2934</v>
      </c>
      <c r="D1119" s="6">
        <f t="shared" si="28"/>
        <v>1</v>
      </c>
      <c r="E1119" s="7" t="str">
        <f t="shared" si="29"/>
        <v>disease-simulationIRIDIDisutility</v>
      </c>
      <c r="F1119" s="8" t="b">
        <f>IF(D1119&lt;1,FALSE,ISERROR(MATCH(E1119,'Ontology and concepts per UC'!$A$2:$A$62,0)))</f>
        <v>1</v>
      </c>
      <c r="G1119" s="9" t="str">
        <f t="shared" si="30"/>
        <v/>
      </c>
      <c r="H1119" s="9" t="str">
        <f t="shared" si="31"/>
        <v/>
      </c>
      <c r="I1119" s="8" t="b">
        <f>IF(D1119&lt;2,FALSE,ISERROR(MATCH(H1119,'Ontology and concepts per UC'!$A$2:$A$62,0)))</f>
        <v>0</v>
      </c>
      <c r="J1119" s="9" t="str">
        <f t="shared" si="32"/>
        <v/>
      </c>
      <c r="K1119" s="8" t="b">
        <f>IF(D1119&lt;3,FALSE,ISERROR(MATCH(J1119,'Ontology and concepts per UC'!$A$2:$A$62,0)))</f>
        <v>0</v>
      </c>
      <c r="L1119" s="2" t="s">
        <v>2942</v>
      </c>
      <c r="M1119" s="2" t="s">
        <v>2943</v>
      </c>
      <c r="N1119" s="2"/>
      <c r="O1119" s="1" t="b">
        <v>1</v>
      </c>
      <c r="P1119" s="1">
        <v>0</v>
      </c>
      <c r="Q1119" s="1">
        <v>0</v>
      </c>
      <c r="R1119" s="1" t="b">
        <f t="shared" si="33"/>
        <v>1</v>
      </c>
      <c r="S1119" s="2" t="s">
        <v>66</v>
      </c>
      <c r="T1119" s="1" t="str">
        <f>IF(S1119="","",VLOOKUP(S1119,'Ontology and concepts per UC'!$F$2:$J$46,5,FALSE))</f>
        <v>Utilidad</v>
      </c>
      <c r="U1119" s="1" t="b">
        <f t="array" ref="U1119">(INDEX('Ontology and concepts per UC'!$G$2:$I$46,MATCH($S1119,'Ontology and concepts per UC'!$F$2:$F$46,0),MATCH(LEFT($A1119,3),'Ontology and concepts per UC'!$G$1:$I$1,0))=0)</f>
        <v>0</v>
      </c>
      <c r="V1119" s="1" t="b">
        <f t="shared" si="34"/>
        <v>1</v>
      </c>
      <c r="W1119" s="1" t="b">
        <v>1</v>
      </c>
      <c r="X1119" s="1" t="b">
        <v>0</v>
      </c>
      <c r="Y1119" s="1" t="b">
        <v>0</v>
      </c>
      <c r="Z1119" s="1" t="b">
        <v>0</v>
      </c>
      <c r="AA1119" s="1" t="s">
        <v>2937</v>
      </c>
    </row>
    <row r="1120" spans="1:27" x14ac:dyDescent="0.25">
      <c r="A1120" s="1" t="s">
        <v>2886</v>
      </c>
      <c r="B1120" s="2" t="s">
        <v>2944</v>
      </c>
      <c r="C1120" s="2" t="s">
        <v>2934</v>
      </c>
      <c r="D1120" s="6">
        <f t="shared" si="28"/>
        <v>1</v>
      </c>
      <c r="E1120" s="7" t="str">
        <f t="shared" si="29"/>
        <v>disease-simulationIRIDIDisutility</v>
      </c>
      <c r="F1120" s="8" t="b">
        <f>IF(D1120&lt;1,FALSE,ISERROR(MATCH(E1120,'Ontology and concepts per UC'!$A$2:$A$62,0)))</f>
        <v>1</v>
      </c>
      <c r="G1120" s="9" t="str">
        <f t="shared" si="30"/>
        <v/>
      </c>
      <c r="H1120" s="9" t="str">
        <f t="shared" si="31"/>
        <v/>
      </c>
      <c r="I1120" s="8" t="b">
        <f>IF(D1120&lt;2,FALSE,ISERROR(MATCH(H1120,'Ontology and concepts per UC'!$A$2:$A$62,0)))</f>
        <v>0</v>
      </c>
      <c r="J1120" s="9" t="str">
        <f t="shared" si="32"/>
        <v/>
      </c>
      <c r="K1120" s="8" t="b">
        <f>IF(D1120&lt;3,FALSE,ISERROR(MATCH(J1120,'Ontology and concepts per UC'!$A$2:$A$62,0)))</f>
        <v>0</v>
      </c>
      <c r="L1120" s="2" t="s">
        <v>2945</v>
      </c>
      <c r="M1120" s="2" t="s">
        <v>2946</v>
      </c>
      <c r="N1120" s="2"/>
      <c r="O1120" s="1" t="b">
        <v>1</v>
      </c>
      <c r="P1120" s="1">
        <v>0</v>
      </c>
      <c r="Q1120" s="1">
        <v>0</v>
      </c>
      <c r="R1120" s="1" t="b">
        <f t="shared" si="33"/>
        <v>1</v>
      </c>
      <c r="S1120" s="2" t="s">
        <v>69</v>
      </c>
      <c r="T1120" s="1" t="str">
        <f>IF(S1120="","",VLOOKUP(S1120,'Ontology and concepts per UC'!$F$2:$J$46,5,FALSE))</f>
        <v>Utilidad</v>
      </c>
      <c r="U1120" s="1" t="b">
        <f t="array" ref="U1120">(INDEX('Ontology and concepts per UC'!$G$2:$I$46,MATCH($S1120,'Ontology and concepts per UC'!$F$2:$F$46,0),MATCH(LEFT($A1120,3),'Ontology and concepts per UC'!$G$1:$I$1,0))=0)</f>
        <v>0</v>
      </c>
      <c r="V1120" s="1" t="b">
        <f t="shared" si="34"/>
        <v>1</v>
      </c>
      <c r="W1120" s="1" t="b">
        <v>1</v>
      </c>
      <c r="X1120" s="1" t="b">
        <v>0</v>
      </c>
      <c r="Y1120" s="1" t="b">
        <v>0</v>
      </c>
      <c r="Z1120" s="1" t="b">
        <v>0</v>
      </c>
      <c r="AA1120" s="1" t="s">
        <v>2937</v>
      </c>
    </row>
    <row r="1121" spans="1:27" x14ac:dyDescent="0.25">
      <c r="A1121" s="1" t="s">
        <v>2886</v>
      </c>
      <c r="B1121" s="2" t="s">
        <v>2947</v>
      </c>
      <c r="C1121" s="2" t="s">
        <v>2934</v>
      </c>
      <c r="D1121" s="6">
        <f t="shared" si="28"/>
        <v>1</v>
      </c>
      <c r="E1121" s="7" t="str">
        <f t="shared" si="29"/>
        <v>disease-simulationIRIDIDisutility</v>
      </c>
      <c r="F1121" s="8" t="b">
        <f>IF(D1121&lt;1,FALSE,ISERROR(MATCH(E1121,'Ontology and concepts per UC'!$A$2:$A$62,0)))</f>
        <v>1</v>
      </c>
      <c r="G1121" s="9" t="str">
        <f t="shared" si="30"/>
        <v/>
      </c>
      <c r="H1121" s="9" t="str">
        <f t="shared" si="31"/>
        <v/>
      </c>
      <c r="I1121" s="8" t="b">
        <f>IF(D1121&lt;2,FALSE,ISERROR(MATCH(H1121,'Ontology and concepts per UC'!$A$2:$A$62,0)))</f>
        <v>0</v>
      </c>
      <c r="J1121" s="9" t="str">
        <f t="shared" si="32"/>
        <v/>
      </c>
      <c r="K1121" s="8" t="b">
        <f>IF(D1121&lt;3,FALSE,ISERROR(MATCH(J1121,'Ontology and concepts per UC'!$A$2:$A$62,0)))</f>
        <v>0</v>
      </c>
      <c r="L1121" s="2" t="s">
        <v>2948</v>
      </c>
      <c r="M1121" s="2" t="s">
        <v>2949</v>
      </c>
      <c r="N1121" s="2"/>
      <c r="O1121" s="1" t="b">
        <v>1</v>
      </c>
      <c r="P1121" s="1">
        <v>0</v>
      </c>
      <c r="Q1121" s="1">
        <v>0</v>
      </c>
      <c r="R1121" s="1" t="b">
        <f t="shared" si="33"/>
        <v>1</v>
      </c>
      <c r="S1121" s="2" t="s">
        <v>67</v>
      </c>
      <c r="T1121" s="1" t="str">
        <f>IF(S1121="","",VLOOKUP(S1121,'Ontology and concepts per UC'!$F$2:$J$46,5,FALSE))</f>
        <v>Utilidad</v>
      </c>
      <c r="U1121" s="1" t="b">
        <f t="array" ref="U1121">(INDEX('Ontology and concepts per UC'!$G$2:$I$46,MATCH($S1121,'Ontology and concepts per UC'!$F$2:$F$46,0),MATCH(LEFT($A1121,3),'Ontology and concepts per UC'!$G$1:$I$1,0))=0)</f>
        <v>0</v>
      </c>
      <c r="V1121" s="1" t="b">
        <f t="shared" si="34"/>
        <v>1</v>
      </c>
      <c r="W1121" s="1" t="b">
        <v>1</v>
      </c>
      <c r="X1121" s="1" t="b">
        <v>0</v>
      </c>
      <c r="Y1121" s="1" t="b">
        <v>0</v>
      </c>
      <c r="Z1121" s="1" t="b">
        <v>0</v>
      </c>
      <c r="AA1121" s="1" t="s">
        <v>2937</v>
      </c>
    </row>
    <row r="1122" spans="1:27" x14ac:dyDescent="0.25">
      <c r="A1122" s="1" t="s">
        <v>2886</v>
      </c>
      <c r="B1122" s="2" t="s">
        <v>2950</v>
      </c>
      <c r="C1122" s="2" t="s">
        <v>2934</v>
      </c>
      <c r="D1122" s="6">
        <f t="shared" si="28"/>
        <v>1</v>
      </c>
      <c r="E1122" s="7" t="str">
        <f t="shared" si="29"/>
        <v>disease-simulationIRIDIDisutility</v>
      </c>
      <c r="F1122" s="8" t="b">
        <f>IF(D1122&lt;1,FALSE,ISERROR(MATCH(E1122,'Ontology and concepts per UC'!$A$2:$A$62,0)))</f>
        <v>1</v>
      </c>
      <c r="G1122" s="9" t="str">
        <f t="shared" si="30"/>
        <v/>
      </c>
      <c r="H1122" s="9" t="str">
        <f t="shared" si="31"/>
        <v/>
      </c>
      <c r="I1122" s="8" t="b">
        <f>IF(D1122&lt;2,FALSE,ISERROR(MATCH(H1122,'Ontology and concepts per UC'!$A$2:$A$62,0)))</f>
        <v>0</v>
      </c>
      <c r="J1122" s="9" t="str">
        <f t="shared" si="32"/>
        <v/>
      </c>
      <c r="K1122" s="8" t="b">
        <f>IF(D1122&lt;3,FALSE,ISERROR(MATCH(J1122,'Ontology and concepts per UC'!$A$2:$A$62,0)))</f>
        <v>0</v>
      </c>
      <c r="L1122" s="2" t="s">
        <v>2951</v>
      </c>
      <c r="M1122" s="2" t="s">
        <v>2943</v>
      </c>
      <c r="N1122" s="2"/>
      <c r="O1122" s="1" t="b">
        <v>1</v>
      </c>
      <c r="P1122" s="1">
        <v>0</v>
      </c>
      <c r="Q1122" s="1">
        <v>0</v>
      </c>
      <c r="R1122" s="1" t="b">
        <f t="shared" si="33"/>
        <v>1</v>
      </c>
      <c r="S1122" s="2" t="s">
        <v>68</v>
      </c>
      <c r="T1122" s="1" t="str">
        <f>IF(S1122="","",VLOOKUP(S1122,'Ontology and concepts per UC'!$F$2:$J$46,5,FALSE))</f>
        <v>Utilidad</v>
      </c>
      <c r="U1122" s="1" t="b">
        <f t="array" ref="U1122">(INDEX('Ontology and concepts per UC'!$G$2:$I$46,MATCH($S1122,'Ontology and concepts per UC'!$F$2:$F$46,0),MATCH(LEFT($A1122,3),'Ontology and concepts per UC'!$G$1:$I$1,0))=0)</f>
        <v>0</v>
      </c>
      <c r="V1122" s="1" t="b">
        <f t="shared" si="34"/>
        <v>1</v>
      </c>
      <c r="W1122" s="1" t="b">
        <v>1</v>
      </c>
      <c r="X1122" s="1" t="b">
        <v>0</v>
      </c>
      <c r="Y1122" s="1" t="b">
        <v>0</v>
      </c>
      <c r="Z1122" s="1" t="b">
        <v>0</v>
      </c>
      <c r="AA1122" s="1" t="s">
        <v>2937</v>
      </c>
    </row>
    <row r="1123" spans="1:27" x14ac:dyDescent="0.25">
      <c r="A1123" s="1" t="s">
        <v>2886</v>
      </c>
      <c r="B1123" s="2" t="s">
        <v>2952</v>
      </c>
      <c r="C1123" s="2" t="s">
        <v>2953</v>
      </c>
      <c r="D1123" s="6">
        <f t="shared" si="28"/>
        <v>1</v>
      </c>
      <c r="E1123" s="7" t="str">
        <f t="shared" si="29"/>
        <v>disease-simulationIRIDIProbability</v>
      </c>
      <c r="F1123" s="8" t="b">
        <f>IF(D1123&lt;1,FALSE,ISERROR(MATCH(E1123,'Ontology and concepts per UC'!$A$2:$A$62,0)))</f>
        <v>1</v>
      </c>
      <c r="G1123" s="9" t="str">
        <f t="shared" si="30"/>
        <v/>
      </c>
      <c r="H1123" s="9" t="str">
        <f t="shared" si="31"/>
        <v/>
      </c>
      <c r="I1123" s="8" t="b">
        <f>IF(D1123&lt;2,FALSE,ISERROR(MATCH(H1123,'Ontology and concepts per UC'!$A$2:$A$62,0)))</f>
        <v>0</v>
      </c>
      <c r="J1123" s="9" t="str">
        <f t="shared" si="32"/>
        <v/>
      </c>
      <c r="K1123" s="8" t="b">
        <f>IF(D1123&lt;3,FALSE,ISERROR(MATCH(J1123,'Ontology and concepts per UC'!$A$2:$A$62,0)))</f>
        <v>0</v>
      </c>
      <c r="L1123" s="2" t="s">
        <v>2954</v>
      </c>
      <c r="M1123" s="2" t="s">
        <v>2955</v>
      </c>
      <c r="N1123" s="2"/>
      <c r="O1123" s="1" t="b">
        <v>1</v>
      </c>
      <c r="P1123" s="1">
        <v>0</v>
      </c>
      <c r="Q1123" s="1">
        <v>0</v>
      </c>
      <c r="R1123" s="1" t="b">
        <f t="shared" si="33"/>
        <v>1</v>
      </c>
      <c r="S1123" s="2" t="s">
        <v>107</v>
      </c>
      <c r="T1123" s="1" t="str">
        <f>IF(S1123="","",VLOOKUP(S1123,'Ontology and concepts per UC'!$F$2:$J$46,5,FALSE))</f>
        <v>Parcial</v>
      </c>
      <c r="U1123" s="1" t="b">
        <f t="array" ref="U1123">(INDEX('Ontology and concepts per UC'!$G$2:$I$46,MATCH($S1123,'Ontology and concepts per UC'!$F$2:$F$46,0),MATCH(LEFT($A1123,3),'Ontology and concepts per UC'!$G$1:$I$1,0))=0)</f>
        <v>0</v>
      </c>
      <c r="V1123" s="1" t="b">
        <f t="shared" si="34"/>
        <v>1</v>
      </c>
      <c r="W1123" s="1" t="b">
        <v>1</v>
      </c>
      <c r="X1123" s="1" t="b">
        <v>0</v>
      </c>
      <c r="Y1123" s="1" t="b">
        <v>0</v>
      </c>
      <c r="Z1123" s="1" t="b">
        <v>0</v>
      </c>
      <c r="AA1123" s="1" t="s">
        <v>2956</v>
      </c>
    </row>
    <row r="1124" spans="1:27" x14ac:dyDescent="0.25">
      <c r="A1124" s="1" t="s">
        <v>2886</v>
      </c>
      <c r="B1124" s="2" t="s">
        <v>2957</v>
      </c>
      <c r="C1124" s="2" t="s">
        <v>2953</v>
      </c>
      <c r="D1124" s="6">
        <f t="shared" si="28"/>
        <v>1</v>
      </c>
      <c r="E1124" s="7" t="str">
        <f t="shared" si="29"/>
        <v>disease-simulationIRIDIProbability</v>
      </c>
      <c r="F1124" s="8" t="b">
        <f>IF(D1124&lt;1,FALSE,ISERROR(MATCH(E1124,'Ontology and concepts per UC'!$A$2:$A$62,0)))</f>
        <v>1</v>
      </c>
      <c r="G1124" s="9" t="str">
        <f t="shared" si="30"/>
        <v/>
      </c>
      <c r="H1124" s="9" t="str">
        <f t="shared" si="31"/>
        <v/>
      </c>
      <c r="I1124" s="8" t="b">
        <f>IF(D1124&lt;2,FALSE,ISERROR(MATCH(H1124,'Ontology and concepts per UC'!$A$2:$A$62,0)))</f>
        <v>0</v>
      </c>
      <c r="J1124" s="9" t="str">
        <f t="shared" si="32"/>
        <v/>
      </c>
      <c r="K1124" s="8" t="b">
        <f>IF(D1124&lt;3,FALSE,ISERROR(MATCH(J1124,'Ontology and concepts per UC'!$A$2:$A$62,0)))</f>
        <v>0</v>
      </c>
      <c r="L1124" s="2" t="s">
        <v>2958</v>
      </c>
      <c r="M1124" s="2" t="s">
        <v>2959</v>
      </c>
      <c r="N1124" s="2"/>
      <c r="O1124" s="1" t="b">
        <v>1</v>
      </c>
      <c r="P1124" s="1">
        <v>0</v>
      </c>
      <c r="Q1124" s="1">
        <v>0</v>
      </c>
      <c r="R1124" s="1" t="b">
        <f t="shared" si="33"/>
        <v>1</v>
      </c>
      <c r="S1124" s="2" t="s">
        <v>107</v>
      </c>
      <c r="T1124" s="1" t="str">
        <f>IF(S1124="","",VLOOKUP(S1124,'Ontology and concepts per UC'!$F$2:$J$46,5,FALSE))</f>
        <v>Parcial</v>
      </c>
      <c r="U1124" s="1" t="b">
        <f t="array" ref="U1124">(INDEX('Ontology and concepts per UC'!$G$2:$I$46,MATCH($S1124,'Ontology and concepts per UC'!$F$2:$F$46,0),MATCH(LEFT($A1124,3),'Ontology and concepts per UC'!$G$1:$I$1,0))=0)</f>
        <v>0</v>
      </c>
      <c r="V1124" s="1" t="b">
        <f t="shared" si="34"/>
        <v>1</v>
      </c>
      <c r="W1124" s="1" t="b">
        <v>1</v>
      </c>
      <c r="X1124" s="1" t="b">
        <v>0</v>
      </c>
      <c r="Y1124" s="1" t="b">
        <v>0</v>
      </c>
      <c r="Z1124" s="1" t="b">
        <v>0</v>
      </c>
      <c r="AA1124" s="1" t="s">
        <v>2956</v>
      </c>
    </row>
    <row r="1125" spans="1:27" x14ac:dyDescent="0.25">
      <c r="A1125" s="1" t="s">
        <v>2886</v>
      </c>
      <c r="B1125" s="2" t="s">
        <v>2960</v>
      </c>
      <c r="C1125" s="2" t="s">
        <v>2953</v>
      </c>
      <c r="D1125" s="6">
        <f t="shared" si="28"/>
        <v>1</v>
      </c>
      <c r="E1125" s="7" t="str">
        <f t="shared" si="29"/>
        <v>disease-simulationIRIDIProbability</v>
      </c>
      <c r="F1125" s="8" t="b">
        <f>IF(D1125&lt;1,FALSE,ISERROR(MATCH(E1125,'Ontology and concepts per UC'!$A$2:$A$62,0)))</f>
        <v>1</v>
      </c>
      <c r="G1125" s="9" t="str">
        <f t="shared" si="30"/>
        <v/>
      </c>
      <c r="H1125" s="9" t="str">
        <f t="shared" si="31"/>
        <v/>
      </c>
      <c r="I1125" s="8" t="b">
        <f>IF(D1125&lt;2,FALSE,ISERROR(MATCH(H1125,'Ontology and concepts per UC'!$A$2:$A$62,0)))</f>
        <v>0</v>
      </c>
      <c r="J1125" s="9" t="str">
        <f t="shared" si="32"/>
        <v/>
      </c>
      <c r="K1125" s="8" t="b">
        <f>IF(D1125&lt;3,FALSE,ISERROR(MATCH(J1125,'Ontology and concepts per UC'!$A$2:$A$62,0)))</f>
        <v>0</v>
      </c>
      <c r="L1125" s="2" t="s">
        <v>2961</v>
      </c>
      <c r="M1125" s="2" t="s">
        <v>2962</v>
      </c>
      <c r="N1125" s="2"/>
      <c r="O1125" s="1" t="b">
        <v>1</v>
      </c>
      <c r="P1125" s="1">
        <v>0</v>
      </c>
      <c r="Q1125" s="1">
        <v>0</v>
      </c>
      <c r="R1125" s="1" t="b">
        <f t="shared" si="33"/>
        <v>1</v>
      </c>
      <c r="S1125" s="2" t="s">
        <v>107</v>
      </c>
      <c r="T1125" s="1" t="str">
        <f>IF(S1125="","",VLOOKUP(S1125,'Ontology and concepts per UC'!$F$2:$J$46,5,FALSE))</f>
        <v>Parcial</v>
      </c>
      <c r="U1125" s="1" t="b">
        <f t="array" ref="U1125">(INDEX('Ontology and concepts per UC'!$G$2:$I$46,MATCH($S1125,'Ontology and concepts per UC'!$F$2:$F$46,0),MATCH(LEFT($A1125,3),'Ontology and concepts per UC'!$G$1:$I$1,0))=0)</f>
        <v>0</v>
      </c>
      <c r="V1125" s="1" t="b">
        <f t="shared" si="34"/>
        <v>1</v>
      </c>
      <c r="W1125" s="1" t="b">
        <v>1</v>
      </c>
      <c r="X1125" s="1" t="b">
        <v>0</v>
      </c>
      <c r="Y1125" s="1" t="b">
        <v>0</v>
      </c>
      <c r="Z1125" s="1" t="b">
        <v>0</v>
      </c>
      <c r="AA1125" s="1" t="s">
        <v>2956</v>
      </c>
    </row>
    <row r="1126" spans="1:27" x14ac:dyDescent="0.25">
      <c r="A1126" s="1" t="s">
        <v>2886</v>
      </c>
      <c r="B1126" s="2" t="s">
        <v>2963</v>
      </c>
      <c r="C1126" s="2" t="s">
        <v>2953</v>
      </c>
      <c r="D1126" s="6">
        <f t="shared" si="28"/>
        <v>1</v>
      </c>
      <c r="E1126" s="7" t="str">
        <f t="shared" si="29"/>
        <v>disease-simulationIRIDIProbability</v>
      </c>
      <c r="F1126" s="8" t="b">
        <f>IF(D1126&lt;1,FALSE,ISERROR(MATCH(E1126,'Ontology and concepts per UC'!$A$2:$A$62,0)))</f>
        <v>1</v>
      </c>
      <c r="G1126" s="9" t="str">
        <f t="shared" si="30"/>
        <v/>
      </c>
      <c r="H1126" s="9" t="str">
        <f t="shared" si="31"/>
        <v/>
      </c>
      <c r="I1126" s="8" t="b">
        <f>IF(D1126&lt;2,FALSE,ISERROR(MATCH(H1126,'Ontology and concepts per UC'!$A$2:$A$62,0)))</f>
        <v>0</v>
      </c>
      <c r="J1126" s="9" t="str">
        <f t="shared" si="32"/>
        <v/>
      </c>
      <c r="K1126" s="8" t="b">
        <f>IF(D1126&lt;3,FALSE,ISERROR(MATCH(J1126,'Ontology and concepts per UC'!$A$2:$A$62,0)))</f>
        <v>0</v>
      </c>
      <c r="L1126" s="2" t="s">
        <v>2964</v>
      </c>
      <c r="M1126" s="2" t="s">
        <v>2965</v>
      </c>
      <c r="N1126" s="2"/>
      <c r="O1126" s="1" t="b">
        <v>1</v>
      </c>
      <c r="P1126" s="1">
        <v>0</v>
      </c>
      <c r="Q1126" s="1">
        <v>0</v>
      </c>
      <c r="R1126" s="1" t="b">
        <f t="shared" si="33"/>
        <v>1</v>
      </c>
      <c r="S1126" s="2" t="s">
        <v>107</v>
      </c>
      <c r="T1126" s="1" t="str">
        <f>IF(S1126="","",VLOOKUP(S1126,'Ontology and concepts per UC'!$F$2:$J$46,5,FALSE))</f>
        <v>Parcial</v>
      </c>
      <c r="U1126" s="1" t="b">
        <f t="array" ref="U1126">(INDEX('Ontology and concepts per UC'!$G$2:$I$46,MATCH($S1126,'Ontology and concepts per UC'!$F$2:$F$46,0),MATCH(LEFT($A1126,3),'Ontology and concepts per UC'!$G$1:$I$1,0))=0)</f>
        <v>0</v>
      </c>
      <c r="V1126" s="1" t="b">
        <f t="shared" si="34"/>
        <v>1</v>
      </c>
      <c r="W1126" s="1" t="b">
        <v>1</v>
      </c>
      <c r="X1126" s="1" t="b">
        <v>0</v>
      </c>
      <c r="Y1126" s="1" t="b">
        <v>0</v>
      </c>
      <c r="Z1126" s="1" t="b">
        <v>0</v>
      </c>
      <c r="AA1126" s="1" t="s">
        <v>2956</v>
      </c>
    </row>
    <row r="1127" spans="1:27" x14ac:dyDescent="0.25">
      <c r="A1127" s="1" t="s">
        <v>2886</v>
      </c>
      <c r="B1127" s="2" t="s">
        <v>2966</v>
      </c>
      <c r="C1127" s="2" t="s">
        <v>2953</v>
      </c>
      <c r="D1127" s="6">
        <f t="shared" si="28"/>
        <v>1</v>
      </c>
      <c r="E1127" s="7" t="str">
        <f t="shared" si="29"/>
        <v>disease-simulationIRIDIProbability</v>
      </c>
      <c r="F1127" s="8" t="b">
        <f>IF(D1127&lt;1,FALSE,ISERROR(MATCH(E1127,'Ontology and concepts per UC'!$A$2:$A$62,0)))</f>
        <v>1</v>
      </c>
      <c r="G1127" s="9" t="str">
        <f t="shared" si="30"/>
        <v/>
      </c>
      <c r="H1127" s="9" t="str">
        <f t="shared" si="31"/>
        <v/>
      </c>
      <c r="I1127" s="8" t="b">
        <f>IF(D1127&lt;2,FALSE,ISERROR(MATCH(H1127,'Ontology and concepts per UC'!$A$2:$A$62,0)))</f>
        <v>0</v>
      </c>
      <c r="J1127" s="9" t="str">
        <f t="shared" si="32"/>
        <v/>
      </c>
      <c r="K1127" s="8" t="b">
        <f>IF(D1127&lt;3,FALSE,ISERROR(MATCH(J1127,'Ontology and concepts per UC'!$A$2:$A$62,0)))</f>
        <v>0</v>
      </c>
      <c r="L1127" s="2" t="s">
        <v>2967</v>
      </c>
      <c r="M1127" s="2" t="s">
        <v>2968</v>
      </c>
      <c r="N1127" s="2"/>
      <c r="O1127" s="1" t="b">
        <v>1</v>
      </c>
      <c r="P1127" s="1">
        <v>0</v>
      </c>
      <c r="Q1127" s="1">
        <v>0</v>
      </c>
      <c r="R1127" s="1" t="b">
        <f t="shared" si="33"/>
        <v>1</v>
      </c>
      <c r="S1127" s="2" t="s">
        <v>107</v>
      </c>
      <c r="T1127" s="1" t="str">
        <f>IF(S1127="","",VLOOKUP(S1127,'Ontology and concepts per UC'!$F$2:$J$46,5,FALSE))</f>
        <v>Parcial</v>
      </c>
      <c r="U1127" s="1" t="b">
        <f t="array" ref="U1127">(INDEX('Ontology and concepts per UC'!$G$2:$I$46,MATCH($S1127,'Ontology and concepts per UC'!$F$2:$F$46,0),MATCH(LEFT($A1127,3),'Ontology and concepts per UC'!$G$1:$I$1,0))=0)</f>
        <v>0</v>
      </c>
      <c r="V1127" s="1" t="b">
        <f t="shared" si="34"/>
        <v>1</v>
      </c>
      <c r="W1127" s="1" t="b">
        <v>1</v>
      </c>
      <c r="X1127" s="1" t="b">
        <v>0</v>
      </c>
      <c r="Y1127" s="1" t="b">
        <v>0</v>
      </c>
      <c r="Z1127" s="1" t="b">
        <v>0</v>
      </c>
      <c r="AA1127" s="1" t="s">
        <v>2956</v>
      </c>
    </row>
    <row r="1128" spans="1:27" x14ac:dyDescent="0.25">
      <c r="A1128" s="1" t="s">
        <v>2886</v>
      </c>
      <c r="B1128" s="2" t="s">
        <v>2969</v>
      </c>
      <c r="C1128" s="2" t="s">
        <v>2953</v>
      </c>
      <c r="D1128" s="6">
        <f t="shared" si="28"/>
        <v>1</v>
      </c>
      <c r="E1128" s="7" t="str">
        <f t="shared" si="29"/>
        <v>disease-simulationIRIDIProbability</v>
      </c>
      <c r="F1128" s="8" t="b">
        <f>IF(D1128&lt;1,FALSE,ISERROR(MATCH(E1128,'Ontology and concepts per UC'!$A$2:$A$62,0)))</f>
        <v>1</v>
      </c>
      <c r="G1128" s="9" t="str">
        <f t="shared" si="30"/>
        <v/>
      </c>
      <c r="H1128" s="9" t="str">
        <f t="shared" si="31"/>
        <v/>
      </c>
      <c r="I1128" s="8" t="b">
        <f>IF(D1128&lt;2,FALSE,ISERROR(MATCH(H1128,'Ontology and concepts per UC'!$A$2:$A$62,0)))</f>
        <v>0</v>
      </c>
      <c r="J1128" s="9" t="str">
        <f t="shared" si="32"/>
        <v/>
      </c>
      <c r="K1128" s="8" t="b">
        <f>IF(D1128&lt;3,FALSE,ISERROR(MATCH(J1128,'Ontology and concepts per UC'!$A$2:$A$62,0)))</f>
        <v>0</v>
      </c>
      <c r="L1128" s="2" t="s">
        <v>2970</v>
      </c>
      <c r="M1128" s="2" t="s">
        <v>2971</v>
      </c>
      <c r="N1128" s="2"/>
      <c r="O1128" s="1" t="b">
        <v>1</v>
      </c>
      <c r="P1128" s="1">
        <v>0</v>
      </c>
      <c r="Q1128" s="1">
        <v>0</v>
      </c>
      <c r="R1128" s="1" t="b">
        <f t="shared" si="33"/>
        <v>1</v>
      </c>
      <c r="S1128" s="2" t="s">
        <v>107</v>
      </c>
      <c r="T1128" s="1" t="str">
        <f>IF(S1128="","",VLOOKUP(S1128,'Ontology and concepts per UC'!$F$2:$J$46,5,FALSE))</f>
        <v>Parcial</v>
      </c>
      <c r="U1128" s="1" t="b">
        <f t="array" ref="U1128">(INDEX('Ontology and concepts per UC'!$G$2:$I$46,MATCH($S1128,'Ontology and concepts per UC'!$F$2:$F$46,0),MATCH(LEFT($A1128,3),'Ontology and concepts per UC'!$G$1:$I$1,0))=0)</f>
        <v>0</v>
      </c>
      <c r="V1128" s="1" t="b">
        <f t="shared" si="34"/>
        <v>1</v>
      </c>
      <c r="W1128" s="1" t="b">
        <v>1</v>
      </c>
      <c r="X1128" s="1" t="b">
        <v>0</v>
      </c>
      <c r="Y1128" s="1" t="b">
        <v>0</v>
      </c>
      <c r="Z1128" s="1" t="b">
        <v>0</v>
      </c>
      <c r="AA1128" s="1" t="s">
        <v>2956</v>
      </c>
    </row>
    <row r="1129" spans="1:27" x14ac:dyDescent="0.25">
      <c r="A1129" s="1" t="s">
        <v>2886</v>
      </c>
      <c r="B1129" s="2" t="s">
        <v>2972</v>
      </c>
      <c r="C1129" s="2" t="s">
        <v>2953</v>
      </c>
      <c r="D1129" s="6">
        <f t="shared" si="28"/>
        <v>1</v>
      </c>
      <c r="E1129" s="7" t="str">
        <f t="shared" si="29"/>
        <v>disease-simulationIRIDIProbability</v>
      </c>
      <c r="F1129" s="8" t="b">
        <f>IF(D1129&lt;1,FALSE,ISERROR(MATCH(E1129,'Ontology and concepts per UC'!$A$2:$A$62,0)))</f>
        <v>1</v>
      </c>
      <c r="G1129" s="9" t="str">
        <f t="shared" si="30"/>
        <v/>
      </c>
      <c r="H1129" s="9" t="str">
        <f t="shared" si="31"/>
        <v/>
      </c>
      <c r="I1129" s="8" t="b">
        <f>IF(D1129&lt;2,FALSE,ISERROR(MATCH(H1129,'Ontology and concepts per UC'!$A$2:$A$62,0)))</f>
        <v>0</v>
      </c>
      <c r="J1129" s="9" t="str">
        <f t="shared" si="32"/>
        <v/>
      </c>
      <c r="K1129" s="8" t="b">
        <f>IF(D1129&lt;3,FALSE,ISERROR(MATCH(J1129,'Ontology and concepts per UC'!$A$2:$A$62,0)))</f>
        <v>0</v>
      </c>
      <c r="L1129" s="2" t="s">
        <v>2954</v>
      </c>
      <c r="M1129" s="2" t="s">
        <v>2955</v>
      </c>
      <c r="N1129" s="2"/>
      <c r="O1129" s="1" t="b">
        <v>1</v>
      </c>
      <c r="P1129" s="1">
        <v>0</v>
      </c>
      <c r="Q1129" s="1">
        <v>0</v>
      </c>
      <c r="R1129" s="1" t="b">
        <f t="shared" si="33"/>
        <v>1</v>
      </c>
      <c r="S1129" s="2" t="s">
        <v>55</v>
      </c>
      <c r="T1129" s="1" t="str">
        <f>IF(S1129="","",VLOOKUP(S1129,'Ontology and concepts per UC'!$F$2:$J$46,5,FALSE))</f>
        <v>Parámetros de progresión</v>
      </c>
      <c r="U1129" s="1" t="b">
        <f t="array" ref="U1129">(INDEX('Ontology and concepts per UC'!$G$2:$I$46,MATCH($S1129,'Ontology and concepts per UC'!$F$2:$F$46,0),MATCH(LEFT($A1129,3),'Ontology and concepts per UC'!$G$1:$I$1,0))=0)</f>
        <v>0</v>
      </c>
      <c r="V1129" s="1" t="b">
        <f t="shared" si="34"/>
        <v>1</v>
      </c>
      <c r="W1129" s="1" t="b">
        <v>1</v>
      </c>
      <c r="X1129" s="1" t="b">
        <v>0</v>
      </c>
      <c r="Y1129" s="1" t="b">
        <v>0</v>
      </c>
      <c r="Z1129" s="1" t="b">
        <v>0</v>
      </c>
      <c r="AA1129" s="1" t="s">
        <v>2956</v>
      </c>
    </row>
    <row r="1130" spans="1:27" x14ac:dyDescent="0.25">
      <c r="A1130" s="1" t="s">
        <v>2886</v>
      </c>
      <c r="B1130" s="2" t="s">
        <v>2973</v>
      </c>
      <c r="C1130" s="2" t="s">
        <v>2953</v>
      </c>
      <c r="D1130" s="6">
        <f t="shared" si="28"/>
        <v>1</v>
      </c>
      <c r="E1130" s="7" t="str">
        <f t="shared" si="29"/>
        <v>disease-simulationIRIDIProbability</v>
      </c>
      <c r="F1130" s="8" t="b">
        <f>IF(D1130&lt;1,FALSE,ISERROR(MATCH(E1130,'Ontology and concepts per UC'!$A$2:$A$62,0)))</f>
        <v>1</v>
      </c>
      <c r="G1130" s="9" t="str">
        <f t="shared" si="30"/>
        <v/>
      </c>
      <c r="H1130" s="9" t="str">
        <f t="shared" si="31"/>
        <v/>
      </c>
      <c r="I1130" s="8" t="b">
        <f>IF(D1130&lt;2,FALSE,ISERROR(MATCH(H1130,'Ontology and concepts per UC'!$A$2:$A$62,0)))</f>
        <v>0</v>
      </c>
      <c r="J1130" s="9" t="str">
        <f t="shared" si="32"/>
        <v/>
      </c>
      <c r="K1130" s="8" t="b">
        <f>IF(D1130&lt;3,FALSE,ISERROR(MATCH(J1130,'Ontology and concepts per UC'!$A$2:$A$62,0)))</f>
        <v>0</v>
      </c>
      <c r="L1130" s="2" t="s">
        <v>2958</v>
      </c>
      <c r="M1130" s="2" t="s">
        <v>2974</v>
      </c>
      <c r="N1130" s="2"/>
      <c r="O1130" s="1" t="b">
        <v>1</v>
      </c>
      <c r="P1130" s="1">
        <v>0</v>
      </c>
      <c r="Q1130" s="1">
        <v>0</v>
      </c>
      <c r="R1130" s="1" t="b">
        <f t="shared" si="33"/>
        <v>1</v>
      </c>
      <c r="S1130" s="2" t="s">
        <v>50</v>
      </c>
      <c r="T1130" s="1" t="str">
        <f>IF(S1130="","",VLOOKUP(S1130,'Ontology and concepts per UC'!$F$2:$J$46,5,FALSE))</f>
        <v>Parámetros de progresión</v>
      </c>
      <c r="U1130" s="1" t="b">
        <f t="array" ref="U1130">(INDEX('Ontology and concepts per UC'!$G$2:$I$46,MATCH($S1130,'Ontology and concepts per UC'!$F$2:$F$46,0),MATCH(LEFT($A1130,3),'Ontology and concepts per UC'!$G$1:$I$1,0))=0)</f>
        <v>0</v>
      </c>
      <c r="V1130" s="1" t="b">
        <f t="shared" si="34"/>
        <v>1</v>
      </c>
      <c r="W1130" s="1" t="b">
        <v>1</v>
      </c>
      <c r="X1130" s="1" t="b">
        <v>0</v>
      </c>
      <c r="Y1130" s="1" t="b">
        <v>0</v>
      </c>
      <c r="Z1130" s="1" t="b">
        <v>0</v>
      </c>
      <c r="AA1130" s="1" t="s">
        <v>2956</v>
      </c>
    </row>
    <row r="1131" spans="1:27" x14ac:dyDescent="0.25">
      <c r="A1131" s="1" t="s">
        <v>2886</v>
      </c>
      <c r="B1131" s="2" t="s">
        <v>2975</v>
      </c>
      <c r="C1131" s="2" t="s">
        <v>2953</v>
      </c>
      <c r="D1131" s="6">
        <f t="shared" si="28"/>
        <v>1</v>
      </c>
      <c r="E1131" s="7" t="str">
        <f t="shared" si="29"/>
        <v>disease-simulationIRIDIProbability</v>
      </c>
      <c r="F1131" s="8" t="b">
        <f>IF(D1131&lt;1,FALSE,ISERROR(MATCH(E1131,'Ontology and concepts per UC'!$A$2:$A$62,0)))</f>
        <v>1</v>
      </c>
      <c r="G1131" s="9" t="str">
        <f t="shared" si="30"/>
        <v/>
      </c>
      <c r="H1131" s="9" t="str">
        <f t="shared" si="31"/>
        <v/>
      </c>
      <c r="I1131" s="8" t="b">
        <f>IF(D1131&lt;2,FALSE,ISERROR(MATCH(H1131,'Ontology and concepts per UC'!$A$2:$A$62,0)))</f>
        <v>0</v>
      </c>
      <c r="J1131" s="9" t="str">
        <f t="shared" si="32"/>
        <v/>
      </c>
      <c r="K1131" s="8" t="b">
        <f>IF(D1131&lt;3,FALSE,ISERROR(MATCH(J1131,'Ontology and concepts per UC'!$A$2:$A$62,0)))</f>
        <v>0</v>
      </c>
      <c r="L1131" s="2" t="s">
        <v>2961</v>
      </c>
      <c r="M1131" s="2" t="s">
        <v>2976</v>
      </c>
      <c r="N1131" s="2"/>
      <c r="O1131" s="1" t="b">
        <v>1</v>
      </c>
      <c r="P1131" s="1">
        <v>0</v>
      </c>
      <c r="Q1131" s="1">
        <v>0</v>
      </c>
      <c r="R1131" s="1" t="b">
        <f t="shared" si="33"/>
        <v>1</v>
      </c>
      <c r="S1131" s="2" t="s">
        <v>51</v>
      </c>
      <c r="T1131" s="1" t="str">
        <f>IF(S1131="","",VLOOKUP(S1131,'Ontology and concepts per UC'!$F$2:$J$46,5,FALSE))</f>
        <v>Parámetros de progresión</v>
      </c>
      <c r="U1131" s="1" t="b">
        <f t="array" ref="U1131">(INDEX('Ontology and concepts per UC'!$G$2:$I$46,MATCH($S1131,'Ontology and concepts per UC'!$F$2:$F$46,0),MATCH(LEFT($A1131,3),'Ontology and concepts per UC'!$G$1:$I$1,0))=0)</f>
        <v>0</v>
      </c>
      <c r="V1131" s="1" t="b">
        <f t="shared" si="34"/>
        <v>1</v>
      </c>
      <c r="W1131" s="1" t="b">
        <v>1</v>
      </c>
      <c r="X1131" s="1" t="b">
        <v>0</v>
      </c>
      <c r="Y1131" s="1" t="b">
        <v>0</v>
      </c>
      <c r="Z1131" s="1" t="b">
        <v>0</v>
      </c>
      <c r="AA1131" s="1" t="s">
        <v>2956</v>
      </c>
    </row>
    <row r="1132" spans="1:27" x14ac:dyDescent="0.25">
      <c r="A1132" s="1" t="s">
        <v>2886</v>
      </c>
      <c r="B1132" s="2" t="s">
        <v>2977</v>
      </c>
      <c r="C1132" s="2" t="s">
        <v>2953</v>
      </c>
      <c r="D1132" s="6">
        <f t="shared" si="28"/>
        <v>1</v>
      </c>
      <c r="E1132" s="7" t="str">
        <f t="shared" si="29"/>
        <v>disease-simulationIRIDIProbability</v>
      </c>
      <c r="F1132" s="8" t="b">
        <f>IF(D1132&lt;1,FALSE,ISERROR(MATCH(E1132,'Ontology and concepts per UC'!$A$2:$A$62,0)))</f>
        <v>1</v>
      </c>
      <c r="G1132" s="9" t="str">
        <f t="shared" si="30"/>
        <v/>
      </c>
      <c r="H1132" s="9" t="str">
        <f t="shared" si="31"/>
        <v/>
      </c>
      <c r="I1132" s="8" t="b">
        <f>IF(D1132&lt;2,FALSE,ISERROR(MATCH(H1132,'Ontology and concepts per UC'!$A$2:$A$62,0)))</f>
        <v>0</v>
      </c>
      <c r="J1132" s="9" t="str">
        <f t="shared" si="32"/>
        <v/>
      </c>
      <c r="K1132" s="8" t="b">
        <f>IF(D1132&lt;3,FALSE,ISERROR(MATCH(J1132,'Ontology and concepts per UC'!$A$2:$A$62,0)))</f>
        <v>0</v>
      </c>
      <c r="L1132" s="2" t="s">
        <v>2964</v>
      </c>
      <c r="M1132" s="2" t="s">
        <v>2965</v>
      </c>
      <c r="N1132" s="2"/>
      <c r="O1132" s="1" t="b">
        <v>1</v>
      </c>
      <c r="P1132" s="1">
        <v>0</v>
      </c>
      <c r="Q1132" s="1">
        <v>0</v>
      </c>
      <c r="R1132" s="1" t="b">
        <f t="shared" si="33"/>
        <v>1</v>
      </c>
      <c r="S1132" s="2" t="s">
        <v>54</v>
      </c>
      <c r="T1132" s="1" t="str">
        <f>IF(S1132="","",VLOOKUP(S1132,'Ontology and concepts per UC'!$F$2:$J$46,5,FALSE))</f>
        <v>Parámetros de progresión</v>
      </c>
      <c r="U1132" s="1" t="b">
        <f t="array" ref="U1132">(INDEX('Ontology and concepts per UC'!$G$2:$I$46,MATCH($S1132,'Ontology and concepts per UC'!$F$2:$F$46,0),MATCH(LEFT($A1132,3),'Ontology and concepts per UC'!$G$1:$I$1,0))=0)</f>
        <v>0</v>
      </c>
      <c r="V1132" s="1" t="b">
        <f t="shared" si="34"/>
        <v>1</v>
      </c>
      <c r="W1132" s="1" t="b">
        <v>1</v>
      </c>
      <c r="X1132" s="1" t="b">
        <v>0</v>
      </c>
      <c r="Y1132" s="1" t="b">
        <v>0</v>
      </c>
      <c r="Z1132" s="1" t="b">
        <v>0</v>
      </c>
      <c r="AA1132" s="1" t="s">
        <v>2956</v>
      </c>
    </row>
    <row r="1133" spans="1:27" x14ac:dyDescent="0.25">
      <c r="A1133" s="1" t="s">
        <v>2886</v>
      </c>
      <c r="B1133" s="2" t="s">
        <v>2978</v>
      </c>
      <c r="C1133" s="2" t="s">
        <v>2953</v>
      </c>
      <c r="D1133" s="6">
        <f t="shared" si="28"/>
        <v>1</v>
      </c>
      <c r="E1133" s="7" t="str">
        <f t="shared" si="29"/>
        <v>disease-simulationIRIDIProbability</v>
      </c>
      <c r="F1133" s="8" t="b">
        <f>IF(D1133&lt;1,FALSE,ISERROR(MATCH(E1133,'Ontology and concepts per UC'!$A$2:$A$62,0)))</f>
        <v>1</v>
      </c>
      <c r="G1133" s="9" t="str">
        <f t="shared" si="30"/>
        <v/>
      </c>
      <c r="H1133" s="9" t="str">
        <f t="shared" si="31"/>
        <v/>
      </c>
      <c r="I1133" s="8" t="b">
        <f>IF(D1133&lt;2,FALSE,ISERROR(MATCH(H1133,'Ontology and concepts per UC'!$A$2:$A$62,0)))</f>
        <v>0</v>
      </c>
      <c r="J1133" s="9" t="str">
        <f t="shared" si="32"/>
        <v/>
      </c>
      <c r="K1133" s="8" t="b">
        <f>IF(D1133&lt;3,FALSE,ISERROR(MATCH(J1133,'Ontology and concepts per UC'!$A$2:$A$62,0)))</f>
        <v>0</v>
      </c>
      <c r="L1133" s="2" t="s">
        <v>2967</v>
      </c>
      <c r="M1133" s="2" t="s">
        <v>2979</v>
      </c>
      <c r="N1133" s="2"/>
      <c r="O1133" s="1" t="b">
        <v>1</v>
      </c>
      <c r="P1133" s="1">
        <v>0</v>
      </c>
      <c r="Q1133" s="1">
        <v>0</v>
      </c>
      <c r="R1133" s="1" t="b">
        <f t="shared" si="33"/>
        <v>1</v>
      </c>
      <c r="S1133" s="2" t="s">
        <v>58</v>
      </c>
      <c r="T1133" s="1" t="str">
        <f>IF(S1133="","",VLOOKUP(S1133,'Ontology and concepts per UC'!$F$2:$J$46,5,FALSE))</f>
        <v>Parámetros de progresión</v>
      </c>
      <c r="U1133" s="1" t="b">
        <f t="array" ref="U1133">(INDEX('Ontology and concepts per UC'!$G$2:$I$46,MATCH($S1133,'Ontology and concepts per UC'!$F$2:$F$46,0),MATCH(LEFT($A1133,3),'Ontology and concepts per UC'!$G$1:$I$1,0))=0)</f>
        <v>0</v>
      </c>
      <c r="V1133" s="1" t="b">
        <f t="shared" si="34"/>
        <v>1</v>
      </c>
      <c r="W1133" s="1" t="b">
        <v>1</v>
      </c>
      <c r="X1133" s="1" t="b">
        <v>0</v>
      </c>
      <c r="Y1133" s="1" t="b">
        <v>0</v>
      </c>
      <c r="Z1133" s="1" t="b">
        <v>0</v>
      </c>
      <c r="AA1133" s="1" t="s">
        <v>2956</v>
      </c>
    </row>
    <row r="1134" spans="1:27" x14ac:dyDescent="0.25">
      <c r="A1134" s="1" t="s">
        <v>2886</v>
      </c>
      <c r="B1134" s="2" t="s">
        <v>2980</v>
      </c>
      <c r="C1134" s="2" t="s">
        <v>2953</v>
      </c>
      <c r="D1134" s="6">
        <f t="shared" si="28"/>
        <v>1</v>
      </c>
      <c r="E1134" s="7" t="str">
        <f t="shared" si="29"/>
        <v>disease-simulationIRIDIProbability</v>
      </c>
      <c r="F1134" s="8" t="b">
        <f>IF(D1134&lt;1,FALSE,ISERROR(MATCH(E1134,'Ontology and concepts per UC'!$A$2:$A$62,0)))</f>
        <v>1</v>
      </c>
      <c r="G1134" s="9" t="str">
        <f t="shared" si="30"/>
        <v/>
      </c>
      <c r="H1134" s="9" t="str">
        <f t="shared" si="31"/>
        <v/>
      </c>
      <c r="I1134" s="8" t="b">
        <f>IF(D1134&lt;2,FALSE,ISERROR(MATCH(H1134,'Ontology and concepts per UC'!$A$2:$A$62,0)))</f>
        <v>0</v>
      </c>
      <c r="J1134" s="9" t="str">
        <f t="shared" si="32"/>
        <v/>
      </c>
      <c r="K1134" s="8" t="b">
        <f>IF(D1134&lt;3,FALSE,ISERROR(MATCH(J1134,'Ontology and concepts per UC'!$A$2:$A$62,0)))</f>
        <v>0</v>
      </c>
      <c r="L1134" s="2" t="s">
        <v>2970</v>
      </c>
      <c r="M1134" s="2" t="s">
        <v>2971</v>
      </c>
      <c r="N1134" s="2"/>
      <c r="O1134" s="1" t="b">
        <v>1</v>
      </c>
      <c r="P1134" s="1">
        <v>0</v>
      </c>
      <c r="Q1134" s="1">
        <v>0</v>
      </c>
      <c r="R1134" s="1" t="b">
        <f t="shared" si="33"/>
        <v>1</v>
      </c>
      <c r="S1134" s="2" t="s">
        <v>56</v>
      </c>
      <c r="T1134" s="1" t="str">
        <f>IF(S1134="","",VLOOKUP(S1134,'Ontology and concepts per UC'!$F$2:$J$46,5,FALSE))</f>
        <v>Parámetros de progresión</v>
      </c>
      <c r="U1134" s="1" t="b">
        <f t="array" ref="U1134">(INDEX('Ontology and concepts per UC'!$G$2:$I$46,MATCH($S1134,'Ontology and concepts per UC'!$F$2:$F$46,0),MATCH(LEFT($A1134,3),'Ontology and concepts per UC'!$G$1:$I$1,0))=0)</f>
        <v>0</v>
      </c>
      <c r="V1134" s="1" t="b">
        <f t="shared" si="34"/>
        <v>1</v>
      </c>
      <c r="W1134" s="1" t="b">
        <v>1</v>
      </c>
      <c r="X1134" s="1" t="b">
        <v>0</v>
      </c>
      <c r="Y1134" s="1" t="b">
        <v>0</v>
      </c>
      <c r="Z1134" s="1" t="b">
        <v>0</v>
      </c>
      <c r="AA1134" s="1" t="s">
        <v>2956</v>
      </c>
    </row>
    <row r="1135" spans="1:27" x14ac:dyDescent="0.25">
      <c r="A1135" s="1" t="s">
        <v>2886</v>
      </c>
      <c r="B1135" s="2" t="s">
        <v>2981</v>
      </c>
      <c r="C1135" s="2" t="s">
        <v>2982</v>
      </c>
      <c r="D1135" s="6">
        <f t="shared" si="28"/>
        <v>1</v>
      </c>
      <c r="E1135" s="7" t="str">
        <f t="shared" si="29"/>
        <v>disease-simulationIRIDITimeToEvent</v>
      </c>
      <c r="F1135" s="8" t="b">
        <f>IF(D1135&lt;1,FALSE,ISERROR(MATCH(E1135,'Ontology and concepts per UC'!$A$2:$A$62,0)))</f>
        <v>1</v>
      </c>
      <c r="G1135" s="9" t="str">
        <f t="shared" si="30"/>
        <v/>
      </c>
      <c r="H1135" s="9" t="str">
        <f t="shared" si="31"/>
        <v/>
      </c>
      <c r="I1135" s="8" t="b">
        <f>IF(D1135&lt;2,FALSE,ISERROR(MATCH(H1135,'Ontology and concepts per UC'!$A$2:$A$62,0)))</f>
        <v>0</v>
      </c>
      <c r="J1135" s="9" t="str">
        <f t="shared" si="32"/>
        <v/>
      </c>
      <c r="K1135" s="8" t="b">
        <f>IF(D1135&lt;3,FALSE,ISERROR(MATCH(J1135,'Ontology and concepts per UC'!$A$2:$A$62,0)))</f>
        <v>0</v>
      </c>
      <c r="L1135" s="2" t="s">
        <v>2935</v>
      </c>
      <c r="M1135" s="2" t="s">
        <v>2983</v>
      </c>
      <c r="N1135" s="2"/>
      <c r="O1135" s="1" t="b">
        <v>1</v>
      </c>
      <c r="P1135" s="1">
        <v>0</v>
      </c>
      <c r="Q1135" s="1">
        <v>0</v>
      </c>
      <c r="R1135" s="1" t="b">
        <f t="shared" si="33"/>
        <v>1</v>
      </c>
      <c r="S1135" s="2" t="s">
        <v>55</v>
      </c>
      <c r="T1135" s="1" t="str">
        <f>IF(S1135="","",VLOOKUP(S1135,'Ontology and concepts per UC'!$F$2:$J$46,5,FALSE))</f>
        <v>Parámetros de progresión</v>
      </c>
      <c r="U1135" s="1" t="b">
        <f t="array" ref="U1135">(INDEX('Ontology and concepts per UC'!$G$2:$I$46,MATCH($S1135,'Ontology and concepts per UC'!$F$2:$F$46,0),MATCH(LEFT($A1135,3),'Ontology and concepts per UC'!$G$1:$I$1,0))=0)</f>
        <v>0</v>
      </c>
      <c r="V1135" s="1" t="b">
        <f t="shared" si="34"/>
        <v>1</v>
      </c>
      <c r="W1135" s="1" t="b">
        <v>1</v>
      </c>
      <c r="X1135" s="1" t="b">
        <v>0</v>
      </c>
      <c r="Y1135" s="1" t="b">
        <v>0</v>
      </c>
      <c r="Z1135" s="1" t="b">
        <v>0</v>
      </c>
      <c r="AA1135" s="1" t="s">
        <v>2984</v>
      </c>
    </row>
    <row r="1136" spans="1:27" x14ac:dyDescent="0.25">
      <c r="A1136" s="1" t="s">
        <v>2886</v>
      </c>
      <c r="B1136" s="2" t="s">
        <v>2985</v>
      </c>
      <c r="C1136" s="2" t="s">
        <v>2982</v>
      </c>
      <c r="D1136" s="6">
        <f t="shared" si="28"/>
        <v>1</v>
      </c>
      <c r="E1136" s="7" t="str">
        <f t="shared" si="29"/>
        <v>disease-simulationIRIDITimeToEvent</v>
      </c>
      <c r="F1136" s="8" t="b">
        <f>IF(D1136&lt;1,FALSE,ISERROR(MATCH(E1136,'Ontology and concepts per UC'!$A$2:$A$62,0)))</f>
        <v>1</v>
      </c>
      <c r="G1136" s="9" t="str">
        <f t="shared" si="30"/>
        <v/>
      </c>
      <c r="H1136" s="9" t="str">
        <f t="shared" si="31"/>
        <v/>
      </c>
      <c r="I1136" s="8" t="b">
        <f>IF(D1136&lt;2,FALSE,ISERROR(MATCH(H1136,'Ontology and concepts per UC'!$A$2:$A$62,0)))</f>
        <v>0</v>
      </c>
      <c r="J1136" s="9" t="str">
        <f t="shared" si="32"/>
        <v/>
      </c>
      <c r="K1136" s="8" t="b">
        <f>IF(D1136&lt;3,FALSE,ISERROR(MATCH(J1136,'Ontology and concepts per UC'!$A$2:$A$62,0)))</f>
        <v>0</v>
      </c>
      <c r="L1136" s="2" t="s">
        <v>2939</v>
      </c>
      <c r="M1136" s="2" t="s">
        <v>2986</v>
      </c>
      <c r="N1136" s="2"/>
      <c r="O1136" s="1" t="b">
        <v>1</v>
      </c>
      <c r="P1136" s="1">
        <v>0</v>
      </c>
      <c r="Q1136" s="1">
        <v>0</v>
      </c>
      <c r="R1136" s="1" t="b">
        <f t="shared" si="33"/>
        <v>1</v>
      </c>
      <c r="S1136" s="2" t="s">
        <v>50</v>
      </c>
      <c r="T1136" s="1" t="str">
        <f>IF(S1136="","",VLOOKUP(S1136,'Ontology and concepts per UC'!$F$2:$J$46,5,FALSE))</f>
        <v>Parámetros de progresión</v>
      </c>
      <c r="U1136" s="1" t="b">
        <f t="array" ref="U1136">(INDEX('Ontology and concepts per UC'!$G$2:$I$46,MATCH($S1136,'Ontology and concepts per UC'!$F$2:$F$46,0),MATCH(LEFT($A1136,3),'Ontology and concepts per UC'!$G$1:$I$1,0))=0)</f>
        <v>0</v>
      </c>
      <c r="V1136" s="1" t="b">
        <f t="shared" si="34"/>
        <v>1</v>
      </c>
      <c r="W1136" s="1" t="b">
        <v>1</v>
      </c>
      <c r="X1136" s="1" t="b">
        <v>0</v>
      </c>
      <c r="Y1136" s="1" t="b">
        <v>0</v>
      </c>
      <c r="Z1136" s="1" t="b">
        <v>0</v>
      </c>
      <c r="AA1136" s="1" t="s">
        <v>2984</v>
      </c>
    </row>
    <row r="1137" spans="1:27" x14ac:dyDescent="0.25">
      <c r="A1137" s="1" t="s">
        <v>2886</v>
      </c>
      <c r="B1137" s="2" t="s">
        <v>2987</v>
      </c>
      <c r="C1137" s="2" t="s">
        <v>2982</v>
      </c>
      <c r="D1137" s="6">
        <f t="shared" si="28"/>
        <v>1</v>
      </c>
      <c r="E1137" s="7" t="str">
        <f t="shared" si="29"/>
        <v>disease-simulationIRIDITimeToEvent</v>
      </c>
      <c r="F1137" s="8" t="b">
        <f>IF(D1137&lt;1,FALSE,ISERROR(MATCH(E1137,'Ontology and concepts per UC'!$A$2:$A$62,0)))</f>
        <v>1</v>
      </c>
      <c r="G1137" s="9" t="str">
        <f t="shared" si="30"/>
        <v/>
      </c>
      <c r="H1137" s="9" t="str">
        <f t="shared" si="31"/>
        <v/>
      </c>
      <c r="I1137" s="8" t="b">
        <f>IF(D1137&lt;2,FALSE,ISERROR(MATCH(H1137,'Ontology and concepts per UC'!$A$2:$A$62,0)))</f>
        <v>0</v>
      </c>
      <c r="J1137" s="9" t="str">
        <f t="shared" si="32"/>
        <v/>
      </c>
      <c r="K1137" s="8" t="b">
        <f>IF(D1137&lt;3,FALSE,ISERROR(MATCH(J1137,'Ontology and concepts per UC'!$A$2:$A$62,0)))</f>
        <v>0</v>
      </c>
      <c r="L1137" s="2" t="s">
        <v>2942</v>
      </c>
      <c r="M1137" s="2" t="s">
        <v>2988</v>
      </c>
      <c r="N1137" s="2"/>
      <c r="O1137" s="1" t="b">
        <v>1</v>
      </c>
      <c r="P1137" s="1">
        <v>0</v>
      </c>
      <c r="Q1137" s="1">
        <v>0</v>
      </c>
      <c r="R1137" s="1" t="b">
        <f t="shared" si="33"/>
        <v>1</v>
      </c>
      <c r="S1137" s="2" t="s">
        <v>51</v>
      </c>
      <c r="T1137" s="1" t="str">
        <f>IF(S1137="","",VLOOKUP(S1137,'Ontology and concepts per UC'!$F$2:$J$46,5,FALSE))</f>
        <v>Parámetros de progresión</v>
      </c>
      <c r="U1137" s="1" t="b">
        <f t="array" ref="U1137">(INDEX('Ontology and concepts per UC'!$G$2:$I$46,MATCH($S1137,'Ontology and concepts per UC'!$F$2:$F$46,0),MATCH(LEFT($A1137,3),'Ontology and concepts per UC'!$G$1:$I$1,0))=0)</f>
        <v>0</v>
      </c>
      <c r="V1137" s="1" t="b">
        <f t="shared" si="34"/>
        <v>1</v>
      </c>
      <c r="W1137" s="1" t="b">
        <v>1</v>
      </c>
      <c r="X1137" s="1" t="b">
        <v>0</v>
      </c>
      <c r="Y1137" s="1" t="b">
        <v>0</v>
      </c>
      <c r="Z1137" s="1" t="b">
        <v>0</v>
      </c>
      <c r="AA1137" s="1" t="s">
        <v>2984</v>
      </c>
    </row>
    <row r="1138" spans="1:27" x14ac:dyDescent="0.25">
      <c r="A1138" s="1" t="s">
        <v>2886</v>
      </c>
      <c r="B1138" s="2" t="s">
        <v>2989</v>
      </c>
      <c r="C1138" s="2" t="s">
        <v>2982</v>
      </c>
      <c r="D1138" s="6">
        <f t="shared" si="28"/>
        <v>1</v>
      </c>
      <c r="E1138" s="7" t="str">
        <f t="shared" si="29"/>
        <v>disease-simulationIRIDITimeToEvent</v>
      </c>
      <c r="F1138" s="8" t="b">
        <f>IF(D1138&lt;1,FALSE,ISERROR(MATCH(E1138,'Ontology and concepts per UC'!$A$2:$A$62,0)))</f>
        <v>1</v>
      </c>
      <c r="G1138" s="9" t="str">
        <f t="shared" si="30"/>
        <v/>
      </c>
      <c r="H1138" s="9" t="str">
        <f t="shared" si="31"/>
        <v/>
      </c>
      <c r="I1138" s="8" t="b">
        <f>IF(D1138&lt;2,FALSE,ISERROR(MATCH(H1138,'Ontology and concepts per UC'!$A$2:$A$62,0)))</f>
        <v>0</v>
      </c>
      <c r="J1138" s="9" t="str">
        <f t="shared" si="32"/>
        <v/>
      </c>
      <c r="K1138" s="8" t="b">
        <f>IF(D1138&lt;3,FALSE,ISERROR(MATCH(J1138,'Ontology and concepts per UC'!$A$2:$A$62,0)))</f>
        <v>0</v>
      </c>
      <c r="L1138" s="2" t="s">
        <v>2945</v>
      </c>
      <c r="M1138" s="2" t="s">
        <v>2990</v>
      </c>
      <c r="N1138" s="2"/>
      <c r="O1138" s="1" t="b">
        <v>1</v>
      </c>
      <c r="P1138" s="1">
        <v>0</v>
      </c>
      <c r="Q1138" s="1">
        <v>0</v>
      </c>
      <c r="R1138" s="1" t="b">
        <f t="shared" si="33"/>
        <v>1</v>
      </c>
      <c r="S1138" s="2" t="s">
        <v>54</v>
      </c>
      <c r="T1138" s="1" t="str">
        <f>IF(S1138="","",VLOOKUP(S1138,'Ontology and concepts per UC'!$F$2:$J$46,5,FALSE))</f>
        <v>Parámetros de progresión</v>
      </c>
      <c r="U1138" s="1" t="b">
        <f t="array" ref="U1138">(INDEX('Ontology and concepts per UC'!$G$2:$I$46,MATCH($S1138,'Ontology and concepts per UC'!$F$2:$F$46,0),MATCH(LEFT($A1138,3),'Ontology and concepts per UC'!$G$1:$I$1,0))=0)</f>
        <v>0</v>
      </c>
      <c r="V1138" s="1" t="b">
        <f t="shared" si="34"/>
        <v>1</v>
      </c>
      <c r="W1138" s="1" t="b">
        <v>1</v>
      </c>
      <c r="X1138" s="1" t="b">
        <v>0</v>
      </c>
      <c r="Y1138" s="1" t="b">
        <v>0</v>
      </c>
      <c r="Z1138" s="1" t="b">
        <v>0</v>
      </c>
      <c r="AA1138" s="1" t="s">
        <v>2984</v>
      </c>
    </row>
    <row r="1139" spans="1:27" x14ac:dyDescent="0.25">
      <c r="A1139" s="1" t="s">
        <v>2886</v>
      </c>
      <c r="B1139" s="2" t="s">
        <v>2991</v>
      </c>
      <c r="C1139" s="2" t="s">
        <v>2982</v>
      </c>
      <c r="D1139" s="6">
        <f t="shared" si="28"/>
        <v>1</v>
      </c>
      <c r="E1139" s="7" t="str">
        <f t="shared" si="29"/>
        <v>disease-simulationIRIDITimeToEvent</v>
      </c>
      <c r="F1139" s="8" t="b">
        <f>IF(D1139&lt;1,FALSE,ISERROR(MATCH(E1139,'Ontology and concepts per UC'!$A$2:$A$62,0)))</f>
        <v>1</v>
      </c>
      <c r="G1139" s="9" t="str">
        <f t="shared" si="30"/>
        <v/>
      </c>
      <c r="H1139" s="9" t="str">
        <f t="shared" si="31"/>
        <v/>
      </c>
      <c r="I1139" s="8" t="b">
        <f>IF(D1139&lt;2,FALSE,ISERROR(MATCH(H1139,'Ontology and concepts per UC'!$A$2:$A$62,0)))</f>
        <v>0</v>
      </c>
      <c r="J1139" s="9" t="str">
        <f t="shared" si="32"/>
        <v/>
      </c>
      <c r="K1139" s="8" t="b">
        <f>IF(D1139&lt;3,FALSE,ISERROR(MATCH(J1139,'Ontology and concepts per UC'!$A$2:$A$62,0)))</f>
        <v>0</v>
      </c>
      <c r="L1139" s="2" t="s">
        <v>2948</v>
      </c>
      <c r="M1139" s="2" t="s">
        <v>2992</v>
      </c>
      <c r="N1139" s="2"/>
      <c r="O1139" s="1" t="b">
        <v>1</v>
      </c>
      <c r="P1139" s="1">
        <v>0</v>
      </c>
      <c r="Q1139" s="1">
        <v>0</v>
      </c>
      <c r="R1139" s="1" t="b">
        <f t="shared" si="33"/>
        <v>1</v>
      </c>
      <c r="S1139" s="2" t="s">
        <v>58</v>
      </c>
      <c r="T1139" s="1" t="str">
        <f>IF(S1139="","",VLOOKUP(S1139,'Ontology and concepts per UC'!$F$2:$J$46,5,FALSE))</f>
        <v>Parámetros de progresión</v>
      </c>
      <c r="U1139" s="1" t="b">
        <f t="array" ref="U1139">(INDEX('Ontology and concepts per UC'!$G$2:$I$46,MATCH($S1139,'Ontology and concepts per UC'!$F$2:$F$46,0),MATCH(LEFT($A1139,3),'Ontology and concepts per UC'!$G$1:$I$1,0))=0)</f>
        <v>0</v>
      </c>
      <c r="V1139" s="1" t="b">
        <f t="shared" si="34"/>
        <v>1</v>
      </c>
      <c r="W1139" s="1" t="b">
        <v>1</v>
      </c>
      <c r="X1139" s="1" t="b">
        <v>0</v>
      </c>
      <c r="Y1139" s="1" t="b">
        <v>0</v>
      </c>
      <c r="Z1139" s="1" t="b">
        <v>0</v>
      </c>
      <c r="AA1139" s="1" t="s">
        <v>2984</v>
      </c>
    </row>
    <row r="1140" spans="1:27" x14ac:dyDescent="0.25">
      <c r="A1140" s="1" t="s">
        <v>2886</v>
      </c>
      <c r="B1140" s="2" t="s">
        <v>2993</v>
      </c>
      <c r="C1140" s="2" t="s">
        <v>2982</v>
      </c>
      <c r="D1140" s="6">
        <f t="shared" si="28"/>
        <v>1</v>
      </c>
      <c r="E1140" s="7" t="str">
        <f t="shared" si="29"/>
        <v>disease-simulationIRIDITimeToEvent</v>
      </c>
      <c r="F1140" s="8" t="b">
        <f>IF(D1140&lt;1,FALSE,ISERROR(MATCH(E1140,'Ontology and concepts per UC'!$A$2:$A$62,0)))</f>
        <v>1</v>
      </c>
      <c r="G1140" s="9" t="str">
        <f t="shared" si="30"/>
        <v/>
      </c>
      <c r="H1140" s="9" t="str">
        <f t="shared" si="31"/>
        <v/>
      </c>
      <c r="I1140" s="8" t="b">
        <f>IF(D1140&lt;2,FALSE,ISERROR(MATCH(H1140,'Ontology and concepts per UC'!$A$2:$A$62,0)))</f>
        <v>0</v>
      </c>
      <c r="J1140" s="9" t="str">
        <f t="shared" si="32"/>
        <v/>
      </c>
      <c r="K1140" s="8" t="b">
        <f>IF(D1140&lt;3,FALSE,ISERROR(MATCH(J1140,'Ontology and concepts per UC'!$A$2:$A$62,0)))</f>
        <v>0</v>
      </c>
      <c r="L1140" s="2" t="s">
        <v>2951</v>
      </c>
      <c r="M1140" s="2" t="s">
        <v>2994</v>
      </c>
      <c r="N1140" s="2"/>
      <c r="O1140" s="1" t="b">
        <v>1</v>
      </c>
      <c r="P1140" s="1">
        <v>0</v>
      </c>
      <c r="Q1140" s="1">
        <v>0</v>
      </c>
      <c r="R1140" s="1" t="b">
        <f t="shared" si="33"/>
        <v>1</v>
      </c>
      <c r="S1140" s="2" t="s">
        <v>56</v>
      </c>
      <c r="T1140" s="1" t="str">
        <f>IF(S1140="","",VLOOKUP(S1140,'Ontology and concepts per UC'!$F$2:$J$46,5,FALSE))</f>
        <v>Parámetros de progresión</v>
      </c>
      <c r="U1140" s="1" t="b">
        <f t="array" ref="U1140">(INDEX('Ontology and concepts per UC'!$G$2:$I$46,MATCH($S1140,'Ontology and concepts per UC'!$F$2:$F$46,0),MATCH(LEFT($A1140,3),'Ontology and concepts per UC'!$G$1:$I$1,0))=0)</f>
        <v>0</v>
      </c>
      <c r="V1140" s="1" t="b">
        <f t="shared" si="34"/>
        <v>1</v>
      </c>
      <c r="W1140" s="1" t="b">
        <v>1</v>
      </c>
      <c r="X1140" s="1" t="b">
        <v>0</v>
      </c>
      <c r="Y1140" s="1" t="b">
        <v>0</v>
      </c>
      <c r="Z1140" s="1" t="b">
        <v>0</v>
      </c>
      <c r="AA1140" s="1" t="s">
        <v>2984</v>
      </c>
    </row>
    <row r="1141" spans="1:27" x14ac:dyDescent="0.25">
      <c r="A1141" s="1" t="s">
        <v>2886</v>
      </c>
      <c r="B1141" s="2" t="s">
        <v>2995</v>
      </c>
      <c r="C1141" s="2" t="s">
        <v>2996</v>
      </c>
      <c r="D1141" s="6">
        <f t="shared" si="28"/>
        <v>1</v>
      </c>
      <c r="E1141" s="7" t="str">
        <f t="shared" si="29"/>
        <v>disease-simulationIRIEpidemiologicalParameter</v>
      </c>
      <c r="F1141" s="8" t="b">
        <f>IF(D1141&lt;1,FALSE,ISERROR(MATCH(E1141,'Ontology and concepts per UC'!$A$2:$A$62,0)))</f>
        <v>1</v>
      </c>
      <c r="G1141" s="9" t="str">
        <f t="shared" si="30"/>
        <v/>
      </c>
      <c r="H1141" s="9" t="str">
        <f t="shared" si="31"/>
        <v/>
      </c>
      <c r="I1141" s="8" t="b">
        <f>IF(D1141&lt;2,FALSE,ISERROR(MATCH(H1141,'Ontology and concepts per UC'!$A$2:$A$62,0)))</f>
        <v>0</v>
      </c>
      <c r="J1141" s="9" t="str">
        <f t="shared" si="32"/>
        <v/>
      </c>
      <c r="K1141" s="8" t="b">
        <f>IF(D1141&lt;3,FALSE,ISERROR(MATCH(J1141,'Ontology and concepts per UC'!$A$2:$A$62,0)))</f>
        <v>0</v>
      </c>
      <c r="L1141" s="2" t="s">
        <v>2997</v>
      </c>
      <c r="M1141" s="2" t="s">
        <v>2998</v>
      </c>
      <c r="N1141" s="2"/>
      <c r="O1141" s="1" t="b">
        <v>1</v>
      </c>
      <c r="P1141" s="1">
        <v>0</v>
      </c>
      <c r="Q1141" s="1">
        <v>0</v>
      </c>
      <c r="R1141" s="1" t="b">
        <f t="shared" si="33"/>
        <v>0</v>
      </c>
      <c r="S1141" s="2" t="s">
        <v>107</v>
      </c>
      <c r="T1141" s="1" t="str">
        <f>IF(S1141="","",VLOOKUP(S1141,'Ontology and concepts per UC'!$F$2:$J$46,5,FALSE))</f>
        <v>Parcial</v>
      </c>
      <c r="U1141" s="1" t="b">
        <f t="array" ref="U1141">(INDEX('Ontology and concepts per UC'!$G$2:$I$46,MATCH($S1141,'Ontology and concepts per UC'!$F$2:$F$46,0),MATCH(LEFT($A1141,3),'Ontology and concepts per UC'!$G$1:$I$1,0))=0)</f>
        <v>0</v>
      </c>
      <c r="V1141" s="1" t="b">
        <f t="shared" si="34"/>
        <v>1</v>
      </c>
      <c r="W1141" s="1" t="b">
        <v>1</v>
      </c>
      <c r="X1141" s="1" t="b">
        <v>0</v>
      </c>
      <c r="Y1141" s="1" t="b">
        <v>0</v>
      </c>
      <c r="Z1141" s="1" t="b">
        <v>0</v>
      </c>
      <c r="AA1141" s="1" t="s">
        <v>2999</v>
      </c>
    </row>
    <row r="1142" spans="1:27" x14ac:dyDescent="0.25">
      <c r="A1142" s="1" t="s">
        <v>2886</v>
      </c>
      <c r="B1142" s="2" t="s">
        <v>3000</v>
      </c>
      <c r="C1142" s="2" t="s">
        <v>2996</v>
      </c>
      <c r="D1142" s="6">
        <f t="shared" si="28"/>
        <v>1</v>
      </c>
      <c r="E1142" s="7" t="str">
        <f t="shared" si="29"/>
        <v>disease-simulationIRIEpidemiologicalParameter</v>
      </c>
      <c r="F1142" s="8" t="b">
        <f>IF(D1142&lt;1,FALSE,ISERROR(MATCH(E1142,'Ontology and concepts per UC'!$A$2:$A$62,0)))</f>
        <v>1</v>
      </c>
      <c r="G1142" s="9" t="str">
        <f t="shared" si="30"/>
        <v/>
      </c>
      <c r="H1142" s="9" t="str">
        <f t="shared" si="31"/>
        <v/>
      </c>
      <c r="I1142" s="8" t="b">
        <f>IF(D1142&lt;2,FALSE,ISERROR(MATCH(H1142,'Ontology and concepts per UC'!$A$2:$A$62,0)))</f>
        <v>0</v>
      </c>
      <c r="J1142" s="9" t="str">
        <f t="shared" si="32"/>
        <v/>
      </c>
      <c r="K1142" s="8" t="b">
        <f>IF(D1142&lt;3,FALSE,ISERROR(MATCH(J1142,'Ontology and concepts per UC'!$A$2:$A$62,0)))</f>
        <v>0</v>
      </c>
      <c r="L1142" s="2" t="s">
        <v>3001</v>
      </c>
      <c r="M1142" s="2" t="s">
        <v>3002</v>
      </c>
      <c r="N1142" s="2"/>
      <c r="O1142" s="1" t="b">
        <v>1</v>
      </c>
      <c r="P1142" s="1">
        <v>0</v>
      </c>
      <c r="Q1142" s="1">
        <v>0</v>
      </c>
      <c r="R1142" s="1" t="b">
        <f t="shared" si="33"/>
        <v>0</v>
      </c>
      <c r="S1142" s="2" t="s">
        <v>38</v>
      </c>
      <c r="T1142" s="1" t="str">
        <f>IF(S1142="","",VLOOKUP(S1142,'Ontology and concepts per UC'!$F$2:$J$46,5,FALSE))</f>
        <v>Parámetro epidemiológico</v>
      </c>
      <c r="U1142" s="1" t="b">
        <f t="array" ref="U1142">(INDEX('Ontology and concepts per UC'!$G$2:$I$46,MATCH($S1142,'Ontology and concepts per UC'!$F$2:$F$46,0),MATCH(LEFT($A1142,3),'Ontology and concepts per UC'!$G$1:$I$1,0))=0)</f>
        <v>0</v>
      </c>
      <c r="V1142" s="1" t="b">
        <f t="shared" si="34"/>
        <v>1</v>
      </c>
      <c r="W1142" s="1" t="b">
        <v>1</v>
      </c>
      <c r="X1142" s="1" t="b">
        <v>0</v>
      </c>
      <c r="Y1142" s="1" t="b">
        <v>0</v>
      </c>
      <c r="Z1142" s="1" t="b">
        <v>0</v>
      </c>
      <c r="AA1142" s="1" t="s">
        <v>2999</v>
      </c>
    </row>
    <row r="1143" spans="1:27" x14ac:dyDescent="0.25">
      <c r="A1143" s="1" t="s">
        <v>2886</v>
      </c>
      <c r="B1143" s="2" t="s">
        <v>3003</v>
      </c>
      <c r="C1143" s="2" t="s">
        <v>3004</v>
      </c>
      <c r="D1143" s="6">
        <f t="shared" si="28"/>
        <v>1</v>
      </c>
      <c r="E1143" s="7" t="str">
        <f t="shared" si="29"/>
        <v>disease-simulationIRIFollowUpStrategy</v>
      </c>
      <c r="F1143" s="8" t="b">
        <f>IF(D1143&lt;1,FALSE,ISERROR(MATCH(E1143,'Ontology and concepts per UC'!$A$2:$A$62,0)))</f>
        <v>1</v>
      </c>
      <c r="G1143" s="9" t="str">
        <f t="shared" si="30"/>
        <v/>
      </c>
      <c r="H1143" s="9" t="str">
        <f t="shared" si="31"/>
        <v/>
      </c>
      <c r="I1143" s="8" t="b">
        <f>IF(D1143&lt;2,FALSE,ISERROR(MATCH(H1143,'Ontology and concepts per UC'!$A$2:$A$62,0)))</f>
        <v>0</v>
      </c>
      <c r="J1143" s="9" t="str">
        <f t="shared" si="32"/>
        <v/>
      </c>
      <c r="K1143" s="8" t="b">
        <f>IF(D1143&lt;3,FALSE,ISERROR(MATCH(J1143,'Ontology and concepts per UC'!$A$2:$A$62,0)))</f>
        <v>0</v>
      </c>
      <c r="L1143" s="2"/>
      <c r="M1143" s="2" t="s">
        <v>3005</v>
      </c>
      <c r="N1143" s="2"/>
      <c r="O1143" s="1" t="b">
        <v>1</v>
      </c>
      <c r="P1143" s="1">
        <v>0</v>
      </c>
      <c r="Q1143" s="1">
        <v>0</v>
      </c>
      <c r="R1143" s="1" t="b">
        <f t="shared" si="33"/>
        <v>0</v>
      </c>
      <c r="S1143" s="2" t="s">
        <v>60</v>
      </c>
      <c r="T1143" s="1" t="str">
        <f>IF(S1143="","",VLOOKUP(S1143,'Ontology and concepts per UC'!$F$2:$J$46,5,FALSE))</f>
        <v>Tratamiento/seguimiento</v>
      </c>
      <c r="U1143" s="1" t="b">
        <f t="array" ref="U1143">(INDEX('Ontology and concepts per UC'!$G$2:$I$46,MATCH($S1143,'Ontology and concepts per UC'!$F$2:$F$46,0),MATCH(LEFT($A1143,3),'Ontology and concepts per UC'!$G$1:$I$1,0))=0)</f>
        <v>0</v>
      </c>
      <c r="V1143" s="1" t="b">
        <f t="shared" si="34"/>
        <v>1</v>
      </c>
      <c r="W1143" s="1" t="b">
        <v>1</v>
      </c>
      <c r="X1143" s="1" t="b">
        <v>0</v>
      </c>
      <c r="Y1143" s="1" t="b">
        <v>0</v>
      </c>
      <c r="Z1143" s="1" t="b">
        <v>0</v>
      </c>
      <c r="AA1143" s="1" t="s">
        <v>3006</v>
      </c>
    </row>
    <row r="1144" spans="1:27" x14ac:dyDescent="0.25">
      <c r="A1144" s="1" t="s">
        <v>2886</v>
      </c>
      <c r="B1144" s="2" t="s">
        <v>3007</v>
      </c>
      <c r="C1144" s="2" t="s">
        <v>3004</v>
      </c>
      <c r="D1144" s="6">
        <f t="shared" si="28"/>
        <v>1</v>
      </c>
      <c r="E1144" s="7" t="str">
        <f t="shared" si="29"/>
        <v>disease-simulationIRIFollowUpStrategy</v>
      </c>
      <c r="F1144" s="8" t="b">
        <f>IF(D1144&lt;1,FALSE,ISERROR(MATCH(E1144,'Ontology and concepts per UC'!$A$2:$A$62,0)))</f>
        <v>1</v>
      </c>
      <c r="G1144" s="9" t="str">
        <f t="shared" si="30"/>
        <v/>
      </c>
      <c r="H1144" s="9" t="str">
        <f t="shared" si="31"/>
        <v/>
      </c>
      <c r="I1144" s="8" t="b">
        <f>IF(D1144&lt;2,FALSE,ISERROR(MATCH(H1144,'Ontology and concepts per UC'!$A$2:$A$62,0)))</f>
        <v>0</v>
      </c>
      <c r="J1144" s="9" t="str">
        <f t="shared" si="32"/>
        <v/>
      </c>
      <c r="K1144" s="8" t="b">
        <f>IF(D1144&lt;3,FALSE,ISERROR(MATCH(J1144,'Ontology and concepts per UC'!$A$2:$A$62,0)))</f>
        <v>0</v>
      </c>
      <c r="L1144" s="2"/>
      <c r="M1144" s="2" t="s">
        <v>3008</v>
      </c>
      <c r="N1144" s="2"/>
      <c r="O1144" s="1" t="b">
        <v>1</v>
      </c>
      <c r="P1144" s="1">
        <v>0</v>
      </c>
      <c r="Q1144" s="1">
        <v>0</v>
      </c>
      <c r="R1144" s="1" t="b">
        <f t="shared" si="33"/>
        <v>0</v>
      </c>
      <c r="S1144" s="2" t="s">
        <v>107</v>
      </c>
      <c r="T1144" s="1" t="str">
        <f>IF(S1144="","",VLOOKUP(S1144,'Ontology and concepts per UC'!$F$2:$J$46,5,FALSE))</f>
        <v>Parcial</v>
      </c>
      <c r="U1144" s="1" t="b">
        <f t="array" ref="U1144">(INDEX('Ontology and concepts per UC'!$G$2:$I$46,MATCH($S1144,'Ontology and concepts per UC'!$F$2:$F$46,0),MATCH(LEFT($A1144,3),'Ontology and concepts per UC'!$G$1:$I$1,0))=0)</f>
        <v>0</v>
      </c>
      <c r="V1144" s="1" t="b">
        <f t="shared" si="34"/>
        <v>1</v>
      </c>
      <c r="W1144" s="1" t="b">
        <v>1</v>
      </c>
      <c r="X1144" s="1" t="b">
        <v>0</v>
      </c>
      <c r="Y1144" s="1" t="b">
        <v>0</v>
      </c>
      <c r="Z1144" s="1" t="b">
        <v>0</v>
      </c>
      <c r="AA1144" s="1" t="s">
        <v>3006</v>
      </c>
    </row>
    <row r="1145" spans="1:27" x14ac:dyDescent="0.25">
      <c r="A1145" s="1" t="s">
        <v>2886</v>
      </c>
      <c r="B1145" s="2" t="s">
        <v>3009</v>
      </c>
      <c r="C1145" s="2" t="s">
        <v>3004</v>
      </c>
      <c r="D1145" s="6">
        <f t="shared" si="28"/>
        <v>1</v>
      </c>
      <c r="E1145" s="7" t="str">
        <f t="shared" si="29"/>
        <v>disease-simulationIRIFollowUpStrategy</v>
      </c>
      <c r="F1145" s="8" t="b">
        <f>IF(D1145&lt;1,FALSE,ISERROR(MATCH(E1145,'Ontology and concepts per UC'!$A$2:$A$62,0)))</f>
        <v>1</v>
      </c>
      <c r="G1145" s="9" t="str">
        <f t="shared" si="30"/>
        <v/>
      </c>
      <c r="H1145" s="9" t="str">
        <f t="shared" si="31"/>
        <v/>
      </c>
      <c r="I1145" s="8" t="b">
        <f>IF(D1145&lt;2,FALSE,ISERROR(MATCH(H1145,'Ontology and concepts per UC'!$A$2:$A$62,0)))</f>
        <v>0</v>
      </c>
      <c r="J1145" s="9" t="str">
        <f t="shared" si="32"/>
        <v/>
      </c>
      <c r="K1145" s="8" t="b">
        <f>IF(D1145&lt;3,FALSE,ISERROR(MATCH(J1145,'Ontology and concepts per UC'!$A$2:$A$62,0)))</f>
        <v>0</v>
      </c>
      <c r="L1145" s="2"/>
      <c r="M1145" s="2" t="s">
        <v>3010</v>
      </c>
      <c r="N1145" s="2"/>
      <c r="O1145" s="1" t="b">
        <v>1</v>
      </c>
      <c r="P1145" s="1">
        <v>0</v>
      </c>
      <c r="Q1145" s="1">
        <v>0</v>
      </c>
      <c r="R1145" s="1" t="b">
        <f t="shared" si="33"/>
        <v>0</v>
      </c>
      <c r="S1145" s="2" t="s">
        <v>60</v>
      </c>
      <c r="T1145" s="1" t="str">
        <f>IF(S1145="","",VLOOKUP(S1145,'Ontology and concepts per UC'!$F$2:$J$46,5,FALSE))</f>
        <v>Tratamiento/seguimiento</v>
      </c>
      <c r="U1145" s="1" t="b">
        <f t="array" ref="U1145">(INDEX('Ontology and concepts per UC'!$G$2:$I$46,MATCH($S1145,'Ontology and concepts per UC'!$F$2:$F$46,0),MATCH(LEFT($A1145,3),'Ontology and concepts per UC'!$G$1:$I$1,0))=0)</f>
        <v>0</v>
      </c>
      <c r="V1145" s="1" t="b">
        <f t="shared" si="34"/>
        <v>1</v>
      </c>
      <c r="W1145" s="1" t="b">
        <v>1</v>
      </c>
      <c r="X1145" s="1" t="b">
        <v>0</v>
      </c>
      <c r="Y1145" s="1" t="b">
        <v>0</v>
      </c>
      <c r="Z1145" s="1" t="b">
        <v>0</v>
      </c>
      <c r="AA1145" s="1" t="s">
        <v>3006</v>
      </c>
    </row>
    <row r="1146" spans="1:27" x14ac:dyDescent="0.25">
      <c r="A1146" s="1" t="s">
        <v>2886</v>
      </c>
      <c r="B1146" s="2" t="s">
        <v>3011</v>
      </c>
      <c r="C1146" s="2" t="s">
        <v>3012</v>
      </c>
      <c r="D1146" s="6">
        <f t="shared" si="28"/>
        <v>1</v>
      </c>
      <c r="E1146" s="7" t="str">
        <f t="shared" si="29"/>
        <v>disease-simulationIRIManifestation</v>
      </c>
      <c r="F1146" s="8" t="b">
        <f>IF(D1146&lt;1,FALSE,ISERROR(MATCH(E1146,'Ontology and concepts per UC'!$A$2:$A$62,0)))</f>
        <v>1</v>
      </c>
      <c r="G1146" s="9" t="str">
        <f t="shared" si="30"/>
        <v/>
      </c>
      <c r="H1146" s="9" t="str">
        <f t="shared" si="31"/>
        <v/>
      </c>
      <c r="I1146" s="8" t="b">
        <f>IF(D1146&lt;2,FALSE,ISERROR(MATCH(H1146,'Ontology and concepts per UC'!$A$2:$A$62,0)))</f>
        <v>0</v>
      </c>
      <c r="J1146" s="9" t="str">
        <f t="shared" si="32"/>
        <v/>
      </c>
      <c r="K1146" s="8" t="b">
        <f>IF(D1146&lt;3,FALSE,ISERROR(MATCH(J1146,'Ontology and concepts per UC'!$A$2:$A$62,0)))</f>
        <v>0</v>
      </c>
      <c r="L1146" s="2"/>
      <c r="M1146" s="2" t="s">
        <v>3013</v>
      </c>
      <c r="N1146" s="2"/>
      <c r="O1146" s="1" t="b">
        <v>1</v>
      </c>
      <c r="P1146" s="1">
        <v>0</v>
      </c>
      <c r="Q1146" s="1">
        <v>0</v>
      </c>
      <c r="R1146" s="1" t="b">
        <f t="shared" si="33"/>
        <v>0</v>
      </c>
      <c r="S1146" s="2" t="s">
        <v>30</v>
      </c>
      <c r="T1146" s="1" t="str">
        <f>IF(S1146="","",VLOOKUP(S1146,'Ontology and concepts per UC'!$F$2:$J$46,5,FALSE))</f>
        <v>Modelo Conceptual</v>
      </c>
      <c r="U1146" s="1" t="b">
        <f t="array" ref="U1146">(INDEX('Ontology and concepts per UC'!$G$2:$I$46,MATCH($S1146,'Ontology and concepts per UC'!$F$2:$F$46,0),MATCH(LEFT($A1146,3),'Ontology and concepts per UC'!$G$1:$I$1,0))=0)</f>
        <v>0</v>
      </c>
      <c r="V1146" s="1" t="b">
        <f t="shared" si="34"/>
        <v>1</v>
      </c>
      <c r="W1146" s="1" t="b">
        <v>1</v>
      </c>
      <c r="X1146" s="1" t="b">
        <v>0</v>
      </c>
      <c r="Y1146" s="1" t="b">
        <v>0</v>
      </c>
      <c r="Z1146" s="1" t="b">
        <v>0</v>
      </c>
      <c r="AA1146" s="1" t="s">
        <v>3014</v>
      </c>
    </row>
    <row r="1147" spans="1:27" x14ac:dyDescent="0.25">
      <c r="A1147" s="1" t="s">
        <v>2886</v>
      </c>
      <c r="B1147" s="2" t="s">
        <v>3015</v>
      </c>
      <c r="C1147" s="2" t="s">
        <v>3012</v>
      </c>
      <c r="D1147" s="6">
        <f t="shared" si="28"/>
        <v>1</v>
      </c>
      <c r="E1147" s="7" t="str">
        <f t="shared" si="29"/>
        <v>disease-simulationIRIManifestation</v>
      </c>
      <c r="F1147" s="8" t="b">
        <f>IF(D1147&lt;1,FALSE,ISERROR(MATCH(E1147,'Ontology and concepts per UC'!$A$2:$A$62,0)))</f>
        <v>1</v>
      </c>
      <c r="G1147" s="9" t="str">
        <f t="shared" si="30"/>
        <v/>
      </c>
      <c r="H1147" s="9" t="str">
        <f t="shared" si="31"/>
        <v/>
      </c>
      <c r="I1147" s="8" t="b">
        <f>IF(D1147&lt;2,FALSE,ISERROR(MATCH(H1147,'Ontology and concepts per UC'!$A$2:$A$62,0)))</f>
        <v>0</v>
      </c>
      <c r="J1147" s="9" t="str">
        <f t="shared" si="32"/>
        <v/>
      </c>
      <c r="K1147" s="8" t="b">
        <f>IF(D1147&lt;3,FALSE,ISERROR(MATCH(J1147,'Ontology and concepts per UC'!$A$2:$A$62,0)))</f>
        <v>0</v>
      </c>
      <c r="L1147" s="2"/>
      <c r="M1147" s="2" t="s">
        <v>3016</v>
      </c>
      <c r="N1147" s="2"/>
      <c r="O1147" s="1" t="b">
        <v>1</v>
      </c>
      <c r="P1147" s="1">
        <v>0</v>
      </c>
      <c r="Q1147" s="1">
        <v>0</v>
      </c>
      <c r="R1147" s="1" t="b">
        <f t="shared" si="33"/>
        <v>0</v>
      </c>
      <c r="S1147" s="2" t="s">
        <v>28</v>
      </c>
      <c r="T1147" s="1" t="str">
        <f>IF(S1147="","",VLOOKUP(S1147,'Ontology and concepts per UC'!$F$2:$J$46,5,FALSE))</f>
        <v>Modelo Conceptual</v>
      </c>
      <c r="U1147" s="1" t="b">
        <f t="array" ref="U1147">(INDEX('Ontology and concepts per UC'!$G$2:$I$46,MATCH($S1147,'Ontology and concepts per UC'!$F$2:$F$46,0),MATCH(LEFT($A1147,3),'Ontology and concepts per UC'!$G$1:$I$1,0))=0)</f>
        <v>0</v>
      </c>
      <c r="V1147" s="1" t="b">
        <f t="shared" si="34"/>
        <v>1</v>
      </c>
      <c r="W1147" s="1" t="b">
        <v>1</v>
      </c>
      <c r="X1147" s="1" t="b">
        <v>0</v>
      </c>
      <c r="Y1147" s="1" t="b">
        <v>0</v>
      </c>
      <c r="Z1147" s="1" t="b">
        <v>0</v>
      </c>
      <c r="AA1147" s="1" t="s">
        <v>3014</v>
      </c>
    </row>
    <row r="1148" spans="1:27" x14ac:dyDescent="0.25">
      <c r="A1148" s="1" t="s">
        <v>2886</v>
      </c>
      <c r="B1148" s="2" t="s">
        <v>3017</v>
      </c>
      <c r="C1148" s="2" t="s">
        <v>3012</v>
      </c>
      <c r="D1148" s="6">
        <f t="shared" si="28"/>
        <v>1</v>
      </c>
      <c r="E1148" s="7" t="str">
        <f t="shared" si="29"/>
        <v>disease-simulationIRIManifestation</v>
      </c>
      <c r="F1148" s="8" t="b">
        <f>IF(D1148&lt;1,FALSE,ISERROR(MATCH(E1148,'Ontology and concepts per UC'!$A$2:$A$62,0)))</f>
        <v>1</v>
      </c>
      <c r="G1148" s="9" t="str">
        <f t="shared" si="30"/>
        <v/>
      </c>
      <c r="H1148" s="9" t="str">
        <f t="shared" si="31"/>
        <v/>
      </c>
      <c r="I1148" s="8" t="b">
        <f>IF(D1148&lt;2,FALSE,ISERROR(MATCH(H1148,'Ontology and concepts per UC'!$A$2:$A$62,0)))</f>
        <v>0</v>
      </c>
      <c r="J1148" s="9" t="str">
        <f t="shared" si="32"/>
        <v/>
      </c>
      <c r="K1148" s="8" t="b">
        <f>IF(D1148&lt;3,FALSE,ISERROR(MATCH(J1148,'Ontology and concepts per UC'!$A$2:$A$62,0)))</f>
        <v>0</v>
      </c>
      <c r="L1148" s="2"/>
      <c r="M1148" s="2" t="s">
        <v>3018</v>
      </c>
      <c r="N1148" s="2"/>
      <c r="O1148" s="1" t="b">
        <v>1</v>
      </c>
      <c r="P1148" s="1">
        <v>0</v>
      </c>
      <c r="Q1148" s="1">
        <v>0</v>
      </c>
      <c r="R1148" s="1" t="b">
        <f t="shared" si="33"/>
        <v>0</v>
      </c>
      <c r="S1148" s="2" t="s">
        <v>31</v>
      </c>
      <c r="T1148" s="1" t="str">
        <f>IF(S1148="","",VLOOKUP(S1148,'Ontology and concepts per UC'!$F$2:$J$46,5,FALSE))</f>
        <v>Modelo Conceptual</v>
      </c>
      <c r="U1148" s="1" t="b">
        <f t="array" ref="U1148">(INDEX('Ontology and concepts per UC'!$G$2:$I$46,MATCH($S1148,'Ontology and concepts per UC'!$F$2:$F$46,0),MATCH(LEFT($A1148,3),'Ontology and concepts per UC'!$G$1:$I$1,0))=0)</f>
        <v>0</v>
      </c>
      <c r="V1148" s="1" t="b">
        <f t="shared" si="34"/>
        <v>1</v>
      </c>
      <c r="W1148" s="1" t="b">
        <v>1</v>
      </c>
      <c r="X1148" s="1" t="b">
        <v>0</v>
      </c>
      <c r="Y1148" s="1" t="b">
        <v>0</v>
      </c>
      <c r="Z1148" s="1" t="b">
        <v>0</v>
      </c>
      <c r="AA1148" s="1" t="s">
        <v>3014</v>
      </c>
    </row>
    <row r="1149" spans="1:27" x14ac:dyDescent="0.25">
      <c r="A1149" s="1" t="s">
        <v>2886</v>
      </c>
      <c r="B1149" s="2" t="s">
        <v>3019</v>
      </c>
      <c r="C1149" s="2" t="s">
        <v>3020</v>
      </c>
      <c r="D1149" s="6">
        <f t="shared" si="28"/>
        <v>1</v>
      </c>
      <c r="E1149" s="7" t="str">
        <f t="shared" si="29"/>
        <v>disease-simulationIRIScreeningIntervention</v>
      </c>
      <c r="F1149" s="8" t="b">
        <f>IF(D1149&lt;1,FALSE,ISERROR(MATCH(E1149,'Ontology and concepts per UC'!$A$2:$A$62,0)))</f>
        <v>1</v>
      </c>
      <c r="G1149" s="9" t="str">
        <f t="shared" si="30"/>
        <v/>
      </c>
      <c r="H1149" s="9" t="str">
        <f t="shared" si="31"/>
        <v/>
      </c>
      <c r="I1149" s="8" t="b">
        <f>IF(D1149&lt;2,FALSE,ISERROR(MATCH(H1149,'Ontology and concepts per UC'!$A$2:$A$62,0)))</f>
        <v>0</v>
      </c>
      <c r="J1149" s="9" t="str">
        <f t="shared" si="32"/>
        <v/>
      </c>
      <c r="K1149" s="8" t="b">
        <f>IF(D1149&lt;3,FALSE,ISERROR(MATCH(J1149,'Ontology and concepts per UC'!$A$2:$A$62,0)))</f>
        <v>0</v>
      </c>
      <c r="L1149" s="2"/>
      <c r="M1149" s="2" t="s">
        <v>3021</v>
      </c>
      <c r="N1149" s="2"/>
      <c r="O1149" s="1" t="b">
        <v>1</v>
      </c>
      <c r="P1149" s="1">
        <v>0</v>
      </c>
      <c r="Q1149" s="1">
        <v>0</v>
      </c>
      <c r="R1149" s="1" t="b">
        <f t="shared" si="33"/>
        <v>0</v>
      </c>
      <c r="S1149" s="2" t="s">
        <v>24</v>
      </c>
      <c r="T1149" s="1" t="str">
        <f>IF(S1149="","",VLOOKUP(S1149,'Ontology and concepts per UC'!$F$2:$J$46,5,FALSE))</f>
        <v>Modelo Conceptual</v>
      </c>
      <c r="U1149" s="1" t="b">
        <f t="array" ref="U1149">(INDEX('Ontology and concepts per UC'!$G$2:$I$46,MATCH($S1149,'Ontology and concepts per UC'!$F$2:$F$46,0),MATCH(LEFT($A1149,3),'Ontology and concepts per UC'!$G$1:$I$1,0))=0)</f>
        <v>0</v>
      </c>
      <c r="V1149" s="1" t="b">
        <f t="shared" si="34"/>
        <v>1</v>
      </c>
      <c r="W1149" s="1" t="b">
        <v>1</v>
      </c>
      <c r="X1149" s="1" t="b">
        <v>0</v>
      </c>
      <c r="Y1149" s="1" t="b">
        <v>0</v>
      </c>
      <c r="Z1149" s="1" t="b">
        <v>0</v>
      </c>
      <c r="AA1149" s="1" t="s">
        <v>3022</v>
      </c>
    </row>
    <row r="1150" spans="1:27" x14ac:dyDescent="0.25">
      <c r="A1150" s="1" t="s">
        <v>2886</v>
      </c>
      <c r="B1150" s="2" t="s">
        <v>3023</v>
      </c>
      <c r="C1150" s="2" t="s">
        <v>3024</v>
      </c>
      <c r="D1150" s="6">
        <f t="shared" si="28"/>
        <v>1</v>
      </c>
      <c r="E1150" s="7" t="str">
        <f t="shared" si="29"/>
        <v>disease-simulationIRITherapeuticIntervention</v>
      </c>
      <c r="F1150" s="8" t="b">
        <f>IF(D1150&lt;1,FALSE,ISERROR(MATCH(E1150,'Ontology and concepts per UC'!$A$2:$A$62,0)))</f>
        <v>1</v>
      </c>
      <c r="G1150" s="9" t="str">
        <f t="shared" si="30"/>
        <v/>
      </c>
      <c r="H1150" s="9" t="str">
        <f t="shared" si="31"/>
        <v/>
      </c>
      <c r="I1150" s="8" t="b">
        <f>IF(D1150&lt;2,FALSE,ISERROR(MATCH(H1150,'Ontology and concepts per UC'!$A$2:$A$62,0)))</f>
        <v>0</v>
      </c>
      <c r="J1150" s="9" t="str">
        <f t="shared" si="32"/>
        <v/>
      </c>
      <c r="K1150" s="8" t="b">
        <f>IF(D1150&lt;3,FALSE,ISERROR(MATCH(J1150,'Ontology and concepts per UC'!$A$2:$A$62,0)))</f>
        <v>0</v>
      </c>
      <c r="L1150" s="2"/>
      <c r="M1150" s="2" t="s">
        <v>3025</v>
      </c>
      <c r="N1150" s="2"/>
      <c r="O1150" s="1" t="b">
        <v>1</v>
      </c>
      <c r="P1150" s="1">
        <v>0</v>
      </c>
      <c r="Q1150" s="1">
        <v>0</v>
      </c>
      <c r="R1150" s="1" t="b">
        <f t="shared" si="33"/>
        <v>0</v>
      </c>
      <c r="S1150" s="2" t="s">
        <v>62</v>
      </c>
      <c r="T1150" s="1" t="str">
        <f>IF(S1150="","",VLOOKUP(S1150,'Ontology and concepts per UC'!$F$2:$J$46,5,FALSE))</f>
        <v>Tratamiento/seguimiento</v>
      </c>
      <c r="U1150" s="1" t="b">
        <f t="array" ref="U1150">(INDEX('Ontology and concepts per UC'!$G$2:$I$46,MATCH($S1150,'Ontology and concepts per UC'!$F$2:$F$46,0),MATCH(LEFT($A1150,3),'Ontology and concepts per UC'!$G$1:$I$1,0))=0)</f>
        <v>0</v>
      </c>
      <c r="V1150" s="1" t="b">
        <f t="shared" si="34"/>
        <v>1</v>
      </c>
      <c r="W1150" s="1" t="b">
        <v>1</v>
      </c>
      <c r="X1150" s="1" t="b">
        <v>0</v>
      </c>
      <c r="Y1150" s="1" t="b">
        <v>0</v>
      </c>
      <c r="Z1150" s="1" t="b">
        <v>1</v>
      </c>
      <c r="AA1150" s="1" t="s">
        <v>3026</v>
      </c>
    </row>
    <row r="1151" spans="1:27" x14ac:dyDescent="0.25">
      <c r="A1151" s="1" t="s">
        <v>2886</v>
      </c>
      <c r="B1151" s="2" t="s">
        <v>3027</v>
      </c>
      <c r="C1151" s="2" t="s">
        <v>3028</v>
      </c>
      <c r="D1151" s="6">
        <f t="shared" si="28"/>
        <v>1</v>
      </c>
      <c r="E1151" s="7" t="str">
        <f t="shared" si="29"/>
        <v>disease-simulationIRITreatment</v>
      </c>
      <c r="F1151" s="8" t="b">
        <f>IF(D1151&lt;1,FALSE,ISERROR(MATCH(E1151,'Ontology and concepts per UC'!$A$2:$A$62,0)))</f>
        <v>1</v>
      </c>
      <c r="G1151" s="9" t="str">
        <f t="shared" si="30"/>
        <v/>
      </c>
      <c r="H1151" s="9" t="str">
        <f t="shared" si="31"/>
        <v/>
      </c>
      <c r="I1151" s="8" t="b">
        <f>IF(D1151&lt;2,FALSE,ISERROR(MATCH(H1151,'Ontology and concepts per UC'!$A$2:$A$62,0)))</f>
        <v>0</v>
      </c>
      <c r="J1151" s="9" t="str">
        <f t="shared" si="32"/>
        <v/>
      </c>
      <c r="K1151" s="8" t="b">
        <f>IF(D1151&lt;3,FALSE,ISERROR(MATCH(J1151,'Ontology and concepts per UC'!$A$2:$A$62,0)))</f>
        <v>0</v>
      </c>
      <c r="L1151" s="2"/>
      <c r="M1151" s="2" t="s">
        <v>3029</v>
      </c>
      <c r="N1151" s="2"/>
      <c r="O1151" s="1" t="b">
        <v>1</v>
      </c>
      <c r="P1151" s="1">
        <v>0</v>
      </c>
      <c r="Q1151" s="1">
        <v>0</v>
      </c>
      <c r="R1151" s="1" t="b">
        <f t="shared" si="33"/>
        <v>0</v>
      </c>
      <c r="S1151" s="2" t="s">
        <v>107</v>
      </c>
      <c r="T1151" s="1" t="str">
        <f>IF(S1151="","",VLOOKUP(S1151,'Ontology and concepts per UC'!$F$2:$J$46,5,FALSE))</f>
        <v>Parcial</v>
      </c>
      <c r="U1151" s="1" t="b">
        <f t="array" ref="U1151">(INDEX('Ontology and concepts per UC'!$G$2:$I$46,MATCH($S1151,'Ontology and concepts per UC'!$F$2:$F$46,0),MATCH(LEFT($A1151,3),'Ontology and concepts per UC'!$G$1:$I$1,0))=0)</f>
        <v>0</v>
      </c>
      <c r="V1151" s="1" t="b">
        <f t="shared" si="34"/>
        <v>1</v>
      </c>
      <c r="W1151" s="1" t="b">
        <v>1</v>
      </c>
      <c r="X1151" s="1" t="b">
        <v>0</v>
      </c>
      <c r="Y1151" s="1" t="b">
        <v>0</v>
      </c>
      <c r="Z1151" s="1" t="b">
        <v>0</v>
      </c>
      <c r="AA1151" s="1" t="s">
        <v>3030</v>
      </c>
    </row>
    <row r="1152" spans="1:27" x14ac:dyDescent="0.25">
      <c r="A1152" s="1" t="s">
        <v>2886</v>
      </c>
      <c r="B1152" s="2" t="s">
        <v>3031</v>
      </c>
      <c r="C1152" s="2" t="s">
        <v>3028</v>
      </c>
      <c r="D1152" s="6">
        <f t="shared" si="28"/>
        <v>1</v>
      </c>
      <c r="E1152" s="7" t="str">
        <f t="shared" si="29"/>
        <v>disease-simulationIRITreatment</v>
      </c>
      <c r="F1152" s="8" t="b">
        <f>IF(D1152&lt;1,FALSE,ISERROR(MATCH(E1152,'Ontology and concepts per UC'!$A$2:$A$62,0)))</f>
        <v>1</v>
      </c>
      <c r="G1152" s="9" t="str">
        <f t="shared" si="30"/>
        <v/>
      </c>
      <c r="H1152" s="9" t="str">
        <f t="shared" si="31"/>
        <v/>
      </c>
      <c r="I1152" s="8" t="b">
        <f>IF(D1152&lt;2,FALSE,ISERROR(MATCH(H1152,'Ontology and concepts per UC'!$A$2:$A$62,0)))</f>
        <v>0</v>
      </c>
      <c r="J1152" s="9" t="str">
        <f t="shared" si="32"/>
        <v/>
      </c>
      <c r="K1152" s="8" t="b">
        <f>IF(D1152&lt;3,FALSE,ISERROR(MATCH(J1152,'Ontology and concepts per UC'!$A$2:$A$62,0)))</f>
        <v>0</v>
      </c>
      <c r="L1152" s="2"/>
      <c r="M1152" s="2" t="s">
        <v>3032</v>
      </c>
      <c r="N1152" s="2"/>
      <c r="O1152" s="1" t="b">
        <v>1</v>
      </c>
      <c r="P1152" s="1">
        <v>0</v>
      </c>
      <c r="Q1152" s="1">
        <v>0</v>
      </c>
      <c r="R1152" s="1" t="b">
        <f t="shared" si="33"/>
        <v>0</v>
      </c>
      <c r="S1152" s="2" t="s">
        <v>62</v>
      </c>
      <c r="T1152" s="1" t="str">
        <f>IF(S1152="","",VLOOKUP(S1152,'Ontology and concepts per UC'!$F$2:$J$46,5,FALSE))</f>
        <v>Tratamiento/seguimiento</v>
      </c>
      <c r="U1152" s="1" t="b">
        <f t="array" ref="U1152">(INDEX('Ontology and concepts per UC'!$G$2:$I$46,MATCH($S1152,'Ontology and concepts per UC'!$F$2:$F$46,0),MATCH(LEFT($A1152,3),'Ontology and concepts per UC'!$G$1:$I$1,0))=0)</f>
        <v>0</v>
      </c>
      <c r="V1152" s="1" t="b">
        <f t="shared" si="34"/>
        <v>1</v>
      </c>
      <c r="W1152" s="1" t="b">
        <v>1</v>
      </c>
      <c r="X1152" s="1" t="b">
        <v>0</v>
      </c>
      <c r="Y1152" s="1" t="b">
        <v>0</v>
      </c>
      <c r="Z1152" s="1" t="b">
        <v>0</v>
      </c>
      <c r="AA1152" s="1" t="s">
        <v>3030</v>
      </c>
    </row>
    <row r="1153" spans="1:27" x14ac:dyDescent="0.25">
      <c r="A1153" s="1" t="s">
        <v>2886</v>
      </c>
      <c r="B1153" s="2" t="s">
        <v>3033</v>
      </c>
      <c r="C1153" s="2" t="s">
        <v>208</v>
      </c>
      <c r="D1153" s="6">
        <f t="shared" si="28"/>
        <v>1</v>
      </c>
      <c r="E1153" s="7" t="str">
        <f t="shared" si="29"/>
        <v>EpidemiologicalParameter</v>
      </c>
      <c r="F1153" s="8" t="b">
        <f>IF(D1153&lt;1,FALSE,ISERROR(MATCH(E1153,'Ontology and concepts per UC'!$A$2:$A$62,0)))</f>
        <v>0</v>
      </c>
      <c r="G1153" s="9" t="str">
        <f t="shared" si="30"/>
        <v/>
      </c>
      <c r="H1153" s="9" t="str">
        <f t="shared" si="31"/>
        <v/>
      </c>
      <c r="I1153" s="8" t="b">
        <f>IF(D1153&lt;2,FALSE,ISERROR(MATCH(H1153,'Ontology and concepts per UC'!$A$2:$A$62,0)))</f>
        <v>0</v>
      </c>
      <c r="J1153" s="9" t="str">
        <f t="shared" si="32"/>
        <v/>
      </c>
      <c r="K1153" s="8" t="b">
        <f>IF(D1153&lt;3,FALSE,ISERROR(MATCH(J1153,'Ontology and concepts per UC'!$A$2:$A$62,0)))</f>
        <v>0</v>
      </c>
      <c r="L1153" s="2"/>
      <c r="M1153" s="2" t="s">
        <v>3034</v>
      </c>
      <c r="N1153" s="2"/>
      <c r="O1153" s="1" t="b">
        <v>0</v>
      </c>
      <c r="P1153" s="1">
        <v>0</v>
      </c>
      <c r="Q1153" s="1">
        <v>0</v>
      </c>
      <c r="R1153" s="1" t="b">
        <f t="shared" si="33"/>
        <v>0</v>
      </c>
      <c r="S1153" s="2" t="s">
        <v>107</v>
      </c>
      <c r="T1153" s="1" t="str">
        <f>IF(S1153="","",VLOOKUP(S1153,'Ontology and concepts per UC'!$F$2:$J$46,5,FALSE))</f>
        <v>Parcial</v>
      </c>
      <c r="U1153" s="1" t="b">
        <f t="array" ref="U1153">(INDEX('Ontology and concepts per UC'!$G$2:$I$46,MATCH($S1153,'Ontology and concepts per UC'!$F$2:$F$46,0),MATCH(LEFT($A1153,3),'Ontology and concepts per UC'!$G$1:$I$1,0))=0)</f>
        <v>0</v>
      </c>
      <c r="V1153" s="1" t="b">
        <f t="shared" si="34"/>
        <v>0</v>
      </c>
      <c r="W1153" s="1" t="b">
        <v>0</v>
      </c>
      <c r="X1153" s="1" t="b">
        <v>0</v>
      </c>
      <c r="Y1153" s="1" t="b">
        <v>0</v>
      </c>
      <c r="Z1153" s="1" t="b">
        <v>0</v>
      </c>
      <c r="AA1153" s="1"/>
    </row>
    <row r="1154" spans="1:27" x14ac:dyDescent="0.25">
      <c r="A1154" s="1" t="s">
        <v>2886</v>
      </c>
      <c r="B1154" s="2" t="s">
        <v>3035</v>
      </c>
      <c r="C1154" s="2" t="s">
        <v>208</v>
      </c>
      <c r="D1154" s="6">
        <f t="shared" si="28"/>
        <v>1</v>
      </c>
      <c r="E1154" s="7" t="str">
        <f t="shared" si="29"/>
        <v>EpidemiologicalParameter</v>
      </c>
      <c r="F1154" s="8" t="b">
        <f>IF(D1154&lt;1,FALSE,ISERROR(MATCH(E1154,'Ontology and concepts per UC'!$A$2:$A$62,0)))</f>
        <v>0</v>
      </c>
      <c r="G1154" s="9" t="str">
        <f t="shared" si="30"/>
        <v/>
      </c>
      <c r="H1154" s="9" t="str">
        <f t="shared" si="31"/>
        <v/>
      </c>
      <c r="I1154" s="8" t="b">
        <f>IF(D1154&lt;2,FALSE,ISERROR(MATCH(H1154,'Ontology and concepts per UC'!$A$2:$A$62,0)))</f>
        <v>0</v>
      </c>
      <c r="J1154" s="9" t="str">
        <f t="shared" si="32"/>
        <v/>
      </c>
      <c r="K1154" s="8" t="b">
        <f>IF(D1154&lt;3,FALSE,ISERROR(MATCH(J1154,'Ontology and concepts per UC'!$A$2:$A$62,0)))</f>
        <v>0</v>
      </c>
      <c r="L1154" s="2"/>
      <c r="M1154" s="2" t="s">
        <v>3036</v>
      </c>
      <c r="N1154" s="2"/>
      <c r="O1154" s="1" t="b">
        <v>0</v>
      </c>
      <c r="P1154" s="1">
        <v>0</v>
      </c>
      <c r="Q1154" s="1">
        <v>0</v>
      </c>
      <c r="R1154" s="1" t="b">
        <f t="shared" si="33"/>
        <v>0</v>
      </c>
      <c r="S1154" s="2" t="s">
        <v>38</v>
      </c>
      <c r="T1154" s="1" t="str">
        <f>IF(S1154="","",VLOOKUP(S1154,'Ontology and concepts per UC'!$F$2:$J$46,5,FALSE))</f>
        <v>Parámetro epidemiológico</v>
      </c>
      <c r="U1154" s="1" t="b">
        <f t="array" ref="U1154">(INDEX('Ontology and concepts per UC'!$G$2:$I$46,MATCH($S1154,'Ontology and concepts per UC'!$F$2:$F$46,0),MATCH(LEFT($A1154,3),'Ontology and concepts per UC'!$G$1:$I$1,0))=0)</f>
        <v>0</v>
      </c>
      <c r="V1154" s="1" t="b">
        <f t="shared" si="34"/>
        <v>0</v>
      </c>
      <c r="W1154" s="1" t="b">
        <v>0</v>
      </c>
      <c r="X1154" s="1" t="b">
        <v>0</v>
      </c>
      <c r="Y1154" s="1" t="b">
        <v>0</v>
      </c>
      <c r="Z1154" s="1" t="b">
        <v>0</v>
      </c>
      <c r="AA1154" s="1"/>
    </row>
    <row r="1155" spans="1:27" x14ac:dyDescent="0.25">
      <c r="A1155" s="1" t="s">
        <v>2886</v>
      </c>
      <c r="B1155" s="2" t="s">
        <v>3037</v>
      </c>
      <c r="C1155" s="2" t="s">
        <v>2600</v>
      </c>
      <c r="D1155" s="6">
        <f t="shared" si="28"/>
        <v>1</v>
      </c>
      <c r="E1155" s="7" t="str">
        <f t="shared" si="29"/>
        <v>IRIUtility</v>
      </c>
      <c r="F1155" s="8" t="b">
        <f>IF(D1155&lt;1,FALSE,ISERROR(MATCH(E1155,'Ontology and concepts per UC'!$A$2:$A$62,0)))</f>
        <v>1</v>
      </c>
      <c r="G1155" s="9" t="str">
        <f t="shared" si="30"/>
        <v/>
      </c>
      <c r="H1155" s="9" t="str">
        <f t="shared" si="31"/>
        <v/>
      </c>
      <c r="I1155" s="8" t="b">
        <f>IF(D1155&lt;2,FALSE,ISERROR(MATCH(H1155,'Ontology and concepts per UC'!$A$2:$A$62,0)))</f>
        <v>0</v>
      </c>
      <c r="J1155" s="9" t="str">
        <f t="shared" si="32"/>
        <v/>
      </c>
      <c r="K1155" s="8" t="b">
        <f>IF(D1155&lt;3,FALSE,ISERROR(MATCH(J1155,'Ontology and concepts per UC'!$A$2:$A$62,0)))</f>
        <v>0</v>
      </c>
      <c r="L1155" s="2"/>
      <c r="M1155" s="2" t="s">
        <v>3038</v>
      </c>
      <c r="N1155" s="2"/>
      <c r="O1155" s="1" t="b">
        <v>0</v>
      </c>
      <c r="P1155" s="1">
        <v>1</v>
      </c>
      <c r="Q1155" s="1">
        <v>0</v>
      </c>
      <c r="R1155" s="1" t="b">
        <f t="shared" si="33"/>
        <v>1</v>
      </c>
      <c r="S1155" s="2" t="s">
        <v>70</v>
      </c>
      <c r="T1155" s="1" t="str">
        <f>IF(S1155="","",VLOOKUP(S1155,'Ontology and concepts per UC'!$F$2:$J$46,5,FALSE))</f>
        <v>Utilidad</v>
      </c>
      <c r="U1155" s="1" t="b">
        <f t="array" ref="U1155">(INDEX('Ontology and concepts per UC'!$G$2:$I$46,MATCH($S1155,'Ontology and concepts per UC'!$F$2:$F$46,0),MATCH(LEFT($A1155,3),'Ontology and concepts per UC'!$G$1:$I$1,0))=0)</f>
        <v>0</v>
      </c>
      <c r="V1155" s="1" t="b">
        <f t="shared" si="34"/>
        <v>1</v>
      </c>
      <c r="W1155" s="1" t="b">
        <v>1</v>
      </c>
      <c r="X1155" s="1" t="b">
        <v>0</v>
      </c>
      <c r="Y1155" s="1" t="b">
        <v>0</v>
      </c>
      <c r="Z1155" s="1" t="b">
        <v>0</v>
      </c>
      <c r="AA1155" s="1" t="s">
        <v>2603</v>
      </c>
    </row>
    <row r="1156" spans="1:27" x14ac:dyDescent="0.25">
      <c r="A1156" s="1" t="s">
        <v>2886</v>
      </c>
      <c r="B1156" s="2" t="s">
        <v>3039</v>
      </c>
      <c r="C1156" s="2" t="s">
        <v>2600</v>
      </c>
      <c r="D1156" s="6">
        <f t="shared" si="28"/>
        <v>1</v>
      </c>
      <c r="E1156" s="7" t="str">
        <f t="shared" si="29"/>
        <v>IRIUtility</v>
      </c>
      <c r="F1156" s="8" t="b">
        <f>IF(D1156&lt;1,FALSE,ISERROR(MATCH(E1156,'Ontology and concepts per UC'!$A$2:$A$62,0)))</f>
        <v>1</v>
      </c>
      <c r="G1156" s="9" t="str">
        <f t="shared" si="30"/>
        <v/>
      </c>
      <c r="H1156" s="9" t="str">
        <f t="shared" si="31"/>
        <v/>
      </c>
      <c r="I1156" s="8" t="b">
        <f>IF(D1156&lt;2,FALSE,ISERROR(MATCH(H1156,'Ontology and concepts per UC'!$A$2:$A$62,0)))</f>
        <v>0</v>
      </c>
      <c r="J1156" s="9" t="str">
        <f t="shared" si="32"/>
        <v/>
      </c>
      <c r="K1156" s="8" t="b">
        <f>IF(D1156&lt;3,FALSE,ISERROR(MATCH(J1156,'Ontology and concepts per UC'!$A$2:$A$62,0)))</f>
        <v>0</v>
      </c>
      <c r="L1156" s="2"/>
      <c r="M1156" s="2" t="s">
        <v>3040</v>
      </c>
      <c r="N1156" s="2"/>
      <c r="O1156" s="1" t="b">
        <v>0</v>
      </c>
      <c r="P1156" s="1">
        <v>1</v>
      </c>
      <c r="Q1156" s="1">
        <v>0</v>
      </c>
      <c r="R1156" s="1" t="b">
        <f t="shared" si="33"/>
        <v>1</v>
      </c>
      <c r="S1156" s="2" t="s">
        <v>65</v>
      </c>
      <c r="T1156" s="1" t="str">
        <f>IF(S1156="","",VLOOKUP(S1156,'Ontology and concepts per UC'!$F$2:$J$46,5,FALSE))</f>
        <v>Utilidad</v>
      </c>
      <c r="U1156" s="1" t="b">
        <f t="array" ref="U1156">(INDEX('Ontology and concepts per UC'!$G$2:$I$46,MATCH($S1156,'Ontology and concepts per UC'!$F$2:$F$46,0),MATCH(LEFT($A1156,3),'Ontology and concepts per UC'!$G$1:$I$1,0))=0)</f>
        <v>0</v>
      </c>
      <c r="V1156" s="1" t="b">
        <f t="shared" si="34"/>
        <v>1</v>
      </c>
      <c r="W1156" s="1" t="b">
        <v>1</v>
      </c>
      <c r="X1156" s="1" t="b">
        <v>0</v>
      </c>
      <c r="Y1156" s="1" t="b">
        <v>0</v>
      </c>
      <c r="Z1156" s="1" t="b">
        <v>0</v>
      </c>
      <c r="AA1156" s="1" t="s">
        <v>2603</v>
      </c>
    </row>
    <row r="1157" spans="1:27" x14ac:dyDescent="0.25">
      <c r="A1157" s="1" t="s">
        <v>2886</v>
      </c>
      <c r="B1157" s="2" t="s">
        <v>3041</v>
      </c>
      <c r="C1157" s="2" t="s">
        <v>2600</v>
      </c>
      <c r="D1157" s="6">
        <f t="shared" si="28"/>
        <v>1</v>
      </c>
      <c r="E1157" s="7" t="str">
        <f t="shared" si="29"/>
        <v>IRIUtility</v>
      </c>
      <c r="F1157" s="8" t="b">
        <f>IF(D1157&lt;1,FALSE,ISERROR(MATCH(E1157,'Ontology and concepts per UC'!$A$2:$A$62,0)))</f>
        <v>1</v>
      </c>
      <c r="G1157" s="9" t="str">
        <f t="shared" si="30"/>
        <v/>
      </c>
      <c r="H1157" s="9" t="str">
        <f t="shared" si="31"/>
        <v/>
      </c>
      <c r="I1157" s="8" t="b">
        <f>IF(D1157&lt;2,FALSE,ISERROR(MATCH(H1157,'Ontology and concepts per UC'!$A$2:$A$62,0)))</f>
        <v>0</v>
      </c>
      <c r="J1157" s="9" t="str">
        <f t="shared" si="32"/>
        <v/>
      </c>
      <c r="K1157" s="8" t="b">
        <f>IF(D1157&lt;3,FALSE,ISERROR(MATCH(J1157,'Ontology and concepts per UC'!$A$2:$A$62,0)))</f>
        <v>0</v>
      </c>
      <c r="L1157" s="2"/>
      <c r="M1157" s="2" t="s">
        <v>3042</v>
      </c>
      <c r="N1157" s="2"/>
      <c r="O1157" s="1" t="b">
        <v>0</v>
      </c>
      <c r="P1157" s="1">
        <v>1</v>
      </c>
      <c r="Q1157" s="1">
        <v>0</v>
      </c>
      <c r="R1157" s="1" t="b">
        <f t="shared" si="33"/>
        <v>1</v>
      </c>
      <c r="S1157" s="2" t="s">
        <v>66</v>
      </c>
      <c r="T1157" s="1" t="str">
        <f>IF(S1157="","",VLOOKUP(S1157,'Ontology and concepts per UC'!$F$2:$J$46,5,FALSE))</f>
        <v>Utilidad</v>
      </c>
      <c r="U1157" s="1" t="b">
        <f t="array" ref="U1157">(INDEX('Ontology and concepts per UC'!$G$2:$I$46,MATCH($S1157,'Ontology and concepts per UC'!$F$2:$F$46,0),MATCH(LEFT($A1157,3),'Ontology and concepts per UC'!$G$1:$I$1,0))=0)</f>
        <v>0</v>
      </c>
      <c r="V1157" s="1" t="b">
        <f t="shared" si="34"/>
        <v>1</v>
      </c>
      <c r="W1157" s="1" t="b">
        <v>1</v>
      </c>
      <c r="X1157" s="1" t="b">
        <v>0</v>
      </c>
      <c r="Y1157" s="1" t="b">
        <v>0</v>
      </c>
      <c r="Z1157" s="1" t="b">
        <v>0</v>
      </c>
      <c r="AA1157" s="1" t="s">
        <v>2603</v>
      </c>
    </row>
    <row r="1158" spans="1:27" x14ac:dyDescent="0.25">
      <c r="A1158" s="1" t="s">
        <v>2886</v>
      </c>
      <c r="B1158" s="2" t="s">
        <v>3043</v>
      </c>
      <c r="C1158" s="2" t="s">
        <v>2600</v>
      </c>
      <c r="D1158" s="6">
        <f t="shared" si="28"/>
        <v>1</v>
      </c>
      <c r="E1158" s="7" t="str">
        <f t="shared" si="29"/>
        <v>IRIUtility</v>
      </c>
      <c r="F1158" s="8" t="b">
        <f>IF(D1158&lt;1,FALSE,ISERROR(MATCH(E1158,'Ontology and concepts per UC'!$A$2:$A$62,0)))</f>
        <v>1</v>
      </c>
      <c r="G1158" s="9" t="str">
        <f t="shared" si="30"/>
        <v/>
      </c>
      <c r="H1158" s="9" t="str">
        <f t="shared" si="31"/>
        <v/>
      </c>
      <c r="I1158" s="8" t="b">
        <f>IF(D1158&lt;2,FALSE,ISERROR(MATCH(H1158,'Ontology and concepts per UC'!$A$2:$A$62,0)))</f>
        <v>0</v>
      </c>
      <c r="J1158" s="9" t="str">
        <f t="shared" si="32"/>
        <v/>
      </c>
      <c r="K1158" s="8" t="b">
        <f>IF(D1158&lt;3,FALSE,ISERROR(MATCH(J1158,'Ontology and concepts per UC'!$A$2:$A$62,0)))</f>
        <v>0</v>
      </c>
      <c r="L1158" s="2"/>
      <c r="M1158" s="2" t="s">
        <v>3044</v>
      </c>
      <c r="N1158" s="2"/>
      <c r="O1158" s="1" t="b">
        <v>0</v>
      </c>
      <c r="P1158" s="1">
        <v>1</v>
      </c>
      <c r="Q1158" s="1">
        <v>0</v>
      </c>
      <c r="R1158" s="1" t="b">
        <f t="shared" si="33"/>
        <v>1</v>
      </c>
      <c r="S1158" s="2" t="s">
        <v>69</v>
      </c>
      <c r="T1158" s="1" t="str">
        <f>IF(S1158="","",VLOOKUP(S1158,'Ontology and concepts per UC'!$F$2:$J$46,5,FALSE))</f>
        <v>Utilidad</v>
      </c>
      <c r="U1158" s="1" t="b">
        <f t="array" ref="U1158">(INDEX('Ontology and concepts per UC'!$G$2:$I$46,MATCH($S1158,'Ontology and concepts per UC'!$F$2:$F$46,0),MATCH(LEFT($A1158,3),'Ontology and concepts per UC'!$G$1:$I$1,0))=0)</f>
        <v>0</v>
      </c>
      <c r="V1158" s="1" t="b">
        <f t="shared" si="34"/>
        <v>1</v>
      </c>
      <c r="W1158" s="1" t="b">
        <v>1</v>
      </c>
      <c r="X1158" s="1" t="b">
        <v>0</v>
      </c>
      <c r="Y1158" s="1" t="b">
        <v>0</v>
      </c>
      <c r="Z1158" s="1" t="b">
        <v>0</v>
      </c>
      <c r="AA1158" s="1" t="s">
        <v>2603</v>
      </c>
    </row>
    <row r="1159" spans="1:27" x14ac:dyDescent="0.25">
      <c r="A1159" s="1" t="s">
        <v>2886</v>
      </c>
      <c r="B1159" s="2" t="s">
        <v>3045</v>
      </c>
      <c r="C1159" s="2" t="s">
        <v>2600</v>
      </c>
      <c r="D1159" s="6">
        <f t="shared" si="28"/>
        <v>1</v>
      </c>
      <c r="E1159" s="7" t="str">
        <f t="shared" si="29"/>
        <v>IRIUtility</v>
      </c>
      <c r="F1159" s="8" t="b">
        <f>IF(D1159&lt;1,FALSE,ISERROR(MATCH(E1159,'Ontology and concepts per UC'!$A$2:$A$62,0)))</f>
        <v>1</v>
      </c>
      <c r="G1159" s="9" t="str">
        <f t="shared" si="30"/>
        <v/>
      </c>
      <c r="H1159" s="9" t="str">
        <f t="shared" si="31"/>
        <v/>
      </c>
      <c r="I1159" s="8" t="b">
        <f>IF(D1159&lt;2,FALSE,ISERROR(MATCH(H1159,'Ontology and concepts per UC'!$A$2:$A$62,0)))</f>
        <v>0</v>
      </c>
      <c r="J1159" s="9" t="str">
        <f t="shared" si="32"/>
        <v/>
      </c>
      <c r="K1159" s="8" t="b">
        <f>IF(D1159&lt;3,FALSE,ISERROR(MATCH(J1159,'Ontology and concepts per UC'!$A$2:$A$62,0)))</f>
        <v>0</v>
      </c>
      <c r="L1159" s="2"/>
      <c r="M1159" s="2" t="s">
        <v>3046</v>
      </c>
      <c r="N1159" s="2"/>
      <c r="O1159" s="1" t="b">
        <v>0</v>
      </c>
      <c r="P1159" s="1">
        <v>1</v>
      </c>
      <c r="Q1159" s="1">
        <v>0</v>
      </c>
      <c r="R1159" s="1" t="b">
        <f t="shared" si="33"/>
        <v>1</v>
      </c>
      <c r="S1159" s="2" t="s">
        <v>67</v>
      </c>
      <c r="T1159" s="1" t="str">
        <f>IF(S1159="","",VLOOKUP(S1159,'Ontology and concepts per UC'!$F$2:$J$46,5,FALSE))</f>
        <v>Utilidad</v>
      </c>
      <c r="U1159" s="1" t="b">
        <f t="array" ref="U1159">(INDEX('Ontology and concepts per UC'!$G$2:$I$46,MATCH($S1159,'Ontology and concepts per UC'!$F$2:$F$46,0),MATCH(LEFT($A1159,3),'Ontology and concepts per UC'!$G$1:$I$1,0))=0)</f>
        <v>0</v>
      </c>
      <c r="V1159" s="1" t="b">
        <f t="shared" si="34"/>
        <v>1</v>
      </c>
      <c r="W1159" s="1" t="b">
        <v>1</v>
      </c>
      <c r="X1159" s="1" t="b">
        <v>0</v>
      </c>
      <c r="Y1159" s="1" t="b">
        <v>0</v>
      </c>
      <c r="Z1159" s="1" t="b">
        <v>0</v>
      </c>
      <c r="AA1159" s="1" t="s">
        <v>2603</v>
      </c>
    </row>
    <row r="1160" spans="1:27" x14ac:dyDescent="0.25">
      <c r="A1160" s="1" t="s">
        <v>2886</v>
      </c>
      <c r="B1160" s="2" t="s">
        <v>3047</v>
      </c>
      <c r="C1160" s="2" t="s">
        <v>2600</v>
      </c>
      <c r="D1160" s="6">
        <f t="shared" si="28"/>
        <v>1</v>
      </c>
      <c r="E1160" s="7" t="str">
        <f t="shared" si="29"/>
        <v>IRIUtility</v>
      </c>
      <c r="F1160" s="8" t="b">
        <f>IF(D1160&lt;1,FALSE,ISERROR(MATCH(E1160,'Ontology and concepts per UC'!$A$2:$A$62,0)))</f>
        <v>1</v>
      </c>
      <c r="G1160" s="9" t="str">
        <f t="shared" si="30"/>
        <v/>
      </c>
      <c r="H1160" s="9" t="str">
        <f t="shared" si="31"/>
        <v/>
      </c>
      <c r="I1160" s="8" t="b">
        <f>IF(D1160&lt;2,FALSE,ISERROR(MATCH(H1160,'Ontology and concepts per UC'!$A$2:$A$62,0)))</f>
        <v>0</v>
      </c>
      <c r="J1160" s="9" t="str">
        <f t="shared" si="32"/>
        <v/>
      </c>
      <c r="K1160" s="8" t="b">
        <f>IF(D1160&lt;3,FALSE,ISERROR(MATCH(J1160,'Ontology and concepts per UC'!$A$2:$A$62,0)))</f>
        <v>0</v>
      </c>
      <c r="L1160" s="2"/>
      <c r="M1160" s="2" t="s">
        <v>3048</v>
      </c>
      <c r="N1160" s="2"/>
      <c r="O1160" s="1" t="b">
        <v>0</v>
      </c>
      <c r="P1160" s="1">
        <v>1</v>
      </c>
      <c r="Q1160" s="1">
        <v>0</v>
      </c>
      <c r="R1160" s="1" t="b">
        <f t="shared" si="33"/>
        <v>1</v>
      </c>
      <c r="S1160" s="2" t="s">
        <v>68</v>
      </c>
      <c r="T1160" s="1" t="str">
        <f>IF(S1160="","",VLOOKUP(S1160,'Ontology and concepts per UC'!$F$2:$J$46,5,FALSE))</f>
        <v>Utilidad</v>
      </c>
      <c r="U1160" s="1" t="b">
        <f t="array" ref="U1160">(INDEX('Ontology and concepts per UC'!$G$2:$I$46,MATCH($S1160,'Ontology and concepts per UC'!$F$2:$F$46,0),MATCH(LEFT($A1160,3),'Ontology and concepts per UC'!$G$1:$I$1,0))=0)</f>
        <v>0</v>
      </c>
      <c r="V1160" s="1" t="b">
        <f t="shared" si="34"/>
        <v>1</v>
      </c>
      <c r="W1160" s="1" t="b">
        <v>1</v>
      </c>
      <c r="X1160" s="1" t="b">
        <v>0</v>
      </c>
      <c r="Y1160" s="1" t="b">
        <v>0</v>
      </c>
      <c r="Z1160" s="1" t="b">
        <v>0</v>
      </c>
      <c r="AA1160" s="1" t="s">
        <v>2603</v>
      </c>
    </row>
    <row r="1161" spans="1:27" x14ac:dyDescent="0.25">
      <c r="A1161" s="1" t="s">
        <v>2886</v>
      </c>
      <c r="B1161" s="2" t="s">
        <v>1145</v>
      </c>
      <c r="C1161" s="2" t="s">
        <v>36</v>
      </c>
      <c r="D1161" s="6">
        <f t="shared" si="28"/>
        <v>1</v>
      </c>
      <c r="E1161" s="7" t="str">
        <f t="shared" si="29"/>
        <v>RareDisease</v>
      </c>
      <c r="F1161" s="8" t="b">
        <f>IF(D1161&lt;1,FALSE,ISERROR(MATCH(E1161,'Ontology and concepts per UC'!$A$2:$A$62,0)))</f>
        <v>0</v>
      </c>
      <c r="G1161" s="9" t="str">
        <f t="shared" si="30"/>
        <v/>
      </c>
      <c r="H1161" s="9" t="str">
        <f t="shared" si="31"/>
        <v/>
      </c>
      <c r="I1161" s="8" t="b">
        <f>IF(D1161&lt;2,FALSE,ISERROR(MATCH(H1161,'Ontology and concepts per UC'!$A$2:$A$62,0)))</f>
        <v>0</v>
      </c>
      <c r="J1161" s="9" t="str">
        <f t="shared" si="32"/>
        <v/>
      </c>
      <c r="K1161" s="8" t="b">
        <f>IF(D1161&lt;3,FALSE,ISERROR(MATCH(J1161,'Ontology and concepts per UC'!$A$2:$A$62,0)))</f>
        <v>0</v>
      </c>
      <c r="L1161" s="2"/>
      <c r="M1161" s="2" t="s">
        <v>3049</v>
      </c>
      <c r="N1161" s="2"/>
      <c r="O1161" s="1" t="b">
        <v>0</v>
      </c>
      <c r="P1161" s="1">
        <v>0</v>
      </c>
      <c r="Q1161" s="1">
        <v>0</v>
      </c>
      <c r="R1161" s="1" t="b">
        <f t="shared" si="33"/>
        <v>1</v>
      </c>
      <c r="S1161" s="2" t="s">
        <v>35</v>
      </c>
      <c r="T1161" s="1" t="str">
        <f>IF(S1161="","",VLOOKUP(S1161,'Ontology and concepts per UC'!$F$2:$J$46,5,FALSE))</f>
        <v>Modelo Conceptual</v>
      </c>
      <c r="U1161" s="1" t="b">
        <f t="array" ref="U1161">(INDEX('Ontology and concepts per UC'!$G$2:$I$46,MATCH($S1161,'Ontology and concepts per UC'!$F$2:$F$46,0),MATCH(LEFT($A1161,3),'Ontology and concepts per UC'!$G$1:$I$1,0))=0)</f>
        <v>0</v>
      </c>
      <c r="V1161" s="1" t="b">
        <f t="shared" si="34"/>
        <v>1</v>
      </c>
      <c r="W1161" s="1" t="b">
        <v>0</v>
      </c>
      <c r="X1161" s="1" t="b">
        <v>0</v>
      </c>
      <c r="Y1161" s="1" t="b">
        <v>0</v>
      </c>
      <c r="Z1161" s="1" t="b">
        <v>1</v>
      </c>
      <c r="AA1161" s="1" t="s">
        <v>3050</v>
      </c>
    </row>
    <row r="1162" spans="1:27" x14ac:dyDescent="0.25">
      <c r="A1162" s="1" t="s">
        <v>2886</v>
      </c>
      <c r="B1162" s="2" t="s">
        <v>3051</v>
      </c>
      <c r="C1162" s="2" t="s">
        <v>3052</v>
      </c>
      <c r="D1162" s="6">
        <f t="shared" si="28"/>
        <v>1</v>
      </c>
      <c r="E1162" s="7" t="str">
        <f t="shared" si="29"/>
        <v>RareDiseaseSubtype</v>
      </c>
      <c r="F1162" s="8" t="b">
        <f>IF(D1162&lt;1,FALSE,ISERROR(MATCH(E1162,'Ontology and concepts per UC'!$A$2:$A$62,0)))</f>
        <v>1</v>
      </c>
      <c r="G1162" s="9" t="str">
        <f t="shared" si="30"/>
        <v/>
      </c>
      <c r="H1162" s="9" t="str">
        <f t="shared" si="31"/>
        <v/>
      </c>
      <c r="I1162" s="8" t="b">
        <f>IF(D1162&lt;2,FALSE,ISERROR(MATCH(H1162,'Ontology and concepts per UC'!$A$2:$A$62,0)))</f>
        <v>0</v>
      </c>
      <c r="J1162" s="9" t="str">
        <f t="shared" si="32"/>
        <v/>
      </c>
      <c r="K1162" s="8" t="b">
        <f>IF(D1162&lt;3,FALSE,ISERROR(MATCH(J1162,'Ontology and concepts per UC'!$A$2:$A$62,0)))</f>
        <v>0</v>
      </c>
      <c r="L1162" s="2" t="s">
        <v>3053</v>
      </c>
      <c r="M1162" s="2"/>
      <c r="N1162" s="2"/>
      <c r="O1162" s="1" t="b">
        <v>0</v>
      </c>
      <c r="P1162" s="1">
        <v>1</v>
      </c>
      <c r="Q1162" s="1">
        <v>1</v>
      </c>
      <c r="R1162" s="1" t="b">
        <f t="shared" si="33"/>
        <v>0</v>
      </c>
      <c r="S1162" s="2" t="s">
        <v>107</v>
      </c>
      <c r="T1162" s="1" t="str">
        <f>IF(S1162="","",VLOOKUP(S1162,'Ontology and concepts per UC'!$F$2:$J$46,5,FALSE))</f>
        <v>Parcial</v>
      </c>
      <c r="U1162" s="1" t="b">
        <f t="array" ref="U1162">(INDEX('Ontology and concepts per UC'!$G$2:$I$46,MATCH($S1162,'Ontology and concepts per UC'!$F$2:$F$46,0),MATCH(LEFT($A1162,3),'Ontology and concepts per UC'!$G$1:$I$1,0))=0)</f>
        <v>0</v>
      </c>
      <c r="V1162" s="1" t="b">
        <f t="shared" si="34"/>
        <v>1</v>
      </c>
      <c r="W1162" s="1" t="b">
        <v>1</v>
      </c>
      <c r="X1162" s="1" t="b">
        <v>0</v>
      </c>
      <c r="Y1162" s="1" t="b">
        <v>0</v>
      </c>
      <c r="Z1162" s="1" t="b">
        <v>0</v>
      </c>
      <c r="AA1162" s="1" t="s">
        <v>3054</v>
      </c>
    </row>
    <row r="1163" spans="1:27" x14ac:dyDescent="0.25">
      <c r="A1163" s="1" t="s">
        <v>2886</v>
      </c>
      <c r="B1163" s="2" t="s">
        <v>3055</v>
      </c>
      <c r="C1163" s="2" t="s">
        <v>3052</v>
      </c>
      <c r="D1163" s="6">
        <f t="shared" si="28"/>
        <v>1</v>
      </c>
      <c r="E1163" s="7" t="str">
        <f t="shared" si="29"/>
        <v>RareDiseaseSubtype</v>
      </c>
      <c r="F1163" s="8" t="b">
        <f>IF(D1163&lt;1,FALSE,ISERROR(MATCH(E1163,'Ontology and concepts per UC'!$A$2:$A$62,0)))</f>
        <v>1</v>
      </c>
      <c r="G1163" s="9" t="str">
        <f t="shared" si="30"/>
        <v/>
      </c>
      <c r="H1163" s="9" t="str">
        <f t="shared" si="31"/>
        <v/>
      </c>
      <c r="I1163" s="8" t="b">
        <f>IF(D1163&lt;2,FALSE,ISERROR(MATCH(H1163,'Ontology and concepts per UC'!$A$2:$A$62,0)))</f>
        <v>0</v>
      </c>
      <c r="J1163" s="9" t="str">
        <f t="shared" si="32"/>
        <v/>
      </c>
      <c r="K1163" s="8" t="b">
        <f>IF(D1163&lt;3,FALSE,ISERROR(MATCH(J1163,'Ontology and concepts per UC'!$A$2:$A$62,0)))</f>
        <v>0</v>
      </c>
      <c r="L1163" s="2" t="s">
        <v>3053</v>
      </c>
      <c r="M1163" s="2"/>
      <c r="N1163" s="2"/>
      <c r="O1163" s="1" t="b">
        <v>0</v>
      </c>
      <c r="P1163" s="1">
        <v>1</v>
      </c>
      <c r="Q1163" s="1">
        <v>1</v>
      </c>
      <c r="R1163" s="1" t="b">
        <f t="shared" si="33"/>
        <v>0</v>
      </c>
      <c r="S1163" s="2" t="s">
        <v>35</v>
      </c>
      <c r="T1163" s="1" t="str">
        <f>IF(S1163="","",VLOOKUP(S1163,'Ontology and concepts per UC'!$F$2:$J$46,5,FALSE))</f>
        <v>Modelo Conceptual</v>
      </c>
      <c r="U1163" s="1" t="b">
        <f t="array" ref="U1163">(INDEX('Ontology and concepts per UC'!$G$2:$I$46,MATCH($S1163,'Ontology and concepts per UC'!$F$2:$F$46,0),MATCH(LEFT($A1163,3),'Ontology and concepts per UC'!$G$1:$I$1,0))=0)</f>
        <v>0</v>
      </c>
      <c r="V1163" s="1" t="b">
        <f t="shared" si="34"/>
        <v>1</v>
      </c>
      <c r="W1163" s="1" t="b">
        <v>1</v>
      </c>
      <c r="X1163" s="1" t="b">
        <v>0</v>
      </c>
      <c r="Y1163" s="1" t="b">
        <v>0</v>
      </c>
      <c r="Z1163" s="1" t="b">
        <v>0</v>
      </c>
      <c r="AA1163" s="1" t="s">
        <v>3054</v>
      </c>
    </row>
    <row r="1164" spans="1:27" x14ac:dyDescent="0.25">
      <c r="A1164" s="1" t="s">
        <v>2886</v>
      </c>
      <c r="B1164" s="2" t="s">
        <v>3056</v>
      </c>
      <c r="C1164" s="2" t="s">
        <v>581</v>
      </c>
      <c r="D1164" s="6">
        <f t="shared" si="28"/>
        <v>1</v>
      </c>
      <c r="E1164" s="7" t="str">
        <f t="shared" si="29"/>
        <v>Stage</v>
      </c>
      <c r="F1164" s="8" t="b">
        <f>IF(D1164&lt;1,FALSE,ISERROR(MATCH(E1164,'Ontology and concepts per UC'!$A$2:$A$62,0)))</f>
        <v>0</v>
      </c>
      <c r="G1164" s="9" t="str">
        <f t="shared" si="30"/>
        <v/>
      </c>
      <c r="H1164" s="9" t="str">
        <f t="shared" si="31"/>
        <v/>
      </c>
      <c r="I1164" s="8" t="b">
        <f>IF(D1164&lt;2,FALSE,ISERROR(MATCH(H1164,'Ontology and concepts per UC'!$A$2:$A$62,0)))</f>
        <v>0</v>
      </c>
      <c r="J1164" s="9" t="str">
        <f t="shared" si="32"/>
        <v/>
      </c>
      <c r="K1164" s="8" t="b">
        <f>IF(D1164&lt;3,FALSE,ISERROR(MATCH(J1164,'Ontology and concepts per UC'!$A$2:$A$62,0)))</f>
        <v>0</v>
      </c>
      <c r="L1164" s="2" t="s">
        <v>3057</v>
      </c>
      <c r="M1164" s="2" t="s">
        <v>3058</v>
      </c>
      <c r="N1164" s="2"/>
      <c r="O1164" s="1" t="b">
        <v>0</v>
      </c>
      <c r="P1164" s="1">
        <v>0</v>
      </c>
      <c r="Q1164" s="1">
        <v>0</v>
      </c>
      <c r="R1164" s="1" t="b">
        <f t="shared" si="33"/>
        <v>0</v>
      </c>
      <c r="S1164" s="2" t="s">
        <v>187</v>
      </c>
      <c r="T1164" s="1" t="str">
        <f>IF(S1164="","",VLOOKUP(S1164,'Ontology and concepts per UC'!$F$2:$J$46,5,FALSE))</f>
        <v>Otros</v>
      </c>
      <c r="U1164" s="1" t="b">
        <f t="array" ref="U1164">(INDEX('Ontology and concepts per UC'!$G$2:$I$46,MATCH($S1164,'Ontology and concepts per UC'!$F$2:$F$46,0),MATCH(LEFT($A1164,3),'Ontology and concepts per UC'!$G$1:$I$1,0))=0)</f>
        <v>1</v>
      </c>
      <c r="V1164" s="1" t="b">
        <f t="shared" si="34"/>
        <v>0</v>
      </c>
      <c r="W1164" s="1" t="b">
        <v>0</v>
      </c>
      <c r="X1164" s="1" t="b">
        <v>0</v>
      </c>
      <c r="Y1164" s="1" t="b">
        <v>0</v>
      </c>
      <c r="Z1164" s="1" t="b">
        <v>0</v>
      </c>
      <c r="AA1164" s="1"/>
    </row>
    <row r="1165" spans="1:27" x14ac:dyDescent="0.25">
      <c r="A1165" s="1" t="s">
        <v>2886</v>
      </c>
      <c r="B1165" s="2" t="s">
        <v>3059</v>
      </c>
      <c r="C1165" s="2" t="s">
        <v>581</v>
      </c>
      <c r="D1165" s="6">
        <f t="shared" si="28"/>
        <v>1</v>
      </c>
      <c r="E1165" s="7" t="str">
        <f t="shared" si="29"/>
        <v>Stage</v>
      </c>
      <c r="F1165" s="8" t="b">
        <f>IF(D1165&lt;1,FALSE,ISERROR(MATCH(E1165,'Ontology and concepts per UC'!$A$2:$A$62,0)))</f>
        <v>0</v>
      </c>
      <c r="G1165" s="9" t="str">
        <f t="shared" si="30"/>
        <v/>
      </c>
      <c r="H1165" s="9" t="str">
        <f t="shared" si="31"/>
        <v/>
      </c>
      <c r="I1165" s="8" t="b">
        <f>IF(D1165&lt;2,FALSE,ISERROR(MATCH(H1165,'Ontology and concepts per UC'!$A$2:$A$62,0)))</f>
        <v>0</v>
      </c>
      <c r="J1165" s="9" t="str">
        <f t="shared" si="32"/>
        <v/>
      </c>
      <c r="K1165" s="8" t="b">
        <f>IF(D1165&lt;3,FALSE,ISERROR(MATCH(J1165,'Ontology and concepts per UC'!$A$2:$A$62,0)))</f>
        <v>0</v>
      </c>
      <c r="L1165" s="2"/>
      <c r="M1165" s="2" t="s">
        <v>3060</v>
      </c>
      <c r="N1165" s="2"/>
      <c r="O1165" s="1" t="b">
        <v>0</v>
      </c>
      <c r="P1165" s="1">
        <v>0</v>
      </c>
      <c r="Q1165" s="1">
        <v>0</v>
      </c>
      <c r="R1165" s="1" t="b">
        <f t="shared" si="33"/>
        <v>0</v>
      </c>
      <c r="S1165" s="2" t="s">
        <v>187</v>
      </c>
      <c r="T1165" s="1" t="str">
        <f>IF(S1165="","",VLOOKUP(S1165,'Ontology and concepts per UC'!$F$2:$J$46,5,FALSE))</f>
        <v>Otros</v>
      </c>
      <c r="U1165" s="1" t="b">
        <f t="array" ref="U1165">(INDEX('Ontology and concepts per UC'!$G$2:$I$46,MATCH($S1165,'Ontology and concepts per UC'!$F$2:$F$46,0),MATCH(LEFT($A1165,3),'Ontology and concepts per UC'!$G$1:$I$1,0))=0)</f>
        <v>1</v>
      </c>
      <c r="V1165" s="1" t="b">
        <f t="shared" si="34"/>
        <v>0</v>
      </c>
      <c r="W1165" s="1" t="b">
        <v>0</v>
      </c>
      <c r="X1165" s="1" t="b">
        <v>0</v>
      </c>
      <c r="Y1165" s="1" t="b">
        <v>0</v>
      </c>
      <c r="Z1165" s="1" t="b">
        <v>0</v>
      </c>
      <c r="AA1165" s="1"/>
    </row>
    <row r="1166" spans="1:27" x14ac:dyDescent="0.25">
      <c r="A1166" s="1" t="s">
        <v>2886</v>
      </c>
      <c r="B1166" s="2" t="s">
        <v>3061</v>
      </c>
      <c r="C1166" s="2" t="s">
        <v>581</v>
      </c>
      <c r="D1166" s="6">
        <f t="shared" si="28"/>
        <v>1</v>
      </c>
      <c r="E1166" s="7" t="str">
        <f t="shared" si="29"/>
        <v>Stage</v>
      </c>
      <c r="F1166" s="8" t="b">
        <f>IF(D1166&lt;1,FALSE,ISERROR(MATCH(E1166,'Ontology and concepts per UC'!$A$2:$A$62,0)))</f>
        <v>0</v>
      </c>
      <c r="G1166" s="9" t="str">
        <f t="shared" si="30"/>
        <v/>
      </c>
      <c r="H1166" s="9" t="str">
        <f t="shared" si="31"/>
        <v/>
      </c>
      <c r="I1166" s="8" t="b">
        <f>IF(D1166&lt;2,FALSE,ISERROR(MATCH(H1166,'Ontology and concepts per UC'!$A$2:$A$62,0)))</f>
        <v>0</v>
      </c>
      <c r="J1166" s="9" t="str">
        <f t="shared" si="32"/>
        <v/>
      </c>
      <c r="K1166" s="8" t="b">
        <f>IF(D1166&lt;3,FALSE,ISERROR(MATCH(J1166,'Ontology and concepts per UC'!$A$2:$A$62,0)))</f>
        <v>0</v>
      </c>
      <c r="L1166" s="2" t="s">
        <v>3062</v>
      </c>
      <c r="M1166" s="2" t="s">
        <v>3063</v>
      </c>
      <c r="N1166" s="2"/>
      <c r="O1166" s="1" t="b">
        <v>0</v>
      </c>
      <c r="P1166" s="1">
        <v>0</v>
      </c>
      <c r="Q1166" s="1">
        <v>0</v>
      </c>
      <c r="R1166" s="1" t="b">
        <f t="shared" si="33"/>
        <v>0</v>
      </c>
      <c r="S1166" s="2" t="s">
        <v>187</v>
      </c>
      <c r="T1166" s="1" t="str">
        <f>IF(S1166="","",VLOOKUP(S1166,'Ontology and concepts per UC'!$F$2:$J$46,5,FALSE))</f>
        <v>Otros</v>
      </c>
      <c r="U1166" s="1" t="b">
        <f t="array" ref="U1166">(INDEX('Ontology and concepts per UC'!$G$2:$I$46,MATCH($S1166,'Ontology and concepts per UC'!$F$2:$F$46,0),MATCH(LEFT($A1166,3),'Ontology and concepts per UC'!$G$1:$I$1,0))=0)</f>
        <v>1</v>
      </c>
      <c r="V1166" s="1" t="b">
        <f t="shared" si="34"/>
        <v>0</v>
      </c>
      <c r="W1166" s="1" t="b">
        <v>0</v>
      </c>
      <c r="X1166" s="1" t="b">
        <v>0</v>
      </c>
      <c r="Y1166" s="1" t="b">
        <v>0</v>
      </c>
      <c r="Z1166" s="1" t="b">
        <v>0</v>
      </c>
      <c r="AA1166" s="1"/>
    </row>
    <row r="1167" spans="1:27" x14ac:dyDescent="0.25">
      <c r="A1167" s="1" t="s">
        <v>2886</v>
      </c>
      <c r="B1167" s="2" t="s">
        <v>3064</v>
      </c>
      <c r="C1167" s="2" t="s">
        <v>581</v>
      </c>
      <c r="D1167" s="6">
        <f t="shared" si="28"/>
        <v>1</v>
      </c>
      <c r="E1167" s="7" t="str">
        <f t="shared" si="29"/>
        <v>Stage</v>
      </c>
      <c r="F1167" s="8" t="b">
        <f>IF(D1167&lt;1,FALSE,ISERROR(MATCH(E1167,'Ontology and concepts per UC'!$A$2:$A$62,0)))</f>
        <v>0</v>
      </c>
      <c r="G1167" s="9" t="str">
        <f t="shared" si="30"/>
        <v/>
      </c>
      <c r="H1167" s="9" t="str">
        <f t="shared" si="31"/>
        <v/>
      </c>
      <c r="I1167" s="8" t="b">
        <f>IF(D1167&lt;2,FALSE,ISERROR(MATCH(H1167,'Ontology and concepts per UC'!$A$2:$A$62,0)))</f>
        <v>0</v>
      </c>
      <c r="J1167" s="9" t="str">
        <f t="shared" si="32"/>
        <v/>
      </c>
      <c r="K1167" s="8" t="b">
        <f>IF(D1167&lt;3,FALSE,ISERROR(MATCH(J1167,'Ontology and concepts per UC'!$A$2:$A$62,0)))</f>
        <v>0</v>
      </c>
      <c r="L1167" s="2"/>
      <c r="M1167" s="2" t="s">
        <v>3065</v>
      </c>
      <c r="N1167" s="2"/>
      <c r="O1167" s="1" t="b">
        <v>0</v>
      </c>
      <c r="P1167" s="1">
        <v>0</v>
      </c>
      <c r="Q1167" s="1">
        <v>0</v>
      </c>
      <c r="R1167" s="1" t="b">
        <f t="shared" si="33"/>
        <v>0</v>
      </c>
      <c r="S1167" s="2" t="s">
        <v>187</v>
      </c>
      <c r="T1167" s="1" t="str">
        <f>IF(S1167="","",VLOOKUP(S1167,'Ontology and concepts per UC'!$F$2:$J$46,5,FALSE))</f>
        <v>Otros</v>
      </c>
      <c r="U1167" s="1" t="b">
        <f t="array" ref="U1167">(INDEX('Ontology and concepts per UC'!$G$2:$I$46,MATCH($S1167,'Ontology and concepts per UC'!$F$2:$F$46,0),MATCH(LEFT($A1167,3),'Ontology and concepts per UC'!$G$1:$I$1,0))=0)</f>
        <v>1</v>
      </c>
      <c r="V1167" s="1" t="b">
        <f t="shared" si="34"/>
        <v>0</v>
      </c>
      <c r="W1167" s="1" t="b">
        <v>0</v>
      </c>
      <c r="X1167" s="1" t="b">
        <v>0</v>
      </c>
      <c r="Y1167" s="1" t="b">
        <v>0</v>
      </c>
      <c r="Z1167" s="1" t="b">
        <v>0</v>
      </c>
      <c r="AA1167" s="1"/>
    </row>
    <row r="1168" spans="1:27" x14ac:dyDescent="0.25">
      <c r="A1168" s="1" t="s">
        <v>2886</v>
      </c>
      <c r="B1168" s="2" t="s">
        <v>3066</v>
      </c>
      <c r="C1168" s="2" t="s">
        <v>219</v>
      </c>
      <c r="D1168" s="6">
        <f t="shared" si="28"/>
        <v>1</v>
      </c>
      <c r="E1168" s="7" t="str">
        <f t="shared" si="29"/>
        <v>Utility</v>
      </c>
      <c r="F1168" s="8" t="b">
        <f>IF(D1168&lt;1,FALSE,ISERROR(MATCH(E1168,'Ontology and concepts per UC'!$A$2:$A$62,0)))</f>
        <v>0</v>
      </c>
      <c r="G1168" s="9" t="str">
        <f t="shared" si="30"/>
        <v/>
      </c>
      <c r="H1168" s="9" t="str">
        <f t="shared" si="31"/>
        <v/>
      </c>
      <c r="I1168" s="8" t="b">
        <f>IF(D1168&lt;2,FALSE,ISERROR(MATCH(H1168,'Ontology and concepts per UC'!$A$2:$A$62,0)))</f>
        <v>0</v>
      </c>
      <c r="J1168" s="9" t="str">
        <f t="shared" si="32"/>
        <v/>
      </c>
      <c r="K1168" s="8" t="b">
        <f>IF(D1168&lt;3,FALSE,ISERROR(MATCH(J1168,'Ontology and concepts per UC'!$A$2:$A$62,0)))</f>
        <v>0</v>
      </c>
      <c r="L1168" s="2"/>
      <c r="M1168" s="2" t="s">
        <v>3067</v>
      </c>
      <c r="N1168" s="2"/>
      <c r="O1168" s="1" t="b">
        <v>0</v>
      </c>
      <c r="P1168" s="1">
        <v>0</v>
      </c>
      <c r="Q1168" s="1">
        <v>0</v>
      </c>
      <c r="R1168" s="1" t="b">
        <f t="shared" si="33"/>
        <v>0</v>
      </c>
      <c r="S1168" s="2" t="s">
        <v>70</v>
      </c>
      <c r="T1168" s="1" t="str">
        <f>IF(S1168="","",VLOOKUP(S1168,'Ontology and concepts per UC'!$F$2:$J$46,5,FALSE))</f>
        <v>Utilidad</v>
      </c>
      <c r="U1168" s="1" t="b">
        <f t="array" ref="U1168">(INDEX('Ontology and concepts per UC'!$G$2:$I$46,MATCH($S1168,'Ontology and concepts per UC'!$F$2:$F$46,0),MATCH(LEFT($A1168,3),'Ontology and concepts per UC'!$G$1:$I$1,0))=0)</f>
        <v>0</v>
      </c>
      <c r="V1168" s="1" t="b">
        <f t="shared" si="34"/>
        <v>0</v>
      </c>
      <c r="W1168" s="1" t="b">
        <v>0</v>
      </c>
      <c r="X1168" s="1" t="b">
        <v>0</v>
      </c>
      <c r="Y1168" s="1" t="b">
        <v>0</v>
      </c>
      <c r="Z1168" s="1" t="b">
        <v>0</v>
      </c>
      <c r="AA1168" s="1"/>
    </row>
    <row r="1169" spans="1:27" x14ac:dyDescent="0.25">
      <c r="A1169" s="1" t="s">
        <v>2886</v>
      </c>
      <c r="B1169" s="2" t="s">
        <v>3068</v>
      </c>
      <c r="C1169" s="2" t="s">
        <v>219</v>
      </c>
      <c r="D1169" s="6">
        <f t="shared" si="28"/>
        <v>1</v>
      </c>
      <c r="E1169" s="7" t="str">
        <f t="shared" si="29"/>
        <v>Utility</v>
      </c>
      <c r="F1169" s="8" t="b">
        <f>IF(D1169&lt;1,FALSE,ISERROR(MATCH(E1169,'Ontology and concepts per UC'!$A$2:$A$62,0)))</f>
        <v>0</v>
      </c>
      <c r="G1169" s="9" t="str">
        <f t="shared" si="30"/>
        <v/>
      </c>
      <c r="H1169" s="9" t="str">
        <f t="shared" si="31"/>
        <v/>
      </c>
      <c r="I1169" s="8" t="b">
        <f>IF(D1169&lt;2,FALSE,ISERROR(MATCH(H1169,'Ontology and concepts per UC'!$A$2:$A$62,0)))</f>
        <v>0</v>
      </c>
      <c r="J1169" s="9" t="str">
        <f t="shared" si="32"/>
        <v/>
      </c>
      <c r="K1169" s="8" t="b">
        <f>IF(D1169&lt;3,FALSE,ISERROR(MATCH(J1169,'Ontology and concepts per UC'!$A$2:$A$62,0)))</f>
        <v>0</v>
      </c>
      <c r="L1169" s="2"/>
      <c r="M1169" s="2" t="s">
        <v>3069</v>
      </c>
      <c r="N1169" s="2"/>
      <c r="O1169" s="1" t="b">
        <v>0</v>
      </c>
      <c r="P1169" s="1">
        <v>0</v>
      </c>
      <c r="Q1169" s="1">
        <v>0</v>
      </c>
      <c r="R1169" s="1" t="b">
        <f t="shared" si="33"/>
        <v>0</v>
      </c>
      <c r="S1169" s="2" t="s">
        <v>65</v>
      </c>
      <c r="T1169" s="1" t="str">
        <f>IF(S1169="","",VLOOKUP(S1169,'Ontology and concepts per UC'!$F$2:$J$46,5,FALSE))</f>
        <v>Utilidad</v>
      </c>
      <c r="U1169" s="1" t="b">
        <f t="array" ref="U1169">(INDEX('Ontology and concepts per UC'!$G$2:$I$46,MATCH($S1169,'Ontology and concepts per UC'!$F$2:$F$46,0),MATCH(LEFT($A1169,3),'Ontology and concepts per UC'!$G$1:$I$1,0))=0)</f>
        <v>0</v>
      </c>
      <c r="V1169" s="1" t="b">
        <f t="shared" si="34"/>
        <v>0</v>
      </c>
      <c r="W1169" s="1" t="b">
        <v>0</v>
      </c>
      <c r="X1169" s="1" t="b">
        <v>0</v>
      </c>
      <c r="Y1169" s="1" t="b">
        <v>0</v>
      </c>
      <c r="Z1169" s="1" t="b">
        <v>0</v>
      </c>
      <c r="AA1169" s="1"/>
    </row>
    <row r="1170" spans="1:27" x14ac:dyDescent="0.25">
      <c r="A1170" s="1" t="s">
        <v>2886</v>
      </c>
      <c r="B1170" s="2" t="s">
        <v>3070</v>
      </c>
      <c r="C1170" s="2" t="s">
        <v>219</v>
      </c>
      <c r="D1170" s="6">
        <f t="shared" si="28"/>
        <v>1</v>
      </c>
      <c r="E1170" s="7" t="str">
        <f t="shared" si="29"/>
        <v>Utility</v>
      </c>
      <c r="F1170" s="8" t="b">
        <f>IF(D1170&lt;1,FALSE,ISERROR(MATCH(E1170,'Ontology and concepts per UC'!$A$2:$A$62,0)))</f>
        <v>0</v>
      </c>
      <c r="G1170" s="9" t="str">
        <f t="shared" si="30"/>
        <v/>
      </c>
      <c r="H1170" s="9" t="str">
        <f t="shared" si="31"/>
        <v/>
      </c>
      <c r="I1170" s="8" t="b">
        <f>IF(D1170&lt;2,FALSE,ISERROR(MATCH(H1170,'Ontology and concepts per UC'!$A$2:$A$62,0)))</f>
        <v>0</v>
      </c>
      <c r="J1170" s="9" t="str">
        <f t="shared" si="32"/>
        <v/>
      </c>
      <c r="K1170" s="8" t="b">
        <f>IF(D1170&lt;3,FALSE,ISERROR(MATCH(J1170,'Ontology and concepts per UC'!$A$2:$A$62,0)))</f>
        <v>0</v>
      </c>
      <c r="L1170" s="2"/>
      <c r="M1170" s="2" t="s">
        <v>3071</v>
      </c>
      <c r="N1170" s="2"/>
      <c r="O1170" s="1" t="b">
        <v>0</v>
      </c>
      <c r="P1170" s="1">
        <v>0</v>
      </c>
      <c r="Q1170" s="1">
        <v>0</v>
      </c>
      <c r="R1170" s="1" t="b">
        <f t="shared" si="33"/>
        <v>0</v>
      </c>
      <c r="S1170" s="2" t="s">
        <v>66</v>
      </c>
      <c r="T1170" s="1" t="str">
        <f>IF(S1170="","",VLOOKUP(S1170,'Ontology and concepts per UC'!$F$2:$J$46,5,FALSE))</f>
        <v>Utilidad</v>
      </c>
      <c r="U1170" s="1" t="b">
        <f t="array" ref="U1170">(INDEX('Ontology and concepts per UC'!$G$2:$I$46,MATCH($S1170,'Ontology and concepts per UC'!$F$2:$F$46,0),MATCH(LEFT($A1170,3),'Ontology and concepts per UC'!$G$1:$I$1,0))=0)</f>
        <v>0</v>
      </c>
      <c r="V1170" s="1" t="b">
        <f t="shared" si="34"/>
        <v>0</v>
      </c>
      <c r="W1170" s="1" t="b">
        <v>0</v>
      </c>
      <c r="X1170" s="1" t="b">
        <v>0</v>
      </c>
      <c r="Y1170" s="1" t="b">
        <v>0</v>
      </c>
      <c r="Z1170" s="1" t="b">
        <v>0</v>
      </c>
      <c r="AA1170" s="1"/>
    </row>
    <row r="1171" spans="1:27" x14ac:dyDescent="0.25">
      <c r="A1171" s="1" t="s">
        <v>2886</v>
      </c>
      <c r="B1171" s="2" t="s">
        <v>3072</v>
      </c>
      <c r="C1171" s="2" t="s">
        <v>219</v>
      </c>
      <c r="D1171" s="6">
        <f t="shared" si="28"/>
        <v>1</v>
      </c>
      <c r="E1171" s="7" t="str">
        <f t="shared" si="29"/>
        <v>Utility</v>
      </c>
      <c r="F1171" s="8" t="b">
        <f>IF(D1171&lt;1,FALSE,ISERROR(MATCH(E1171,'Ontology and concepts per UC'!$A$2:$A$62,0)))</f>
        <v>0</v>
      </c>
      <c r="G1171" s="9" t="str">
        <f t="shared" si="30"/>
        <v/>
      </c>
      <c r="H1171" s="9" t="str">
        <f t="shared" si="31"/>
        <v/>
      </c>
      <c r="I1171" s="8" t="b">
        <f>IF(D1171&lt;2,FALSE,ISERROR(MATCH(H1171,'Ontology and concepts per UC'!$A$2:$A$62,0)))</f>
        <v>0</v>
      </c>
      <c r="J1171" s="9" t="str">
        <f t="shared" si="32"/>
        <v/>
      </c>
      <c r="K1171" s="8" t="b">
        <f>IF(D1171&lt;3,FALSE,ISERROR(MATCH(J1171,'Ontology and concepts per UC'!$A$2:$A$62,0)))</f>
        <v>0</v>
      </c>
      <c r="L1171" s="2"/>
      <c r="M1171" s="2" t="s">
        <v>3073</v>
      </c>
      <c r="N1171" s="2"/>
      <c r="O1171" s="1" t="b">
        <v>0</v>
      </c>
      <c r="P1171" s="1">
        <v>0</v>
      </c>
      <c r="Q1171" s="1">
        <v>0</v>
      </c>
      <c r="R1171" s="1" t="b">
        <f t="shared" si="33"/>
        <v>0</v>
      </c>
      <c r="S1171" s="2" t="s">
        <v>69</v>
      </c>
      <c r="T1171" s="1" t="str">
        <f>IF(S1171="","",VLOOKUP(S1171,'Ontology and concepts per UC'!$F$2:$J$46,5,FALSE))</f>
        <v>Utilidad</v>
      </c>
      <c r="U1171" s="1" t="b">
        <f t="array" ref="U1171">(INDEX('Ontology and concepts per UC'!$G$2:$I$46,MATCH($S1171,'Ontology and concepts per UC'!$F$2:$F$46,0),MATCH(LEFT($A1171,3),'Ontology and concepts per UC'!$G$1:$I$1,0))=0)</f>
        <v>0</v>
      </c>
      <c r="V1171" s="1" t="b">
        <f t="shared" si="34"/>
        <v>0</v>
      </c>
      <c r="W1171" s="1" t="b">
        <v>0</v>
      </c>
      <c r="X1171" s="1" t="b">
        <v>0</v>
      </c>
      <c r="Y1171" s="1" t="b">
        <v>0</v>
      </c>
      <c r="Z1171" s="1" t="b">
        <v>0</v>
      </c>
      <c r="AA1171" s="1"/>
    </row>
    <row r="1172" spans="1:27" x14ac:dyDescent="0.25">
      <c r="A1172" s="1" t="s">
        <v>2886</v>
      </c>
      <c r="B1172" s="2" t="s">
        <v>3074</v>
      </c>
      <c r="C1172" s="2" t="s">
        <v>219</v>
      </c>
      <c r="D1172" s="6">
        <f t="shared" si="28"/>
        <v>1</v>
      </c>
      <c r="E1172" s="7" t="str">
        <f t="shared" si="29"/>
        <v>Utility</v>
      </c>
      <c r="F1172" s="8" t="b">
        <f>IF(D1172&lt;1,FALSE,ISERROR(MATCH(E1172,'Ontology and concepts per UC'!$A$2:$A$62,0)))</f>
        <v>0</v>
      </c>
      <c r="G1172" s="9" t="str">
        <f t="shared" si="30"/>
        <v/>
      </c>
      <c r="H1172" s="9" t="str">
        <f t="shared" si="31"/>
        <v/>
      </c>
      <c r="I1172" s="8" t="b">
        <f>IF(D1172&lt;2,FALSE,ISERROR(MATCH(H1172,'Ontology and concepts per UC'!$A$2:$A$62,0)))</f>
        <v>0</v>
      </c>
      <c r="J1172" s="9" t="str">
        <f t="shared" si="32"/>
        <v/>
      </c>
      <c r="K1172" s="8" t="b">
        <f>IF(D1172&lt;3,FALSE,ISERROR(MATCH(J1172,'Ontology and concepts per UC'!$A$2:$A$62,0)))</f>
        <v>0</v>
      </c>
      <c r="L1172" s="2"/>
      <c r="M1172" s="2" t="s">
        <v>3075</v>
      </c>
      <c r="N1172" s="2"/>
      <c r="O1172" s="1" t="b">
        <v>0</v>
      </c>
      <c r="P1172" s="1">
        <v>0</v>
      </c>
      <c r="Q1172" s="1">
        <v>0</v>
      </c>
      <c r="R1172" s="1" t="b">
        <f t="shared" si="33"/>
        <v>0</v>
      </c>
      <c r="S1172" s="2" t="s">
        <v>67</v>
      </c>
      <c r="T1172" s="1" t="str">
        <f>IF(S1172="","",VLOOKUP(S1172,'Ontology and concepts per UC'!$F$2:$J$46,5,FALSE))</f>
        <v>Utilidad</v>
      </c>
      <c r="U1172" s="1" t="b">
        <f t="array" ref="U1172">(INDEX('Ontology and concepts per UC'!$G$2:$I$46,MATCH($S1172,'Ontology and concepts per UC'!$F$2:$F$46,0),MATCH(LEFT($A1172,3),'Ontology and concepts per UC'!$G$1:$I$1,0))=0)</f>
        <v>0</v>
      </c>
      <c r="V1172" s="1" t="b">
        <f t="shared" si="34"/>
        <v>0</v>
      </c>
      <c r="W1172" s="1" t="b">
        <v>0</v>
      </c>
      <c r="X1172" s="1" t="b">
        <v>0</v>
      </c>
      <c r="Y1172" s="1" t="b">
        <v>0</v>
      </c>
      <c r="Z1172" s="1" t="b">
        <v>0</v>
      </c>
      <c r="AA1172" s="1"/>
    </row>
    <row r="1173" spans="1:27" x14ac:dyDescent="0.25">
      <c r="A1173" s="1" t="s">
        <v>2886</v>
      </c>
      <c r="B1173" s="2" t="s">
        <v>3076</v>
      </c>
      <c r="C1173" s="2" t="s">
        <v>219</v>
      </c>
      <c r="D1173" s="6">
        <f t="shared" si="28"/>
        <v>1</v>
      </c>
      <c r="E1173" s="7" t="str">
        <f t="shared" si="29"/>
        <v>Utility</v>
      </c>
      <c r="F1173" s="8" t="b">
        <f>IF(D1173&lt;1,FALSE,ISERROR(MATCH(E1173,'Ontology and concepts per UC'!$A$2:$A$62,0)))</f>
        <v>0</v>
      </c>
      <c r="G1173" s="9" t="str">
        <f t="shared" si="30"/>
        <v/>
      </c>
      <c r="H1173" s="9" t="str">
        <f t="shared" si="31"/>
        <v/>
      </c>
      <c r="I1173" s="8" t="b">
        <f>IF(D1173&lt;2,FALSE,ISERROR(MATCH(H1173,'Ontology and concepts per UC'!$A$2:$A$62,0)))</f>
        <v>0</v>
      </c>
      <c r="J1173" s="9" t="str">
        <f t="shared" si="32"/>
        <v/>
      </c>
      <c r="K1173" s="8" t="b">
        <f>IF(D1173&lt;3,FALSE,ISERROR(MATCH(J1173,'Ontology and concepts per UC'!$A$2:$A$62,0)))</f>
        <v>0</v>
      </c>
      <c r="L1173" s="2"/>
      <c r="M1173" s="2" t="s">
        <v>3071</v>
      </c>
      <c r="N1173" s="2"/>
      <c r="O1173" s="1" t="b">
        <v>0</v>
      </c>
      <c r="P1173" s="1">
        <v>0</v>
      </c>
      <c r="Q1173" s="1">
        <v>0</v>
      </c>
      <c r="R1173" s="1" t="b">
        <f t="shared" si="33"/>
        <v>0</v>
      </c>
      <c r="S1173" s="2" t="s">
        <v>68</v>
      </c>
      <c r="T1173" s="1" t="str">
        <f>IF(S1173="","",VLOOKUP(S1173,'Ontology and concepts per UC'!$F$2:$J$46,5,FALSE))</f>
        <v>Utilidad</v>
      </c>
      <c r="U1173" s="1" t="b">
        <f t="array" ref="U1173">(INDEX('Ontology and concepts per UC'!$G$2:$I$46,MATCH($S1173,'Ontology and concepts per UC'!$F$2:$F$46,0),MATCH(LEFT($A1173,3),'Ontology and concepts per UC'!$G$1:$I$1,0))=0)</f>
        <v>0</v>
      </c>
      <c r="V1173" s="1" t="b">
        <f t="shared" si="34"/>
        <v>0</v>
      </c>
      <c r="W1173" s="1" t="b">
        <v>0</v>
      </c>
      <c r="X1173" s="1" t="b">
        <v>0</v>
      </c>
      <c r="Y1173" s="1" t="b">
        <v>0</v>
      </c>
      <c r="Z1173" s="1" t="b">
        <v>0</v>
      </c>
      <c r="AA1173" s="1"/>
    </row>
    <row r="1174" spans="1:27" x14ac:dyDescent="0.25">
      <c r="A1174" s="1" t="s">
        <v>2886</v>
      </c>
      <c r="B1174" s="2" t="s">
        <v>3077</v>
      </c>
      <c r="C1174" s="2"/>
      <c r="D1174" s="6">
        <f t="shared" si="28"/>
        <v>0</v>
      </c>
      <c r="E1174" s="7">
        <f t="shared" si="29"/>
        <v>0</v>
      </c>
      <c r="F1174" s="8" t="b">
        <f>IF(D1174&lt;1,FALSE,ISERROR(MATCH(E1174,'Ontology and concepts per UC'!$A$2:$A$62,0)))</f>
        <v>0</v>
      </c>
      <c r="G1174" s="9" t="str">
        <f t="shared" si="30"/>
        <v/>
      </c>
      <c r="H1174" s="9" t="str">
        <f t="shared" si="31"/>
        <v/>
      </c>
      <c r="I1174" s="8" t="b">
        <f>IF(D1174&lt;2,FALSE,ISERROR(MATCH(H1174,'Ontology and concepts per UC'!$A$2:$A$62,0)))</f>
        <v>0</v>
      </c>
      <c r="J1174" s="9" t="str">
        <f t="shared" si="32"/>
        <v/>
      </c>
      <c r="K1174" s="8" t="b">
        <f>IF(D1174&lt;3,FALSE,ISERROR(MATCH(J1174,'Ontology and concepts per UC'!$A$2:$A$62,0)))</f>
        <v>0</v>
      </c>
      <c r="L1174" s="2"/>
      <c r="M1174" s="2"/>
      <c r="N1174" s="2"/>
      <c r="O1174" s="1" t="b">
        <v>1</v>
      </c>
      <c r="P1174" s="1">
        <v>0</v>
      </c>
      <c r="Q1174" s="1">
        <v>0</v>
      </c>
      <c r="R1174" s="1" t="b">
        <f t="shared" si="33"/>
        <v>0</v>
      </c>
      <c r="S1174" s="2" t="s">
        <v>107</v>
      </c>
      <c r="T1174" s="1" t="str">
        <f>IF(S1174="","",VLOOKUP(S1174,'Ontology and concepts per UC'!$F$2:$J$46,5,FALSE))</f>
        <v>Parcial</v>
      </c>
      <c r="U1174" s="1" t="b">
        <f t="array" ref="U1174">(INDEX('Ontology and concepts per UC'!$G$2:$I$46,MATCH($S1174,'Ontology and concepts per UC'!$F$2:$F$46,0),MATCH(LEFT($A1174,3),'Ontology and concepts per UC'!$G$1:$I$1,0))=0)</f>
        <v>0</v>
      </c>
      <c r="V1174" s="1" t="b">
        <f t="shared" si="34"/>
        <v>1</v>
      </c>
      <c r="W1174" s="1" t="b">
        <v>1</v>
      </c>
      <c r="X1174" s="1" t="b">
        <v>0</v>
      </c>
      <c r="Y1174" s="1" t="b">
        <v>0</v>
      </c>
      <c r="Z1174" s="1" t="b">
        <v>0</v>
      </c>
      <c r="AA1174" s="1" t="s">
        <v>188</v>
      </c>
    </row>
    <row r="1175" spans="1:27" x14ac:dyDescent="0.25">
      <c r="A1175" s="1" t="s">
        <v>2886</v>
      </c>
      <c r="B1175" s="2" t="s">
        <v>3078</v>
      </c>
      <c r="C1175" s="2"/>
      <c r="D1175" s="6">
        <f t="shared" si="28"/>
        <v>0</v>
      </c>
      <c r="E1175" s="7">
        <f t="shared" si="29"/>
        <v>0</v>
      </c>
      <c r="F1175" s="8" t="b">
        <f>IF(D1175&lt;1,FALSE,ISERROR(MATCH(E1175,'Ontology and concepts per UC'!$A$2:$A$62,0)))</f>
        <v>0</v>
      </c>
      <c r="G1175" s="9" t="str">
        <f t="shared" si="30"/>
        <v/>
      </c>
      <c r="H1175" s="9" t="str">
        <f t="shared" si="31"/>
        <v/>
      </c>
      <c r="I1175" s="8" t="b">
        <f>IF(D1175&lt;2,FALSE,ISERROR(MATCH(H1175,'Ontology and concepts per UC'!$A$2:$A$62,0)))</f>
        <v>0</v>
      </c>
      <c r="J1175" s="9" t="str">
        <f t="shared" si="32"/>
        <v/>
      </c>
      <c r="K1175" s="8" t="b">
        <f>IF(D1175&lt;3,FALSE,ISERROR(MATCH(J1175,'Ontology and concepts per UC'!$A$2:$A$62,0)))</f>
        <v>0</v>
      </c>
      <c r="L1175" s="2"/>
      <c r="M1175" s="2"/>
      <c r="N1175" s="2"/>
      <c r="O1175" s="1" t="b">
        <v>1</v>
      </c>
      <c r="P1175" s="1">
        <v>0</v>
      </c>
      <c r="Q1175" s="1">
        <v>0</v>
      </c>
      <c r="R1175" s="1" t="b">
        <f t="shared" si="33"/>
        <v>0</v>
      </c>
      <c r="S1175" s="2" t="s">
        <v>187</v>
      </c>
      <c r="T1175" s="1" t="str">
        <f>IF(S1175="","",VLOOKUP(S1175,'Ontology and concepts per UC'!$F$2:$J$46,5,FALSE))</f>
        <v>Otros</v>
      </c>
      <c r="U1175" s="1" t="b">
        <f t="array" ref="U1175">(INDEX('Ontology and concepts per UC'!$G$2:$I$46,MATCH($S1175,'Ontology and concepts per UC'!$F$2:$F$46,0),MATCH(LEFT($A1175,3),'Ontology and concepts per UC'!$G$1:$I$1,0))=0)</f>
        <v>1</v>
      </c>
      <c r="V1175" s="1" t="b">
        <f t="shared" si="34"/>
        <v>1</v>
      </c>
      <c r="W1175" s="1" t="b">
        <v>1</v>
      </c>
      <c r="X1175" s="1" t="b">
        <v>0</v>
      </c>
      <c r="Y1175" s="1" t="b">
        <v>0</v>
      </c>
      <c r="Z1175" s="1" t="b">
        <v>0</v>
      </c>
      <c r="AA1175" s="1" t="s">
        <v>188</v>
      </c>
    </row>
    <row r="1176" spans="1:27" x14ac:dyDescent="0.25">
      <c r="A1176" s="1" t="s">
        <v>3079</v>
      </c>
      <c r="B1176" s="2" t="s">
        <v>3080</v>
      </c>
      <c r="C1176" s="2" t="s">
        <v>3081</v>
      </c>
      <c r="D1176" s="6">
        <f t="shared" si="28"/>
        <v>1</v>
      </c>
      <c r="E1176" s="7" t="str">
        <f t="shared" si="29"/>
        <v>NamedIndividual</v>
      </c>
      <c r="F1176" s="8" t="b">
        <f>IF(D1176&lt;1,FALSE,ISERROR(MATCH(E1176,'Ontology and concepts per UC'!$A$2:$A$62,0)))</f>
        <v>1</v>
      </c>
      <c r="G1176" s="9" t="str">
        <f t="shared" si="30"/>
        <v/>
      </c>
      <c r="H1176" s="9" t="str">
        <f t="shared" si="31"/>
        <v/>
      </c>
      <c r="I1176" s="8" t="b">
        <f>IF(D1176&lt;2,FALSE,ISERROR(MATCH(H1176,'Ontology and concepts per UC'!$A$2:$A$62,0)))</f>
        <v>0</v>
      </c>
      <c r="J1176" s="9" t="str">
        <f t="shared" si="32"/>
        <v/>
      </c>
      <c r="K1176" s="8" t="b">
        <f>IF(D1176&lt;3,FALSE,ISERROR(MATCH(J1176,'Ontology and concepts per UC'!$A$2:$A$62,0)))</f>
        <v>0</v>
      </c>
      <c r="L1176" s="2"/>
      <c r="M1176" s="2"/>
      <c r="N1176" s="2"/>
      <c r="O1176" s="1" t="b">
        <v>0</v>
      </c>
      <c r="P1176" s="1">
        <v>1</v>
      </c>
      <c r="Q1176" s="1">
        <v>0</v>
      </c>
      <c r="R1176" s="1" t="b">
        <f t="shared" si="33"/>
        <v>0</v>
      </c>
      <c r="S1176" s="2" t="s">
        <v>38</v>
      </c>
      <c r="T1176" s="1" t="str">
        <f>IF(S1176="","",VLOOKUP(S1176,'Ontology and concepts per UC'!$F$2:$J$46,5,FALSE))</f>
        <v>Parámetro epidemiológico</v>
      </c>
      <c r="U1176" s="1" t="b">
        <f t="array" ref="U1176">(INDEX('Ontology and concepts per UC'!$G$2:$I$46,MATCH($S1176,'Ontology and concepts per UC'!$F$2:$F$46,0),MATCH(LEFT($A1176,3),'Ontology and concepts per UC'!$G$1:$I$1,0))=0)</f>
        <v>0</v>
      </c>
      <c r="V1176" s="1" t="b">
        <f t="shared" si="34"/>
        <v>1</v>
      </c>
      <c r="W1176" s="1" t="b">
        <v>1</v>
      </c>
      <c r="X1176" s="1" t="b">
        <v>0</v>
      </c>
      <c r="Y1176" s="1" t="b">
        <v>0</v>
      </c>
      <c r="Z1176" s="1" t="b">
        <v>0</v>
      </c>
      <c r="AA1176" s="1" t="s">
        <v>3082</v>
      </c>
    </row>
    <row r="1177" spans="1:27" x14ac:dyDescent="0.25">
      <c r="A1177" s="1" t="s">
        <v>3079</v>
      </c>
      <c r="B1177" s="2" t="s">
        <v>3083</v>
      </c>
      <c r="C1177" s="2" t="s">
        <v>3081</v>
      </c>
      <c r="D1177" s="6">
        <f t="shared" si="28"/>
        <v>1</v>
      </c>
      <c r="E1177" s="7" t="str">
        <f t="shared" si="29"/>
        <v>NamedIndividual</v>
      </c>
      <c r="F1177" s="8" t="b">
        <f>IF(D1177&lt;1,FALSE,ISERROR(MATCH(E1177,'Ontology and concepts per UC'!$A$2:$A$62,0)))</f>
        <v>1</v>
      </c>
      <c r="G1177" s="9" t="str">
        <f t="shared" si="30"/>
        <v/>
      </c>
      <c r="H1177" s="9" t="str">
        <f t="shared" si="31"/>
        <v/>
      </c>
      <c r="I1177" s="8" t="b">
        <f>IF(D1177&lt;2,FALSE,ISERROR(MATCH(H1177,'Ontology and concepts per UC'!$A$2:$A$62,0)))</f>
        <v>0</v>
      </c>
      <c r="J1177" s="9" t="str">
        <f t="shared" si="32"/>
        <v/>
      </c>
      <c r="K1177" s="8" t="b">
        <f>IF(D1177&lt;3,FALSE,ISERROR(MATCH(J1177,'Ontology and concepts per UC'!$A$2:$A$62,0)))</f>
        <v>0</v>
      </c>
      <c r="L1177" s="2"/>
      <c r="M1177" s="2"/>
      <c r="N1177" s="2"/>
      <c r="O1177" s="1" t="b">
        <v>0</v>
      </c>
      <c r="P1177" s="1">
        <v>1</v>
      </c>
      <c r="Q1177" s="1">
        <v>0</v>
      </c>
      <c r="R1177" s="1" t="b">
        <f t="shared" si="33"/>
        <v>0</v>
      </c>
      <c r="S1177" s="2" t="s">
        <v>55</v>
      </c>
      <c r="T1177" s="1" t="str">
        <f>IF(S1177="","",VLOOKUP(S1177,'Ontology and concepts per UC'!$F$2:$J$46,5,FALSE))</f>
        <v>Parámetros de progresión</v>
      </c>
      <c r="U1177" s="1" t="b">
        <f t="array" ref="U1177">(INDEX('Ontology and concepts per UC'!$G$2:$I$46,MATCH($S1177,'Ontology and concepts per UC'!$F$2:$F$46,0),MATCH(LEFT($A1177,3),'Ontology and concepts per UC'!$G$1:$I$1,0))=0)</f>
        <v>0</v>
      </c>
      <c r="V1177" s="1" t="b">
        <f t="shared" si="34"/>
        <v>1</v>
      </c>
      <c r="W1177" s="1" t="b">
        <v>1</v>
      </c>
      <c r="X1177" s="1" t="b">
        <v>0</v>
      </c>
      <c r="Y1177" s="1" t="b">
        <v>0</v>
      </c>
      <c r="Z1177" s="1" t="b">
        <v>0</v>
      </c>
      <c r="AA1177" s="1" t="s">
        <v>3082</v>
      </c>
    </row>
    <row r="1178" spans="1:27" x14ac:dyDescent="0.25">
      <c r="A1178" s="1" t="s">
        <v>3079</v>
      </c>
      <c r="B1178" s="2" t="s">
        <v>3084</v>
      </c>
      <c r="C1178" s="2" t="s">
        <v>3081</v>
      </c>
      <c r="D1178" s="6">
        <f t="shared" si="28"/>
        <v>1</v>
      </c>
      <c r="E1178" s="7" t="str">
        <f t="shared" si="29"/>
        <v>NamedIndividual</v>
      </c>
      <c r="F1178" s="8" t="b">
        <f>IF(D1178&lt;1,FALSE,ISERROR(MATCH(E1178,'Ontology and concepts per UC'!$A$2:$A$62,0)))</f>
        <v>1</v>
      </c>
      <c r="G1178" s="9" t="str">
        <f t="shared" si="30"/>
        <v/>
      </c>
      <c r="H1178" s="9" t="str">
        <f t="shared" si="31"/>
        <v/>
      </c>
      <c r="I1178" s="8" t="b">
        <f>IF(D1178&lt;2,FALSE,ISERROR(MATCH(H1178,'Ontology and concepts per UC'!$A$2:$A$62,0)))</f>
        <v>0</v>
      </c>
      <c r="J1178" s="9" t="str">
        <f t="shared" si="32"/>
        <v/>
      </c>
      <c r="K1178" s="8" t="b">
        <f>IF(D1178&lt;3,FALSE,ISERROR(MATCH(J1178,'Ontology and concepts per UC'!$A$2:$A$62,0)))</f>
        <v>0</v>
      </c>
      <c r="L1178" s="2"/>
      <c r="M1178" s="2"/>
      <c r="N1178" s="2"/>
      <c r="O1178" s="1" t="b">
        <v>0</v>
      </c>
      <c r="P1178" s="1">
        <v>1</v>
      </c>
      <c r="Q1178" s="1">
        <v>0</v>
      </c>
      <c r="R1178" s="1" t="b">
        <f t="shared" si="33"/>
        <v>0</v>
      </c>
      <c r="S1178" s="2" t="s">
        <v>50</v>
      </c>
      <c r="T1178" s="1" t="str">
        <f>IF(S1178="","",VLOOKUP(S1178,'Ontology and concepts per UC'!$F$2:$J$46,5,FALSE))</f>
        <v>Parámetros de progresión</v>
      </c>
      <c r="U1178" s="1" t="b">
        <f t="array" ref="U1178">(INDEX('Ontology and concepts per UC'!$G$2:$I$46,MATCH($S1178,'Ontology and concepts per UC'!$F$2:$F$46,0),MATCH(LEFT($A1178,3),'Ontology and concepts per UC'!$G$1:$I$1,0))=0)</f>
        <v>0</v>
      </c>
      <c r="V1178" s="1" t="b">
        <f t="shared" si="34"/>
        <v>1</v>
      </c>
      <c r="W1178" s="1" t="b">
        <v>1</v>
      </c>
      <c r="X1178" s="1" t="b">
        <v>0</v>
      </c>
      <c r="Y1178" s="1" t="b">
        <v>0</v>
      </c>
      <c r="Z1178" s="1" t="b">
        <v>0</v>
      </c>
      <c r="AA1178" s="1" t="s">
        <v>3082</v>
      </c>
    </row>
    <row r="1179" spans="1:27" x14ac:dyDescent="0.25">
      <c r="A1179" s="1" t="s">
        <v>3079</v>
      </c>
      <c r="B1179" s="2" t="s">
        <v>3085</v>
      </c>
      <c r="C1179" s="2" t="s">
        <v>3081</v>
      </c>
      <c r="D1179" s="6">
        <f t="shared" si="28"/>
        <v>1</v>
      </c>
      <c r="E1179" s="7" t="str">
        <f t="shared" si="29"/>
        <v>NamedIndividual</v>
      </c>
      <c r="F1179" s="8" t="b">
        <f>IF(D1179&lt;1,FALSE,ISERROR(MATCH(E1179,'Ontology and concepts per UC'!$A$2:$A$62,0)))</f>
        <v>1</v>
      </c>
      <c r="G1179" s="9" t="str">
        <f t="shared" si="30"/>
        <v/>
      </c>
      <c r="H1179" s="9" t="str">
        <f t="shared" si="31"/>
        <v/>
      </c>
      <c r="I1179" s="8" t="b">
        <f>IF(D1179&lt;2,FALSE,ISERROR(MATCH(H1179,'Ontology and concepts per UC'!$A$2:$A$62,0)))</f>
        <v>0</v>
      </c>
      <c r="J1179" s="9" t="str">
        <f t="shared" si="32"/>
        <v/>
      </c>
      <c r="K1179" s="8" t="b">
        <f>IF(D1179&lt;3,FALSE,ISERROR(MATCH(J1179,'Ontology and concepts per UC'!$A$2:$A$62,0)))</f>
        <v>0</v>
      </c>
      <c r="L1179" s="2"/>
      <c r="M1179" s="2"/>
      <c r="N1179" s="2"/>
      <c r="O1179" s="1" t="b">
        <v>0</v>
      </c>
      <c r="P1179" s="1">
        <v>1</v>
      </c>
      <c r="Q1179" s="1">
        <v>0</v>
      </c>
      <c r="R1179" s="1" t="b">
        <f t="shared" si="33"/>
        <v>0</v>
      </c>
      <c r="S1179" s="2" t="s">
        <v>51</v>
      </c>
      <c r="T1179" s="1" t="str">
        <f>IF(S1179="","",VLOOKUP(S1179,'Ontology and concepts per UC'!$F$2:$J$46,5,FALSE))</f>
        <v>Parámetros de progresión</v>
      </c>
      <c r="U1179" s="1" t="b">
        <f t="array" ref="U1179">(INDEX('Ontology and concepts per UC'!$G$2:$I$46,MATCH($S1179,'Ontology and concepts per UC'!$F$2:$F$46,0),MATCH(LEFT($A1179,3),'Ontology and concepts per UC'!$G$1:$I$1,0))=0)</f>
        <v>0</v>
      </c>
      <c r="V1179" s="1" t="b">
        <f t="shared" si="34"/>
        <v>1</v>
      </c>
      <c r="W1179" s="1" t="b">
        <v>1</v>
      </c>
      <c r="X1179" s="1" t="b">
        <v>0</v>
      </c>
      <c r="Y1179" s="1" t="b">
        <v>0</v>
      </c>
      <c r="Z1179" s="1" t="b">
        <v>0</v>
      </c>
      <c r="AA1179" s="1" t="s">
        <v>3082</v>
      </c>
    </row>
    <row r="1180" spans="1:27" x14ac:dyDescent="0.25">
      <c r="A1180" s="1" t="s">
        <v>3079</v>
      </c>
      <c r="B1180" s="2" t="s">
        <v>3086</v>
      </c>
      <c r="C1180" s="2" t="s">
        <v>3081</v>
      </c>
      <c r="D1180" s="6">
        <f t="shared" si="28"/>
        <v>1</v>
      </c>
      <c r="E1180" s="7" t="str">
        <f t="shared" si="29"/>
        <v>NamedIndividual</v>
      </c>
      <c r="F1180" s="8" t="b">
        <f>IF(D1180&lt;1,FALSE,ISERROR(MATCH(E1180,'Ontology and concepts per UC'!$A$2:$A$62,0)))</f>
        <v>1</v>
      </c>
      <c r="G1180" s="9" t="str">
        <f t="shared" si="30"/>
        <v/>
      </c>
      <c r="H1180" s="9" t="str">
        <f t="shared" si="31"/>
        <v/>
      </c>
      <c r="I1180" s="8" t="b">
        <f>IF(D1180&lt;2,FALSE,ISERROR(MATCH(H1180,'Ontology and concepts per UC'!$A$2:$A$62,0)))</f>
        <v>0</v>
      </c>
      <c r="J1180" s="9" t="str">
        <f t="shared" si="32"/>
        <v/>
      </c>
      <c r="K1180" s="8" t="b">
        <f>IF(D1180&lt;3,FALSE,ISERROR(MATCH(J1180,'Ontology and concepts per UC'!$A$2:$A$62,0)))</f>
        <v>0</v>
      </c>
      <c r="L1180" s="2"/>
      <c r="M1180" s="2"/>
      <c r="N1180" s="2"/>
      <c r="O1180" s="1" t="b">
        <v>0</v>
      </c>
      <c r="P1180" s="1">
        <v>1</v>
      </c>
      <c r="Q1180" s="1">
        <v>0</v>
      </c>
      <c r="R1180" s="1" t="b">
        <f t="shared" si="33"/>
        <v>0</v>
      </c>
      <c r="S1180" s="2" t="s">
        <v>54</v>
      </c>
      <c r="T1180" s="1" t="str">
        <f>IF(S1180="","",VLOOKUP(S1180,'Ontology and concepts per UC'!$F$2:$J$46,5,FALSE))</f>
        <v>Parámetros de progresión</v>
      </c>
      <c r="U1180" s="1" t="b">
        <f t="array" ref="U1180">(INDEX('Ontology and concepts per UC'!$G$2:$I$46,MATCH($S1180,'Ontology and concepts per UC'!$F$2:$F$46,0),MATCH(LEFT($A1180,3),'Ontology and concepts per UC'!$G$1:$I$1,0))=0)</f>
        <v>0</v>
      </c>
      <c r="V1180" s="1" t="b">
        <f t="shared" si="34"/>
        <v>1</v>
      </c>
      <c r="W1180" s="1" t="b">
        <v>1</v>
      </c>
      <c r="X1180" s="1" t="b">
        <v>0</v>
      </c>
      <c r="Y1180" s="1" t="b">
        <v>0</v>
      </c>
      <c r="Z1180" s="1" t="b">
        <v>0</v>
      </c>
      <c r="AA1180" s="1" t="s">
        <v>3082</v>
      </c>
    </row>
    <row r="1181" spans="1:27" x14ac:dyDescent="0.25">
      <c r="A1181" s="1" t="s">
        <v>3079</v>
      </c>
      <c r="B1181" s="2" t="s">
        <v>3087</v>
      </c>
      <c r="C1181" s="2" t="s">
        <v>3081</v>
      </c>
      <c r="D1181" s="6">
        <f t="shared" si="28"/>
        <v>1</v>
      </c>
      <c r="E1181" s="7" t="str">
        <f t="shared" si="29"/>
        <v>NamedIndividual</v>
      </c>
      <c r="F1181" s="8" t="b">
        <f>IF(D1181&lt;1,FALSE,ISERROR(MATCH(E1181,'Ontology and concepts per UC'!$A$2:$A$62,0)))</f>
        <v>1</v>
      </c>
      <c r="G1181" s="9" t="str">
        <f t="shared" si="30"/>
        <v/>
      </c>
      <c r="H1181" s="9" t="str">
        <f t="shared" si="31"/>
        <v/>
      </c>
      <c r="I1181" s="8" t="b">
        <f>IF(D1181&lt;2,FALSE,ISERROR(MATCH(H1181,'Ontology and concepts per UC'!$A$2:$A$62,0)))</f>
        <v>0</v>
      </c>
      <c r="J1181" s="9" t="str">
        <f t="shared" si="32"/>
        <v/>
      </c>
      <c r="K1181" s="8" t="b">
        <f>IF(D1181&lt;3,FALSE,ISERROR(MATCH(J1181,'Ontology and concepts per UC'!$A$2:$A$62,0)))</f>
        <v>0</v>
      </c>
      <c r="L1181" s="2"/>
      <c r="M1181" s="2"/>
      <c r="N1181" s="2"/>
      <c r="O1181" s="1" t="b">
        <v>0</v>
      </c>
      <c r="P1181" s="1">
        <v>1</v>
      </c>
      <c r="Q1181" s="1">
        <v>0</v>
      </c>
      <c r="R1181" s="1" t="b">
        <f t="shared" si="33"/>
        <v>0</v>
      </c>
      <c r="S1181" s="2" t="s">
        <v>58</v>
      </c>
      <c r="T1181" s="1" t="str">
        <f>IF(S1181="","",VLOOKUP(S1181,'Ontology and concepts per UC'!$F$2:$J$46,5,FALSE))</f>
        <v>Parámetros de progresión</v>
      </c>
      <c r="U1181" s="1" t="b">
        <f t="array" ref="U1181">(INDEX('Ontology and concepts per UC'!$G$2:$I$46,MATCH($S1181,'Ontology and concepts per UC'!$F$2:$F$46,0),MATCH(LEFT($A1181,3),'Ontology and concepts per UC'!$G$1:$I$1,0))=0)</f>
        <v>0</v>
      </c>
      <c r="V1181" s="1" t="b">
        <f t="shared" si="34"/>
        <v>1</v>
      </c>
      <c r="W1181" s="1" t="b">
        <v>1</v>
      </c>
      <c r="X1181" s="1" t="b">
        <v>0</v>
      </c>
      <c r="Y1181" s="1" t="b">
        <v>0</v>
      </c>
      <c r="Z1181" s="1" t="b">
        <v>0</v>
      </c>
      <c r="AA1181" s="1" t="s">
        <v>3082</v>
      </c>
    </row>
    <row r="1182" spans="1:27" x14ac:dyDescent="0.25">
      <c r="A1182" s="1" t="s">
        <v>3079</v>
      </c>
      <c r="B1182" s="2" t="s">
        <v>3088</v>
      </c>
      <c r="C1182" s="2" t="s">
        <v>3081</v>
      </c>
      <c r="D1182" s="6">
        <f t="shared" si="28"/>
        <v>1</v>
      </c>
      <c r="E1182" s="7" t="str">
        <f t="shared" si="29"/>
        <v>NamedIndividual</v>
      </c>
      <c r="F1182" s="8" t="b">
        <f>IF(D1182&lt;1,FALSE,ISERROR(MATCH(E1182,'Ontology and concepts per UC'!$A$2:$A$62,0)))</f>
        <v>1</v>
      </c>
      <c r="G1182" s="9" t="str">
        <f t="shared" si="30"/>
        <v/>
      </c>
      <c r="H1182" s="9" t="str">
        <f t="shared" si="31"/>
        <v/>
      </c>
      <c r="I1182" s="8" t="b">
        <f>IF(D1182&lt;2,FALSE,ISERROR(MATCH(H1182,'Ontology and concepts per UC'!$A$2:$A$62,0)))</f>
        <v>0</v>
      </c>
      <c r="J1182" s="9" t="str">
        <f t="shared" si="32"/>
        <v/>
      </c>
      <c r="K1182" s="8" t="b">
        <f>IF(D1182&lt;3,FALSE,ISERROR(MATCH(J1182,'Ontology and concepts per UC'!$A$2:$A$62,0)))</f>
        <v>0</v>
      </c>
      <c r="L1182" s="2"/>
      <c r="M1182" s="2"/>
      <c r="N1182" s="2"/>
      <c r="O1182" s="1" t="b">
        <v>0</v>
      </c>
      <c r="P1182" s="1">
        <v>1</v>
      </c>
      <c r="Q1182" s="1">
        <v>0</v>
      </c>
      <c r="R1182" s="1" t="b">
        <f t="shared" si="33"/>
        <v>0</v>
      </c>
      <c r="S1182" s="2" t="s">
        <v>56</v>
      </c>
      <c r="T1182" s="1" t="str">
        <f>IF(S1182="","",VLOOKUP(S1182,'Ontology and concepts per UC'!$F$2:$J$46,5,FALSE))</f>
        <v>Parámetros de progresión</v>
      </c>
      <c r="U1182" s="1" t="b">
        <f t="array" ref="U1182">(INDEX('Ontology and concepts per UC'!$G$2:$I$46,MATCH($S1182,'Ontology and concepts per UC'!$F$2:$F$46,0),MATCH(LEFT($A1182,3),'Ontology and concepts per UC'!$G$1:$I$1,0))=0)</f>
        <v>0</v>
      </c>
      <c r="V1182" s="1" t="b">
        <f t="shared" si="34"/>
        <v>1</v>
      </c>
      <c r="W1182" s="1" t="b">
        <v>1</v>
      </c>
      <c r="X1182" s="1" t="b">
        <v>0</v>
      </c>
      <c r="Y1182" s="1" t="b">
        <v>0</v>
      </c>
      <c r="Z1182" s="1" t="b">
        <v>0</v>
      </c>
      <c r="AA1182" s="1" t="s">
        <v>3082</v>
      </c>
    </row>
    <row r="1183" spans="1:27" x14ac:dyDescent="0.25">
      <c r="A1183" s="1" t="s">
        <v>3079</v>
      </c>
      <c r="B1183" s="2" t="s">
        <v>3089</v>
      </c>
      <c r="C1183" s="2" t="s">
        <v>3081</v>
      </c>
      <c r="D1183" s="6">
        <f t="shared" si="28"/>
        <v>1</v>
      </c>
      <c r="E1183" s="7" t="str">
        <f t="shared" si="29"/>
        <v>NamedIndividual</v>
      </c>
      <c r="F1183" s="8" t="b">
        <f>IF(D1183&lt;1,FALSE,ISERROR(MATCH(E1183,'Ontology and concepts per UC'!$A$2:$A$62,0)))</f>
        <v>1</v>
      </c>
      <c r="G1183" s="9" t="str">
        <f t="shared" si="30"/>
        <v/>
      </c>
      <c r="H1183" s="9" t="str">
        <f t="shared" si="31"/>
        <v/>
      </c>
      <c r="I1183" s="8" t="b">
        <f>IF(D1183&lt;2,FALSE,ISERROR(MATCH(H1183,'Ontology and concepts per UC'!$A$2:$A$62,0)))</f>
        <v>0</v>
      </c>
      <c r="J1183" s="9" t="str">
        <f t="shared" si="32"/>
        <v/>
      </c>
      <c r="K1183" s="8" t="b">
        <f>IF(D1183&lt;3,FALSE,ISERROR(MATCH(J1183,'Ontology and concepts per UC'!$A$2:$A$62,0)))</f>
        <v>0</v>
      </c>
      <c r="L1183" s="2"/>
      <c r="M1183" s="2"/>
      <c r="N1183" s="2"/>
      <c r="O1183" s="1" t="b">
        <v>0</v>
      </c>
      <c r="P1183" s="1">
        <v>1</v>
      </c>
      <c r="Q1183" s="1">
        <v>0</v>
      </c>
      <c r="R1183" s="1" t="b">
        <f t="shared" si="33"/>
        <v>0</v>
      </c>
      <c r="S1183" s="2" t="s">
        <v>33</v>
      </c>
      <c r="T1183" s="1" t="str">
        <f>IF(S1183="","",VLOOKUP(S1183,'Ontology and concepts per UC'!$F$2:$J$46,5,FALSE))</f>
        <v>Modelo Conceptual</v>
      </c>
      <c r="U1183" s="1" t="b">
        <f t="array" ref="U1183">(INDEX('Ontology and concepts per UC'!$G$2:$I$46,MATCH($S1183,'Ontology and concepts per UC'!$F$2:$F$46,0),MATCH(LEFT($A1183,3),'Ontology and concepts per UC'!$G$1:$I$1,0))=0)</f>
        <v>0</v>
      </c>
      <c r="V1183" s="1" t="b">
        <f t="shared" si="34"/>
        <v>1</v>
      </c>
      <c r="W1183" s="1" t="b">
        <v>1</v>
      </c>
      <c r="X1183" s="1" t="b">
        <v>0</v>
      </c>
      <c r="Y1183" s="1" t="b">
        <v>0</v>
      </c>
      <c r="Z1183" s="1" t="b">
        <v>0</v>
      </c>
      <c r="AA1183" s="1" t="s">
        <v>3082</v>
      </c>
    </row>
    <row r="1184" spans="1:27" x14ac:dyDescent="0.25">
      <c r="A1184" s="1" t="s">
        <v>3079</v>
      </c>
      <c r="B1184" s="2" t="s">
        <v>3090</v>
      </c>
      <c r="C1184" s="2" t="s">
        <v>3081</v>
      </c>
      <c r="D1184" s="6">
        <f t="shared" si="28"/>
        <v>1</v>
      </c>
      <c r="E1184" s="7" t="str">
        <f t="shared" si="29"/>
        <v>NamedIndividual</v>
      </c>
      <c r="F1184" s="8" t="b">
        <f>IF(D1184&lt;1,FALSE,ISERROR(MATCH(E1184,'Ontology and concepts per UC'!$A$2:$A$62,0)))</f>
        <v>1</v>
      </c>
      <c r="G1184" s="9" t="str">
        <f t="shared" si="30"/>
        <v/>
      </c>
      <c r="H1184" s="9" t="str">
        <f t="shared" si="31"/>
        <v/>
      </c>
      <c r="I1184" s="8" t="b">
        <f>IF(D1184&lt;2,FALSE,ISERROR(MATCH(H1184,'Ontology and concepts per UC'!$A$2:$A$62,0)))</f>
        <v>0</v>
      </c>
      <c r="J1184" s="9" t="str">
        <f t="shared" si="32"/>
        <v/>
      </c>
      <c r="K1184" s="8" t="b">
        <f>IF(D1184&lt;3,FALSE,ISERROR(MATCH(J1184,'Ontology and concepts per UC'!$A$2:$A$62,0)))</f>
        <v>0</v>
      </c>
      <c r="L1184" s="2"/>
      <c r="M1184" s="2"/>
      <c r="N1184" s="2"/>
      <c r="O1184" s="1" t="b">
        <v>0</v>
      </c>
      <c r="P1184" s="1">
        <v>1</v>
      </c>
      <c r="Q1184" s="1">
        <v>0</v>
      </c>
      <c r="R1184" s="1" t="b">
        <f t="shared" si="33"/>
        <v>0</v>
      </c>
      <c r="S1184" s="2" t="s">
        <v>70</v>
      </c>
      <c r="T1184" s="1" t="str">
        <f>IF(S1184="","",VLOOKUP(S1184,'Ontology and concepts per UC'!$F$2:$J$46,5,FALSE))</f>
        <v>Utilidad</v>
      </c>
      <c r="U1184" s="1" t="b">
        <f t="array" ref="U1184">(INDEX('Ontology and concepts per UC'!$G$2:$I$46,MATCH($S1184,'Ontology and concepts per UC'!$F$2:$F$46,0),MATCH(LEFT($A1184,3),'Ontology and concepts per UC'!$G$1:$I$1,0))=0)</f>
        <v>0</v>
      </c>
      <c r="V1184" s="1" t="b">
        <f t="shared" si="34"/>
        <v>1</v>
      </c>
      <c r="W1184" s="1" t="b">
        <v>1</v>
      </c>
      <c r="X1184" s="1" t="b">
        <v>0</v>
      </c>
      <c r="Y1184" s="1" t="b">
        <v>0</v>
      </c>
      <c r="Z1184" s="1" t="b">
        <v>0</v>
      </c>
      <c r="AA1184" s="1" t="s">
        <v>3082</v>
      </c>
    </row>
    <row r="1185" spans="1:27" x14ac:dyDescent="0.25">
      <c r="A1185" s="1" t="s">
        <v>3079</v>
      </c>
      <c r="B1185" s="2" t="s">
        <v>3091</v>
      </c>
      <c r="C1185" s="2" t="s">
        <v>3081</v>
      </c>
      <c r="D1185" s="6">
        <f t="shared" si="28"/>
        <v>1</v>
      </c>
      <c r="E1185" s="7" t="str">
        <f t="shared" si="29"/>
        <v>NamedIndividual</v>
      </c>
      <c r="F1185" s="8" t="b">
        <f>IF(D1185&lt;1,FALSE,ISERROR(MATCH(E1185,'Ontology and concepts per UC'!$A$2:$A$62,0)))</f>
        <v>1</v>
      </c>
      <c r="G1185" s="9" t="str">
        <f t="shared" si="30"/>
        <v/>
      </c>
      <c r="H1185" s="9" t="str">
        <f t="shared" si="31"/>
        <v/>
      </c>
      <c r="I1185" s="8" t="b">
        <f>IF(D1185&lt;2,FALSE,ISERROR(MATCH(H1185,'Ontology and concepts per UC'!$A$2:$A$62,0)))</f>
        <v>0</v>
      </c>
      <c r="J1185" s="9" t="str">
        <f t="shared" si="32"/>
        <v/>
      </c>
      <c r="K1185" s="8" t="b">
        <f>IF(D1185&lt;3,FALSE,ISERROR(MATCH(J1185,'Ontology and concepts per UC'!$A$2:$A$62,0)))</f>
        <v>0</v>
      </c>
      <c r="L1185" s="2"/>
      <c r="M1185" s="2"/>
      <c r="N1185" s="2"/>
      <c r="O1185" s="1" t="b">
        <v>0</v>
      </c>
      <c r="P1185" s="1">
        <v>1</v>
      </c>
      <c r="Q1185" s="1">
        <v>0</v>
      </c>
      <c r="R1185" s="1" t="b">
        <f t="shared" si="33"/>
        <v>0</v>
      </c>
      <c r="S1185" s="2" t="s">
        <v>65</v>
      </c>
      <c r="T1185" s="1" t="str">
        <f>IF(S1185="","",VLOOKUP(S1185,'Ontology and concepts per UC'!$F$2:$J$46,5,FALSE))</f>
        <v>Utilidad</v>
      </c>
      <c r="U1185" s="1" t="b">
        <f t="array" ref="U1185">(INDEX('Ontology and concepts per UC'!$G$2:$I$46,MATCH($S1185,'Ontology and concepts per UC'!$F$2:$F$46,0),MATCH(LEFT($A1185,3),'Ontology and concepts per UC'!$G$1:$I$1,0))=0)</f>
        <v>0</v>
      </c>
      <c r="V1185" s="1" t="b">
        <f t="shared" si="34"/>
        <v>1</v>
      </c>
      <c r="W1185" s="1" t="b">
        <v>1</v>
      </c>
      <c r="X1185" s="1" t="b">
        <v>0</v>
      </c>
      <c r="Y1185" s="1" t="b">
        <v>0</v>
      </c>
      <c r="Z1185" s="1" t="b">
        <v>0</v>
      </c>
      <c r="AA1185" s="1" t="s">
        <v>3082</v>
      </c>
    </row>
    <row r="1186" spans="1:27" x14ac:dyDescent="0.25">
      <c r="A1186" s="1" t="s">
        <v>3079</v>
      </c>
      <c r="B1186" s="2" t="s">
        <v>3092</v>
      </c>
      <c r="C1186" s="2" t="s">
        <v>3081</v>
      </c>
      <c r="D1186" s="6">
        <f t="shared" si="28"/>
        <v>1</v>
      </c>
      <c r="E1186" s="7" t="str">
        <f t="shared" si="29"/>
        <v>NamedIndividual</v>
      </c>
      <c r="F1186" s="8" t="b">
        <f>IF(D1186&lt;1,FALSE,ISERROR(MATCH(E1186,'Ontology and concepts per UC'!$A$2:$A$62,0)))</f>
        <v>1</v>
      </c>
      <c r="G1186" s="9" t="str">
        <f t="shared" si="30"/>
        <v/>
      </c>
      <c r="H1186" s="9" t="str">
        <f t="shared" si="31"/>
        <v/>
      </c>
      <c r="I1186" s="8" t="b">
        <f>IF(D1186&lt;2,FALSE,ISERROR(MATCH(H1186,'Ontology and concepts per UC'!$A$2:$A$62,0)))</f>
        <v>0</v>
      </c>
      <c r="J1186" s="9" t="str">
        <f t="shared" si="32"/>
        <v/>
      </c>
      <c r="K1186" s="8" t="b">
        <f>IF(D1186&lt;3,FALSE,ISERROR(MATCH(J1186,'Ontology and concepts per UC'!$A$2:$A$62,0)))</f>
        <v>0</v>
      </c>
      <c r="L1186" s="2"/>
      <c r="M1186" s="2"/>
      <c r="N1186" s="2"/>
      <c r="O1186" s="1" t="b">
        <v>0</v>
      </c>
      <c r="P1186" s="1">
        <v>1</v>
      </c>
      <c r="Q1186" s="1">
        <v>0</v>
      </c>
      <c r="R1186" s="1" t="b">
        <f t="shared" si="33"/>
        <v>0</v>
      </c>
      <c r="S1186" s="2" t="s">
        <v>66</v>
      </c>
      <c r="T1186" s="1" t="str">
        <f>IF(S1186="","",VLOOKUP(S1186,'Ontology and concepts per UC'!$F$2:$J$46,5,FALSE))</f>
        <v>Utilidad</v>
      </c>
      <c r="U1186" s="1" t="b">
        <f t="array" ref="U1186">(INDEX('Ontology and concepts per UC'!$G$2:$I$46,MATCH($S1186,'Ontology and concepts per UC'!$F$2:$F$46,0),MATCH(LEFT($A1186,3),'Ontology and concepts per UC'!$G$1:$I$1,0))=0)</f>
        <v>0</v>
      </c>
      <c r="V1186" s="1" t="b">
        <f t="shared" si="34"/>
        <v>1</v>
      </c>
      <c r="W1186" s="1" t="b">
        <v>1</v>
      </c>
      <c r="X1186" s="1" t="b">
        <v>0</v>
      </c>
      <c r="Y1186" s="1" t="b">
        <v>0</v>
      </c>
      <c r="Z1186" s="1" t="b">
        <v>0</v>
      </c>
      <c r="AA1186" s="1" t="s">
        <v>3082</v>
      </c>
    </row>
    <row r="1187" spans="1:27" x14ac:dyDescent="0.25">
      <c r="A1187" s="1" t="s">
        <v>3079</v>
      </c>
      <c r="B1187" s="2" t="s">
        <v>3093</v>
      </c>
      <c r="C1187" s="2" t="s">
        <v>3081</v>
      </c>
      <c r="D1187" s="6">
        <f t="shared" si="28"/>
        <v>1</v>
      </c>
      <c r="E1187" s="7" t="str">
        <f t="shared" si="29"/>
        <v>NamedIndividual</v>
      </c>
      <c r="F1187" s="8" t="b">
        <f>IF(D1187&lt;1,FALSE,ISERROR(MATCH(E1187,'Ontology and concepts per UC'!$A$2:$A$62,0)))</f>
        <v>1</v>
      </c>
      <c r="G1187" s="9" t="str">
        <f t="shared" si="30"/>
        <v/>
      </c>
      <c r="H1187" s="9" t="str">
        <f t="shared" si="31"/>
        <v/>
      </c>
      <c r="I1187" s="8" t="b">
        <f>IF(D1187&lt;2,FALSE,ISERROR(MATCH(H1187,'Ontology and concepts per UC'!$A$2:$A$62,0)))</f>
        <v>0</v>
      </c>
      <c r="J1187" s="9" t="str">
        <f t="shared" si="32"/>
        <v/>
      </c>
      <c r="K1187" s="8" t="b">
        <f>IF(D1187&lt;3,FALSE,ISERROR(MATCH(J1187,'Ontology and concepts per UC'!$A$2:$A$62,0)))</f>
        <v>0</v>
      </c>
      <c r="L1187" s="2"/>
      <c r="M1187" s="2"/>
      <c r="N1187" s="2"/>
      <c r="O1187" s="1" t="b">
        <v>0</v>
      </c>
      <c r="P1187" s="1">
        <v>1</v>
      </c>
      <c r="Q1187" s="1">
        <v>0</v>
      </c>
      <c r="R1187" s="1" t="b">
        <f t="shared" si="33"/>
        <v>0</v>
      </c>
      <c r="S1187" s="2" t="s">
        <v>69</v>
      </c>
      <c r="T1187" s="1" t="str">
        <f>IF(S1187="","",VLOOKUP(S1187,'Ontology and concepts per UC'!$F$2:$J$46,5,FALSE))</f>
        <v>Utilidad</v>
      </c>
      <c r="U1187" s="1" t="b">
        <f t="array" ref="U1187">(INDEX('Ontology and concepts per UC'!$G$2:$I$46,MATCH($S1187,'Ontology and concepts per UC'!$F$2:$F$46,0),MATCH(LEFT($A1187,3),'Ontology and concepts per UC'!$G$1:$I$1,0))=0)</f>
        <v>0</v>
      </c>
      <c r="V1187" s="1" t="b">
        <f t="shared" si="34"/>
        <v>1</v>
      </c>
      <c r="W1187" s="1" t="b">
        <v>1</v>
      </c>
      <c r="X1187" s="1" t="b">
        <v>0</v>
      </c>
      <c r="Y1187" s="1" t="b">
        <v>0</v>
      </c>
      <c r="Z1187" s="1" t="b">
        <v>0</v>
      </c>
      <c r="AA1187" s="1" t="s">
        <v>3082</v>
      </c>
    </row>
    <row r="1188" spans="1:27" x14ac:dyDescent="0.25">
      <c r="A1188" s="1" t="s">
        <v>3079</v>
      </c>
      <c r="B1188" s="2" t="s">
        <v>3094</v>
      </c>
      <c r="C1188" s="2" t="s">
        <v>3081</v>
      </c>
      <c r="D1188" s="6">
        <f t="shared" si="28"/>
        <v>1</v>
      </c>
      <c r="E1188" s="7" t="str">
        <f t="shared" si="29"/>
        <v>NamedIndividual</v>
      </c>
      <c r="F1188" s="8" t="b">
        <f>IF(D1188&lt;1,FALSE,ISERROR(MATCH(E1188,'Ontology and concepts per UC'!$A$2:$A$62,0)))</f>
        <v>1</v>
      </c>
      <c r="G1188" s="9" t="str">
        <f t="shared" si="30"/>
        <v/>
      </c>
      <c r="H1188" s="9" t="str">
        <f t="shared" si="31"/>
        <v/>
      </c>
      <c r="I1188" s="8" t="b">
        <f>IF(D1188&lt;2,FALSE,ISERROR(MATCH(H1188,'Ontology and concepts per UC'!$A$2:$A$62,0)))</f>
        <v>0</v>
      </c>
      <c r="J1188" s="9" t="str">
        <f t="shared" si="32"/>
        <v/>
      </c>
      <c r="K1188" s="8" t="b">
        <f>IF(D1188&lt;3,FALSE,ISERROR(MATCH(J1188,'Ontology and concepts per UC'!$A$2:$A$62,0)))</f>
        <v>0</v>
      </c>
      <c r="L1188" s="2"/>
      <c r="M1188" s="2"/>
      <c r="N1188" s="2"/>
      <c r="O1188" s="1" t="b">
        <v>0</v>
      </c>
      <c r="P1188" s="1">
        <v>1</v>
      </c>
      <c r="Q1188" s="1">
        <v>0</v>
      </c>
      <c r="R1188" s="1" t="b">
        <f t="shared" si="33"/>
        <v>0</v>
      </c>
      <c r="S1188" s="2" t="s">
        <v>67</v>
      </c>
      <c r="T1188" s="1" t="str">
        <f>IF(S1188="","",VLOOKUP(S1188,'Ontology and concepts per UC'!$F$2:$J$46,5,FALSE))</f>
        <v>Utilidad</v>
      </c>
      <c r="U1188" s="1" t="b">
        <f t="array" ref="U1188">(INDEX('Ontology and concepts per UC'!$G$2:$I$46,MATCH($S1188,'Ontology and concepts per UC'!$F$2:$F$46,0),MATCH(LEFT($A1188,3),'Ontology and concepts per UC'!$G$1:$I$1,0))=0)</f>
        <v>0</v>
      </c>
      <c r="V1188" s="1" t="b">
        <f t="shared" si="34"/>
        <v>1</v>
      </c>
      <c r="W1188" s="1" t="b">
        <v>1</v>
      </c>
      <c r="X1188" s="1" t="b">
        <v>0</v>
      </c>
      <c r="Y1188" s="1" t="b">
        <v>0</v>
      </c>
      <c r="Z1188" s="1" t="b">
        <v>0</v>
      </c>
      <c r="AA1188" s="1" t="s">
        <v>3082</v>
      </c>
    </row>
    <row r="1189" spans="1:27" x14ac:dyDescent="0.25">
      <c r="A1189" s="1" t="s">
        <v>3079</v>
      </c>
      <c r="B1189" s="2" t="s">
        <v>3095</v>
      </c>
      <c r="C1189" s="2" t="s">
        <v>3081</v>
      </c>
      <c r="D1189" s="6">
        <f t="shared" si="28"/>
        <v>1</v>
      </c>
      <c r="E1189" s="7" t="str">
        <f t="shared" si="29"/>
        <v>NamedIndividual</v>
      </c>
      <c r="F1189" s="8" t="b">
        <f>IF(D1189&lt;1,FALSE,ISERROR(MATCH(E1189,'Ontology and concepts per UC'!$A$2:$A$62,0)))</f>
        <v>1</v>
      </c>
      <c r="G1189" s="9" t="str">
        <f t="shared" si="30"/>
        <v/>
      </c>
      <c r="H1189" s="9" t="str">
        <f t="shared" si="31"/>
        <v/>
      </c>
      <c r="I1189" s="8" t="b">
        <f>IF(D1189&lt;2,FALSE,ISERROR(MATCH(H1189,'Ontology and concepts per UC'!$A$2:$A$62,0)))</f>
        <v>0</v>
      </c>
      <c r="J1189" s="9" t="str">
        <f t="shared" si="32"/>
        <v/>
      </c>
      <c r="K1189" s="8" t="b">
        <f>IF(D1189&lt;3,FALSE,ISERROR(MATCH(J1189,'Ontology and concepts per UC'!$A$2:$A$62,0)))</f>
        <v>0</v>
      </c>
      <c r="L1189" s="2"/>
      <c r="M1189" s="2"/>
      <c r="N1189" s="2"/>
      <c r="O1189" s="1" t="b">
        <v>0</v>
      </c>
      <c r="P1189" s="1">
        <v>1</v>
      </c>
      <c r="Q1189" s="1">
        <v>0</v>
      </c>
      <c r="R1189" s="1" t="b">
        <f t="shared" si="33"/>
        <v>0</v>
      </c>
      <c r="S1189" s="2" t="s">
        <v>68</v>
      </c>
      <c r="T1189" s="1" t="str">
        <f>IF(S1189="","",VLOOKUP(S1189,'Ontology and concepts per UC'!$F$2:$J$46,5,FALSE))</f>
        <v>Utilidad</v>
      </c>
      <c r="U1189" s="1" t="b">
        <f t="array" ref="U1189">(INDEX('Ontology and concepts per UC'!$G$2:$I$46,MATCH($S1189,'Ontology and concepts per UC'!$F$2:$F$46,0),MATCH(LEFT($A1189,3),'Ontology and concepts per UC'!$G$1:$I$1,0))=0)</f>
        <v>0</v>
      </c>
      <c r="V1189" s="1" t="b">
        <f t="shared" si="34"/>
        <v>1</v>
      </c>
      <c r="W1189" s="1" t="b">
        <v>1</v>
      </c>
      <c r="X1189" s="1" t="b">
        <v>0</v>
      </c>
      <c r="Y1189" s="1" t="b">
        <v>0</v>
      </c>
      <c r="Z1189" s="1" t="b">
        <v>0</v>
      </c>
      <c r="AA1189" s="1" t="s">
        <v>3082</v>
      </c>
    </row>
    <row r="1190" spans="1:27" x14ac:dyDescent="0.25">
      <c r="A1190" s="1" t="s">
        <v>3096</v>
      </c>
      <c r="B1190" s="2" t="s">
        <v>3097</v>
      </c>
      <c r="C1190" s="2" t="s">
        <v>1106</v>
      </c>
      <c r="D1190" s="6">
        <f t="shared" si="28"/>
        <v>2</v>
      </c>
      <c r="E1190" s="7" t="str">
        <f t="shared" si="29"/>
        <v>DeterministicParameter</v>
      </c>
      <c r="F1190" s="8" t="b">
        <f>IF(D1190&lt;1,FALSE,ISERROR(MATCH(E1190,'Ontology and concepts per UC'!$A$2:$A$62,0)))</f>
        <v>0</v>
      </c>
      <c r="G1190" s="9" t="str">
        <f t="shared" si="30"/>
        <v>Utility</v>
      </c>
      <c r="H1190" s="9" t="str">
        <f t="shared" si="31"/>
        <v>Utility</v>
      </c>
      <c r="I1190" s="8" t="b">
        <f>IF(D1190&lt;2,FALSE,ISERROR(MATCH(H1190,'Ontology and concepts per UC'!$A$2:$A$62,0)))</f>
        <v>0</v>
      </c>
      <c r="J1190" s="9" t="str">
        <f t="shared" si="32"/>
        <v/>
      </c>
      <c r="K1190" s="8" t="b">
        <f>IF(D1190&lt;3,FALSE,ISERROR(MATCH(J1190,'Ontology and concepts per UC'!$A$2:$A$62,0)))</f>
        <v>0</v>
      </c>
      <c r="L1190" s="2" t="s">
        <v>3098</v>
      </c>
      <c r="M1190" s="2" t="s">
        <v>3099</v>
      </c>
      <c r="N1190" s="2"/>
      <c r="O1190" s="1" t="b">
        <v>0</v>
      </c>
      <c r="P1190" s="1">
        <v>0</v>
      </c>
      <c r="Q1190" s="1">
        <v>0</v>
      </c>
      <c r="R1190" s="1" t="b">
        <f t="shared" si="33"/>
        <v>1</v>
      </c>
      <c r="S1190" s="2" t="s">
        <v>69</v>
      </c>
      <c r="T1190" s="1" t="str">
        <f>IF(S1190="","",VLOOKUP(S1190,'Ontology and concepts per UC'!$F$2:$J$46,5,FALSE))</f>
        <v>Utilidad</v>
      </c>
      <c r="U1190" s="1" t="b">
        <f t="array" ref="U1190">(INDEX('Ontology and concepts per UC'!$G$2:$I$46,MATCH($S1190,'Ontology and concepts per UC'!$F$2:$F$46,0),MATCH(LEFT($A1190,3),'Ontology and concepts per UC'!$G$1:$I$1,0))=0)</f>
        <v>0</v>
      </c>
      <c r="V1190" s="1" t="b">
        <f t="shared" si="34"/>
        <v>0</v>
      </c>
      <c r="W1190" s="1" t="b">
        <v>0</v>
      </c>
      <c r="X1190" s="1" t="b">
        <v>0</v>
      </c>
      <c r="Y1190" s="1" t="b">
        <v>0</v>
      </c>
      <c r="Z1190" s="1" t="b">
        <v>0</v>
      </c>
      <c r="AA1190" s="2"/>
    </row>
    <row r="1191" spans="1:27" x14ac:dyDescent="0.25">
      <c r="A1191" s="1" t="s">
        <v>3096</v>
      </c>
      <c r="B1191" s="2" t="s">
        <v>3100</v>
      </c>
      <c r="C1191" s="2" t="s">
        <v>1106</v>
      </c>
      <c r="D1191" s="6">
        <f t="shared" si="28"/>
        <v>2</v>
      </c>
      <c r="E1191" s="7" t="str">
        <f t="shared" si="29"/>
        <v>DeterministicParameter</v>
      </c>
      <c r="F1191" s="8" t="b">
        <f>IF(D1191&lt;1,FALSE,ISERROR(MATCH(E1191,'Ontology and concepts per UC'!$A$2:$A$62,0)))</f>
        <v>0</v>
      </c>
      <c r="G1191" s="9" t="str">
        <f t="shared" si="30"/>
        <v>Utility</v>
      </c>
      <c r="H1191" s="9" t="str">
        <f t="shared" si="31"/>
        <v>Utility</v>
      </c>
      <c r="I1191" s="8" t="b">
        <f>IF(D1191&lt;2,FALSE,ISERROR(MATCH(H1191,'Ontology and concepts per UC'!$A$2:$A$62,0)))</f>
        <v>0</v>
      </c>
      <c r="J1191" s="9" t="str">
        <f t="shared" si="32"/>
        <v/>
      </c>
      <c r="K1191" s="8" t="b">
        <f>IF(D1191&lt;3,FALSE,ISERROR(MATCH(J1191,'Ontology and concepts per UC'!$A$2:$A$62,0)))</f>
        <v>0</v>
      </c>
      <c r="L1191" s="2" t="s">
        <v>3098</v>
      </c>
      <c r="M1191" s="2" t="s">
        <v>3101</v>
      </c>
      <c r="N1191" s="2"/>
      <c r="O1191" s="1" t="b">
        <v>0</v>
      </c>
      <c r="P1191" s="1">
        <v>0</v>
      </c>
      <c r="Q1191" s="1">
        <v>0</v>
      </c>
      <c r="R1191" s="1" t="b">
        <f t="shared" si="33"/>
        <v>1</v>
      </c>
      <c r="S1191" s="2" t="s">
        <v>65</v>
      </c>
      <c r="T1191" s="1" t="str">
        <f>IF(S1191="","",VLOOKUP(S1191,'Ontology and concepts per UC'!$F$2:$J$46,5,FALSE))</f>
        <v>Utilidad</v>
      </c>
      <c r="U1191" s="1" t="b">
        <f t="array" ref="U1191">(INDEX('Ontology and concepts per UC'!$G$2:$I$46,MATCH($S1191,'Ontology and concepts per UC'!$F$2:$F$46,0),MATCH(LEFT($A1191,3),'Ontology and concepts per UC'!$G$1:$I$1,0))=0)</f>
        <v>0</v>
      </c>
      <c r="V1191" s="1" t="b">
        <f t="shared" si="34"/>
        <v>1</v>
      </c>
      <c r="W1191" s="1" t="b">
        <v>0</v>
      </c>
      <c r="X1191" s="1" t="b">
        <v>0</v>
      </c>
      <c r="Y1191" s="1" t="b">
        <v>0</v>
      </c>
      <c r="Z1191" s="1" t="b">
        <v>1</v>
      </c>
      <c r="AA1191" s="2" t="s">
        <v>3102</v>
      </c>
    </row>
    <row r="1192" spans="1:27" x14ac:dyDescent="0.25">
      <c r="A1192" s="1" t="s">
        <v>3096</v>
      </c>
      <c r="B1192" s="2" t="s">
        <v>3103</v>
      </c>
      <c r="C1192" s="2" t="s">
        <v>1106</v>
      </c>
      <c r="D1192" s="6">
        <f t="shared" si="28"/>
        <v>2</v>
      </c>
      <c r="E1192" s="7" t="str">
        <f t="shared" si="29"/>
        <v>DeterministicParameter</v>
      </c>
      <c r="F1192" s="8" t="b">
        <f>IF(D1192&lt;1,FALSE,ISERROR(MATCH(E1192,'Ontology and concepts per UC'!$A$2:$A$62,0)))</f>
        <v>0</v>
      </c>
      <c r="G1192" s="9" t="str">
        <f t="shared" si="30"/>
        <v>Utility</v>
      </c>
      <c r="H1192" s="9" t="str">
        <f t="shared" si="31"/>
        <v>Utility</v>
      </c>
      <c r="I1192" s="8" t="b">
        <f>IF(D1192&lt;2,FALSE,ISERROR(MATCH(H1192,'Ontology and concepts per UC'!$A$2:$A$62,0)))</f>
        <v>0</v>
      </c>
      <c r="J1192" s="9" t="str">
        <f t="shared" si="32"/>
        <v/>
      </c>
      <c r="K1192" s="8" t="b">
        <f>IF(D1192&lt;3,FALSE,ISERROR(MATCH(J1192,'Ontology and concepts per UC'!$A$2:$A$62,0)))</f>
        <v>0</v>
      </c>
      <c r="L1192" s="2" t="s">
        <v>3098</v>
      </c>
      <c r="M1192" s="2" t="s">
        <v>3104</v>
      </c>
      <c r="N1192" s="2"/>
      <c r="O1192" s="1" t="b">
        <v>0</v>
      </c>
      <c r="P1192" s="1">
        <v>0</v>
      </c>
      <c r="Q1192" s="1">
        <v>0</v>
      </c>
      <c r="R1192" s="1" t="b">
        <f t="shared" si="33"/>
        <v>1</v>
      </c>
      <c r="S1192" s="2" t="s">
        <v>174</v>
      </c>
      <c r="T1192" s="1" t="str">
        <f>IF(S1192="","",VLOOKUP(S1192,'Ontology and concepts per UC'!$F$2:$J$46,5,FALSE))</f>
        <v>Utilidad</v>
      </c>
      <c r="U1192" s="1" t="b">
        <f t="array" ref="U1192">(INDEX('Ontology and concepts per UC'!$G$2:$I$46,MATCH($S1192,'Ontology and concepts per UC'!$F$2:$F$46,0),MATCH(LEFT($A1192,3),'Ontology and concepts per UC'!$G$1:$I$1,0))=0)</f>
        <v>1</v>
      </c>
      <c r="V1192" s="1" t="b">
        <f t="shared" si="34"/>
        <v>0</v>
      </c>
      <c r="W1192" s="1" t="b">
        <v>0</v>
      </c>
      <c r="X1192" s="1" t="b">
        <v>0</v>
      </c>
      <c r="Y1192" s="1" t="b">
        <v>0</v>
      </c>
      <c r="Z1192" s="1" t="b">
        <v>0</v>
      </c>
      <c r="AA1192" s="2"/>
    </row>
    <row r="1193" spans="1:27" x14ac:dyDescent="0.25">
      <c r="A1193" s="1" t="s">
        <v>3096</v>
      </c>
      <c r="B1193" s="2" t="s">
        <v>3105</v>
      </c>
      <c r="C1193" s="2" t="s">
        <v>3106</v>
      </c>
      <c r="D1193" s="6">
        <f t="shared" si="28"/>
        <v>2</v>
      </c>
      <c r="E1193" s="7" t="str">
        <f t="shared" si="29"/>
        <v>DiagnosisIntervention</v>
      </c>
      <c r="F1193" s="8" t="b">
        <f>IF(D1193&lt;1,FALSE,ISERROR(MATCH(E1193,'Ontology and concepts per UC'!$A$2:$A$62,0)))</f>
        <v>0</v>
      </c>
      <c r="G1193" s="9" t="str">
        <f t="shared" si="30"/>
        <v>HealthTechnology</v>
      </c>
      <c r="H1193" s="9" t="str">
        <f t="shared" si="31"/>
        <v>HealthTechnology</v>
      </c>
      <c r="I1193" s="8" t="b">
        <f>IF(D1193&lt;2,FALSE,ISERROR(MATCH(H1193,'Ontology and concepts per UC'!$A$2:$A$62,0)))</f>
        <v>0</v>
      </c>
      <c r="J1193" s="9" t="str">
        <f t="shared" si="32"/>
        <v/>
      </c>
      <c r="K1193" s="8" t="b">
        <f>IF(D1193&lt;3,FALSE,ISERROR(MATCH(J1193,'Ontology and concepts per UC'!$A$2:$A$62,0)))</f>
        <v>0</v>
      </c>
      <c r="L1193" s="2"/>
      <c r="M1193" s="2" t="s">
        <v>3107</v>
      </c>
      <c r="N1193" s="2"/>
      <c r="O1193" s="1" t="b">
        <v>0</v>
      </c>
      <c r="P1193" s="1">
        <v>0</v>
      </c>
      <c r="Q1193" s="1">
        <v>0</v>
      </c>
      <c r="R1193" s="1" t="b">
        <f t="shared" si="33"/>
        <v>1</v>
      </c>
      <c r="S1193" s="2" t="s">
        <v>47</v>
      </c>
      <c r="T1193" s="1" t="str">
        <f>IF(S1193="","",VLOOKUP(S1193,'Ontology and concepts per UC'!$F$2:$J$46,5,FALSE))</f>
        <v>Parámetros de intervención</v>
      </c>
      <c r="U1193" s="1" t="b">
        <f t="array" ref="U1193">(INDEX('Ontology and concepts per UC'!$G$2:$I$46,MATCH($S1193,'Ontology and concepts per UC'!$F$2:$F$46,0),MATCH(LEFT($A1193,3),'Ontology and concepts per UC'!$G$1:$I$1,0))=0)</f>
        <v>0</v>
      </c>
      <c r="V1193" s="1" t="b">
        <f t="shared" si="34"/>
        <v>0</v>
      </c>
      <c r="W1193" s="1" t="b">
        <v>0</v>
      </c>
      <c r="X1193" s="1" t="b">
        <v>0</v>
      </c>
      <c r="Y1193" s="1" t="b">
        <v>0</v>
      </c>
      <c r="Z1193" s="1" t="b">
        <v>0</v>
      </c>
      <c r="AA1193" s="2"/>
    </row>
    <row r="1194" spans="1:27" x14ac:dyDescent="0.25">
      <c r="A1194" s="1" t="s">
        <v>3096</v>
      </c>
      <c r="B1194" s="2" t="s">
        <v>3108</v>
      </c>
      <c r="C1194" s="2" t="s">
        <v>3109</v>
      </c>
      <c r="D1194" s="6">
        <f t="shared" si="28"/>
        <v>2</v>
      </c>
      <c r="E1194" s="7" t="str">
        <f t="shared" si="29"/>
        <v>Drug</v>
      </c>
      <c r="F1194" s="8" t="b">
        <f>IF(D1194&lt;1,FALSE,ISERROR(MATCH(E1194,'Ontology and concepts per UC'!$A$2:$A$62,0)))</f>
        <v>0</v>
      </c>
      <c r="G1194" s="9" t="str">
        <f t="shared" si="30"/>
        <v>Treatment</v>
      </c>
      <c r="H1194" s="9" t="str">
        <f t="shared" si="31"/>
        <v>Treatment</v>
      </c>
      <c r="I1194" s="8" t="b">
        <f>IF(D1194&lt;2,FALSE,ISERROR(MATCH(H1194,'Ontology and concepts per UC'!$A$2:$A$62,0)))</f>
        <v>0</v>
      </c>
      <c r="J1194" s="9" t="str">
        <f t="shared" si="32"/>
        <v/>
      </c>
      <c r="K1194" s="8" t="b">
        <f>IF(D1194&lt;3,FALSE,ISERROR(MATCH(J1194,'Ontology and concepts per UC'!$A$2:$A$62,0)))</f>
        <v>0</v>
      </c>
      <c r="L1194" s="2" t="s">
        <v>3110</v>
      </c>
      <c r="M1194" s="2" t="s">
        <v>3111</v>
      </c>
      <c r="N1194" s="2" t="s">
        <v>3112</v>
      </c>
      <c r="O1194" s="1" t="b">
        <v>0</v>
      </c>
      <c r="P1194" s="1">
        <v>0</v>
      </c>
      <c r="Q1194" s="1">
        <v>4</v>
      </c>
      <c r="R1194" s="1" t="b">
        <f t="shared" si="33"/>
        <v>1</v>
      </c>
      <c r="S1194" s="2" t="s">
        <v>107</v>
      </c>
      <c r="T1194" s="1" t="str">
        <f>IF(S1194="","",VLOOKUP(S1194,'Ontology and concepts per UC'!$F$2:$J$46,5,FALSE))</f>
        <v>Parcial</v>
      </c>
      <c r="U1194" s="1" t="b">
        <f t="array" ref="U1194">(INDEX('Ontology and concepts per UC'!$G$2:$I$46,MATCH($S1194,'Ontology and concepts per UC'!$F$2:$F$46,0),MATCH(LEFT($A1194,3),'Ontology and concepts per UC'!$G$1:$I$1,0))=0)</f>
        <v>0</v>
      </c>
      <c r="V1194" s="1" t="b">
        <f t="shared" si="34"/>
        <v>1</v>
      </c>
      <c r="W1194" s="1" t="b">
        <v>1</v>
      </c>
      <c r="X1194" s="1" t="b">
        <v>0</v>
      </c>
      <c r="Y1194" s="1" t="b">
        <v>0</v>
      </c>
      <c r="Z1194" s="1" t="b">
        <v>0</v>
      </c>
      <c r="AA1194" s="2" t="s">
        <v>2688</v>
      </c>
    </row>
    <row r="1195" spans="1:27" x14ac:dyDescent="0.25">
      <c r="A1195" s="1" t="s">
        <v>3096</v>
      </c>
      <c r="B1195" s="2" t="s">
        <v>3113</v>
      </c>
      <c r="C1195" s="2" t="s">
        <v>3114</v>
      </c>
      <c r="D1195" s="6">
        <f t="shared" si="28"/>
        <v>3</v>
      </c>
      <c r="E1195" s="7" t="str">
        <f t="shared" si="29"/>
        <v>Drug</v>
      </c>
      <c r="F1195" s="8" t="b">
        <f>IF(D1195&lt;1,FALSE,ISERROR(MATCH(E1195,'Ontology and concepts per UC'!$A$2:$A$62,0)))</f>
        <v>0</v>
      </c>
      <c r="G1195" s="9" t="str">
        <f t="shared" si="30"/>
        <v>Treatment; Intervention</v>
      </c>
      <c r="H1195" s="9" t="str">
        <f t="shared" si="31"/>
        <v>Treatment</v>
      </c>
      <c r="I1195" s="8" t="b">
        <f>IF(D1195&lt;2,FALSE,ISERROR(MATCH(H1195,'Ontology and concepts per UC'!$A$2:$A$62,0)))</f>
        <v>0</v>
      </c>
      <c r="J1195" s="9" t="str">
        <f t="shared" si="32"/>
        <v>Intervention</v>
      </c>
      <c r="K1195" s="8" t="b">
        <f>IF(D1195&lt;3,FALSE,ISERROR(MATCH(J1195,'Ontology and concepts per UC'!$A$2:$A$62,0)))</f>
        <v>0</v>
      </c>
      <c r="L1195" s="2" t="s">
        <v>3110</v>
      </c>
      <c r="M1195" s="2" t="s">
        <v>3115</v>
      </c>
      <c r="N1195" s="2"/>
      <c r="O1195" s="1" t="b">
        <v>0</v>
      </c>
      <c r="P1195" s="1">
        <v>0</v>
      </c>
      <c r="Q1195" s="1">
        <v>0</v>
      </c>
      <c r="R1195" s="1" t="b">
        <f t="shared" si="33"/>
        <v>1</v>
      </c>
      <c r="S1195" s="2" t="s">
        <v>62</v>
      </c>
      <c r="T1195" s="1" t="str">
        <f>IF(S1195="","",VLOOKUP(S1195,'Ontology and concepts per UC'!$F$2:$J$46,5,FALSE))</f>
        <v>Tratamiento/seguimiento</v>
      </c>
      <c r="U1195" s="1" t="b">
        <f t="array" ref="U1195">(INDEX('Ontology and concepts per UC'!$G$2:$I$46,MATCH($S1195,'Ontology and concepts per UC'!$F$2:$F$46,0),MATCH(LEFT($A1195,3),'Ontology and concepts per UC'!$G$1:$I$1,0))=0)</f>
        <v>0</v>
      </c>
      <c r="V1195" s="1" t="b">
        <f t="shared" si="34"/>
        <v>1</v>
      </c>
      <c r="W1195" s="1" t="b">
        <v>0</v>
      </c>
      <c r="X1195" s="1" t="b">
        <v>0</v>
      </c>
      <c r="Y1195" s="1" t="b">
        <v>0</v>
      </c>
      <c r="Z1195" s="1" t="b">
        <v>1</v>
      </c>
      <c r="AA1195" s="2" t="s">
        <v>1954</v>
      </c>
    </row>
    <row r="1196" spans="1:27" x14ac:dyDescent="0.25">
      <c r="A1196" s="1" t="s">
        <v>3096</v>
      </c>
      <c r="B1196" s="2" t="s">
        <v>3116</v>
      </c>
      <c r="C1196" s="2" t="s">
        <v>1437</v>
      </c>
      <c r="D1196" s="6">
        <f t="shared" si="28"/>
        <v>2</v>
      </c>
      <c r="E1196" s="7" t="str">
        <f t="shared" si="29"/>
        <v>EpidemiologicalParameter</v>
      </c>
      <c r="F1196" s="8" t="b">
        <f>IF(D1196&lt;1,FALSE,ISERROR(MATCH(E1196,'Ontology and concepts per UC'!$A$2:$A$62,0)))</f>
        <v>0</v>
      </c>
      <c r="G1196" s="9" t="str">
        <f t="shared" si="30"/>
        <v>DeterministicParameter</v>
      </c>
      <c r="H1196" s="9" t="str">
        <f t="shared" si="31"/>
        <v>DeterministicParameter</v>
      </c>
      <c r="I1196" s="8" t="b">
        <f>IF(D1196&lt;2,FALSE,ISERROR(MATCH(H1196,'Ontology and concepts per UC'!$A$2:$A$62,0)))</f>
        <v>0</v>
      </c>
      <c r="J1196" s="9" t="str">
        <f t="shared" si="32"/>
        <v/>
      </c>
      <c r="K1196" s="8" t="b">
        <f>IF(D1196&lt;3,FALSE,ISERROR(MATCH(J1196,'Ontology and concepts per UC'!$A$2:$A$62,0)))</f>
        <v>0</v>
      </c>
      <c r="L1196" s="2" t="s">
        <v>3117</v>
      </c>
      <c r="M1196" s="2" t="s">
        <v>3118</v>
      </c>
      <c r="N1196" s="2"/>
      <c r="O1196" s="1" t="b">
        <v>0</v>
      </c>
      <c r="P1196" s="1">
        <v>0</v>
      </c>
      <c r="Q1196" s="1">
        <v>0</v>
      </c>
      <c r="R1196" s="1" t="b">
        <f t="shared" si="33"/>
        <v>1</v>
      </c>
      <c r="S1196" s="2" t="s">
        <v>107</v>
      </c>
      <c r="T1196" s="1" t="str">
        <f>IF(S1196="","",VLOOKUP(S1196,'Ontology and concepts per UC'!$F$2:$J$46,5,FALSE))</f>
        <v>Parcial</v>
      </c>
      <c r="U1196" s="1" t="b">
        <f t="array" ref="U1196">(INDEX('Ontology and concepts per UC'!$G$2:$I$46,MATCH($S1196,'Ontology and concepts per UC'!$F$2:$F$46,0),MATCH(LEFT($A1196,3),'Ontology and concepts per UC'!$G$1:$I$1,0))=0)</f>
        <v>0</v>
      </c>
      <c r="V1196" s="1" t="b">
        <f t="shared" si="34"/>
        <v>0</v>
      </c>
      <c r="W1196" s="1" t="b">
        <v>0</v>
      </c>
      <c r="X1196" s="1" t="b">
        <v>0</v>
      </c>
      <c r="Y1196" s="1" t="b">
        <v>0</v>
      </c>
      <c r="Z1196" s="1" t="b">
        <v>0</v>
      </c>
      <c r="AA1196" s="2"/>
    </row>
    <row r="1197" spans="1:27" x14ac:dyDescent="0.25">
      <c r="A1197" s="1" t="s">
        <v>3096</v>
      </c>
      <c r="B1197" s="2" t="s">
        <v>3119</v>
      </c>
      <c r="C1197" s="2" t="s">
        <v>1437</v>
      </c>
      <c r="D1197" s="6">
        <f t="shared" si="28"/>
        <v>2</v>
      </c>
      <c r="E1197" s="7" t="str">
        <f t="shared" si="29"/>
        <v>EpidemiologicalParameter</v>
      </c>
      <c r="F1197" s="8" t="b">
        <f>IF(D1197&lt;1,FALSE,ISERROR(MATCH(E1197,'Ontology and concepts per UC'!$A$2:$A$62,0)))</f>
        <v>0</v>
      </c>
      <c r="G1197" s="9" t="str">
        <f t="shared" si="30"/>
        <v>DeterministicParameter</v>
      </c>
      <c r="H1197" s="9" t="str">
        <f t="shared" si="31"/>
        <v>DeterministicParameter</v>
      </c>
      <c r="I1197" s="8" t="b">
        <f>IF(D1197&lt;2,FALSE,ISERROR(MATCH(H1197,'Ontology and concepts per UC'!$A$2:$A$62,0)))</f>
        <v>0</v>
      </c>
      <c r="J1197" s="9" t="str">
        <f t="shared" si="32"/>
        <v/>
      </c>
      <c r="K1197" s="8" t="b">
        <f>IF(D1197&lt;3,FALSE,ISERROR(MATCH(J1197,'Ontology and concepts per UC'!$A$2:$A$62,0)))</f>
        <v>0</v>
      </c>
      <c r="L1197" s="2" t="s">
        <v>3120</v>
      </c>
      <c r="M1197" s="2" t="s">
        <v>3121</v>
      </c>
      <c r="N1197" s="2"/>
      <c r="O1197" s="1" t="b">
        <v>0</v>
      </c>
      <c r="P1197" s="1">
        <v>0</v>
      </c>
      <c r="Q1197" s="1">
        <v>0</v>
      </c>
      <c r="R1197" s="1" t="b">
        <f t="shared" si="33"/>
        <v>1</v>
      </c>
      <c r="S1197" s="2" t="s">
        <v>38</v>
      </c>
      <c r="T1197" s="1" t="str">
        <f>IF(S1197="","",VLOOKUP(S1197,'Ontology and concepts per UC'!$F$2:$J$46,5,FALSE))</f>
        <v>Parámetro epidemiológico</v>
      </c>
      <c r="U1197" s="1" t="b">
        <f t="array" ref="U1197">(INDEX('Ontology and concepts per UC'!$G$2:$I$46,MATCH($S1197,'Ontology and concepts per UC'!$F$2:$F$46,0),MATCH(LEFT($A1197,3),'Ontology and concepts per UC'!$G$1:$I$1,0))=0)</f>
        <v>0</v>
      </c>
      <c r="V1197" s="1" t="b">
        <f t="shared" si="34"/>
        <v>0</v>
      </c>
      <c r="W1197" s="1" t="b">
        <v>0</v>
      </c>
      <c r="X1197" s="1" t="b">
        <v>0</v>
      </c>
      <c r="Y1197" s="1" t="b">
        <v>0</v>
      </c>
      <c r="Z1197" s="1" t="b">
        <v>0</v>
      </c>
      <c r="AA1197" s="2"/>
    </row>
    <row r="1198" spans="1:27" x14ac:dyDescent="0.25">
      <c r="A1198" s="1" t="s">
        <v>3096</v>
      </c>
      <c r="B1198" s="2" t="s">
        <v>3122</v>
      </c>
      <c r="C1198" s="2" t="s">
        <v>3123</v>
      </c>
      <c r="D1198" s="6">
        <f t="shared" si="28"/>
        <v>2</v>
      </c>
      <c r="E1198" s="7" t="str">
        <f t="shared" si="29"/>
        <v>HealthCareProcess</v>
      </c>
      <c r="F1198" s="8" t="b">
        <f>IF(D1198&lt;1,FALSE,ISERROR(MATCH(E1198,'Ontology and concepts per UC'!$A$2:$A$62,0)))</f>
        <v>1</v>
      </c>
      <c r="G1198" s="9" t="str">
        <f t="shared" si="30"/>
        <v>FollowUpStrategy</v>
      </c>
      <c r="H1198" s="9" t="str">
        <f t="shared" si="31"/>
        <v>FollowUpStrategy</v>
      </c>
      <c r="I1198" s="8" t="b">
        <f>IF(D1198&lt;2,FALSE,ISERROR(MATCH(H1198,'Ontology and concepts per UC'!$A$2:$A$62,0)))</f>
        <v>0</v>
      </c>
      <c r="J1198" s="9" t="str">
        <f t="shared" si="32"/>
        <v/>
      </c>
      <c r="K1198" s="8" t="b">
        <f>IF(D1198&lt;3,FALSE,ISERROR(MATCH(J1198,'Ontology and concepts per UC'!$A$2:$A$62,0)))</f>
        <v>0</v>
      </c>
      <c r="L1198" s="2" t="s">
        <v>3124</v>
      </c>
      <c r="M1198" s="2" t="s">
        <v>3125</v>
      </c>
      <c r="N1198" s="2" t="s">
        <v>3126</v>
      </c>
      <c r="O1198" s="1" t="b">
        <v>0</v>
      </c>
      <c r="P1198" s="1">
        <v>1</v>
      </c>
      <c r="Q1198" s="1">
        <v>2</v>
      </c>
      <c r="R1198" s="1" t="b">
        <f t="shared" si="33"/>
        <v>1</v>
      </c>
      <c r="S1198" s="2" t="s">
        <v>107</v>
      </c>
      <c r="T1198" s="1" t="str">
        <f>IF(S1198="","",VLOOKUP(S1198,'Ontology and concepts per UC'!$F$2:$J$46,5,FALSE))</f>
        <v>Parcial</v>
      </c>
      <c r="U1198" s="1" t="b">
        <f t="array" ref="U1198">(INDEX('Ontology and concepts per UC'!$G$2:$I$46,MATCH($S1198,'Ontology and concepts per UC'!$F$2:$F$46,0),MATCH(LEFT($A1198,3),'Ontology and concepts per UC'!$G$1:$I$1,0))=0)</f>
        <v>0</v>
      </c>
      <c r="V1198" s="1" t="b">
        <f t="shared" si="34"/>
        <v>1</v>
      </c>
      <c r="W1198" s="1" t="b">
        <v>1</v>
      </c>
      <c r="X1198" s="1" t="b">
        <v>0</v>
      </c>
      <c r="Y1198" s="1" t="b">
        <v>0</v>
      </c>
      <c r="Z1198" s="1" t="b">
        <v>0</v>
      </c>
      <c r="AA1198" s="2" t="s">
        <v>3127</v>
      </c>
    </row>
    <row r="1199" spans="1:27" x14ac:dyDescent="0.25">
      <c r="A1199" s="1" t="s">
        <v>3096</v>
      </c>
      <c r="B1199" s="2" t="s">
        <v>3128</v>
      </c>
      <c r="C1199" s="2" t="s">
        <v>3123</v>
      </c>
      <c r="D1199" s="6">
        <f t="shared" si="28"/>
        <v>2</v>
      </c>
      <c r="E1199" s="7" t="str">
        <f t="shared" si="29"/>
        <v>HealthCareProcess</v>
      </c>
      <c r="F1199" s="8" t="b">
        <f>IF(D1199&lt;1,FALSE,ISERROR(MATCH(E1199,'Ontology and concepts per UC'!$A$2:$A$62,0)))</f>
        <v>1</v>
      </c>
      <c r="G1199" s="9" t="str">
        <f t="shared" si="30"/>
        <v>FollowUpStrategy</v>
      </c>
      <c r="H1199" s="9" t="str">
        <f t="shared" si="31"/>
        <v>FollowUpStrategy</v>
      </c>
      <c r="I1199" s="8" t="b">
        <f>IF(D1199&lt;2,FALSE,ISERROR(MATCH(H1199,'Ontology and concepts per UC'!$A$2:$A$62,0)))</f>
        <v>0</v>
      </c>
      <c r="J1199" s="9" t="str">
        <f t="shared" si="32"/>
        <v/>
      </c>
      <c r="K1199" s="8" t="b">
        <f>IF(D1199&lt;3,FALSE,ISERROR(MATCH(J1199,'Ontology and concepts per UC'!$A$2:$A$62,0)))</f>
        <v>0</v>
      </c>
      <c r="L1199" s="2" t="s">
        <v>3124</v>
      </c>
      <c r="M1199" s="2" t="s">
        <v>3129</v>
      </c>
      <c r="N1199" s="2" t="s">
        <v>3130</v>
      </c>
      <c r="O1199" s="1" t="b">
        <v>0</v>
      </c>
      <c r="P1199" s="1">
        <v>1</v>
      </c>
      <c r="Q1199" s="1">
        <v>2</v>
      </c>
      <c r="R1199" s="1" t="b">
        <f t="shared" si="33"/>
        <v>1</v>
      </c>
      <c r="S1199" s="2" t="s">
        <v>60</v>
      </c>
      <c r="T1199" s="1" t="str">
        <f>IF(S1199="","",VLOOKUP(S1199,'Ontology and concepts per UC'!$F$2:$J$46,5,FALSE))</f>
        <v>Tratamiento/seguimiento</v>
      </c>
      <c r="U1199" s="1" t="b">
        <f t="array" ref="U1199">(INDEX('Ontology and concepts per UC'!$G$2:$I$46,MATCH($S1199,'Ontology and concepts per UC'!$F$2:$F$46,0),MATCH(LEFT($A1199,3),'Ontology and concepts per UC'!$G$1:$I$1,0))=0)</f>
        <v>0</v>
      </c>
      <c r="V1199" s="1" t="b">
        <f t="shared" si="34"/>
        <v>1</v>
      </c>
      <c r="W1199" s="1" t="b">
        <v>1</v>
      </c>
      <c r="X1199" s="1" t="b">
        <v>0</v>
      </c>
      <c r="Y1199" s="1" t="b">
        <v>0</v>
      </c>
      <c r="Z1199" s="1" t="b">
        <v>0</v>
      </c>
      <c r="AA1199" s="2" t="s">
        <v>3127</v>
      </c>
    </row>
    <row r="1200" spans="1:27" x14ac:dyDescent="0.25">
      <c r="A1200" s="1" t="s">
        <v>3096</v>
      </c>
      <c r="B1200" s="2" t="s">
        <v>1931</v>
      </c>
      <c r="C1200" s="2" t="s">
        <v>3131</v>
      </c>
      <c r="D1200" s="6">
        <f t="shared" si="28"/>
        <v>1</v>
      </c>
      <c r="E1200" s="7" t="str">
        <f t="shared" si="29"/>
        <v>HealthCareProcessComponent</v>
      </c>
      <c r="F1200" s="8" t="b">
        <f>IF(D1200&lt;1,FALSE,ISERROR(MATCH(E1200,'Ontology and concepts per UC'!$A$2:$A$62,0)))</f>
        <v>1</v>
      </c>
      <c r="G1200" s="9" t="str">
        <f t="shared" si="30"/>
        <v/>
      </c>
      <c r="H1200" s="9" t="str">
        <f t="shared" si="31"/>
        <v/>
      </c>
      <c r="I1200" s="8" t="b">
        <f>IF(D1200&lt;2,FALSE,ISERROR(MATCH(H1200,'Ontology and concepts per UC'!$A$2:$A$62,0)))</f>
        <v>0</v>
      </c>
      <c r="J1200" s="9" t="str">
        <f t="shared" si="32"/>
        <v/>
      </c>
      <c r="K1200" s="8" t="b">
        <f>IF(D1200&lt;3,FALSE,ISERROR(MATCH(J1200,'Ontology and concepts per UC'!$A$2:$A$62,0)))</f>
        <v>0</v>
      </c>
      <c r="L1200" s="2"/>
      <c r="M1200" s="2" t="s">
        <v>3132</v>
      </c>
      <c r="N1200" s="2"/>
      <c r="O1200" s="1" t="b">
        <v>0</v>
      </c>
      <c r="P1200" s="1">
        <v>1</v>
      </c>
      <c r="Q1200" s="1">
        <v>0</v>
      </c>
      <c r="R1200" s="1" t="b">
        <f t="shared" si="33"/>
        <v>0</v>
      </c>
      <c r="S1200" s="2" t="s">
        <v>60</v>
      </c>
      <c r="T1200" s="1" t="str">
        <f>IF(S1200="","",VLOOKUP(S1200,'Ontology and concepts per UC'!$F$2:$J$46,5,FALSE))</f>
        <v>Tratamiento/seguimiento</v>
      </c>
      <c r="U1200" s="1" t="b">
        <f t="array" ref="U1200">(INDEX('Ontology and concepts per UC'!$G$2:$I$46,MATCH($S1200,'Ontology and concepts per UC'!$F$2:$F$46,0),MATCH(LEFT($A1200,3),'Ontology and concepts per UC'!$G$1:$I$1,0))=0)</f>
        <v>0</v>
      </c>
      <c r="V1200" s="1" t="b">
        <f t="shared" si="34"/>
        <v>1</v>
      </c>
      <c r="W1200" s="1" t="b">
        <v>1</v>
      </c>
      <c r="X1200" s="1" t="b">
        <v>0</v>
      </c>
      <c r="Y1200" s="1" t="b">
        <v>0</v>
      </c>
      <c r="Z1200" s="1" t="b">
        <v>0</v>
      </c>
      <c r="AA1200" s="2" t="s">
        <v>3133</v>
      </c>
    </row>
    <row r="1201" spans="1:27" x14ac:dyDescent="0.25">
      <c r="A1201" s="1" t="s">
        <v>3096</v>
      </c>
      <c r="B1201" s="2" t="s">
        <v>3134</v>
      </c>
      <c r="C1201" s="2" t="s">
        <v>3131</v>
      </c>
      <c r="D1201" s="6">
        <f t="shared" si="28"/>
        <v>1</v>
      </c>
      <c r="E1201" s="7" t="str">
        <f t="shared" si="29"/>
        <v>HealthCareProcessComponent</v>
      </c>
      <c r="F1201" s="8" t="b">
        <f>IF(D1201&lt;1,FALSE,ISERROR(MATCH(E1201,'Ontology and concepts per UC'!$A$2:$A$62,0)))</f>
        <v>1</v>
      </c>
      <c r="G1201" s="9" t="str">
        <f t="shared" si="30"/>
        <v/>
      </c>
      <c r="H1201" s="9" t="str">
        <f t="shared" si="31"/>
        <v/>
      </c>
      <c r="I1201" s="8" t="b">
        <f>IF(D1201&lt;2,FALSE,ISERROR(MATCH(H1201,'Ontology and concepts per UC'!$A$2:$A$62,0)))</f>
        <v>0</v>
      </c>
      <c r="J1201" s="9" t="str">
        <f t="shared" si="32"/>
        <v/>
      </c>
      <c r="K1201" s="8" t="b">
        <f>IF(D1201&lt;3,FALSE,ISERROR(MATCH(J1201,'Ontology and concepts per UC'!$A$2:$A$62,0)))</f>
        <v>0</v>
      </c>
      <c r="L1201" s="2"/>
      <c r="M1201" s="2" t="s">
        <v>3135</v>
      </c>
      <c r="N1201" s="2"/>
      <c r="O1201" s="1" t="b">
        <v>0</v>
      </c>
      <c r="P1201" s="1">
        <v>1</v>
      </c>
      <c r="Q1201" s="1">
        <v>0</v>
      </c>
      <c r="R1201" s="1" t="b">
        <f t="shared" si="33"/>
        <v>0</v>
      </c>
      <c r="S1201" s="2" t="s">
        <v>60</v>
      </c>
      <c r="T1201" s="1" t="str">
        <f>IF(S1201="","",VLOOKUP(S1201,'Ontology and concepts per UC'!$F$2:$J$46,5,FALSE))</f>
        <v>Tratamiento/seguimiento</v>
      </c>
      <c r="U1201" s="1" t="b">
        <f t="array" ref="U1201">(INDEX('Ontology and concepts per UC'!$G$2:$I$46,MATCH($S1201,'Ontology and concepts per UC'!$F$2:$F$46,0),MATCH(LEFT($A1201,3),'Ontology and concepts per UC'!$G$1:$I$1,0))=0)</f>
        <v>0</v>
      </c>
      <c r="V1201" s="1" t="b">
        <f t="shared" si="34"/>
        <v>1</v>
      </c>
      <c r="W1201" s="1" t="b">
        <v>1</v>
      </c>
      <c r="X1201" s="1" t="b">
        <v>0</v>
      </c>
      <c r="Y1201" s="1" t="b">
        <v>0</v>
      </c>
      <c r="Z1201" s="1" t="b">
        <v>0</v>
      </c>
      <c r="AA1201" s="2" t="s">
        <v>3133</v>
      </c>
    </row>
    <row r="1202" spans="1:27" x14ac:dyDescent="0.25">
      <c r="A1202" s="1" t="s">
        <v>3096</v>
      </c>
      <c r="B1202" s="2" t="s">
        <v>3136</v>
      </c>
      <c r="C1202" s="2" t="s">
        <v>3131</v>
      </c>
      <c r="D1202" s="6">
        <f t="shared" si="28"/>
        <v>1</v>
      </c>
      <c r="E1202" s="7" t="str">
        <f t="shared" si="29"/>
        <v>HealthCareProcessComponent</v>
      </c>
      <c r="F1202" s="8" t="b">
        <f>IF(D1202&lt;1,FALSE,ISERROR(MATCH(E1202,'Ontology and concepts per UC'!$A$2:$A$62,0)))</f>
        <v>1</v>
      </c>
      <c r="G1202" s="9" t="str">
        <f t="shared" si="30"/>
        <v/>
      </c>
      <c r="H1202" s="9" t="str">
        <f t="shared" si="31"/>
        <v/>
      </c>
      <c r="I1202" s="8" t="b">
        <f>IF(D1202&lt;2,FALSE,ISERROR(MATCH(H1202,'Ontology and concepts per UC'!$A$2:$A$62,0)))</f>
        <v>0</v>
      </c>
      <c r="J1202" s="9" t="str">
        <f t="shared" si="32"/>
        <v/>
      </c>
      <c r="K1202" s="8" t="b">
        <f>IF(D1202&lt;3,FALSE,ISERROR(MATCH(J1202,'Ontology and concepts per UC'!$A$2:$A$62,0)))</f>
        <v>0</v>
      </c>
      <c r="L1202" s="2" t="s">
        <v>3137</v>
      </c>
      <c r="M1202" s="2" t="s">
        <v>3138</v>
      </c>
      <c r="N1202" s="2"/>
      <c r="O1202" s="1" t="b">
        <v>0</v>
      </c>
      <c r="P1202" s="1">
        <v>1</v>
      </c>
      <c r="Q1202" s="1">
        <v>0</v>
      </c>
      <c r="R1202" s="1" t="b">
        <f t="shared" si="33"/>
        <v>0</v>
      </c>
      <c r="S1202" s="2" t="s">
        <v>60</v>
      </c>
      <c r="T1202" s="1" t="str">
        <f>IF(S1202="","",VLOOKUP(S1202,'Ontology and concepts per UC'!$F$2:$J$46,5,FALSE))</f>
        <v>Tratamiento/seguimiento</v>
      </c>
      <c r="U1202" s="1" t="b">
        <f t="array" ref="U1202">(INDEX('Ontology and concepts per UC'!$G$2:$I$46,MATCH($S1202,'Ontology and concepts per UC'!$F$2:$F$46,0),MATCH(LEFT($A1202,3),'Ontology and concepts per UC'!$G$1:$I$1,0))=0)</f>
        <v>0</v>
      </c>
      <c r="V1202" s="1" t="b">
        <f t="shared" si="34"/>
        <v>1</v>
      </c>
      <c r="W1202" s="1" t="b">
        <v>1</v>
      </c>
      <c r="X1202" s="1" t="b">
        <v>0</v>
      </c>
      <c r="Y1202" s="1" t="b">
        <v>0</v>
      </c>
      <c r="Z1202" s="1" t="b">
        <v>0</v>
      </c>
      <c r="AA1202" s="2" t="s">
        <v>3133</v>
      </c>
    </row>
    <row r="1203" spans="1:27" x14ac:dyDescent="0.25">
      <c r="A1203" s="1" t="s">
        <v>3096</v>
      </c>
      <c r="B1203" s="2" t="s">
        <v>3139</v>
      </c>
      <c r="C1203" s="2" t="s">
        <v>3131</v>
      </c>
      <c r="D1203" s="6">
        <f t="shared" si="28"/>
        <v>1</v>
      </c>
      <c r="E1203" s="7" t="str">
        <f t="shared" si="29"/>
        <v>HealthCareProcessComponent</v>
      </c>
      <c r="F1203" s="8" t="b">
        <f>IF(D1203&lt;1,FALSE,ISERROR(MATCH(E1203,'Ontology and concepts per UC'!$A$2:$A$62,0)))</f>
        <v>1</v>
      </c>
      <c r="G1203" s="9" t="str">
        <f t="shared" si="30"/>
        <v/>
      </c>
      <c r="H1203" s="9" t="str">
        <f t="shared" si="31"/>
        <v/>
      </c>
      <c r="I1203" s="8" t="b">
        <f>IF(D1203&lt;2,FALSE,ISERROR(MATCH(H1203,'Ontology and concepts per UC'!$A$2:$A$62,0)))</f>
        <v>0</v>
      </c>
      <c r="J1203" s="9" t="str">
        <f t="shared" si="32"/>
        <v/>
      </c>
      <c r="K1203" s="8" t="b">
        <f>IF(D1203&lt;3,FALSE,ISERROR(MATCH(J1203,'Ontology and concepts per UC'!$A$2:$A$62,0)))</f>
        <v>0</v>
      </c>
      <c r="L1203" s="2"/>
      <c r="M1203" s="2" t="s">
        <v>3140</v>
      </c>
      <c r="N1203" s="2"/>
      <c r="O1203" s="1" t="b">
        <v>0</v>
      </c>
      <c r="P1203" s="1">
        <v>1</v>
      </c>
      <c r="Q1203" s="1">
        <v>0</v>
      </c>
      <c r="R1203" s="1" t="b">
        <f t="shared" si="33"/>
        <v>0</v>
      </c>
      <c r="S1203" s="2" t="s">
        <v>60</v>
      </c>
      <c r="T1203" s="1" t="str">
        <f>IF(S1203="","",VLOOKUP(S1203,'Ontology and concepts per UC'!$F$2:$J$46,5,FALSE))</f>
        <v>Tratamiento/seguimiento</v>
      </c>
      <c r="U1203" s="1" t="b">
        <f t="array" ref="U1203">(INDEX('Ontology and concepts per UC'!$G$2:$I$46,MATCH($S1203,'Ontology and concepts per UC'!$F$2:$F$46,0),MATCH(LEFT($A1203,3),'Ontology and concepts per UC'!$G$1:$I$1,0))=0)</f>
        <v>0</v>
      </c>
      <c r="V1203" s="1" t="b">
        <f t="shared" si="34"/>
        <v>1</v>
      </c>
      <c r="W1203" s="1" t="b">
        <v>1</v>
      </c>
      <c r="X1203" s="1" t="b">
        <v>0</v>
      </c>
      <c r="Y1203" s="1" t="b">
        <v>0</v>
      </c>
      <c r="Z1203" s="1" t="b">
        <v>0</v>
      </c>
      <c r="AA1203" s="2" t="s">
        <v>3133</v>
      </c>
    </row>
    <row r="1204" spans="1:27" x14ac:dyDescent="0.25">
      <c r="A1204" s="1" t="s">
        <v>3096</v>
      </c>
      <c r="B1204" s="2" t="s">
        <v>3141</v>
      </c>
      <c r="C1204" s="2" t="s">
        <v>3142</v>
      </c>
      <c r="D1204" s="6">
        <f t="shared" si="28"/>
        <v>2</v>
      </c>
      <c r="E1204" s="7" t="str">
        <f t="shared" si="29"/>
        <v>Intervention</v>
      </c>
      <c r="F1204" s="8" t="b">
        <f>IF(D1204&lt;1,FALSE,ISERROR(MATCH(E1204,'Ontology and concepts per UC'!$A$2:$A$62,0)))</f>
        <v>0</v>
      </c>
      <c r="G1204" s="9" t="str">
        <f t="shared" si="30"/>
        <v>DiagnosisStrategy</v>
      </c>
      <c r="H1204" s="9" t="str">
        <f t="shared" si="31"/>
        <v>DiagnosisStrategy</v>
      </c>
      <c r="I1204" s="8" t="b">
        <f>IF(D1204&lt;2,FALSE,ISERROR(MATCH(H1204,'Ontology and concepts per UC'!$A$2:$A$62,0)))</f>
        <v>0</v>
      </c>
      <c r="J1204" s="9" t="str">
        <f t="shared" si="32"/>
        <v/>
      </c>
      <c r="K1204" s="8" t="b">
        <f>IF(D1204&lt;3,FALSE,ISERROR(MATCH(J1204,'Ontology and concepts per UC'!$A$2:$A$62,0)))</f>
        <v>0</v>
      </c>
      <c r="L1204" s="2" t="s">
        <v>3143</v>
      </c>
      <c r="M1204" s="2" t="s">
        <v>3144</v>
      </c>
      <c r="N1204" s="2"/>
      <c r="O1204" s="1" t="b">
        <v>0</v>
      </c>
      <c r="P1204" s="1">
        <v>0</v>
      </c>
      <c r="Q1204" s="1">
        <v>0</v>
      </c>
      <c r="R1204" s="1" t="b">
        <f t="shared" si="33"/>
        <v>1</v>
      </c>
      <c r="S1204" s="2" t="s">
        <v>22</v>
      </c>
      <c r="T1204" s="1" t="str">
        <f>IF(S1204="","",VLOOKUP(S1204,'Ontology and concepts per UC'!$F$2:$J$46,5,FALSE))</f>
        <v>Modelo Conceptual</v>
      </c>
      <c r="U1204" s="1" t="b">
        <f t="array" ref="U1204">(INDEX('Ontology and concepts per UC'!$G$2:$I$46,MATCH($S1204,'Ontology and concepts per UC'!$F$2:$F$46,0),MATCH(LEFT($A1204,3),'Ontology and concepts per UC'!$G$1:$I$1,0))=0)</f>
        <v>0</v>
      </c>
      <c r="V1204" s="1" t="b">
        <f t="shared" si="34"/>
        <v>1</v>
      </c>
      <c r="W1204" s="1" t="b">
        <v>0</v>
      </c>
      <c r="X1204" s="1" t="b">
        <v>1</v>
      </c>
      <c r="Y1204" s="1" t="b">
        <v>0</v>
      </c>
      <c r="Z1204" s="1" t="b">
        <v>0</v>
      </c>
      <c r="AA1204" s="2" t="s">
        <v>3145</v>
      </c>
    </row>
    <row r="1205" spans="1:27" x14ac:dyDescent="0.25">
      <c r="A1205" s="1" t="s">
        <v>3096</v>
      </c>
      <c r="B1205" s="2" t="s">
        <v>3146</v>
      </c>
      <c r="C1205" s="2" t="s">
        <v>3147</v>
      </c>
      <c r="D1205" s="6">
        <f t="shared" si="28"/>
        <v>2</v>
      </c>
      <c r="E1205" s="7" t="str">
        <f t="shared" si="29"/>
        <v>Intervention</v>
      </c>
      <c r="F1205" s="8" t="b">
        <f>IF(D1205&lt;1,FALSE,ISERROR(MATCH(E1205,'Ontology and concepts per UC'!$A$2:$A$62,0)))</f>
        <v>0</v>
      </c>
      <c r="G1205" s="9" t="str">
        <f t="shared" si="30"/>
        <v>ScreeningStrategy</v>
      </c>
      <c r="H1205" s="9" t="str">
        <f t="shared" si="31"/>
        <v>ScreeningStrategy</v>
      </c>
      <c r="I1205" s="8" t="b">
        <f>IF(D1205&lt;2,FALSE,ISERROR(MATCH(H1205,'Ontology and concepts per UC'!$A$2:$A$62,0)))</f>
        <v>0</v>
      </c>
      <c r="J1205" s="9" t="str">
        <f t="shared" si="32"/>
        <v/>
      </c>
      <c r="K1205" s="8" t="b">
        <f>IF(D1205&lt;3,FALSE,ISERROR(MATCH(J1205,'Ontology and concepts per UC'!$A$2:$A$62,0)))</f>
        <v>0</v>
      </c>
      <c r="L1205" s="2" t="s">
        <v>3143</v>
      </c>
      <c r="M1205" s="2" t="s">
        <v>3148</v>
      </c>
      <c r="N1205" s="2"/>
      <c r="O1205" s="1" t="b">
        <v>0</v>
      </c>
      <c r="P1205" s="1">
        <v>0</v>
      </c>
      <c r="Q1205" s="1">
        <v>0</v>
      </c>
      <c r="R1205" s="1" t="b">
        <f t="shared" si="33"/>
        <v>1</v>
      </c>
      <c r="S1205" s="2" t="s">
        <v>24</v>
      </c>
      <c r="T1205" s="1" t="str">
        <f>IF(S1205="","",VLOOKUP(S1205,'Ontology and concepts per UC'!$F$2:$J$46,5,FALSE))</f>
        <v>Modelo Conceptual</v>
      </c>
      <c r="U1205" s="1" t="b">
        <f t="array" ref="U1205">(INDEX('Ontology and concepts per UC'!$G$2:$I$46,MATCH($S1205,'Ontology and concepts per UC'!$F$2:$F$46,0),MATCH(LEFT($A1205,3),'Ontology and concepts per UC'!$G$1:$I$1,0))=0)</f>
        <v>0</v>
      </c>
      <c r="V1205" s="1" t="b">
        <f t="shared" si="34"/>
        <v>1</v>
      </c>
      <c r="W1205" s="1" t="b">
        <v>0</v>
      </c>
      <c r="X1205" s="1" t="b">
        <v>1</v>
      </c>
      <c r="Y1205" s="1" t="b">
        <v>0</v>
      </c>
      <c r="Z1205" s="1" t="b">
        <v>0</v>
      </c>
      <c r="AA1205" s="2" t="s">
        <v>3145</v>
      </c>
    </row>
    <row r="1206" spans="1:27" x14ac:dyDescent="0.25">
      <c r="A1206" s="1" t="s">
        <v>3096</v>
      </c>
      <c r="B1206" s="2" t="s">
        <v>3149</v>
      </c>
      <c r="C1206" s="2" t="s">
        <v>125</v>
      </c>
      <c r="D1206" s="6">
        <f t="shared" si="28"/>
        <v>1</v>
      </c>
      <c r="E1206" s="7" t="str">
        <f t="shared" si="29"/>
        <v>Manifestation</v>
      </c>
      <c r="F1206" s="8" t="b">
        <f>IF(D1206&lt;1,FALSE,ISERROR(MATCH(E1206,'Ontology and concepts per UC'!$A$2:$A$62,0)))</f>
        <v>0</v>
      </c>
      <c r="G1206" s="9" t="str">
        <f t="shared" si="30"/>
        <v/>
      </c>
      <c r="H1206" s="9" t="str">
        <f t="shared" si="31"/>
        <v/>
      </c>
      <c r="I1206" s="8" t="b">
        <f>IF(D1206&lt;2,FALSE,ISERROR(MATCH(H1206,'Ontology and concepts per UC'!$A$2:$A$62,0)))</f>
        <v>0</v>
      </c>
      <c r="J1206" s="9" t="str">
        <f t="shared" si="32"/>
        <v/>
      </c>
      <c r="K1206" s="8" t="b">
        <f>IF(D1206&lt;3,FALSE,ISERROR(MATCH(J1206,'Ontology and concepts per UC'!$A$2:$A$62,0)))</f>
        <v>0</v>
      </c>
      <c r="L1206" s="2"/>
      <c r="M1206" s="2" t="s">
        <v>3150</v>
      </c>
      <c r="N1206" s="2" t="s">
        <v>3151</v>
      </c>
      <c r="O1206" s="1" t="b">
        <v>0</v>
      </c>
      <c r="P1206" s="1">
        <v>0</v>
      </c>
      <c r="Q1206" s="1">
        <v>2</v>
      </c>
      <c r="R1206" s="1" t="b">
        <f t="shared" si="33"/>
        <v>1</v>
      </c>
      <c r="S1206" s="2" t="s">
        <v>28</v>
      </c>
      <c r="T1206" s="1" t="str">
        <f>IF(S1206="","",VLOOKUP(S1206,'Ontology and concepts per UC'!$F$2:$J$46,5,FALSE))</f>
        <v>Modelo Conceptual</v>
      </c>
      <c r="U1206" s="1" t="b">
        <f t="array" ref="U1206">(INDEX('Ontology and concepts per UC'!$G$2:$I$46,MATCH($S1206,'Ontology and concepts per UC'!$F$2:$F$46,0),MATCH(LEFT($A1206,3),'Ontology and concepts per UC'!$G$1:$I$1,0))=0)</f>
        <v>0</v>
      </c>
      <c r="V1206" s="1" t="b">
        <f t="shared" si="34"/>
        <v>1</v>
      </c>
      <c r="W1206" s="1" t="b">
        <v>1</v>
      </c>
      <c r="X1206" s="1" t="b">
        <v>1</v>
      </c>
      <c r="Y1206" s="1" t="b">
        <v>0</v>
      </c>
      <c r="Z1206" s="1" t="b">
        <v>0</v>
      </c>
      <c r="AA1206" s="2" t="s">
        <v>3152</v>
      </c>
    </row>
    <row r="1207" spans="1:27" x14ac:dyDescent="0.25">
      <c r="A1207" s="1" t="s">
        <v>3096</v>
      </c>
      <c r="B1207" s="2" t="s">
        <v>3153</v>
      </c>
      <c r="C1207" s="2" t="s">
        <v>125</v>
      </c>
      <c r="D1207" s="6">
        <f t="shared" si="28"/>
        <v>1</v>
      </c>
      <c r="E1207" s="7" t="str">
        <f t="shared" si="29"/>
        <v>Manifestation</v>
      </c>
      <c r="F1207" s="8" t="b">
        <f>IF(D1207&lt;1,FALSE,ISERROR(MATCH(E1207,'Ontology and concepts per UC'!$A$2:$A$62,0)))</f>
        <v>0</v>
      </c>
      <c r="G1207" s="9" t="str">
        <f t="shared" si="30"/>
        <v/>
      </c>
      <c r="H1207" s="9" t="str">
        <f t="shared" si="31"/>
        <v/>
      </c>
      <c r="I1207" s="8" t="b">
        <f>IF(D1207&lt;2,FALSE,ISERROR(MATCH(H1207,'Ontology and concepts per UC'!$A$2:$A$62,0)))</f>
        <v>0</v>
      </c>
      <c r="J1207" s="9" t="str">
        <f t="shared" si="32"/>
        <v/>
      </c>
      <c r="K1207" s="8" t="b">
        <f>IF(D1207&lt;3,FALSE,ISERROR(MATCH(J1207,'Ontology and concepts per UC'!$A$2:$A$62,0)))</f>
        <v>0</v>
      </c>
      <c r="L1207" s="2"/>
      <c r="M1207" s="2" t="s">
        <v>3154</v>
      </c>
      <c r="N1207" s="2" t="s">
        <v>3155</v>
      </c>
      <c r="O1207" s="1" t="b">
        <v>0</v>
      </c>
      <c r="P1207" s="1">
        <v>0</v>
      </c>
      <c r="Q1207" s="1">
        <v>2</v>
      </c>
      <c r="R1207" s="1" t="b">
        <f t="shared" si="33"/>
        <v>1</v>
      </c>
      <c r="S1207" s="2" t="s">
        <v>30</v>
      </c>
      <c r="T1207" s="1" t="str">
        <f>IF(S1207="","",VLOOKUP(S1207,'Ontology and concepts per UC'!$F$2:$J$46,5,FALSE))</f>
        <v>Modelo Conceptual</v>
      </c>
      <c r="U1207" s="1" t="b">
        <f t="array" ref="U1207">(INDEX('Ontology and concepts per UC'!$G$2:$I$46,MATCH($S1207,'Ontology and concepts per UC'!$F$2:$F$46,0),MATCH(LEFT($A1207,3),'Ontology and concepts per UC'!$G$1:$I$1,0))=0)</f>
        <v>0</v>
      </c>
      <c r="V1207" s="1" t="b">
        <f t="shared" si="34"/>
        <v>1</v>
      </c>
      <c r="W1207" s="1" t="b">
        <v>1</v>
      </c>
      <c r="X1207" s="1" t="b">
        <v>1</v>
      </c>
      <c r="Y1207" s="1" t="b">
        <v>0</v>
      </c>
      <c r="Z1207" s="1" t="b">
        <v>0</v>
      </c>
      <c r="AA1207" s="2" t="s">
        <v>3152</v>
      </c>
    </row>
    <row r="1208" spans="1:27" x14ac:dyDescent="0.25">
      <c r="A1208" s="1" t="s">
        <v>3096</v>
      </c>
      <c r="B1208" s="2" t="s">
        <v>3156</v>
      </c>
      <c r="C1208" s="2" t="s">
        <v>125</v>
      </c>
      <c r="D1208" s="6">
        <f t="shared" si="28"/>
        <v>1</v>
      </c>
      <c r="E1208" s="7" t="str">
        <f t="shared" si="29"/>
        <v>Manifestation</v>
      </c>
      <c r="F1208" s="8" t="b">
        <f>IF(D1208&lt;1,FALSE,ISERROR(MATCH(E1208,'Ontology and concepts per UC'!$A$2:$A$62,0)))</f>
        <v>0</v>
      </c>
      <c r="G1208" s="9" t="str">
        <f t="shared" si="30"/>
        <v/>
      </c>
      <c r="H1208" s="9" t="str">
        <f t="shared" si="31"/>
        <v/>
      </c>
      <c r="I1208" s="8" t="b">
        <f>IF(D1208&lt;2,FALSE,ISERROR(MATCH(H1208,'Ontology and concepts per UC'!$A$2:$A$62,0)))</f>
        <v>0</v>
      </c>
      <c r="J1208" s="9" t="str">
        <f t="shared" si="32"/>
        <v/>
      </c>
      <c r="K1208" s="8" t="b">
        <f>IF(D1208&lt;3,FALSE,ISERROR(MATCH(J1208,'Ontology and concepts per UC'!$A$2:$A$62,0)))</f>
        <v>0</v>
      </c>
      <c r="L1208" s="2"/>
      <c r="M1208" s="2" t="s">
        <v>3157</v>
      </c>
      <c r="N1208" s="2" t="s">
        <v>3155</v>
      </c>
      <c r="O1208" s="1" t="b">
        <v>0</v>
      </c>
      <c r="P1208" s="1">
        <v>0</v>
      </c>
      <c r="Q1208" s="1">
        <v>2</v>
      </c>
      <c r="R1208" s="1" t="b">
        <f t="shared" si="33"/>
        <v>1</v>
      </c>
      <c r="S1208" s="2" t="s">
        <v>31</v>
      </c>
      <c r="T1208" s="1" t="str">
        <f>IF(S1208="","",VLOOKUP(S1208,'Ontology and concepts per UC'!$F$2:$J$46,5,FALSE))</f>
        <v>Modelo Conceptual</v>
      </c>
      <c r="U1208" s="1" t="b">
        <f t="array" ref="U1208">(INDEX('Ontology and concepts per UC'!$G$2:$I$46,MATCH($S1208,'Ontology and concepts per UC'!$F$2:$F$46,0),MATCH(LEFT($A1208,3),'Ontology and concepts per UC'!$G$1:$I$1,0))=0)</f>
        <v>0</v>
      </c>
      <c r="V1208" s="1" t="b">
        <f t="shared" si="34"/>
        <v>1</v>
      </c>
      <c r="W1208" s="1" t="b">
        <v>1</v>
      </c>
      <c r="X1208" s="1" t="b">
        <v>1</v>
      </c>
      <c r="Y1208" s="1" t="b">
        <v>0</v>
      </c>
      <c r="Z1208" s="1" t="b">
        <v>0</v>
      </c>
      <c r="AA1208" s="2" t="s">
        <v>3152</v>
      </c>
    </row>
    <row r="1209" spans="1:27" x14ac:dyDescent="0.25">
      <c r="A1209" s="1" t="s">
        <v>3096</v>
      </c>
      <c r="B1209" s="2" t="s">
        <v>3158</v>
      </c>
      <c r="C1209" s="2" t="s">
        <v>125</v>
      </c>
      <c r="D1209" s="6">
        <f t="shared" si="28"/>
        <v>1</v>
      </c>
      <c r="E1209" s="7" t="str">
        <f t="shared" si="29"/>
        <v>Manifestation</v>
      </c>
      <c r="F1209" s="8" t="b">
        <f>IF(D1209&lt;1,FALSE,ISERROR(MATCH(E1209,'Ontology and concepts per UC'!$A$2:$A$62,0)))</f>
        <v>0</v>
      </c>
      <c r="G1209" s="9" t="str">
        <f t="shared" si="30"/>
        <v/>
      </c>
      <c r="H1209" s="9" t="str">
        <f t="shared" si="31"/>
        <v/>
      </c>
      <c r="I1209" s="8" t="b">
        <f>IF(D1209&lt;2,FALSE,ISERROR(MATCH(H1209,'Ontology and concepts per UC'!$A$2:$A$62,0)))</f>
        <v>0</v>
      </c>
      <c r="J1209" s="9" t="str">
        <f t="shared" si="32"/>
        <v/>
      </c>
      <c r="K1209" s="8" t="b">
        <f>IF(D1209&lt;3,FALSE,ISERROR(MATCH(J1209,'Ontology and concepts per UC'!$A$2:$A$62,0)))</f>
        <v>0</v>
      </c>
      <c r="L1209" s="2"/>
      <c r="M1209" s="2" t="s">
        <v>3159</v>
      </c>
      <c r="N1209" s="2" t="s">
        <v>3160</v>
      </c>
      <c r="O1209" s="1" t="b">
        <v>0</v>
      </c>
      <c r="P1209" s="1">
        <v>0</v>
      </c>
      <c r="Q1209" s="1">
        <v>2</v>
      </c>
      <c r="R1209" s="1" t="b">
        <f t="shared" si="33"/>
        <v>1</v>
      </c>
      <c r="S1209" s="2" t="s">
        <v>29</v>
      </c>
      <c r="T1209" s="1" t="str">
        <f>IF(S1209="","",VLOOKUP(S1209,'Ontology and concepts per UC'!$F$2:$J$46,5,FALSE))</f>
        <v>Modelo Conceptual</v>
      </c>
      <c r="U1209" s="1" t="b">
        <f t="array" ref="U1209">(INDEX('Ontology and concepts per UC'!$G$2:$I$46,MATCH($S1209,'Ontology and concepts per UC'!$F$2:$F$46,0),MATCH(LEFT($A1209,3),'Ontology and concepts per UC'!$G$1:$I$1,0))=0)</f>
        <v>0</v>
      </c>
      <c r="V1209" s="1" t="b">
        <f t="shared" si="34"/>
        <v>1</v>
      </c>
      <c r="W1209" s="1" t="b">
        <v>1</v>
      </c>
      <c r="X1209" s="1" t="b">
        <v>1</v>
      </c>
      <c r="Y1209" s="1" t="b">
        <v>0</v>
      </c>
      <c r="Z1209" s="1" t="b">
        <v>0</v>
      </c>
      <c r="AA1209" s="2" t="s">
        <v>3152</v>
      </c>
    </row>
    <row r="1210" spans="1:27" x14ac:dyDescent="0.25">
      <c r="A1210" s="1" t="s">
        <v>3096</v>
      </c>
      <c r="B1210" s="2" t="s">
        <v>3161</v>
      </c>
      <c r="C1210" s="2" t="s">
        <v>125</v>
      </c>
      <c r="D1210" s="6">
        <f t="shared" si="28"/>
        <v>1</v>
      </c>
      <c r="E1210" s="7" t="str">
        <f t="shared" si="29"/>
        <v>Manifestation</v>
      </c>
      <c r="F1210" s="8" t="b">
        <f>IF(D1210&lt;1,FALSE,ISERROR(MATCH(E1210,'Ontology and concepts per UC'!$A$2:$A$62,0)))</f>
        <v>0</v>
      </c>
      <c r="G1210" s="9" t="str">
        <f t="shared" si="30"/>
        <v/>
      </c>
      <c r="H1210" s="9" t="str">
        <f t="shared" si="31"/>
        <v/>
      </c>
      <c r="I1210" s="8" t="b">
        <f>IF(D1210&lt;2,FALSE,ISERROR(MATCH(H1210,'Ontology and concepts per UC'!$A$2:$A$62,0)))</f>
        <v>0</v>
      </c>
      <c r="J1210" s="9" t="str">
        <f t="shared" si="32"/>
        <v/>
      </c>
      <c r="K1210" s="8" t="b">
        <f>IF(D1210&lt;3,FALSE,ISERROR(MATCH(J1210,'Ontology and concepts per UC'!$A$2:$A$62,0)))</f>
        <v>0</v>
      </c>
      <c r="L1210" s="2"/>
      <c r="M1210" s="2" t="s">
        <v>3162</v>
      </c>
      <c r="N1210" s="2" t="s">
        <v>3160</v>
      </c>
      <c r="O1210" s="1" t="b">
        <v>0</v>
      </c>
      <c r="P1210" s="1">
        <v>0</v>
      </c>
      <c r="Q1210" s="1">
        <v>2</v>
      </c>
      <c r="R1210" s="1" t="b">
        <f t="shared" si="33"/>
        <v>1</v>
      </c>
      <c r="S1210" s="2" t="s">
        <v>26</v>
      </c>
      <c r="T1210" s="1" t="str">
        <f>IF(S1210="","",VLOOKUP(S1210,'Ontology and concepts per UC'!$F$2:$J$46,5,FALSE))</f>
        <v>Modelo Conceptual</v>
      </c>
      <c r="U1210" s="1" t="b">
        <f t="array" ref="U1210">(INDEX('Ontology and concepts per UC'!$G$2:$I$46,MATCH($S1210,'Ontology and concepts per UC'!$F$2:$F$46,0),MATCH(LEFT($A1210,3),'Ontology and concepts per UC'!$G$1:$I$1,0))=0)</f>
        <v>0</v>
      </c>
      <c r="V1210" s="1" t="b">
        <f t="shared" si="34"/>
        <v>1</v>
      </c>
      <c r="W1210" s="1" t="b">
        <v>1</v>
      </c>
      <c r="X1210" s="1" t="b">
        <v>1</v>
      </c>
      <c r="Y1210" s="1" t="b">
        <v>0</v>
      </c>
      <c r="Z1210" s="1" t="b">
        <v>0</v>
      </c>
      <c r="AA1210" s="2" t="s">
        <v>3152</v>
      </c>
    </row>
    <row r="1211" spans="1:27" x14ac:dyDescent="0.25">
      <c r="A1211" s="1" t="s">
        <v>3096</v>
      </c>
      <c r="B1211" s="2" t="s">
        <v>3163</v>
      </c>
      <c r="C1211" s="2" t="s">
        <v>125</v>
      </c>
      <c r="D1211" s="6">
        <f t="shared" si="28"/>
        <v>1</v>
      </c>
      <c r="E1211" s="7" t="str">
        <f t="shared" si="29"/>
        <v>Manifestation</v>
      </c>
      <c r="F1211" s="8" t="b">
        <f>IF(D1211&lt;1,FALSE,ISERROR(MATCH(E1211,'Ontology and concepts per UC'!$A$2:$A$62,0)))</f>
        <v>0</v>
      </c>
      <c r="G1211" s="9" t="str">
        <f t="shared" si="30"/>
        <v/>
      </c>
      <c r="H1211" s="9" t="str">
        <f t="shared" si="31"/>
        <v/>
      </c>
      <c r="I1211" s="8" t="b">
        <f>IF(D1211&lt;2,FALSE,ISERROR(MATCH(H1211,'Ontology and concepts per UC'!$A$2:$A$62,0)))</f>
        <v>0</v>
      </c>
      <c r="J1211" s="9" t="str">
        <f t="shared" si="32"/>
        <v/>
      </c>
      <c r="K1211" s="8" t="b">
        <f>IF(D1211&lt;3,FALSE,ISERROR(MATCH(J1211,'Ontology and concepts per UC'!$A$2:$A$62,0)))</f>
        <v>0</v>
      </c>
      <c r="L1211" s="2"/>
      <c r="M1211" s="2" t="s">
        <v>3164</v>
      </c>
      <c r="N1211" s="2" t="s">
        <v>3165</v>
      </c>
      <c r="O1211" s="1" t="b">
        <v>0</v>
      </c>
      <c r="P1211" s="1">
        <v>0</v>
      </c>
      <c r="Q1211" s="1">
        <v>2</v>
      </c>
      <c r="R1211" s="1" t="b">
        <f t="shared" si="33"/>
        <v>1</v>
      </c>
      <c r="S1211" s="2" t="s">
        <v>325</v>
      </c>
      <c r="T1211" s="1" t="str">
        <f>IF(S1211="","",VLOOKUP(S1211,'Ontology and concepts per UC'!$F$2:$J$46,5,FALSE))</f>
        <v>Modelo Conceptual</v>
      </c>
      <c r="U1211" s="1" t="b">
        <f t="array" ref="U1211">(INDEX('Ontology and concepts per UC'!$G$2:$I$46,MATCH($S1211,'Ontology and concepts per UC'!$F$2:$F$46,0),MATCH(LEFT($A1211,3),'Ontology and concepts per UC'!$G$1:$I$1,0))=0)</f>
        <v>1</v>
      </c>
      <c r="V1211" s="1" t="b">
        <f t="shared" si="34"/>
        <v>1</v>
      </c>
      <c r="W1211" s="1" t="b">
        <v>1</v>
      </c>
      <c r="X1211" s="1" t="b">
        <v>1</v>
      </c>
      <c r="Y1211" s="1" t="b">
        <v>0</v>
      </c>
      <c r="Z1211" s="1" t="b">
        <v>0</v>
      </c>
      <c r="AA1211" s="2" t="s">
        <v>3152</v>
      </c>
    </row>
    <row r="1212" spans="1:27" x14ac:dyDescent="0.25">
      <c r="A1212" s="1" t="s">
        <v>3096</v>
      </c>
      <c r="B1212" s="2" t="s">
        <v>3166</v>
      </c>
      <c r="C1212" s="2" t="s">
        <v>125</v>
      </c>
      <c r="D1212" s="6">
        <f t="shared" si="28"/>
        <v>1</v>
      </c>
      <c r="E1212" s="7" t="str">
        <f t="shared" si="29"/>
        <v>Manifestation</v>
      </c>
      <c r="F1212" s="8" t="b">
        <f>IF(D1212&lt;1,FALSE,ISERROR(MATCH(E1212,'Ontology and concepts per UC'!$A$2:$A$62,0)))</f>
        <v>0</v>
      </c>
      <c r="G1212" s="9" t="str">
        <f t="shared" si="30"/>
        <v/>
      </c>
      <c r="H1212" s="9" t="str">
        <f t="shared" si="31"/>
        <v/>
      </c>
      <c r="I1212" s="8" t="b">
        <f>IF(D1212&lt;2,FALSE,ISERROR(MATCH(H1212,'Ontology and concepts per UC'!$A$2:$A$62,0)))</f>
        <v>0</v>
      </c>
      <c r="J1212" s="9" t="str">
        <f t="shared" si="32"/>
        <v/>
      </c>
      <c r="K1212" s="8" t="b">
        <f>IF(D1212&lt;3,FALSE,ISERROR(MATCH(J1212,'Ontology and concepts per UC'!$A$2:$A$62,0)))</f>
        <v>0</v>
      </c>
      <c r="L1212" s="2"/>
      <c r="M1212" s="2" t="s">
        <v>3167</v>
      </c>
      <c r="N1212" s="2" t="s">
        <v>3165</v>
      </c>
      <c r="O1212" s="1" t="b">
        <v>0</v>
      </c>
      <c r="P1212" s="1">
        <v>0</v>
      </c>
      <c r="Q1212" s="1">
        <v>2</v>
      </c>
      <c r="R1212" s="1" t="b">
        <f t="shared" si="33"/>
        <v>1</v>
      </c>
      <c r="S1212" s="2" t="s">
        <v>32</v>
      </c>
      <c r="T1212" s="1" t="str">
        <f>IF(S1212="","",VLOOKUP(S1212,'Ontology and concepts per UC'!$F$2:$J$46,5,FALSE))</f>
        <v>Modelo Conceptual</v>
      </c>
      <c r="U1212" s="1" t="b">
        <f t="array" ref="U1212">(INDEX('Ontology and concepts per UC'!$G$2:$I$46,MATCH($S1212,'Ontology and concepts per UC'!$F$2:$F$46,0),MATCH(LEFT($A1212,3),'Ontology and concepts per UC'!$G$1:$I$1,0))=0)</f>
        <v>0</v>
      </c>
      <c r="V1212" s="1" t="b">
        <f t="shared" si="34"/>
        <v>1</v>
      </c>
      <c r="W1212" s="1" t="b">
        <v>1</v>
      </c>
      <c r="X1212" s="1" t="b">
        <v>1</v>
      </c>
      <c r="Y1212" s="1" t="b">
        <v>0</v>
      </c>
      <c r="Z1212" s="1" t="b">
        <v>0</v>
      </c>
      <c r="AA1212" s="2" t="s">
        <v>3152</v>
      </c>
    </row>
    <row r="1213" spans="1:27" x14ac:dyDescent="0.25">
      <c r="A1213" s="1" t="s">
        <v>3096</v>
      </c>
      <c r="B1213" s="2" t="s">
        <v>3168</v>
      </c>
      <c r="C1213" s="2" t="s">
        <v>125</v>
      </c>
      <c r="D1213" s="6">
        <f t="shared" si="28"/>
        <v>1</v>
      </c>
      <c r="E1213" s="7" t="str">
        <f t="shared" si="29"/>
        <v>Manifestation</v>
      </c>
      <c r="F1213" s="8" t="b">
        <f>IF(D1213&lt;1,FALSE,ISERROR(MATCH(E1213,'Ontology and concepts per UC'!$A$2:$A$62,0)))</f>
        <v>0</v>
      </c>
      <c r="G1213" s="9" t="str">
        <f t="shared" si="30"/>
        <v/>
      </c>
      <c r="H1213" s="9" t="str">
        <f t="shared" si="31"/>
        <v/>
      </c>
      <c r="I1213" s="8" t="b">
        <f>IF(D1213&lt;2,FALSE,ISERROR(MATCH(H1213,'Ontology and concepts per UC'!$A$2:$A$62,0)))</f>
        <v>0</v>
      </c>
      <c r="J1213" s="9" t="str">
        <f t="shared" si="32"/>
        <v/>
      </c>
      <c r="K1213" s="8" t="b">
        <f>IF(D1213&lt;3,FALSE,ISERROR(MATCH(J1213,'Ontology and concepts per UC'!$A$2:$A$62,0)))</f>
        <v>0</v>
      </c>
      <c r="L1213" s="2"/>
      <c r="M1213" s="2" t="s">
        <v>3169</v>
      </c>
      <c r="N1213" s="2" t="s">
        <v>3165</v>
      </c>
      <c r="O1213" s="1" t="b">
        <v>0</v>
      </c>
      <c r="P1213" s="1">
        <v>0</v>
      </c>
      <c r="Q1213" s="1">
        <v>2</v>
      </c>
      <c r="R1213" s="1" t="b">
        <f t="shared" si="33"/>
        <v>1</v>
      </c>
      <c r="S1213" s="2" t="s">
        <v>31</v>
      </c>
      <c r="T1213" s="1" t="str">
        <f>IF(S1213="","",VLOOKUP(S1213,'Ontology and concepts per UC'!$F$2:$J$46,5,FALSE))</f>
        <v>Modelo Conceptual</v>
      </c>
      <c r="U1213" s="1" t="b">
        <f t="array" ref="U1213">(INDEX('Ontology and concepts per UC'!$G$2:$I$46,MATCH($S1213,'Ontology and concepts per UC'!$F$2:$F$46,0),MATCH(LEFT($A1213,3),'Ontology and concepts per UC'!$G$1:$I$1,0))=0)</f>
        <v>0</v>
      </c>
      <c r="V1213" s="1" t="b">
        <f t="shared" si="34"/>
        <v>1</v>
      </c>
      <c r="W1213" s="1" t="b">
        <v>1</v>
      </c>
      <c r="X1213" s="1" t="b">
        <v>1</v>
      </c>
      <c r="Y1213" s="1" t="b">
        <v>0</v>
      </c>
      <c r="Z1213" s="1" t="b">
        <v>0</v>
      </c>
      <c r="AA1213" s="2" t="s">
        <v>3152</v>
      </c>
    </row>
    <row r="1214" spans="1:27" x14ac:dyDescent="0.25">
      <c r="A1214" s="1" t="s">
        <v>3096</v>
      </c>
      <c r="B1214" s="2" t="s">
        <v>3170</v>
      </c>
      <c r="C1214" s="2" t="s">
        <v>138</v>
      </c>
      <c r="D1214" s="6">
        <f t="shared" si="28"/>
        <v>1</v>
      </c>
      <c r="E1214" s="7" t="str">
        <f t="shared" si="29"/>
        <v>Parameter</v>
      </c>
      <c r="F1214" s="8" t="b">
        <f>IF(D1214&lt;1,FALSE,ISERROR(MATCH(E1214,'Ontology and concepts per UC'!$A$2:$A$62,0)))</f>
        <v>0</v>
      </c>
      <c r="G1214" s="9" t="str">
        <f t="shared" si="30"/>
        <v/>
      </c>
      <c r="H1214" s="9" t="str">
        <f t="shared" si="31"/>
        <v/>
      </c>
      <c r="I1214" s="8" t="b">
        <f>IF(D1214&lt;2,FALSE,ISERROR(MATCH(H1214,'Ontology and concepts per UC'!$A$2:$A$62,0)))</f>
        <v>0</v>
      </c>
      <c r="J1214" s="9" t="str">
        <f t="shared" si="32"/>
        <v/>
      </c>
      <c r="K1214" s="8" t="b">
        <f>IF(D1214&lt;3,FALSE,ISERROR(MATCH(J1214,'Ontology and concepts per UC'!$A$2:$A$62,0)))</f>
        <v>0</v>
      </c>
      <c r="L1214" s="2" t="s">
        <v>3171</v>
      </c>
      <c r="M1214" s="2" t="s">
        <v>3172</v>
      </c>
      <c r="N1214" s="2"/>
      <c r="O1214" s="1" t="b">
        <v>0</v>
      </c>
      <c r="P1214" s="1">
        <v>0</v>
      </c>
      <c r="Q1214" s="1">
        <v>0</v>
      </c>
      <c r="R1214" s="1" t="b">
        <f t="shared" si="33"/>
        <v>1</v>
      </c>
      <c r="S1214" s="2" t="s">
        <v>51</v>
      </c>
      <c r="T1214" s="1" t="str">
        <f>IF(S1214="","",VLOOKUP(S1214,'Ontology and concepts per UC'!$F$2:$J$46,5,FALSE))</f>
        <v>Parámetros de progresión</v>
      </c>
      <c r="U1214" s="1" t="b">
        <f t="array" ref="U1214">(INDEX('Ontology and concepts per UC'!$G$2:$I$46,MATCH($S1214,'Ontology and concepts per UC'!$F$2:$F$46,0),MATCH(LEFT($A1214,3),'Ontology and concepts per UC'!$G$1:$I$1,0))=0)</f>
        <v>0</v>
      </c>
      <c r="V1214" s="1" t="b">
        <f t="shared" si="34"/>
        <v>0</v>
      </c>
      <c r="W1214" s="1" t="b">
        <v>0</v>
      </c>
      <c r="X1214" s="1" t="b">
        <v>0</v>
      </c>
      <c r="Y1214" s="1" t="b">
        <v>0</v>
      </c>
      <c r="Z1214" s="1" t="b">
        <v>0</v>
      </c>
      <c r="AA1214" s="2"/>
    </row>
    <row r="1215" spans="1:27" x14ac:dyDescent="0.25">
      <c r="A1215" s="1" t="s">
        <v>3096</v>
      </c>
      <c r="B1215" s="2" t="s">
        <v>3173</v>
      </c>
      <c r="C1215" s="2" t="s">
        <v>138</v>
      </c>
      <c r="D1215" s="6">
        <f t="shared" si="28"/>
        <v>1</v>
      </c>
      <c r="E1215" s="7" t="str">
        <f t="shared" si="29"/>
        <v>Parameter</v>
      </c>
      <c r="F1215" s="8" t="b">
        <f>IF(D1215&lt;1,FALSE,ISERROR(MATCH(E1215,'Ontology and concepts per UC'!$A$2:$A$62,0)))</f>
        <v>0</v>
      </c>
      <c r="G1215" s="9" t="str">
        <f t="shared" si="30"/>
        <v/>
      </c>
      <c r="H1215" s="9" t="str">
        <f t="shared" si="31"/>
        <v/>
      </c>
      <c r="I1215" s="8" t="b">
        <f>IF(D1215&lt;2,FALSE,ISERROR(MATCH(H1215,'Ontology and concepts per UC'!$A$2:$A$62,0)))</f>
        <v>0</v>
      </c>
      <c r="J1215" s="9" t="str">
        <f t="shared" si="32"/>
        <v/>
      </c>
      <c r="K1215" s="8" t="b">
        <f>IF(D1215&lt;3,FALSE,ISERROR(MATCH(J1215,'Ontology and concepts per UC'!$A$2:$A$62,0)))</f>
        <v>0</v>
      </c>
      <c r="L1215" s="2" t="s">
        <v>3174</v>
      </c>
      <c r="M1215" s="2" t="s">
        <v>3175</v>
      </c>
      <c r="N1215" s="2"/>
      <c r="O1215" s="1" t="b">
        <v>0</v>
      </c>
      <c r="P1215" s="1">
        <v>0</v>
      </c>
      <c r="Q1215" s="1">
        <v>0</v>
      </c>
      <c r="R1215" s="1" t="b">
        <f t="shared" si="33"/>
        <v>1</v>
      </c>
      <c r="S1215" s="2" t="s">
        <v>55</v>
      </c>
      <c r="T1215" s="1" t="str">
        <f>IF(S1215="","",VLOOKUP(S1215,'Ontology and concepts per UC'!$F$2:$J$46,5,FALSE))</f>
        <v>Parámetros de progresión</v>
      </c>
      <c r="U1215" s="1" t="b">
        <f t="array" ref="U1215">(INDEX('Ontology and concepts per UC'!$G$2:$I$46,MATCH($S1215,'Ontology and concepts per UC'!$F$2:$F$46,0),MATCH(LEFT($A1215,3),'Ontology and concepts per UC'!$G$1:$I$1,0))=0)</f>
        <v>0</v>
      </c>
      <c r="V1215" s="1" t="b">
        <f t="shared" si="34"/>
        <v>0</v>
      </c>
      <c r="W1215" s="1" t="b">
        <v>0</v>
      </c>
      <c r="X1215" s="1" t="b">
        <v>0</v>
      </c>
      <c r="Y1215" s="1" t="b">
        <v>0</v>
      </c>
      <c r="Z1215" s="1" t="b">
        <v>0</v>
      </c>
      <c r="AA1215" s="2"/>
    </row>
    <row r="1216" spans="1:27" x14ac:dyDescent="0.25">
      <c r="A1216" s="1" t="s">
        <v>3096</v>
      </c>
      <c r="B1216" s="2" t="s">
        <v>3176</v>
      </c>
      <c r="C1216" s="2" t="s">
        <v>138</v>
      </c>
      <c r="D1216" s="6">
        <f t="shared" si="28"/>
        <v>1</v>
      </c>
      <c r="E1216" s="7" t="str">
        <f t="shared" si="29"/>
        <v>Parameter</v>
      </c>
      <c r="F1216" s="8" t="b">
        <f>IF(D1216&lt;1,FALSE,ISERROR(MATCH(E1216,'Ontology and concepts per UC'!$A$2:$A$62,0)))</f>
        <v>0</v>
      </c>
      <c r="G1216" s="9" t="str">
        <f t="shared" si="30"/>
        <v/>
      </c>
      <c r="H1216" s="9" t="str">
        <f t="shared" si="31"/>
        <v/>
      </c>
      <c r="I1216" s="8" t="b">
        <f>IF(D1216&lt;2,FALSE,ISERROR(MATCH(H1216,'Ontology and concepts per UC'!$A$2:$A$62,0)))</f>
        <v>0</v>
      </c>
      <c r="J1216" s="9" t="str">
        <f t="shared" si="32"/>
        <v/>
      </c>
      <c r="K1216" s="8" t="b">
        <f>IF(D1216&lt;3,FALSE,ISERROR(MATCH(J1216,'Ontology and concepts per UC'!$A$2:$A$62,0)))</f>
        <v>0</v>
      </c>
      <c r="L1216" s="2" t="s">
        <v>3177</v>
      </c>
      <c r="M1216" s="2" t="s">
        <v>3178</v>
      </c>
      <c r="N1216" s="2"/>
      <c r="O1216" s="1" t="b">
        <v>0</v>
      </c>
      <c r="P1216" s="1">
        <v>0</v>
      </c>
      <c r="Q1216" s="1">
        <v>0</v>
      </c>
      <c r="R1216" s="1" t="b">
        <f t="shared" si="33"/>
        <v>1</v>
      </c>
      <c r="S1216" s="2" t="s">
        <v>56</v>
      </c>
      <c r="T1216" s="1" t="str">
        <f>IF(S1216="","",VLOOKUP(S1216,'Ontology and concepts per UC'!$F$2:$J$46,5,FALSE))</f>
        <v>Parámetros de progresión</v>
      </c>
      <c r="U1216" s="1" t="b">
        <f t="array" ref="U1216">(INDEX('Ontology and concepts per UC'!$G$2:$I$46,MATCH($S1216,'Ontology and concepts per UC'!$F$2:$F$46,0),MATCH(LEFT($A1216,3),'Ontology and concepts per UC'!$G$1:$I$1,0))=0)</f>
        <v>0</v>
      </c>
      <c r="V1216" s="1" t="b">
        <f t="shared" si="34"/>
        <v>0</v>
      </c>
      <c r="W1216" s="1" t="b">
        <v>0</v>
      </c>
      <c r="X1216" s="1" t="b">
        <v>0</v>
      </c>
      <c r="Y1216" s="1" t="b">
        <v>0</v>
      </c>
      <c r="Z1216" s="1" t="b">
        <v>0</v>
      </c>
      <c r="AA1216" s="2"/>
    </row>
    <row r="1217" spans="1:27" x14ac:dyDescent="0.25">
      <c r="A1217" s="1" t="s">
        <v>3096</v>
      </c>
      <c r="B1217" s="2" t="s">
        <v>3179</v>
      </c>
      <c r="C1217" s="2" t="s">
        <v>138</v>
      </c>
      <c r="D1217" s="6">
        <f t="shared" si="28"/>
        <v>1</v>
      </c>
      <c r="E1217" s="7" t="str">
        <f t="shared" si="29"/>
        <v>Parameter</v>
      </c>
      <c r="F1217" s="8" t="b">
        <f>IF(D1217&lt;1,FALSE,ISERROR(MATCH(E1217,'Ontology and concepts per UC'!$A$2:$A$62,0)))</f>
        <v>0</v>
      </c>
      <c r="G1217" s="9" t="str">
        <f t="shared" si="30"/>
        <v/>
      </c>
      <c r="H1217" s="9" t="str">
        <f t="shared" si="31"/>
        <v/>
      </c>
      <c r="I1217" s="8" t="b">
        <f>IF(D1217&lt;2,FALSE,ISERROR(MATCH(H1217,'Ontology and concepts per UC'!$A$2:$A$62,0)))</f>
        <v>0</v>
      </c>
      <c r="J1217" s="9" t="str">
        <f t="shared" si="32"/>
        <v/>
      </c>
      <c r="K1217" s="8" t="b">
        <f>IF(D1217&lt;3,FALSE,ISERROR(MATCH(J1217,'Ontology and concepts per UC'!$A$2:$A$62,0)))</f>
        <v>0</v>
      </c>
      <c r="L1217" s="2" t="s">
        <v>3180</v>
      </c>
      <c r="M1217" s="2" t="s">
        <v>3181</v>
      </c>
      <c r="N1217" s="2"/>
      <c r="O1217" s="1" t="b">
        <v>0</v>
      </c>
      <c r="P1217" s="1">
        <v>0</v>
      </c>
      <c r="Q1217" s="1">
        <v>0</v>
      </c>
      <c r="R1217" s="1" t="b">
        <f t="shared" si="33"/>
        <v>1</v>
      </c>
      <c r="S1217" s="2" t="s">
        <v>54</v>
      </c>
      <c r="T1217" s="1" t="str">
        <f>IF(S1217="","",VLOOKUP(S1217,'Ontology and concepts per UC'!$F$2:$J$46,5,FALSE))</f>
        <v>Parámetros de progresión</v>
      </c>
      <c r="U1217" s="1" t="b">
        <f t="array" ref="U1217">(INDEX('Ontology and concepts per UC'!$G$2:$I$46,MATCH($S1217,'Ontology and concepts per UC'!$F$2:$F$46,0),MATCH(LEFT($A1217,3),'Ontology and concepts per UC'!$G$1:$I$1,0))=0)</f>
        <v>0</v>
      </c>
      <c r="V1217" s="1" t="b">
        <f t="shared" si="34"/>
        <v>0</v>
      </c>
      <c r="W1217" s="1" t="b">
        <v>0</v>
      </c>
      <c r="X1217" s="1" t="b">
        <v>0</v>
      </c>
      <c r="Y1217" s="1" t="b">
        <v>0</v>
      </c>
      <c r="Z1217" s="1" t="b">
        <v>0</v>
      </c>
      <c r="AA1217" s="2"/>
    </row>
    <row r="1218" spans="1:27" x14ac:dyDescent="0.25">
      <c r="A1218" s="1" t="s">
        <v>3096</v>
      </c>
      <c r="B1218" s="2" t="s">
        <v>3182</v>
      </c>
      <c r="C1218" s="2" t="s">
        <v>138</v>
      </c>
      <c r="D1218" s="6">
        <f t="shared" si="28"/>
        <v>1</v>
      </c>
      <c r="E1218" s="7" t="str">
        <f t="shared" si="29"/>
        <v>Parameter</v>
      </c>
      <c r="F1218" s="8" t="b">
        <f>IF(D1218&lt;1,FALSE,ISERROR(MATCH(E1218,'Ontology and concepts per UC'!$A$2:$A$62,0)))</f>
        <v>0</v>
      </c>
      <c r="G1218" s="9" t="str">
        <f t="shared" si="30"/>
        <v/>
      </c>
      <c r="H1218" s="9" t="str">
        <f t="shared" si="31"/>
        <v/>
      </c>
      <c r="I1218" s="8" t="b">
        <f>IF(D1218&lt;2,FALSE,ISERROR(MATCH(H1218,'Ontology and concepts per UC'!$A$2:$A$62,0)))</f>
        <v>0</v>
      </c>
      <c r="J1218" s="9" t="str">
        <f t="shared" si="32"/>
        <v/>
      </c>
      <c r="K1218" s="8" t="b">
        <f>IF(D1218&lt;3,FALSE,ISERROR(MATCH(J1218,'Ontology and concepts per UC'!$A$2:$A$62,0)))</f>
        <v>0</v>
      </c>
      <c r="L1218" s="2" t="s">
        <v>3183</v>
      </c>
      <c r="M1218" s="2" t="s">
        <v>3184</v>
      </c>
      <c r="N1218" s="2"/>
      <c r="O1218" s="1" t="b">
        <v>0</v>
      </c>
      <c r="P1218" s="1">
        <v>0</v>
      </c>
      <c r="Q1218" s="1">
        <v>0</v>
      </c>
      <c r="R1218" s="1" t="b">
        <f t="shared" si="33"/>
        <v>1</v>
      </c>
      <c r="S1218" s="2" t="s">
        <v>50</v>
      </c>
      <c r="T1218" s="1" t="str">
        <f>IF(S1218="","",VLOOKUP(S1218,'Ontology and concepts per UC'!$F$2:$J$46,5,FALSE))</f>
        <v>Parámetros de progresión</v>
      </c>
      <c r="U1218" s="1" t="b">
        <f t="array" ref="U1218">(INDEX('Ontology and concepts per UC'!$G$2:$I$46,MATCH($S1218,'Ontology and concepts per UC'!$F$2:$F$46,0),MATCH(LEFT($A1218,3),'Ontology and concepts per UC'!$G$1:$I$1,0))=0)</f>
        <v>0</v>
      </c>
      <c r="V1218" s="1" t="b">
        <f t="shared" si="34"/>
        <v>0</v>
      </c>
      <c r="W1218" s="1" t="b">
        <v>0</v>
      </c>
      <c r="X1218" s="1" t="b">
        <v>0</v>
      </c>
      <c r="Y1218" s="1" t="b">
        <v>0</v>
      </c>
      <c r="Z1218" s="1" t="b">
        <v>0</v>
      </c>
      <c r="AA1218" s="2"/>
    </row>
    <row r="1219" spans="1:27" x14ac:dyDescent="0.25">
      <c r="A1219" s="1" t="s">
        <v>3096</v>
      </c>
      <c r="B1219" s="2" t="s">
        <v>3185</v>
      </c>
      <c r="C1219" s="2" t="s">
        <v>138</v>
      </c>
      <c r="D1219" s="6">
        <f t="shared" si="28"/>
        <v>1</v>
      </c>
      <c r="E1219" s="7" t="str">
        <f t="shared" si="29"/>
        <v>Parameter</v>
      </c>
      <c r="F1219" s="8" t="b">
        <f>IF(D1219&lt;1,FALSE,ISERROR(MATCH(E1219,'Ontology and concepts per UC'!$A$2:$A$62,0)))</f>
        <v>0</v>
      </c>
      <c r="G1219" s="9" t="str">
        <f t="shared" si="30"/>
        <v/>
      </c>
      <c r="H1219" s="9" t="str">
        <f t="shared" si="31"/>
        <v/>
      </c>
      <c r="I1219" s="8" t="b">
        <f>IF(D1219&lt;2,FALSE,ISERROR(MATCH(H1219,'Ontology and concepts per UC'!$A$2:$A$62,0)))</f>
        <v>0</v>
      </c>
      <c r="J1219" s="9" t="str">
        <f t="shared" si="32"/>
        <v/>
      </c>
      <c r="K1219" s="8" t="b">
        <f>IF(D1219&lt;3,FALSE,ISERROR(MATCH(J1219,'Ontology and concepts per UC'!$A$2:$A$62,0)))</f>
        <v>0</v>
      </c>
      <c r="L1219" s="2" t="s">
        <v>3186</v>
      </c>
      <c r="M1219" s="2" t="s">
        <v>3187</v>
      </c>
      <c r="N1219" s="2"/>
      <c r="O1219" s="1" t="b">
        <v>0</v>
      </c>
      <c r="P1219" s="1">
        <v>0</v>
      </c>
      <c r="Q1219" s="1">
        <v>0</v>
      </c>
      <c r="R1219" s="1" t="b">
        <f t="shared" si="33"/>
        <v>1</v>
      </c>
      <c r="S1219" s="2" t="s">
        <v>367</v>
      </c>
      <c r="T1219" s="1" t="str">
        <f>IF(S1219="","",VLOOKUP(S1219,'Ontology and concepts per UC'!$F$2:$J$46,5,FALSE))</f>
        <v>Parámetros de progresión</v>
      </c>
      <c r="U1219" s="1" t="b">
        <f t="array" ref="U1219">(INDEX('Ontology and concepts per UC'!$G$2:$I$46,MATCH($S1219,'Ontology and concepts per UC'!$F$2:$F$46,0),MATCH(LEFT($A1219,3),'Ontology and concepts per UC'!$G$1:$I$1,0))=0)</f>
        <v>1</v>
      </c>
      <c r="V1219" s="1" t="b">
        <f t="shared" si="34"/>
        <v>0</v>
      </c>
      <c r="W1219" s="1" t="b">
        <v>0</v>
      </c>
      <c r="X1219" s="1" t="b">
        <v>0</v>
      </c>
      <c r="Y1219" s="1" t="b">
        <v>0</v>
      </c>
      <c r="Z1219" s="1" t="b">
        <v>0</v>
      </c>
      <c r="AA1219" s="2"/>
    </row>
    <row r="1220" spans="1:27" x14ac:dyDescent="0.25">
      <c r="A1220" s="1" t="s">
        <v>3096</v>
      </c>
      <c r="B1220" s="2" t="s">
        <v>3188</v>
      </c>
      <c r="C1220" s="2" t="s">
        <v>138</v>
      </c>
      <c r="D1220" s="6">
        <f t="shared" si="28"/>
        <v>1</v>
      </c>
      <c r="E1220" s="7" t="str">
        <f t="shared" si="29"/>
        <v>Parameter</v>
      </c>
      <c r="F1220" s="8" t="b">
        <f>IF(D1220&lt;1,FALSE,ISERROR(MATCH(E1220,'Ontology and concepts per UC'!$A$2:$A$62,0)))</f>
        <v>0</v>
      </c>
      <c r="G1220" s="9" t="str">
        <f t="shared" si="30"/>
        <v/>
      </c>
      <c r="H1220" s="9" t="str">
        <f t="shared" si="31"/>
        <v/>
      </c>
      <c r="I1220" s="8" t="b">
        <f>IF(D1220&lt;2,FALSE,ISERROR(MATCH(H1220,'Ontology and concepts per UC'!$A$2:$A$62,0)))</f>
        <v>0</v>
      </c>
      <c r="J1220" s="9" t="str">
        <f t="shared" si="32"/>
        <v/>
      </c>
      <c r="K1220" s="8" t="b">
        <f>IF(D1220&lt;3,FALSE,ISERROR(MATCH(J1220,'Ontology and concepts per UC'!$A$2:$A$62,0)))</f>
        <v>0</v>
      </c>
      <c r="L1220" s="2" t="s">
        <v>3189</v>
      </c>
      <c r="M1220" s="2" t="s">
        <v>3190</v>
      </c>
      <c r="N1220" s="2"/>
      <c r="O1220" s="1" t="b">
        <v>0</v>
      </c>
      <c r="P1220" s="1">
        <v>0</v>
      </c>
      <c r="Q1220" s="1">
        <v>0</v>
      </c>
      <c r="R1220" s="1" t="b">
        <f t="shared" si="33"/>
        <v>1</v>
      </c>
      <c r="S1220" s="2" t="s">
        <v>58</v>
      </c>
      <c r="T1220" s="1" t="str">
        <f>IF(S1220="","",VLOOKUP(S1220,'Ontology and concepts per UC'!$F$2:$J$46,5,FALSE))</f>
        <v>Parámetros de progresión</v>
      </c>
      <c r="U1220" s="1" t="b">
        <f t="array" ref="U1220">(INDEX('Ontology and concepts per UC'!$G$2:$I$46,MATCH($S1220,'Ontology and concepts per UC'!$F$2:$F$46,0),MATCH(LEFT($A1220,3),'Ontology and concepts per UC'!$G$1:$I$1,0))=0)</f>
        <v>0</v>
      </c>
      <c r="V1220" s="1" t="b">
        <f t="shared" si="34"/>
        <v>0</v>
      </c>
      <c r="W1220" s="1" t="b">
        <v>0</v>
      </c>
      <c r="X1220" s="1" t="b">
        <v>0</v>
      </c>
      <c r="Y1220" s="1" t="b">
        <v>0</v>
      </c>
      <c r="Z1220" s="1" t="b">
        <v>0</v>
      </c>
      <c r="AA1220" s="2"/>
    </row>
    <row r="1221" spans="1:27" x14ac:dyDescent="0.25">
      <c r="A1221" s="1" t="s">
        <v>3096</v>
      </c>
      <c r="B1221" s="2" t="s">
        <v>3191</v>
      </c>
      <c r="C1221" s="2" t="s">
        <v>3192</v>
      </c>
      <c r="D1221" s="6">
        <f t="shared" si="28"/>
        <v>2</v>
      </c>
      <c r="E1221" s="7" t="str">
        <f t="shared" si="29"/>
        <v>Parameter</v>
      </c>
      <c r="F1221" s="8" t="b">
        <f>IF(D1221&lt;1,FALSE,ISERROR(MATCH(E1221,'Ontology and concepts per UC'!$A$2:$A$62,0)))</f>
        <v>0</v>
      </c>
      <c r="G1221" s="9" t="str">
        <f t="shared" si="30"/>
        <v>SecondOrderUncertaintyParameter</v>
      </c>
      <c r="H1221" s="9" t="str">
        <f t="shared" si="31"/>
        <v>SecondOrderUncertaintyParameter</v>
      </c>
      <c r="I1221" s="8" t="b">
        <f>IF(D1221&lt;2,FALSE,ISERROR(MATCH(H1221,'Ontology and concepts per UC'!$A$2:$A$62,0)))</f>
        <v>0</v>
      </c>
      <c r="J1221" s="9" t="str">
        <f t="shared" si="32"/>
        <v/>
      </c>
      <c r="K1221" s="8" t="b">
        <f>IF(D1221&lt;3,FALSE,ISERROR(MATCH(J1221,'Ontology and concepts per UC'!$A$2:$A$62,0)))</f>
        <v>0</v>
      </c>
      <c r="L1221" s="2" t="s">
        <v>3193</v>
      </c>
      <c r="M1221" s="2" t="s">
        <v>3194</v>
      </c>
      <c r="N1221" s="2" t="s">
        <v>3195</v>
      </c>
      <c r="O1221" s="1" t="b">
        <v>0</v>
      </c>
      <c r="P1221" s="1">
        <v>0</v>
      </c>
      <c r="Q1221" s="1">
        <v>1</v>
      </c>
      <c r="R1221" s="1" t="b">
        <f t="shared" si="33"/>
        <v>1</v>
      </c>
      <c r="S1221" s="2" t="s">
        <v>107</v>
      </c>
      <c r="T1221" s="1" t="str">
        <f>IF(S1221="","",VLOOKUP(S1221,'Ontology and concepts per UC'!$F$2:$J$46,5,FALSE))</f>
        <v>Parcial</v>
      </c>
      <c r="U1221" s="1" t="b">
        <f t="array" ref="U1221">(INDEX('Ontology and concepts per UC'!$G$2:$I$46,MATCH($S1221,'Ontology and concepts per UC'!$F$2:$F$46,0),MATCH(LEFT($A1221,3),'Ontology and concepts per UC'!$G$1:$I$1,0))=0)</f>
        <v>0</v>
      </c>
      <c r="V1221" s="1" t="b">
        <f t="shared" si="34"/>
        <v>1</v>
      </c>
      <c r="W1221" s="1" t="b">
        <v>0</v>
      </c>
      <c r="X1221" s="1" t="b">
        <v>1</v>
      </c>
      <c r="Y1221" s="1" t="b">
        <v>0</v>
      </c>
      <c r="Z1221" s="1" t="b">
        <v>0</v>
      </c>
      <c r="AA1221" s="2" t="s">
        <v>2866</v>
      </c>
    </row>
    <row r="1222" spans="1:27" x14ac:dyDescent="0.25">
      <c r="A1222" s="1" t="s">
        <v>3096</v>
      </c>
      <c r="B1222" s="2" t="s">
        <v>3196</v>
      </c>
      <c r="C1222" s="2" t="s">
        <v>3192</v>
      </c>
      <c r="D1222" s="6">
        <f t="shared" si="28"/>
        <v>2</v>
      </c>
      <c r="E1222" s="7" t="str">
        <f t="shared" si="29"/>
        <v>Parameter</v>
      </c>
      <c r="F1222" s="8" t="b">
        <f>IF(D1222&lt;1,FALSE,ISERROR(MATCH(E1222,'Ontology and concepts per UC'!$A$2:$A$62,0)))</f>
        <v>0</v>
      </c>
      <c r="G1222" s="9" t="str">
        <f t="shared" si="30"/>
        <v>SecondOrderUncertaintyParameter</v>
      </c>
      <c r="H1222" s="9" t="str">
        <f t="shared" si="31"/>
        <v>SecondOrderUncertaintyParameter</v>
      </c>
      <c r="I1222" s="8" t="b">
        <f>IF(D1222&lt;2,FALSE,ISERROR(MATCH(H1222,'Ontology and concepts per UC'!$A$2:$A$62,0)))</f>
        <v>0</v>
      </c>
      <c r="J1222" s="9" t="str">
        <f t="shared" si="32"/>
        <v/>
      </c>
      <c r="K1222" s="8" t="b">
        <f>IF(D1222&lt;3,FALSE,ISERROR(MATCH(J1222,'Ontology and concepts per UC'!$A$2:$A$62,0)))</f>
        <v>0</v>
      </c>
      <c r="L1222" s="2" t="s">
        <v>3197</v>
      </c>
      <c r="M1222" s="2" t="s">
        <v>3198</v>
      </c>
      <c r="N1222" s="2" t="s">
        <v>3195</v>
      </c>
      <c r="O1222" s="1" t="b">
        <v>0</v>
      </c>
      <c r="P1222" s="1">
        <v>0</v>
      </c>
      <c r="Q1222" s="1">
        <v>1</v>
      </c>
      <c r="R1222" s="1" t="b">
        <f t="shared" si="33"/>
        <v>1</v>
      </c>
      <c r="S1222" s="2" t="s">
        <v>50</v>
      </c>
      <c r="T1222" s="1" t="str">
        <f>IF(S1222="","",VLOOKUP(S1222,'Ontology and concepts per UC'!$F$2:$J$46,5,FALSE))</f>
        <v>Parámetros de progresión</v>
      </c>
      <c r="U1222" s="1" t="b">
        <f t="array" ref="U1222">(INDEX('Ontology and concepts per UC'!$G$2:$I$46,MATCH($S1222,'Ontology and concepts per UC'!$F$2:$F$46,0),MATCH(LEFT($A1222,3),'Ontology and concepts per UC'!$G$1:$I$1,0))=0)</f>
        <v>0</v>
      </c>
      <c r="V1222" s="1" t="b">
        <f t="shared" si="34"/>
        <v>1</v>
      </c>
      <c r="W1222" s="1" t="b">
        <v>0</v>
      </c>
      <c r="X1222" s="1" t="b">
        <v>1</v>
      </c>
      <c r="Y1222" s="1" t="b">
        <v>0</v>
      </c>
      <c r="Z1222" s="1" t="b">
        <v>1</v>
      </c>
      <c r="AA1222" s="2" t="s">
        <v>3199</v>
      </c>
    </row>
    <row r="1223" spans="1:27" x14ac:dyDescent="0.25">
      <c r="A1223" s="1" t="s">
        <v>3096</v>
      </c>
      <c r="B1223" s="2" t="s">
        <v>3200</v>
      </c>
      <c r="C1223" s="2" t="s">
        <v>3192</v>
      </c>
      <c r="D1223" s="6">
        <f t="shared" si="28"/>
        <v>2</v>
      </c>
      <c r="E1223" s="7" t="str">
        <f t="shared" si="29"/>
        <v>Parameter</v>
      </c>
      <c r="F1223" s="8" t="b">
        <f>IF(D1223&lt;1,FALSE,ISERROR(MATCH(E1223,'Ontology and concepts per UC'!$A$2:$A$62,0)))</f>
        <v>0</v>
      </c>
      <c r="G1223" s="9" t="str">
        <f t="shared" si="30"/>
        <v>SecondOrderUncertaintyParameter</v>
      </c>
      <c r="H1223" s="9" t="str">
        <f t="shared" si="31"/>
        <v>SecondOrderUncertaintyParameter</v>
      </c>
      <c r="I1223" s="8" t="b">
        <f>IF(D1223&lt;2,FALSE,ISERROR(MATCH(H1223,'Ontology and concepts per UC'!$A$2:$A$62,0)))</f>
        <v>0</v>
      </c>
      <c r="J1223" s="9" t="str">
        <f t="shared" si="32"/>
        <v/>
      </c>
      <c r="K1223" s="8" t="b">
        <f>IF(D1223&lt;3,FALSE,ISERROR(MATCH(J1223,'Ontology and concepts per UC'!$A$2:$A$62,0)))</f>
        <v>0</v>
      </c>
      <c r="L1223" s="2" t="s">
        <v>3197</v>
      </c>
      <c r="M1223" s="2" t="s">
        <v>3201</v>
      </c>
      <c r="N1223" s="2" t="s">
        <v>3202</v>
      </c>
      <c r="O1223" s="1" t="b">
        <v>0</v>
      </c>
      <c r="P1223" s="1">
        <v>0</v>
      </c>
      <c r="Q1223" s="1">
        <v>1</v>
      </c>
      <c r="R1223" s="1" t="b">
        <f t="shared" si="33"/>
        <v>1</v>
      </c>
      <c r="S1223" s="2" t="s">
        <v>58</v>
      </c>
      <c r="T1223" s="1" t="str">
        <f>IF(S1223="","",VLOOKUP(S1223,'Ontology and concepts per UC'!$F$2:$J$46,5,FALSE))</f>
        <v>Parámetros de progresión</v>
      </c>
      <c r="U1223" s="1" t="b">
        <f t="array" ref="U1223">(INDEX('Ontology and concepts per UC'!$G$2:$I$46,MATCH($S1223,'Ontology and concepts per UC'!$F$2:$F$46,0),MATCH(LEFT($A1223,3),'Ontology and concepts per UC'!$G$1:$I$1,0))=0)</f>
        <v>0</v>
      </c>
      <c r="V1223" s="1" t="b">
        <f t="shared" si="34"/>
        <v>1</v>
      </c>
      <c r="W1223" s="1" t="b">
        <v>0</v>
      </c>
      <c r="X1223" s="1" t="b">
        <v>1</v>
      </c>
      <c r="Y1223" s="1" t="b">
        <v>0</v>
      </c>
      <c r="Z1223" s="1" t="b">
        <v>0</v>
      </c>
      <c r="AA1223" s="2" t="s">
        <v>2866</v>
      </c>
    </row>
    <row r="1224" spans="1:27" x14ac:dyDescent="0.25">
      <c r="A1224" s="1" t="s">
        <v>3096</v>
      </c>
      <c r="B1224" s="2" t="s">
        <v>3203</v>
      </c>
      <c r="C1224" s="2" t="s">
        <v>3192</v>
      </c>
      <c r="D1224" s="6">
        <f t="shared" si="28"/>
        <v>2</v>
      </c>
      <c r="E1224" s="7" t="str">
        <f t="shared" si="29"/>
        <v>Parameter</v>
      </c>
      <c r="F1224" s="8" t="b">
        <f>IF(D1224&lt;1,FALSE,ISERROR(MATCH(E1224,'Ontology and concepts per UC'!$A$2:$A$62,0)))</f>
        <v>0</v>
      </c>
      <c r="G1224" s="9" t="str">
        <f t="shared" si="30"/>
        <v>SecondOrderUncertaintyParameter</v>
      </c>
      <c r="H1224" s="9" t="str">
        <f t="shared" si="31"/>
        <v>SecondOrderUncertaintyParameter</v>
      </c>
      <c r="I1224" s="8" t="b">
        <f>IF(D1224&lt;2,FALSE,ISERROR(MATCH(H1224,'Ontology and concepts per UC'!$A$2:$A$62,0)))</f>
        <v>0</v>
      </c>
      <c r="J1224" s="9" t="str">
        <f t="shared" si="32"/>
        <v/>
      </c>
      <c r="K1224" s="8" t="b">
        <f>IF(D1224&lt;3,FALSE,ISERROR(MATCH(J1224,'Ontology and concepts per UC'!$A$2:$A$62,0)))</f>
        <v>0</v>
      </c>
      <c r="L1224" s="2" t="s">
        <v>3197</v>
      </c>
      <c r="M1224" s="2" t="s">
        <v>3204</v>
      </c>
      <c r="N1224" s="2" t="s">
        <v>3205</v>
      </c>
      <c r="O1224" s="1" t="b">
        <v>0</v>
      </c>
      <c r="P1224" s="1">
        <v>0</v>
      </c>
      <c r="Q1224" s="1">
        <v>1</v>
      </c>
      <c r="R1224" s="1" t="b">
        <f t="shared" si="33"/>
        <v>1</v>
      </c>
      <c r="S1224" s="2" t="s">
        <v>55</v>
      </c>
      <c r="T1224" s="1" t="str">
        <f>IF(S1224="","",VLOOKUP(S1224,'Ontology and concepts per UC'!$F$2:$J$46,5,FALSE))</f>
        <v>Parámetros de progresión</v>
      </c>
      <c r="U1224" s="1" t="b">
        <f t="array" ref="U1224">(INDEX('Ontology and concepts per UC'!$G$2:$I$46,MATCH($S1224,'Ontology and concepts per UC'!$F$2:$F$46,0),MATCH(LEFT($A1224,3),'Ontology and concepts per UC'!$G$1:$I$1,0))=0)</f>
        <v>0</v>
      </c>
      <c r="V1224" s="1" t="b">
        <f t="shared" si="34"/>
        <v>1</v>
      </c>
      <c r="W1224" s="1" t="b">
        <v>0</v>
      </c>
      <c r="X1224" s="1" t="b">
        <v>1</v>
      </c>
      <c r="Y1224" s="1" t="b">
        <v>0</v>
      </c>
      <c r="Z1224" s="1" t="b">
        <v>0</v>
      </c>
      <c r="AA1224" s="2" t="s">
        <v>2866</v>
      </c>
    </row>
    <row r="1225" spans="1:27" x14ac:dyDescent="0.25">
      <c r="A1225" s="1" t="s">
        <v>3096</v>
      </c>
      <c r="B1225" s="2" t="s">
        <v>3206</v>
      </c>
      <c r="C1225" s="2" t="s">
        <v>3192</v>
      </c>
      <c r="D1225" s="6">
        <f t="shared" si="28"/>
        <v>2</v>
      </c>
      <c r="E1225" s="7" t="str">
        <f t="shared" si="29"/>
        <v>Parameter</v>
      </c>
      <c r="F1225" s="8" t="b">
        <f>IF(D1225&lt;1,FALSE,ISERROR(MATCH(E1225,'Ontology and concepts per UC'!$A$2:$A$62,0)))</f>
        <v>0</v>
      </c>
      <c r="G1225" s="9" t="str">
        <f t="shared" si="30"/>
        <v>SecondOrderUncertaintyParameter</v>
      </c>
      <c r="H1225" s="9" t="str">
        <f t="shared" si="31"/>
        <v>SecondOrderUncertaintyParameter</v>
      </c>
      <c r="I1225" s="8" t="b">
        <f>IF(D1225&lt;2,FALSE,ISERROR(MATCH(H1225,'Ontology and concepts per UC'!$A$2:$A$62,0)))</f>
        <v>0</v>
      </c>
      <c r="J1225" s="9" t="str">
        <f t="shared" si="32"/>
        <v/>
      </c>
      <c r="K1225" s="8" t="b">
        <f>IF(D1225&lt;3,FALSE,ISERROR(MATCH(J1225,'Ontology and concepts per UC'!$A$2:$A$62,0)))</f>
        <v>0</v>
      </c>
      <c r="L1225" s="2" t="s">
        <v>3193</v>
      </c>
      <c r="M1225" s="2" t="s">
        <v>3207</v>
      </c>
      <c r="N1225" s="2" t="s">
        <v>3208</v>
      </c>
      <c r="O1225" s="1" t="b">
        <v>0</v>
      </c>
      <c r="P1225" s="1">
        <v>0</v>
      </c>
      <c r="Q1225" s="1">
        <v>1</v>
      </c>
      <c r="R1225" s="1" t="b">
        <f t="shared" si="33"/>
        <v>1</v>
      </c>
      <c r="S1225" s="2" t="s">
        <v>56</v>
      </c>
      <c r="T1225" s="1" t="str">
        <f>IF(S1225="","",VLOOKUP(S1225,'Ontology and concepts per UC'!$F$2:$J$46,5,FALSE))</f>
        <v>Parámetros de progresión</v>
      </c>
      <c r="U1225" s="1" t="b">
        <f t="array" ref="U1225">(INDEX('Ontology and concepts per UC'!$G$2:$I$46,MATCH($S1225,'Ontology and concepts per UC'!$F$2:$F$46,0),MATCH(LEFT($A1225,3),'Ontology and concepts per UC'!$G$1:$I$1,0))=0)</f>
        <v>0</v>
      </c>
      <c r="V1225" s="1" t="b">
        <f t="shared" si="34"/>
        <v>1</v>
      </c>
      <c r="W1225" s="1" t="b">
        <v>0</v>
      </c>
      <c r="X1225" s="1" t="b">
        <v>1</v>
      </c>
      <c r="Y1225" s="1" t="b">
        <v>0</v>
      </c>
      <c r="Z1225" s="1" t="b">
        <v>0</v>
      </c>
      <c r="AA1225" s="2" t="s">
        <v>2866</v>
      </c>
    </row>
    <row r="1226" spans="1:27" x14ac:dyDescent="0.25">
      <c r="A1226" s="1" t="s">
        <v>3096</v>
      </c>
      <c r="B1226" s="2" t="s">
        <v>3209</v>
      </c>
      <c r="C1226" s="2" t="s">
        <v>3210</v>
      </c>
      <c r="D1226" s="6">
        <f t="shared" si="28"/>
        <v>2</v>
      </c>
      <c r="E1226" s="7" t="str">
        <f t="shared" si="29"/>
        <v>SecondOrderUncertaintyParameter</v>
      </c>
      <c r="F1226" s="8" t="b">
        <f>IF(D1226&lt;1,FALSE,ISERROR(MATCH(E1226,'Ontology and concepts per UC'!$A$2:$A$62,0)))</f>
        <v>0</v>
      </c>
      <c r="G1226" s="9" t="str">
        <f t="shared" si="30"/>
        <v>Parameter</v>
      </c>
      <c r="H1226" s="9" t="str">
        <f t="shared" si="31"/>
        <v>Parameter</v>
      </c>
      <c r="I1226" s="8" t="b">
        <f>IF(D1226&lt;2,FALSE,ISERROR(MATCH(H1226,'Ontology and concepts per UC'!$A$2:$A$62,0)))</f>
        <v>0</v>
      </c>
      <c r="J1226" s="9" t="str">
        <f t="shared" si="32"/>
        <v/>
      </c>
      <c r="K1226" s="8" t="b">
        <f>IF(D1226&lt;3,FALSE,ISERROR(MATCH(J1226,'Ontology and concepts per UC'!$A$2:$A$62,0)))</f>
        <v>0</v>
      </c>
      <c r="L1226" s="2" t="s">
        <v>3193</v>
      </c>
      <c r="M1226" s="2" t="s">
        <v>3211</v>
      </c>
      <c r="N1226" s="2" t="s">
        <v>3212</v>
      </c>
      <c r="O1226" s="1" t="b">
        <v>0</v>
      </c>
      <c r="P1226" s="1">
        <v>0</v>
      </c>
      <c r="Q1226" s="1">
        <v>1</v>
      </c>
      <c r="R1226" s="1" t="b">
        <f t="shared" si="33"/>
        <v>1</v>
      </c>
      <c r="S1226" s="2" t="s">
        <v>107</v>
      </c>
      <c r="T1226" s="1" t="str">
        <f>IF(S1226="","",VLOOKUP(S1226,'Ontology and concepts per UC'!$F$2:$J$46,5,FALSE))</f>
        <v>Parcial</v>
      </c>
      <c r="U1226" s="1" t="b">
        <f t="array" ref="U1226">(INDEX('Ontology and concepts per UC'!$G$2:$I$46,MATCH($S1226,'Ontology and concepts per UC'!$F$2:$F$46,0),MATCH(LEFT($A1226,3),'Ontology and concepts per UC'!$G$1:$I$1,0))=0)</f>
        <v>0</v>
      </c>
      <c r="V1226" s="1" t="b">
        <f t="shared" si="34"/>
        <v>1</v>
      </c>
      <c r="W1226" s="1" t="b">
        <v>0</v>
      </c>
      <c r="X1226" s="1" t="b">
        <v>1</v>
      </c>
      <c r="Y1226" s="1" t="b">
        <v>0</v>
      </c>
      <c r="Z1226" s="1" t="b">
        <v>0</v>
      </c>
      <c r="AA1226" s="2" t="s">
        <v>2866</v>
      </c>
    </row>
    <row r="1227" spans="1:27" x14ac:dyDescent="0.25">
      <c r="A1227" s="1" t="s">
        <v>3096</v>
      </c>
      <c r="B1227" s="2" t="s">
        <v>3213</v>
      </c>
      <c r="C1227" s="2" t="s">
        <v>3210</v>
      </c>
      <c r="D1227" s="6">
        <f t="shared" si="28"/>
        <v>2</v>
      </c>
      <c r="E1227" s="7" t="str">
        <f t="shared" si="29"/>
        <v>SecondOrderUncertaintyParameter</v>
      </c>
      <c r="F1227" s="8" t="b">
        <f>IF(D1227&lt;1,FALSE,ISERROR(MATCH(E1227,'Ontology and concepts per UC'!$A$2:$A$62,0)))</f>
        <v>0</v>
      </c>
      <c r="G1227" s="9" t="str">
        <f t="shared" si="30"/>
        <v>Parameter</v>
      </c>
      <c r="H1227" s="9" t="str">
        <f t="shared" si="31"/>
        <v>Parameter</v>
      </c>
      <c r="I1227" s="8" t="b">
        <f>IF(D1227&lt;2,FALSE,ISERROR(MATCH(H1227,'Ontology and concepts per UC'!$A$2:$A$62,0)))</f>
        <v>0</v>
      </c>
      <c r="J1227" s="9" t="str">
        <f t="shared" si="32"/>
        <v/>
      </c>
      <c r="K1227" s="8" t="b">
        <f>IF(D1227&lt;3,FALSE,ISERROR(MATCH(J1227,'Ontology and concepts per UC'!$A$2:$A$62,0)))</f>
        <v>0</v>
      </c>
      <c r="L1227" s="2" t="s">
        <v>3193</v>
      </c>
      <c r="M1227" s="2" t="s">
        <v>3214</v>
      </c>
      <c r="N1227" s="2" t="s">
        <v>3215</v>
      </c>
      <c r="O1227" s="1" t="b">
        <v>0</v>
      </c>
      <c r="P1227" s="1">
        <v>0</v>
      </c>
      <c r="Q1227" s="1">
        <v>1</v>
      </c>
      <c r="R1227" s="1" t="b">
        <f t="shared" si="33"/>
        <v>1</v>
      </c>
      <c r="S1227" s="2" t="s">
        <v>107</v>
      </c>
      <c r="T1227" s="1" t="str">
        <f>IF(S1227="","",VLOOKUP(S1227,'Ontology and concepts per UC'!$F$2:$J$46,5,FALSE))</f>
        <v>Parcial</v>
      </c>
      <c r="U1227" s="1" t="b">
        <f t="array" ref="U1227">(INDEX('Ontology and concepts per UC'!$G$2:$I$46,MATCH($S1227,'Ontology and concepts per UC'!$F$2:$F$46,0),MATCH(LEFT($A1227,3),'Ontology and concepts per UC'!$G$1:$I$1,0))=0)</f>
        <v>0</v>
      </c>
      <c r="V1227" s="1" t="b">
        <f t="shared" si="34"/>
        <v>1</v>
      </c>
      <c r="W1227" s="1" t="b">
        <v>0</v>
      </c>
      <c r="X1227" s="1" t="b">
        <v>1</v>
      </c>
      <c r="Y1227" s="1" t="b">
        <v>0</v>
      </c>
      <c r="Z1227" s="1" t="b">
        <v>0</v>
      </c>
      <c r="AA1227" s="2" t="s">
        <v>2866</v>
      </c>
    </row>
    <row r="1228" spans="1:27" x14ac:dyDescent="0.25">
      <c r="A1228" s="1" t="s">
        <v>3096</v>
      </c>
      <c r="B1228" s="2" t="s">
        <v>3216</v>
      </c>
      <c r="C1228" s="2" t="s">
        <v>3210</v>
      </c>
      <c r="D1228" s="6">
        <f t="shared" si="28"/>
        <v>2</v>
      </c>
      <c r="E1228" s="7" t="str">
        <f t="shared" si="29"/>
        <v>SecondOrderUncertaintyParameter</v>
      </c>
      <c r="F1228" s="8" t="b">
        <f>IF(D1228&lt;1,FALSE,ISERROR(MATCH(E1228,'Ontology and concepts per UC'!$A$2:$A$62,0)))</f>
        <v>0</v>
      </c>
      <c r="G1228" s="9" t="str">
        <f t="shared" si="30"/>
        <v>Parameter</v>
      </c>
      <c r="H1228" s="9" t="str">
        <f t="shared" si="31"/>
        <v>Parameter</v>
      </c>
      <c r="I1228" s="8" t="b">
        <f>IF(D1228&lt;2,FALSE,ISERROR(MATCH(H1228,'Ontology and concepts per UC'!$A$2:$A$62,0)))</f>
        <v>0</v>
      </c>
      <c r="J1228" s="9" t="str">
        <f t="shared" si="32"/>
        <v/>
      </c>
      <c r="K1228" s="8" t="b">
        <f>IF(D1228&lt;3,FALSE,ISERROR(MATCH(J1228,'Ontology and concepts per UC'!$A$2:$A$62,0)))</f>
        <v>0</v>
      </c>
      <c r="L1228" s="2" t="s">
        <v>3193</v>
      </c>
      <c r="M1228" s="2" t="s">
        <v>3217</v>
      </c>
      <c r="N1228" s="2" t="s">
        <v>3202</v>
      </c>
      <c r="O1228" s="1" t="b">
        <v>0</v>
      </c>
      <c r="P1228" s="1">
        <v>0</v>
      </c>
      <c r="Q1228" s="1">
        <v>1</v>
      </c>
      <c r="R1228" s="1" t="b">
        <f t="shared" si="33"/>
        <v>1</v>
      </c>
      <c r="S1228" s="2" t="s">
        <v>107</v>
      </c>
      <c r="T1228" s="1" t="str">
        <f>IF(S1228="","",VLOOKUP(S1228,'Ontology and concepts per UC'!$F$2:$J$46,5,FALSE))</f>
        <v>Parcial</v>
      </c>
      <c r="U1228" s="1" t="b">
        <f t="array" ref="U1228">(INDEX('Ontology and concepts per UC'!$G$2:$I$46,MATCH($S1228,'Ontology and concepts per UC'!$F$2:$F$46,0),MATCH(LEFT($A1228,3),'Ontology and concepts per UC'!$G$1:$I$1,0))=0)</f>
        <v>0</v>
      </c>
      <c r="V1228" s="1" t="b">
        <f t="shared" si="34"/>
        <v>1</v>
      </c>
      <c r="W1228" s="1" t="b">
        <v>0</v>
      </c>
      <c r="X1228" s="1" t="b">
        <v>1</v>
      </c>
      <c r="Y1228" s="1" t="b">
        <v>0</v>
      </c>
      <c r="Z1228" s="1" t="b">
        <v>0</v>
      </c>
      <c r="AA1228" s="2" t="s">
        <v>2866</v>
      </c>
    </row>
    <row r="1229" spans="1:27" x14ac:dyDescent="0.25">
      <c r="A1229" s="1" t="s">
        <v>3096</v>
      </c>
      <c r="B1229" s="2" t="s">
        <v>3218</v>
      </c>
      <c r="C1229" s="2" t="s">
        <v>3210</v>
      </c>
      <c r="D1229" s="6">
        <f t="shared" si="28"/>
        <v>2</v>
      </c>
      <c r="E1229" s="7" t="str">
        <f t="shared" si="29"/>
        <v>SecondOrderUncertaintyParameter</v>
      </c>
      <c r="F1229" s="8" t="b">
        <f>IF(D1229&lt;1,FALSE,ISERROR(MATCH(E1229,'Ontology and concepts per UC'!$A$2:$A$62,0)))</f>
        <v>0</v>
      </c>
      <c r="G1229" s="9" t="str">
        <f t="shared" si="30"/>
        <v>Parameter</v>
      </c>
      <c r="H1229" s="9" t="str">
        <f t="shared" si="31"/>
        <v>Parameter</v>
      </c>
      <c r="I1229" s="8" t="b">
        <f>IF(D1229&lt;2,FALSE,ISERROR(MATCH(H1229,'Ontology and concepts per UC'!$A$2:$A$62,0)))</f>
        <v>0</v>
      </c>
      <c r="J1229" s="9" t="str">
        <f t="shared" si="32"/>
        <v/>
      </c>
      <c r="K1229" s="8" t="b">
        <f>IF(D1229&lt;3,FALSE,ISERROR(MATCH(J1229,'Ontology and concepts per UC'!$A$2:$A$62,0)))</f>
        <v>0</v>
      </c>
      <c r="L1229" s="2" t="s">
        <v>3197</v>
      </c>
      <c r="M1229" s="2" t="s">
        <v>3219</v>
      </c>
      <c r="N1229" s="2" t="s">
        <v>3205</v>
      </c>
      <c r="O1229" s="1" t="b">
        <v>0</v>
      </c>
      <c r="P1229" s="1">
        <v>0</v>
      </c>
      <c r="Q1229" s="1">
        <v>1</v>
      </c>
      <c r="R1229" s="1" t="b">
        <f t="shared" si="33"/>
        <v>1</v>
      </c>
      <c r="S1229" s="2" t="s">
        <v>107</v>
      </c>
      <c r="T1229" s="1" t="str">
        <f>IF(S1229="","",VLOOKUP(S1229,'Ontology and concepts per UC'!$F$2:$J$46,5,FALSE))</f>
        <v>Parcial</v>
      </c>
      <c r="U1229" s="1" t="b">
        <f t="array" ref="U1229">(INDEX('Ontology and concepts per UC'!$G$2:$I$46,MATCH($S1229,'Ontology and concepts per UC'!$F$2:$F$46,0),MATCH(LEFT($A1229,3),'Ontology and concepts per UC'!$G$1:$I$1,0))=0)</f>
        <v>0</v>
      </c>
      <c r="V1229" s="1" t="b">
        <f t="shared" si="34"/>
        <v>1</v>
      </c>
      <c r="W1229" s="1" t="b">
        <v>0</v>
      </c>
      <c r="X1229" s="1" t="b">
        <v>1</v>
      </c>
      <c r="Y1229" s="1" t="b">
        <v>0</v>
      </c>
      <c r="Z1229" s="1" t="b">
        <v>0</v>
      </c>
      <c r="AA1229" s="2" t="s">
        <v>2866</v>
      </c>
    </row>
    <row r="1230" spans="1:27" x14ac:dyDescent="0.25">
      <c r="A1230" s="1" t="s">
        <v>3096</v>
      </c>
      <c r="B1230" s="2" t="s">
        <v>3220</v>
      </c>
      <c r="C1230" s="2" t="s">
        <v>3210</v>
      </c>
      <c r="D1230" s="6">
        <f t="shared" si="28"/>
        <v>2</v>
      </c>
      <c r="E1230" s="7" t="str">
        <f t="shared" si="29"/>
        <v>SecondOrderUncertaintyParameter</v>
      </c>
      <c r="F1230" s="8" t="b">
        <f>IF(D1230&lt;1,FALSE,ISERROR(MATCH(E1230,'Ontology and concepts per UC'!$A$2:$A$62,0)))</f>
        <v>0</v>
      </c>
      <c r="G1230" s="9" t="str">
        <f t="shared" si="30"/>
        <v>Parameter</v>
      </c>
      <c r="H1230" s="9" t="str">
        <f t="shared" si="31"/>
        <v>Parameter</v>
      </c>
      <c r="I1230" s="8" t="b">
        <f>IF(D1230&lt;2,FALSE,ISERROR(MATCH(H1230,'Ontology and concepts per UC'!$A$2:$A$62,0)))</f>
        <v>0</v>
      </c>
      <c r="J1230" s="9" t="str">
        <f t="shared" si="32"/>
        <v/>
      </c>
      <c r="K1230" s="8" t="b">
        <f>IF(D1230&lt;3,FALSE,ISERROR(MATCH(J1230,'Ontology and concepts per UC'!$A$2:$A$62,0)))</f>
        <v>0</v>
      </c>
      <c r="L1230" s="2" t="s">
        <v>3197</v>
      </c>
      <c r="M1230" s="2" t="s">
        <v>3221</v>
      </c>
      <c r="N1230" s="2" t="s">
        <v>3208</v>
      </c>
      <c r="O1230" s="1" t="b">
        <v>0</v>
      </c>
      <c r="P1230" s="1">
        <v>0</v>
      </c>
      <c r="Q1230" s="1">
        <v>1</v>
      </c>
      <c r="R1230" s="1" t="b">
        <f t="shared" si="33"/>
        <v>1</v>
      </c>
      <c r="S1230" s="2" t="s">
        <v>107</v>
      </c>
      <c r="T1230" s="1" t="str">
        <f>IF(S1230="","",VLOOKUP(S1230,'Ontology and concepts per UC'!$F$2:$J$46,5,FALSE))</f>
        <v>Parcial</v>
      </c>
      <c r="U1230" s="1" t="b">
        <f t="array" ref="U1230">(INDEX('Ontology and concepts per UC'!$G$2:$I$46,MATCH($S1230,'Ontology and concepts per UC'!$F$2:$F$46,0),MATCH(LEFT($A1230,3),'Ontology and concepts per UC'!$G$1:$I$1,0))=0)</f>
        <v>0</v>
      </c>
      <c r="V1230" s="1" t="b">
        <f t="shared" si="34"/>
        <v>1</v>
      </c>
      <c r="W1230" s="1" t="b">
        <v>0</v>
      </c>
      <c r="X1230" s="1" t="b">
        <v>1</v>
      </c>
      <c r="Y1230" s="1" t="b">
        <v>0</v>
      </c>
      <c r="Z1230" s="1" t="b">
        <v>0</v>
      </c>
      <c r="AA1230" s="2" t="s">
        <v>2866</v>
      </c>
    </row>
    <row r="1231" spans="1:27" x14ac:dyDescent="0.25">
      <c r="A1231" s="1" t="s">
        <v>3096</v>
      </c>
      <c r="B1231" s="2" t="s">
        <v>3222</v>
      </c>
      <c r="C1231" s="2" t="s">
        <v>3210</v>
      </c>
      <c r="D1231" s="6">
        <f t="shared" si="28"/>
        <v>2</v>
      </c>
      <c r="E1231" s="7" t="str">
        <f t="shared" si="29"/>
        <v>SecondOrderUncertaintyParameter</v>
      </c>
      <c r="F1231" s="8" t="b">
        <f>IF(D1231&lt;1,FALSE,ISERROR(MATCH(E1231,'Ontology and concepts per UC'!$A$2:$A$62,0)))</f>
        <v>0</v>
      </c>
      <c r="G1231" s="9" t="str">
        <f t="shared" si="30"/>
        <v>Parameter</v>
      </c>
      <c r="H1231" s="9" t="str">
        <f t="shared" si="31"/>
        <v>Parameter</v>
      </c>
      <c r="I1231" s="8" t="b">
        <f>IF(D1231&lt;2,FALSE,ISERROR(MATCH(H1231,'Ontology and concepts per UC'!$A$2:$A$62,0)))</f>
        <v>0</v>
      </c>
      <c r="J1231" s="9" t="str">
        <f t="shared" si="32"/>
        <v/>
      </c>
      <c r="K1231" s="8" t="b">
        <f>IF(D1231&lt;3,FALSE,ISERROR(MATCH(J1231,'Ontology and concepts per UC'!$A$2:$A$62,0)))</f>
        <v>0</v>
      </c>
      <c r="L1231" s="2" t="s">
        <v>3193</v>
      </c>
      <c r="M1231" s="2" t="s">
        <v>3223</v>
      </c>
      <c r="N1231" s="2" t="s">
        <v>3212</v>
      </c>
      <c r="O1231" s="1" t="b">
        <v>0</v>
      </c>
      <c r="P1231" s="1">
        <v>0</v>
      </c>
      <c r="Q1231" s="1">
        <v>1</v>
      </c>
      <c r="R1231" s="1" t="b">
        <f t="shared" si="33"/>
        <v>1</v>
      </c>
      <c r="S1231" s="2" t="s">
        <v>54</v>
      </c>
      <c r="T1231" s="1" t="str">
        <f>IF(S1231="","",VLOOKUP(S1231,'Ontology and concepts per UC'!$F$2:$J$46,5,FALSE))</f>
        <v>Parámetros de progresión</v>
      </c>
      <c r="U1231" s="1" t="b">
        <f t="array" ref="U1231">(INDEX('Ontology and concepts per UC'!$G$2:$I$46,MATCH($S1231,'Ontology and concepts per UC'!$F$2:$F$46,0),MATCH(LEFT($A1231,3),'Ontology and concepts per UC'!$G$1:$I$1,0))=0)</f>
        <v>0</v>
      </c>
      <c r="V1231" s="1" t="b">
        <f t="shared" si="34"/>
        <v>1</v>
      </c>
      <c r="W1231" s="1" t="b">
        <v>0</v>
      </c>
      <c r="X1231" s="1" t="b">
        <v>1</v>
      </c>
      <c r="Y1231" s="1" t="b">
        <v>0</v>
      </c>
      <c r="Z1231" s="1" t="b">
        <v>0</v>
      </c>
      <c r="AA1231" s="2" t="s">
        <v>2866</v>
      </c>
    </row>
    <row r="1232" spans="1:27" x14ac:dyDescent="0.25">
      <c r="A1232" s="1" t="s">
        <v>3096</v>
      </c>
      <c r="B1232" s="2" t="s">
        <v>3224</v>
      </c>
      <c r="C1232" s="2" t="s">
        <v>3210</v>
      </c>
      <c r="D1232" s="6">
        <f t="shared" si="28"/>
        <v>2</v>
      </c>
      <c r="E1232" s="7" t="str">
        <f t="shared" si="29"/>
        <v>SecondOrderUncertaintyParameter</v>
      </c>
      <c r="F1232" s="8" t="b">
        <f>IF(D1232&lt;1,FALSE,ISERROR(MATCH(E1232,'Ontology and concepts per UC'!$A$2:$A$62,0)))</f>
        <v>0</v>
      </c>
      <c r="G1232" s="9" t="str">
        <f t="shared" si="30"/>
        <v>Parameter</v>
      </c>
      <c r="H1232" s="9" t="str">
        <f t="shared" si="31"/>
        <v>Parameter</v>
      </c>
      <c r="I1232" s="8" t="b">
        <f>IF(D1232&lt;2,FALSE,ISERROR(MATCH(H1232,'Ontology and concepts per UC'!$A$2:$A$62,0)))</f>
        <v>0</v>
      </c>
      <c r="J1232" s="9" t="str">
        <f t="shared" si="32"/>
        <v/>
      </c>
      <c r="K1232" s="8" t="b">
        <f>IF(D1232&lt;3,FALSE,ISERROR(MATCH(J1232,'Ontology and concepts per UC'!$A$2:$A$62,0)))</f>
        <v>0</v>
      </c>
      <c r="L1232" s="2" t="s">
        <v>3197</v>
      </c>
      <c r="M1232" s="2" t="s">
        <v>3225</v>
      </c>
      <c r="N1232" s="2" t="s">
        <v>3215</v>
      </c>
      <c r="O1232" s="1" t="b">
        <v>0</v>
      </c>
      <c r="P1232" s="1">
        <v>0</v>
      </c>
      <c r="Q1232" s="1">
        <v>1</v>
      </c>
      <c r="R1232" s="1" t="b">
        <f t="shared" si="33"/>
        <v>1</v>
      </c>
      <c r="S1232" s="2" t="s">
        <v>51</v>
      </c>
      <c r="T1232" s="1" t="str">
        <f>IF(S1232="","",VLOOKUP(S1232,'Ontology and concepts per UC'!$F$2:$J$46,5,FALSE))</f>
        <v>Parámetros de progresión</v>
      </c>
      <c r="U1232" s="1" t="b">
        <f t="array" ref="U1232">(INDEX('Ontology and concepts per UC'!$G$2:$I$46,MATCH($S1232,'Ontology and concepts per UC'!$F$2:$F$46,0),MATCH(LEFT($A1232,3),'Ontology and concepts per UC'!$G$1:$I$1,0))=0)</f>
        <v>0</v>
      </c>
      <c r="V1232" s="1" t="b">
        <f t="shared" si="34"/>
        <v>1</v>
      </c>
      <c r="W1232" s="1" t="b">
        <v>0</v>
      </c>
      <c r="X1232" s="1" t="b">
        <v>1</v>
      </c>
      <c r="Y1232" s="1" t="b">
        <v>0</v>
      </c>
      <c r="Z1232" s="1" t="b">
        <v>0</v>
      </c>
      <c r="AA1232" s="2" t="s">
        <v>2866</v>
      </c>
    </row>
    <row r="1233" spans="1:27" x14ac:dyDescent="0.25">
      <c r="A1233" s="1" t="s">
        <v>3096</v>
      </c>
      <c r="B1233" s="2" t="s">
        <v>3226</v>
      </c>
      <c r="C1233" s="2" t="s">
        <v>3227</v>
      </c>
      <c r="D1233" s="6">
        <f t="shared" si="28"/>
        <v>2</v>
      </c>
      <c r="E1233" s="7" t="str">
        <f t="shared" si="29"/>
        <v>Treatment</v>
      </c>
      <c r="F1233" s="8" t="b">
        <f>IF(D1233&lt;1,FALSE,ISERROR(MATCH(E1233,'Ontology and concepts per UC'!$A$2:$A$62,0)))</f>
        <v>0</v>
      </c>
      <c r="G1233" s="9" t="str">
        <f t="shared" si="30"/>
        <v>Drug</v>
      </c>
      <c r="H1233" s="9" t="str">
        <f t="shared" si="31"/>
        <v>Drug</v>
      </c>
      <c r="I1233" s="8" t="b">
        <f>IF(D1233&lt;2,FALSE,ISERROR(MATCH(H1233,'Ontology and concepts per UC'!$A$2:$A$62,0)))</f>
        <v>0</v>
      </c>
      <c r="J1233" s="9" t="str">
        <f t="shared" si="32"/>
        <v/>
      </c>
      <c r="K1233" s="8" t="b">
        <f>IF(D1233&lt;3,FALSE,ISERROR(MATCH(J1233,'Ontology and concepts per UC'!$A$2:$A$62,0)))</f>
        <v>0</v>
      </c>
      <c r="L1233" s="2" t="s">
        <v>3110</v>
      </c>
      <c r="M1233" s="2" t="s">
        <v>3228</v>
      </c>
      <c r="N1233" s="2" t="s">
        <v>3229</v>
      </c>
      <c r="O1233" s="1" t="b">
        <v>0</v>
      </c>
      <c r="P1233" s="1">
        <v>0</v>
      </c>
      <c r="Q1233" s="1">
        <v>4</v>
      </c>
      <c r="R1233" s="1" t="b">
        <f t="shared" si="33"/>
        <v>1</v>
      </c>
      <c r="S1233" s="2" t="s">
        <v>62</v>
      </c>
      <c r="T1233" s="1" t="str">
        <f>IF(S1233="","",VLOOKUP(S1233,'Ontology and concepts per UC'!$F$2:$J$46,5,FALSE))</f>
        <v>Tratamiento/seguimiento</v>
      </c>
      <c r="U1233" s="1" t="b">
        <f t="array" ref="U1233">(INDEX('Ontology and concepts per UC'!$G$2:$I$46,MATCH($S1233,'Ontology and concepts per UC'!$F$2:$F$46,0),MATCH(LEFT($A1233,3),'Ontology and concepts per UC'!$G$1:$I$1,0))=0)</f>
        <v>0</v>
      </c>
      <c r="V1233" s="1" t="b">
        <f t="shared" si="34"/>
        <v>1</v>
      </c>
      <c r="W1233" s="1" t="b">
        <v>1</v>
      </c>
      <c r="X1233" s="1" t="b">
        <v>0</v>
      </c>
      <c r="Y1233" s="1" t="b">
        <v>0</v>
      </c>
      <c r="Z1233" s="1" t="b">
        <v>0</v>
      </c>
      <c r="AA1233" s="2" t="s">
        <v>2688</v>
      </c>
    </row>
    <row r="1234" spans="1:27" x14ac:dyDescent="0.25">
      <c r="A1234" s="1" t="s">
        <v>3096</v>
      </c>
      <c r="B1234" s="2" t="s">
        <v>3230</v>
      </c>
      <c r="C1234" s="2" t="s">
        <v>1115</v>
      </c>
      <c r="D1234" s="6">
        <f t="shared" si="28"/>
        <v>2</v>
      </c>
      <c r="E1234" s="7" t="str">
        <f t="shared" si="29"/>
        <v>Utility</v>
      </c>
      <c r="F1234" s="8" t="b">
        <f>IF(D1234&lt;1,FALSE,ISERROR(MATCH(E1234,'Ontology and concepts per UC'!$A$2:$A$62,0)))</f>
        <v>0</v>
      </c>
      <c r="G1234" s="9" t="str">
        <f t="shared" si="30"/>
        <v>DeterministicParameter</v>
      </c>
      <c r="H1234" s="9" t="str">
        <f t="shared" si="31"/>
        <v>DeterministicParameter</v>
      </c>
      <c r="I1234" s="8" t="b">
        <f>IF(D1234&lt;2,FALSE,ISERROR(MATCH(H1234,'Ontology and concepts per UC'!$A$2:$A$62,0)))</f>
        <v>0</v>
      </c>
      <c r="J1234" s="9" t="str">
        <f t="shared" si="32"/>
        <v/>
      </c>
      <c r="K1234" s="8" t="b">
        <f>IF(D1234&lt;3,FALSE,ISERROR(MATCH(J1234,'Ontology and concepts per UC'!$A$2:$A$62,0)))</f>
        <v>0</v>
      </c>
      <c r="L1234" s="2" t="s">
        <v>3098</v>
      </c>
      <c r="M1234" s="2" t="s">
        <v>3231</v>
      </c>
      <c r="N1234" s="2"/>
      <c r="O1234" s="1" t="b">
        <v>0</v>
      </c>
      <c r="P1234" s="1">
        <v>0</v>
      </c>
      <c r="Q1234" s="1">
        <v>0</v>
      </c>
      <c r="R1234" s="1" t="b">
        <f t="shared" si="33"/>
        <v>1</v>
      </c>
      <c r="S1234" s="2" t="s">
        <v>66</v>
      </c>
      <c r="T1234" s="1" t="str">
        <f>IF(S1234="","",VLOOKUP(S1234,'Ontology and concepts per UC'!$F$2:$J$46,5,FALSE))</f>
        <v>Utilidad</v>
      </c>
      <c r="U1234" s="1" t="b">
        <f t="array" ref="U1234">(INDEX('Ontology and concepts per UC'!$G$2:$I$46,MATCH($S1234,'Ontology and concepts per UC'!$F$2:$F$46,0),MATCH(LEFT($A1234,3),'Ontology and concepts per UC'!$G$1:$I$1,0))=0)</f>
        <v>0</v>
      </c>
      <c r="V1234" s="1" t="b">
        <f t="shared" si="34"/>
        <v>0</v>
      </c>
      <c r="W1234" s="1" t="b">
        <v>0</v>
      </c>
      <c r="X1234" s="1" t="b">
        <v>0</v>
      </c>
      <c r="Y1234" s="1" t="b">
        <v>0</v>
      </c>
      <c r="Z1234" s="1" t="b">
        <v>0</v>
      </c>
      <c r="AA1234" s="2"/>
    </row>
    <row r="1235" spans="1:27" x14ac:dyDescent="0.25">
      <c r="A1235" s="1" t="s">
        <v>3096</v>
      </c>
      <c r="B1235" s="2" t="s">
        <v>3232</v>
      </c>
      <c r="C1235" s="2" t="s">
        <v>1115</v>
      </c>
      <c r="D1235" s="6">
        <f t="shared" si="28"/>
        <v>2</v>
      </c>
      <c r="E1235" s="7" t="str">
        <f t="shared" si="29"/>
        <v>Utility</v>
      </c>
      <c r="F1235" s="8" t="b">
        <f>IF(D1235&lt;1,FALSE,ISERROR(MATCH(E1235,'Ontology and concepts per UC'!$A$2:$A$62,0)))</f>
        <v>0</v>
      </c>
      <c r="G1235" s="9" t="str">
        <f t="shared" si="30"/>
        <v>DeterministicParameter</v>
      </c>
      <c r="H1235" s="9" t="str">
        <f t="shared" si="31"/>
        <v>DeterministicParameter</v>
      </c>
      <c r="I1235" s="8" t="b">
        <f>IF(D1235&lt;2,FALSE,ISERROR(MATCH(H1235,'Ontology and concepts per UC'!$A$2:$A$62,0)))</f>
        <v>0</v>
      </c>
      <c r="J1235" s="9" t="str">
        <f t="shared" si="32"/>
        <v/>
      </c>
      <c r="K1235" s="8" t="b">
        <f>IF(D1235&lt;3,FALSE,ISERROR(MATCH(J1235,'Ontology and concepts per UC'!$A$2:$A$62,0)))</f>
        <v>0</v>
      </c>
      <c r="L1235" s="2" t="s">
        <v>3098</v>
      </c>
      <c r="M1235" s="2" t="s">
        <v>3233</v>
      </c>
      <c r="N1235" s="2"/>
      <c r="O1235" s="1" t="b">
        <v>0</v>
      </c>
      <c r="P1235" s="1">
        <v>0</v>
      </c>
      <c r="Q1235" s="1">
        <v>0</v>
      </c>
      <c r="R1235" s="1" t="b">
        <f t="shared" si="33"/>
        <v>1</v>
      </c>
      <c r="S1235" s="2" t="s">
        <v>70</v>
      </c>
      <c r="T1235" s="1" t="str">
        <f>IF(S1235="","",VLOOKUP(S1235,'Ontology and concepts per UC'!$F$2:$J$46,5,FALSE))</f>
        <v>Utilidad</v>
      </c>
      <c r="U1235" s="1" t="b">
        <f t="array" ref="U1235">(INDEX('Ontology and concepts per UC'!$G$2:$I$46,MATCH($S1235,'Ontology and concepts per UC'!$F$2:$F$46,0),MATCH(LEFT($A1235,3),'Ontology and concepts per UC'!$G$1:$I$1,0))=0)</f>
        <v>0</v>
      </c>
      <c r="V1235" s="1" t="b">
        <f t="shared" si="34"/>
        <v>0</v>
      </c>
      <c r="W1235" s="1" t="b">
        <v>0</v>
      </c>
      <c r="X1235" s="1" t="b">
        <v>0</v>
      </c>
      <c r="Y1235" s="1" t="b">
        <v>0</v>
      </c>
      <c r="Z1235" s="1" t="b">
        <v>0</v>
      </c>
      <c r="AA1235" s="2"/>
    </row>
    <row r="1236" spans="1:27" x14ac:dyDescent="0.25">
      <c r="A1236" s="1" t="s">
        <v>3096</v>
      </c>
      <c r="B1236" s="2" t="s">
        <v>3234</v>
      </c>
      <c r="C1236" s="2" t="s">
        <v>1115</v>
      </c>
      <c r="D1236" s="6">
        <f t="shared" si="28"/>
        <v>2</v>
      </c>
      <c r="E1236" s="7" t="str">
        <f t="shared" si="29"/>
        <v>Utility</v>
      </c>
      <c r="F1236" s="8" t="b">
        <f>IF(D1236&lt;1,FALSE,ISERROR(MATCH(E1236,'Ontology and concepts per UC'!$A$2:$A$62,0)))</f>
        <v>0</v>
      </c>
      <c r="G1236" s="9" t="str">
        <f t="shared" si="30"/>
        <v>DeterministicParameter</v>
      </c>
      <c r="H1236" s="9" t="str">
        <f t="shared" si="31"/>
        <v>DeterministicParameter</v>
      </c>
      <c r="I1236" s="8" t="b">
        <f>IF(D1236&lt;2,FALSE,ISERROR(MATCH(H1236,'Ontology and concepts per UC'!$A$2:$A$62,0)))</f>
        <v>0</v>
      </c>
      <c r="J1236" s="9" t="str">
        <f t="shared" si="32"/>
        <v/>
      </c>
      <c r="K1236" s="8" t="b">
        <f>IF(D1236&lt;3,FALSE,ISERROR(MATCH(J1236,'Ontology and concepts per UC'!$A$2:$A$62,0)))</f>
        <v>0</v>
      </c>
      <c r="L1236" s="2" t="s">
        <v>3098</v>
      </c>
      <c r="M1236" s="2" t="s">
        <v>3235</v>
      </c>
      <c r="N1236" s="2"/>
      <c r="O1236" s="1" t="b">
        <v>0</v>
      </c>
      <c r="P1236" s="1">
        <v>0</v>
      </c>
      <c r="Q1236" s="1">
        <v>0</v>
      </c>
      <c r="R1236" s="1" t="b">
        <f t="shared" si="33"/>
        <v>1</v>
      </c>
      <c r="S1236" s="2" t="s">
        <v>68</v>
      </c>
      <c r="T1236" s="1" t="str">
        <f>IF(S1236="","",VLOOKUP(S1236,'Ontology and concepts per UC'!$F$2:$J$46,5,FALSE))</f>
        <v>Utilidad</v>
      </c>
      <c r="U1236" s="1" t="b">
        <f t="array" ref="U1236">(INDEX('Ontology and concepts per UC'!$G$2:$I$46,MATCH($S1236,'Ontology and concepts per UC'!$F$2:$F$46,0),MATCH(LEFT($A1236,3),'Ontology and concepts per UC'!$G$1:$I$1,0))=0)</f>
        <v>0</v>
      </c>
      <c r="V1236" s="1" t="b">
        <f t="shared" si="34"/>
        <v>0</v>
      </c>
      <c r="W1236" s="1" t="b">
        <v>0</v>
      </c>
      <c r="X1236" s="1" t="b">
        <v>0</v>
      </c>
      <c r="Y1236" s="1" t="b">
        <v>0</v>
      </c>
      <c r="Z1236" s="1" t="b">
        <v>0</v>
      </c>
      <c r="AA1236" s="2"/>
    </row>
    <row r="1237" spans="1:27" x14ac:dyDescent="0.25">
      <c r="A1237" s="1" t="s">
        <v>3096</v>
      </c>
      <c r="B1237" s="2" t="s">
        <v>3236</v>
      </c>
      <c r="C1237" s="2" t="s">
        <v>1115</v>
      </c>
      <c r="D1237" s="6">
        <f t="shared" si="28"/>
        <v>2</v>
      </c>
      <c r="E1237" s="7" t="str">
        <f t="shared" si="29"/>
        <v>Utility</v>
      </c>
      <c r="F1237" s="8" t="b">
        <f>IF(D1237&lt;1,FALSE,ISERROR(MATCH(E1237,'Ontology and concepts per UC'!$A$2:$A$62,0)))</f>
        <v>0</v>
      </c>
      <c r="G1237" s="9" t="str">
        <f t="shared" si="30"/>
        <v>DeterministicParameter</v>
      </c>
      <c r="H1237" s="9" t="str">
        <f t="shared" si="31"/>
        <v>DeterministicParameter</v>
      </c>
      <c r="I1237" s="8" t="b">
        <f>IF(D1237&lt;2,FALSE,ISERROR(MATCH(H1237,'Ontology and concepts per UC'!$A$2:$A$62,0)))</f>
        <v>0</v>
      </c>
      <c r="J1237" s="9" t="str">
        <f t="shared" si="32"/>
        <v/>
      </c>
      <c r="K1237" s="8" t="b">
        <f>IF(D1237&lt;3,FALSE,ISERROR(MATCH(J1237,'Ontology and concepts per UC'!$A$2:$A$62,0)))</f>
        <v>0</v>
      </c>
      <c r="L1237" s="2" t="s">
        <v>3098</v>
      </c>
      <c r="M1237" s="2" t="s">
        <v>3237</v>
      </c>
      <c r="N1237" s="2"/>
      <c r="O1237" s="1" t="b">
        <v>0</v>
      </c>
      <c r="P1237" s="1">
        <v>0</v>
      </c>
      <c r="Q1237" s="1">
        <v>0</v>
      </c>
      <c r="R1237" s="1" t="b">
        <f t="shared" si="33"/>
        <v>1</v>
      </c>
      <c r="S1237" s="2" t="s">
        <v>67</v>
      </c>
      <c r="T1237" s="1" t="str">
        <f>IF(S1237="","",VLOOKUP(S1237,'Ontology and concepts per UC'!$F$2:$J$46,5,FALSE))</f>
        <v>Utilidad</v>
      </c>
      <c r="U1237" s="1" t="b">
        <f t="array" ref="U1237">(INDEX('Ontology and concepts per UC'!$G$2:$I$46,MATCH($S1237,'Ontology and concepts per UC'!$F$2:$F$46,0),MATCH(LEFT($A1237,3),'Ontology and concepts per UC'!$G$1:$I$1,0))=0)</f>
        <v>0</v>
      </c>
      <c r="V1237" s="1" t="b">
        <f t="shared" si="34"/>
        <v>1</v>
      </c>
      <c r="W1237" s="1" t="b">
        <v>0</v>
      </c>
      <c r="X1237" s="1" t="b">
        <v>0</v>
      </c>
      <c r="Y1237" s="1" t="b">
        <v>0</v>
      </c>
      <c r="Z1237" s="1" t="b">
        <v>1</v>
      </c>
      <c r="AA1237" s="2" t="s">
        <v>3102</v>
      </c>
    </row>
    <row r="1238" spans="1:27" x14ac:dyDescent="0.25">
      <c r="A1238" s="1" t="s">
        <v>3096</v>
      </c>
      <c r="B1238" s="2" t="s">
        <v>3238</v>
      </c>
      <c r="C1238" s="2"/>
      <c r="D1238" s="6">
        <f t="shared" si="28"/>
        <v>0</v>
      </c>
      <c r="E1238" s="7">
        <f t="shared" si="29"/>
        <v>0</v>
      </c>
      <c r="F1238" s="8" t="b">
        <f>IF(D1238&lt;1,FALSE,ISERROR(MATCH(E1238,'Ontology and concepts per UC'!$A$2:$A$62,0)))</f>
        <v>0</v>
      </c>
      <c r="G1238" s="9" t="str">
        <f t="shared" si="30"/>
        <v/>
      </c>
      <c r="H1238" s="9" t="str">
        <f t="shared" si="31"/>
        <v/>
      </c>
      <c r="I1238" s="8" t="b">
        <f>IF(D1238&lt;2,FALSE,ISERROR(MATCH(H1238,'Ontology and concepts per UC'!$A$2:$A$62,0)))</f>
        <v>0</v>
      </c>
      <c r="J1238" s="9" t="str">
        <f t="shared" si="32"/>
        <v/>
      </c>
      <c r="K1238" s="8" t="b">
        <f>IF(D1238&lt;3,FALSE,ISERROR(MATCH(J1238,'Ontology and concepts per UC'!$A$2:$A$62,0)))</f>
        <v>0</v>
      </c>
      <c r="L1238" s="2" t="s">
        <v>3110</v>
      </c>
      <c r="M1238" s="2" t="s">
        <v>3239</v>
      </c>
      <c r="N1238" s="2" t="s">
        <v>3240</v>
      </c>
      <c r="O1238" s="1" t="b">
        <v>1</v>
      </c>
      <c r="P1238" s="1">
        <v>0</v>
      </c>
      <c r="Q1238" s="1">
        <v>3</v>
      </c>
      <c r="R1238" s="1" t="b">
        <f t="shared" si="33"/>
        <v>0</v>
      </c>
      <c r="S1238" s="2" t="s">
        <v>35</v>
      </c>
      <c r="T1238" s="1" t="str">
        <f>IF(S1238="","",VLOOKUP(S1238,'Ontology and concepts per UC'!$F$2:$J$46,5,FALSE))</f>
        <v>Modelo Conceptual</v>
      </c>
      <c r="U1238" s="1" t="b">
        <f t="array" ref="U1238">(INDEX('Ontology and concepts per UC'!$G$2:$I$46,MATCH($S1238,'Ontology and concepts per UC'!$F$2:$F$46,0),MATCH(LEFT($A1238,3),'Ontology and concepts per UC'!$G$1:$I$1,0))=0)</f>
        <v>0</v>
      </c>
      <c r="V1238" s="1" t="b">
        <f t="shared" si="34"/>
        <v>1</v>
      </c>
      <c r="W1238" s="1" t="b">
        <v>1</v>
      </c>
      <c r="X1238" s="1" t="b">
        <v>0</v>
      </c>
      <c r="Y1238" s="1" t="b">
        <v>0</v>
      </c>
      <c r="Z1238" s="1" t="b">
        <v>0</v>
      </c>
      <c r="AA1238" s="2" t="s">
        <v>188</v>
      </c>
    </row>
    <row r="1239" spans="1:27" x14ac:dyDescent="0.25">
      <c r="A1239" s="1" t="s">
        <v>3096</v>
      </c>
      <c r="B1239" s="2" t="s">
        <v>3241</v>
      </c>
      <c r="C1239" s="2"/>
      <c r="D1239" s="6">
        <f t="shared" si="28"/>
        <v>0</v>
      </c>
      <c r="E1239" s="7">
        <f t="shared" si="29"/>
        <v>0</v>
      </c>
      <c r="F1239" s="8" t="b">
        <f>IF(D1239&lt;1,FALSE,ISERROR(MATCH(E1239,'Ontology and concepts per UC'!$A$2:$A$62,0)))</f>
        <v>0</v>
      </c>
      <c r="G1239" s="9" t="str">
        <f t="shared" si="30"/>
        <v/>
      </c>
      <c r="H1239" s="9" t="str">
        <f t="shared" si="31"/>
        <v/>
      </c>
      <c r="I1239" s="8" t="b">
        <f>IF(D1239&lt;2,FALSE,ISERROR(MATCH(H1239,'Ontology and concepts per UC'!$A$2:$A$62,0)))</f>
        <v>0</v>
      </c>
      <c r="J1239" s="9" t="str">
        <f t="shared" si="32"/>
        <v/>
      </c>
      <c r="K1239" s="8" t="b">
        <f>IF(D1239&lt;3,FALSE,ISERROR(MATCH(J1239,'Ontology and concepts per UC'!$A$2:$A$62,0)))</f>
        <v>0</v>
      </c>
      <c r="L1239" s="2" t="s">
        <v>3110</v>
      </c>
      <c r="M1239" s="2" t="s">
        <v>3242</v>
      </c>
      <c r="N1239" s="2" t="s">
        <v>3243</v>
      </c>
      <c r="O1239" s="1" t="b">
        <v>1</v>
      </c>
      <c r="P1239" s="1">
        <v>0</v>
      </c>
      <c r="Q1239" s="1">
        <v>3</v>
      </c>
      <c r="R1239" s="1" t="b">
        <f t="shared" si="33"/>
        <v>0</v>
      </c>
      <c r="S1239" s="2" t="s">
        <v>107</v>
      </c>
      <c r="T1239" s="1" t="str">
        <f>IF(S1239="","",VLOOKUP(S1239,'Ontology and concepts per UC'!$F$2:$J$46,5,FALSE))</f>
        <v>Parcial</v>
      </c>
      <c r="U1239" s="1" t="b">
        <f t="array" ref="U1239">(INDEX('Ontology and concepts per UC'!$G$2:$I$46,MATCH($S1239,'Ontology and concepts per UC'!$F$2:$F$46,0),MATCH(LEFT($A1239,3),'Ontology and concepts per UC'!$G$1:$I$1,0))=0)</f>
        <v>0</v>
      </c>
      <c r="V1239" s="1" t="b">
        <f t="shared" si="34"/>
        <v>1</v>
      </c>
      <c r="W1239" s="1" t="b">
        <v>1</v>
      </c>
      <c r="X1239" s="1" t="b">
        <v>0</v>
      </c>
      <c r="Y1239" s="1" t="b">
        <v>0</v>
      </c>
      <c r="Z1239" s="1" t="b">
        <v>0</v>
      </c>
      <c r="AA1239" s="2" t="s">
        <v>188</v>
      </c>
    </row>
    <row r="1240" spans="1:27" x14ac:dyDescent="0.25">
      <c r="A1240" s="1" t="s">
        <v>3096</v>
      </c>
      <c r="B1240" s="2" t="s">
        <v>3244</v>
      </c>
      <c r="C1240" s="2"/>
      <c r="D1240" s="6">
        <f t="shared" si="28"/>
        <v>0</v>
      </c>
      <c r="E1240" s="7">
        <f t="shared" si="29"/>
        <v>0</v>
      </c>
      <c r="F1240" s="8" t="b">
        <f>IF(D1240&lt;1,FALSE,ISERROR(MATCH(E1240,'Ontology and concepts per UC'!$A$2:$A$62,0)))</f>
        <v>0</v>
      </c>
      <c r="G1240" s="9" t="str">
        <f t="shared" si="30"/>
        <v/>
      </c>
      <c r="H1240" s="9" t="str">
        <f t="shared" si="31"/>
        <v/>
      </c>
      <c r="I1240" s="8" t="b">
        <f>IF(D1240&lt;2,FALSE,ISERROR(MATCH(H1240,'Ontology and concepts per UC'!$A$2:$A$62,0)))</f>
        <v>0</v>
      </c>
      <c r="J1240" s="9" t="str">
        <f t="shared" si="32"/>
        <v/>
      </c>
      <c r="K1240" s="8" t="b">
        <f>IF(D1240&lt;3,FALSE,ISERROR(MATCH(J1240,'Ontology and concepts per UC'!$A$2:$A$62,0)))</f>
        <v>0</v>
      </c>
      <c r="L1240" s="2" t="s">
        <v>3110</v>
      </c>
      <c r="M1240" s="2" t="s">
        <v>3245</v>
      </c>
      <c r="N1240" s="2" t="s">
        <v>3246</v>
      </c>
      <c r="O1240" s="1" t="b">
        <v>1</v>
      </c>
      <c r="P1240" s="1">
        <v>0</v>
      </c>
      <c r="Q1240" s="1">
        <v>3</v>
      </c>
      <c r="R1240" s="1" t="b">
        <f t="shared" si="33"/>
        <v>0</v>
      </c>
      <c r="S1240" s="2" t="s">
        <v>35</v>
      </c>
      <c r="T1240" s="1" t="str">
        <f>IF(S1240="","",VLOOKUP(S1240,'Ontology and concepts per UC'!$F$2:$J$46,5,FALSE))</f>
        <v>Modelo Conceptual</v>
      </c>
      <c r="U1240" s="1" t="b">
        <f t="array" ref="U1240">(INDEX('Ontology and concepts per UC'!$G$2:$I$46,MATCH($S1240,'Ontology and concepts per UC'!$F$2:$F$46,0),MATCH(LEFT($A1240,3),'Ontology and concepts per UC'!$G$1:$I$1,0))=0)</f>
        <v>0</v>
      </c>
      <c r="V1240" s="1" t="b">
        <f t="shared" si="34"/>
        <v>1</v>
      </c>
      <c r="W1240" s="1" t="b">
        <v>1</v>
      </c>
      <c r="X1240" s="1" t="b">
        <v>0</v>
      </c>
      <c r="Y1240" s="1" t="b">
        <v>0</v>
      </c>
      <c r="Z1240" s="1" t="b">
        <v>0</v>
      </c>
      <c r="AA1240" s="2" t="s">
        <v>188</v>
      </c>
    </row>
    <row r="1241" spans="1:27" x14ac:dyDescent="0.25">
      <c r="A1241" s="1" t="s">
        <v>3096</v>
      </c>
      <c r="B1241" s="2" t="s">
        <v>3247</v>
      </c>
      <c r="C1241" s="2"/>
      <c r="D1241" s="6">
        <f t="shared" si="28"/>
        <v>0</v>
      </c>
      <c r="E1241" s="7">
        <f t="shared" si="29"/>
        <v>0</v>
      </c>
      <c r="F1241" s="8" t="b">
        <f>IF(D1241&lt;1,FALSE,ISERROR(MATCH(E1241,'Ontology and concepts per UC'!$A$2:$A$62,0)))</f>
        <v>0</v>
      </c>
      <c r="G1241" s="9" t="str">
        <f t="shared" si="30"/>
        <v/>
      </c>
      <c r="H1241" s="9" t="str">
        <f t="shared" si="31"/>
        <v/>
      </c>
      <c r="I1241" s="8" t="b">
        <f>IF(D1241&lt;2,FALSE,ISERROR(MATCH(H1241,'Ontology and concepts per UC'!$A$2:$A$62,0)))</f>
        <v>0</v>
      </c>
      <c r="J1241" s="9" t="str">
        <f t="shared" si="32"/>
        <v/>
      </c>
      <c r="K1241" s="8" t="b">
        <f>IF(D1241&lt;3,FALSE,ISERROR(MATCH(J1241,'Ontology and concepts per UC'!$A$2:$A$62,0)))</f>
        <v>0</v>
      </c>
      <c r="L1241" s="2"/>
      <c r="M1241" s="2"/>
      <c r="N1241" s="2"/>
      <c r="O1241" s="1" t="b">
        <v>1</v>
      </c>
      <c r="P1241" s="1">
        <v>0</v>
      </c>
      <c r="Q1241" s="1">
        <v>0</v>
      </c>
      <c r="R1241" s="1" t="b">
        <f t="shared" si="33"/>
        <v>0</v>
      </c>
      <c r="S1241" s="2" t="s">
        <v>33</v>
      </c>
      <c r="T1241" s="1" t="str">
        <f>IF(S1241="","",VLOOKUP(S1241,'Ontology and concepts per UC'!$F$2:$J$46,5,FALSE))</f>
        <v>Modelo Conceptual</v>
      </c>
      <c r="U1241" s="1" t="b">
        <f t="array" ref="U1241">(INDEX('Ontology and concepts per UC'!$G$2:$I$46,MATCH($S1241,'Ontology and concepts per UC'!$F$2:$F$46,0),MATCH(LEFT($A1241,3),'Ontology and concepts per UC'!$G$1:$I$1,0))=0)</f>
        <v>0</v>
      </c>
      <c r="V1241" s="1" t="b">
        <f t="shared" si="34"/>
        <v>1</v>
      </c>
      <c r="W1241" s="1" t="b">
        <v>1</v>
      </c>
      <c r="X1241" s="1" t="b">
        <v>0</v>
      </c>
      <c r="Y1241" s="1" t="b">
        <v>0</v>
      </c>
      <c r="Z1241" s="1" t="b">
        <v>0</v>
      </c>
      <c r="AA1241" s="2" t="s">
        <v>188</v>
      </c>
    </row>
    <row r="1242" spans="1:27" x14ac:dyDescent="0.25">
      <c r="A1242" s="1" t="s">
        <v>3096</v>
      </c>
      <c r="B1242" s="2" t="s">
        <v>1328</v>
      </c>
      <c r="C1242" s="2"/>
      <c r="D1242" s="6">
        <f t="shared" si="28"/>
        <v>0</v>
      </c>
      <c r="E1242" s="7">
        <f t="shared" si="29"/>
        <v>0</v>
      </c>
      <c r="F1242" s="8" t="b">
        <f>IF(D1242&lt;1,FALSE,ISERROR(MATCH(E1242,'Ontology and concepts per UC'!$A$2:$A$62,0)))</f>
        <v>0</v>
      </c>
      <c r="G1242" s="9" t="str">
        <f t="shared" si="30"/>
        <v/>
      </c>
      <c r="H1242" s="9" t="str">
        <f t="shared" si="31"/>
        <v/>
      </c>
      <c r="I1242" s="8" t="b">
        <f>IF(D1242&lt;2,FALSE,ISERROR(MATCH(H1242,'Ontology and concepts per UC'!$A$2:$A$62,0)))</f>
        <v>0</v>
      </c>
      <c r="J1242" s="9" t="str">
        <f t="shared" si="32"/>
        <v/>
      </c>
      <c r="K1242" s="8" t="b">
        <f>IF(D1242&lt;3,FALSE,ISERROR(MATCH(J1242,'Ontology and concepts per UC'!$A$2:$A$62,0)))</f>
        <v>0</v>
      </c>
      <c r="L1242" s="2"/>
      <c r="M1242" s="2"/>
      <c r="N1242" s="2"/>
      <c r="O1242" s="1" t="b">
        <v>1</v>
      </c>
      <c r="P1242" s="1">
        <v>0</v>
      </c>
      <c r="Q1242" s="1">
        <v>0</v>
      </c>
      <c r="R1242" s="1" t="b">
        <f t="shared" si="33"/>
        <v>0</v>
      </c>
      <c r="S1242" s="2" t="s">
        <v>187</v>
      </c>
      <c r="T1242" s="1" t="str">
        <f>IF(S1242="","",VLOOKUP(S1242,'Ontology and concepts per UC'!$F$2:$J$46,5,FALSE))</f>
        <v>Otros</v>
      </c>
      <c r="U1242" s="1" t="b">
        <f t="array" ref="U1242">(INDEX('Ontology and concepts per UC'!$G$2:$I$46,MATCH($S1242,'Ontology and concepts per UC'!$F$2:$F$46,0),MATCH(LEFT($A1242,3),'Ontology and concepts per UC'!$G$1:$I$1,0))=0)</f>
        <v>1</v>
      </c>
      <c r="V1242" s="1" t="b">
        <f t="shared" si="34"/>
        <v>1</v>
      </c>
      <c r="W1242" s="1" t="b">
        <v>1</v>
      </c>
      <c r="X1242" s="1" t="b">
        <v>0</v>
      </c>
      <c r="Y1242" s="1" t="b">
        <v>1</v>
      </c>
      <c r="Z1242" s="1" t="b">
        <v>0</v>
      </c>
      <c r="AA1242" s="2" t="s">
        <v>2612</v>
      </c>
    </row>
    <row r="1243" spans="1:27" x14ac:dyDescent="0.25">
      <c r="A1243" s="1" t="s">
        <v>3248</v>
      </c>
      <c r="B1243" s="2" t="s">
        <v>3249</v>
      </c>
      <c r="C1243" s="2" t="s">
        <v>3250</v>
      </c>
      <c r="D1243" s="6">
        <f t="shared" si="28"/>
        <v>2</v>
      </c>
      <c r="E1243" s="7" t="str">
        <f t="shared" si="29"/>
        <v>AcuteManifestation</v>
      </c>
      <c r="F1243" s="8" t="b">
        <f>IF(D1243&lt;1,FALSE,ISERROR(MATCH(E1243,'Ontology and concepts per UC'!$A$2:$A$62,0)))</f>
        <v>0</v>
      </c>
      <c r="G1243" s="9" t="str">
        <f t="shared" si="30"/>
        <v>Manifestation</v>
      </c>
      <c r="H1243" s="9" t="str">
        <f t="shared" si="31"/>
        <v>Manifestation</v>
      </c>
      <c r="I1243" s="8" t="b">
        <f>IF(D1243&lt;2,FALSE,ISERROR(MATCH(H1243,'Ontology and concepts per UC'!$A$2:$A$62,0)))</f>
        <v>0</v>
      </c>
      <c r="J1243" s="9" t="str">
        <f t="shared" si="32"/>
        <v/>
      </c>
      <c r="K1243" s="8" t="b">
        <f>IF(D1243&lt;3,FALSE,ISERROR(MATCH(J1243,'Ontology and concepts per UC'!$A$2:$A$62,0)))</f>
        <v>0</v>
      </c>
      <c r="L1243" s="2" t="s">
        <v>3251</v>
      </c>
      <c r="M1243" s="2" t="s">
        <v>3252</v>
      </c>
      <c r="N1243" s="2"/>
      <c r="O1243" s="1" t="b">
        <v>0</v>
      </c>
      <c r="P1243" s="1">
        <v>0</v>
      </c>
      <c r="Q1243" s="1">
        <v>0</v>
      </c>
      <c r="R1243" s="1" t="b">
        <f t="shared" si="33"/>
        <v>0</v>
      </c>
      <c r="S1243" s="2" t="s">
        <v>325</v>
      </c>
      <c r="T1243" s="1" t="str">
        <f>IF(S1243="","",VLOOKUP(S1243,'Ontology and concepts per UC'!$F$2:$J$46,5,FALSE))</f>
        <v>Modelo Conceptual</v>
      </c>
      <c r="U1243" s="1" t="b">
        <f t="array" ref="U1243">(INDEX('Ontology and concepts per UC'!$G$2:$I$46,MATCH($S1243,'Ontology and concepts per UC'!$F$2:$F$46,0),MATCH(LEFT($A1243,3),'Ontology and concepts per UC'!$G$1:$I$1,0))=0)</f>
        <v>1</v>
      </c>
      <c r="V1243" s="1" t="b">
        <f t="shared" si="34"/>
        <v>0</v>
      </c>
      <c r="W1243" s="1" t="b">
        <v>0</v>
      </c>
      <c r="X1243" s="1" t="b">
        <v>0</v>
      </c>
      <c r="Y1243" s="1" t="b">
        <v>0</v>
      </c>
      <c r="Z1243" s="1" t="b">
        <v>0</v>
      </c>
      <c r="AA1243" s="1"/>
    </row>
    <row r="1244" spans="1:27" x14ac:dyDescent="0.25">
      <c r="A1244" s="1" t="s">
        <v>3248</v>
      </c>
      <c r="B1244" s="2" t="s">
        <v>3253</v>
      </c>
      <c r="C1244" s="2" t="s">
        <v>201</v>
      </c>
      <c r="D1244" s="6">
        <f t="shared" si="28"/>
        <v>1</v>
      </c>
      <c r="E1244" s="7" t="str">
        <f t="shared" si="29"/>
        <v>DeterministicParameter</v>
      </c>
      <c r="F1244" s="8" t="b">
        <f>IF(D1244&lt;1,FALSE,ISERROR(MATCH(E1244,'Ontology and concepts per UC'!$A$2:$A$62,0)))</f>
        <v>0</v>
      </c>
      <c r="G1244" s="9" t="str">
        <f t="shared" si="30"/>
        <v/>
      </c>
      <c r="H1244" s="9" t="str">
        <f t="shared" si="31"/>
        <v/>
      </c>
      <c r="I1244" s="8" t="b">
        <f>IF(D1244&lt;2,FALSE,ISERROR(MATCH(H1244,'Ontology and concepts per UC'!$A$2:$A$62,0)))</f>
        <v>0</v>
      </c>
      <c r="J1244" s="9" t="str">
        <f t="shared" si="32"/>
        <v/>
      </c>
      <c r="K1244" s="8" t="b">
        <f>IF(D1244&lt;3,FALSE,ISERROR(MATCH(J1244,'Ontology and concepts per UC'!$A$2:$A$62,0)))</f>
        <v>0</v>
      </c>
      <c r="L1244" s="2" t="s">
        <v>3254</v>
      </c>
      <c r="M1244" s="2" t="s">
        <v>3255</v>
      </c>
      <c r="N1244" s="2"/>
      <c r="O1244" s="1" t="b">
        <v>0</v>
      </c>
      <c r="P1244" s="1">
        <v>0</v>
      </c>
      <c r="Q1244" s="1">
        <v>0</v>
      </c>
      <c r="R1244" s="1" t="b">
        <f t="shared" si="33"/>
        <v>1</v>
      </c>
      <c r="S1244" s="2" t="s">
        <v>55</v>
      </c>
      <c r="T1244" s="1" t="str">
        <f>IF(S1244="","",VLOOKUP(S1244,'Ontology and concepts per UC'!$F$2:$J$46,5,FALSE))</f>
        <v>Parámetros de progresión</v>
      </c>
      <c r="U1244" s="1" t="b">
        <f t="array" ref="U1244">(INDEX('Ontology and concepts per UC'!$G$2:$I$46,MATCH($S1244,'Ontology and concepts per UC'!$F$2:$F$46,0),MATCH(LEFT($A1244,3),'Ontology and concepts per UC'!$G$1:$I$1,0))=0)</f>
        <v>0</v>
      </c>
      <c r="V1244" s="1" t="b">
        <f t="shared" si="34"/>
        <v>0</v>
      </c>
      <c r="W1244" s="1" t="b">
        <v>0</v>
      </c>
      <c r="X1244" s="1" t="b">
        <v>0</v>
      </c>
      <c r="Y1244" s="1" t="b">
        <v>0</v>
      </c>
      <c r="Z1244" s="1" t="b">
        <v>0</v>
      </c>
      <c r="AA1244" s="1"/>
    </row>
    <row r="1245" spans="1:27" x14ac:dyDescent="0.25">
      <c r="A1245" s="1" t="s">
        <v>3248</v>
      </c>
      <c r="B1245" s="2" t="s">
        <v>3256</v>
      </c>
      <c r="C1245" s="2" t="s">
        <v>201</v>
      </c>
      <c r="D1245" s="6">
        <f t="shared" si="28"/>
        <v>1</v>
      </c>
      <c r="E1245" s="7" t="str">
        <f t="shared" si="29"/>
        <v>DeterministicParameter</v>
      </c>
      <c r="F1245" s="8" t="b">
        <f>IF(D1245&lt;1,FALSE,ISERROR(MATCH(E1245,'Ontology and concepts per UC'!$A$2:$A$62,0)))</f>
        <v>0</v>
      </c>
      <c r="G1245" s="9" t="str">
        <f t="shared" si="30"/>
        <v/>
      </c>
      <c r="H1245" s="9" t="str">
        <f t="shared" si="31"/>
        <v/>
      </c>
      <c r="I1245" s="8" t="b">
        <f>IF(D1245&lt;2,FALSE,ISERROR(MATCH(H1245,'Ontology and concepts per UC'!$A$2:$A$62,0)))</f>
        <v>0</v>
      </c>
      <c r="J1245" s="9" t="str">
        <f t="shared" si="32"/>
        <v/>
      </c>
      <c r="K1245" s="8" t="b">
        <f>IF(D1245&lt;3,FALSE,ISERROR(MATCH(J1245,'Ontology and concepts per UC'!$A$2:$A$62,0)))</f>
        <v>0</v>
      </c>
      <c r="L1245" s="2" t="s">
        <v>3257</v>
      </c>
      <c r="M1245" s="2" t="s">
        <v>3258</v>
      </c>
      <c r="N1245" s="2"/>
      <c r="O1245" s="1" t="b">
        <v>0</v>
      </c>
      <c r="P1245" s="1">
        <v>0</v>
      </c>
      <c r="Q1245" s="1">
        <v>0</v>
      </c>
      <c r="R1245" s="1" t="b">
        <f t="shared" si="33"/>
        <v>1</v>
      </c>
      <c r="S1245" s="2" t="s">
        <v>187</v>
      </c>
      <c r="T1245" s="1" t="str">
        <f>IF(S1245="","",VLOOKUP(S1245,'Ontology and concepts per UC'!$F$2:$J$46,5,FALSE))</f>
        <v>Otros</v>
      </c>
      <c r="U1245" s="1" t="b">
        <f t="array" ref="U1245">(INDEX('Ontology and concepts per UC'!$G$2:$I$46,MATCH($S1245,'Ontology and concepts per UC'!$F$2:$F$46,0),MATCH(LEFT($A1245,3),'Ontology and concepts per UC'!$G$1:$I$1,0))=0)</f>
        <v>1</v>
      </c>
      <c r="V1245" s="1" t="b">
        <f t="shared" si="34"/>
        <v>1</v>
      </c>
      <c r="W1245" s="1" t="b">
        <v>0</v>
      </c>
      <c r="X1245" s="1" t="b">
        <v>0</v>
      </c>
      <c r="Y1245" s="1" t="b">
        <v>0</v>
      </c>
      <c r="Z1245" s="1" t="b">
        <v>1</v>
      </c>
      <c r="AA1245" s="1" t="s">
        <v>1111</v>
      </c>
    </row>
    <row r="1246" spans="1:27" x14ac:dyDescent="0.25">
      <c r="A1246" s="1" t="s">
        <v>3248</v>
      </c>
      <c r="B1246" s="2" t="s">
        <v>3259</v>
      </c>
      <c r="C1246" s="2" t="s">
        <v>929</v>
      </c>
      <c r="D1246" s="6">
        <f t="shared" si="28"/>
        <v>2</v>
      </c>
      <c r="E1246" s="7" t="str">
        <f t="shared" si="29"/>
        <v>DeterministicParameter</v>
      </c>
      <c r="F1246" s="8" t="b">
        <f>IF(D1246&lt;1,FALSE,ISERROR(MATCH(E1246,'Ontology and concepts per UC'!$A$2:$A$62,0)))</f>
        <v>0</v>
      </c>
      <c r="G1246" s="9" t="str">
        <f t="shared" si="30"/>
        <v>EpidemiologicalParameter</v>
      </c>
      <c r="H1246" s="9" t="str">
        <f t="shared" si="31"/>
        <v>EpidemiologicalParameter</v>
      </c>
      <c r="I1246" s="8" t="b">
        <f>IF(D1246&lt;2,FALSE,ISERROR(MATCH(H1246,'Ontology and concepts per UC'!$A$2:$A$62,0)))</f>
        <v>0</v>
      </c>
      <c r="J1246" s="9" t="str">
        <f t="shared" si="32"/>
        <v/>
      </c>
      <c r="K1246" s="8" t="b">
        <f>IF(D1246&lt;3,FALSE,ISERROR(MATCH(J1246,'Ontology and concepts per UC'!$A$2:$A$62,0)))</f>
        <v>0</v>
      </c>
      <c r="L1246" s="2" t="s">
        <v>3260</v>
      </c>
      <c r="M1246" s="2" t="s">
        <v>3261</v>
      </c>
      <c r="N1246" s="2"/>
      <c r="O1246" s="1" t="b">
        <v>0</v>
      </c>
      <c r="P1246" s="1">
        <v>0</v>
      </c>
      <c r="Q1246" s="1">
        <v>0</v>
      </c>
      <c r="R1246" s="1" t="b">
        <f t="shared" si="33"/>
        <v>1</v>
      </c>
      <c r="S1246" s="2" t="s">
        <v>38</v>
      </c>
      <c r="T1246" s="1" t="str">
        <f>IF(S1246="","",VLOOKUP(S1246,'Ontology and concepts per UC'!$F$2:$J$46,5,FALSE))</f>
        <v>Parámetro epidemiológico</v>
      </c>
      <c r="U1246" s="1" t="b">
        <f t="array" ref="U1246">(INDEX('Ontology and concepts per UC'!$G$2:$I$46,MATCH($S1246,'Ontology and concepts per UC'!$F$2:$F$46,0),MATCH(LEFT($A1246,3),'Ontology and concepts per UC'!$G$1:$I$1,0))=0)</f>
        <v>0</v>
      </c>
      <c r="V1246" s="1" t="b">
        <f t="shared" si="34"/>
        <v>0</v>
      </c>
      <c r="W1246" s="1" t="b">
        <v>0</v>
      </c>
      <c r="X1246" s="1" t="b">
        <v>0</v>
      </c>
      <c r="Y1246" s="1" t="b">
        <v>0</v>
      </c>
      <c r="Z1246" s="1" t="b">
        <v>0</v>
      </c>
      <c r="AA1246" s="1"/>
    </row>
    <row r="1247" spans="1:27" x14ac:dyDescent="0.25">
      <c r="A1247" s="1" t="s">
        <v>3248</v>
      </c>
      <c r="B1247" s="2" t="s">
        <v>3262</v>
      </c>
      <c r="C1247" s="2" t="s">
        <v>1576</v>
      </c>
      <c r="D1247" s="6">
        <f t="shared" si="28"/>
        <v>1</v>
      </c>
      <c r="E1247" s="7" t="str">
        <f t="shared" si="29"/>
        <v>DiscreteEventSimulationModel</v>
      </c>
      <c r="F1247" s="8" t="b">
        <f>IF(D1247&lt;1,FALSE,ISERROR(MATCH(E1247,'Ontology and concepts per UC'!$A$2:$A$62,0)))</f>
        <v>0</v>
      </c>
      <c r="G1247" s="9" t="str">
        <f t="shared" si="30"/>
        <v/>
      </c>
      <c r="H1247" s="9" t="str">
        <f t="shared" si="31"/>
        <v/>
      </c>
      <c r="I1247" s="8" t="b">
        <f>IF(D1247&lt;2,FALSE,ISERROR(MATCH(H1247,'Ontology and concepts per UC'!$A$2:$A$62,0)))</f>
        <v>0</v>
      </c>
      <c r="J1247" s="9" t="str">
        <f t="shared" si="32"/>
        <v/>
      </c>
      <c r="K1247" s="8" t="b">
        <f>IF(D1247&lt;3,FALSE,ISERROR(MATCH(J1247,'Ontology and concepts per UC'!$A$2:$A$62,0)))</f>
        <v>0</v>
      </c>
      <c r="L1247" s="2"/>
      <c r="M1247" s="2" t="s">
        <v>3263</v>
      </c>
      <c r="N1247" s="2"/>
      <c r="O1247" s="1" t="b">
        <v>0</v>
      </c>
      <c r="P1247" s="1">
        <v>0</v>
      </c>
      <c r="Q1247" s="1">
        <v>0</v>
      </c>
      <c r="R1247" s="1" t="b">
        <f t="shared" si="33"/>
        <v>0</v>
      </c>
      <c r="S1247" s="2" t="s">
        <v>33</v>
      </c>
      <c r="T1247" s="1" t="str">
        <f>IF(S1247="","",VLOOKUP(S1247,'Ontology and concepts per UC'!$F$2:$J$46,5,FALSE))</f>
        <v>Modelo Conceptual</v>
      </c>
      <c r="U1247" s="1" t="b">
        <f t="array" ref="U1247">(INDEX('Ontology and concepts per UC'!$G$2:$I$46,MATCH($S1247,'Ontology and concepts per UC'!$F$2:$F$46,0),MATCH(LEFT($A1247,3),'Ontology and concepts per UC'!$G$1:$I$1,0))=0)</f>
        <v>0</v>
      </c>
      <c r="V1247" s="1" t="b">
        <f t="shared" si="34"/>
        <v>0</v>
      </c>
      <c r="W1247" s="1" t="b">
        <v>0</v>
      </c>
      <c r="X1247" s="1" t="b">
        <v>0</v>
      </c>
      <c r="Y1247" s="1" t="b">
        <v>0</v>
      </c>
      <c r="Z1247" s="1" t="b">
        <v>0</v>
      </c>
      <c r="AA1247" s="1"/>
    </row>
    <row r="1248" spans="1:27" x14ac:dyDescent="0.25">
      <c r="A1248" s="1" t="s">
        <v>3248</v>
      </c>
      <c r="B1248" s="2" t="s">
        <v>3264</v>
      </c>
      <c r="C1248" s="2" t="s">
        <v>1437</v>
      </c>
      <c r="D1248" s="6">
        <f t="shared" si="28"/>
        <v>2</v>
      </c>
      <c r="E1248" s="7" t="str">
        <f t="shared" si="29"/>
        <v>EpidemiologicalParameter</v>
      </c>
      <c r="F1248" s="8" t="b">
        <f>IF(D1248&lt;1,FALSE,ISERROR(MATCH(E1248,'Ontology and concepts per UC'!$A$2:$A$62,0)))</f>
        <v>0</v>
      </c>
      <c r="G1248" s="9" t="str">
        <f t="shared" si="30"/>
        <v>DeterministicParameter</v>
      </c>
      <c r="H1248" s="9" t="str">
        <f t="shared" si="31"/>
        <v>DeterministicParameter</v>
      </c>
      <c r="I1248" s="8" t="b">
        <f>IF(D1248&lt;2,FALSE,ISERROR(MATCH(H1248,'Ontology and concepts per UC'!$A$2:$A$62,0)))</f>
        <v>0</v>
      </c>
      <c r="J1248" s="9" t="str">
        <f t="shared" si="32"/>
        <v/>
      </c>
      <c r="K1248" s="8" t="b">
        <f>IF(D1248&lt;3,FALSE,ISERROR(MATCH(J1248,'Ontology and concepts per UC'!$A$2:$A$62,0)))</f>
        <v>0</v>
      </c>
      <c r="L1248" s="2" t="s">
        <v>3265</v>
      </c>
      <c r="M1248" s="2" t="s">
        <v>3266</v>
      </c>
      <c r="N1248" s="2"/>
      <c r="O1248" s="1" t="b">
        <v>0</v>
      </c>
      <c r="P1248" s="1">
        <v>0</v>
      </c>
      <c r="Q1248" s="1">
        <v>0</v>
      </c>
      <c r="R1248" s="1" t="b">
        <f t="shared" si="33"/>
        <v>1</v>
      </c>
      <c r="S1248" s="2" t="s">
        <v>38</v>
      </c>
      <c r="T1248" s="1" t="str">
        <f>IF(S1248="","",VLOOKUP(S1248,'Ontology and concepts per UC'!$F$2:$J$46,5,FALSE))</f>
        <v>Parámetro epidemiológico</v>
      </c>
      <c r="U1248" s="1" t="b">
        <f t="array" ref="U1248">(INDEX('Ontology and concepts per UC'!$G$2:$I$46,MATCH($S1248,'Ontology and concepts per UC'!$F$2:$F$46,0),MATCH(LEFT($A1248,3),'Ontology and concepts per UC'!$G$1:$I$1,0))=0)</f>
        <v>0</v>
      </c>
      <c r="V1248" s="1" t="b">
        <f t="shared" si="34"/>
        <v>0</v>
      </c>
      <c r="W1248" s="1" t="b">
        <v>0</v>
      </c>
      <c r="X1248" s="1" t="b">
        <v>0</v>
      </c>
      <c r="Y1248" s="1" t="b">
        <v>0</v>
      </c>
      <c r="Z1248" s="1" t="b">
        <v>0</v>
      </c>
      <c r="AA1248" s="1"/>
    </row>
    <row r="1249" spans="1:27" x14ac:dyDescent="0.25">
      <c r="A1249" s="1" t="s">
        <v>3248</v>
      </c>
      <c r="B1249" s="2" t="s">
        <v>3267</v>
      </c>
      <c r="C1249" s="2" t="s">
        <v>3268</v>
      </c>
      <c r="D1249" s="6">
        <f t="shared" si="28"/>
        <v>2</v>
      </c>
      <c r="E1249" s="7" t="str">
        <f t="shared" si="29"/>
        <v>Manifestation</v>
      </c>
      <c r="F1249" s="8" t="b">
        <f>IF(D1249&lt;1,FALSE,ISERROR(MATCH(E1249,'Ontology and concepts per UC'!$A$2:$A$62,0)))</f>
        <v>0</v>
      </c>
      <c r="G1249" s="9" t="str">
        <f t="shared" si="30"/>
        <v>AcuteManifestation</v>
      </c>
      <c r="H1249" s="9" t="str">
        <f t="shared" si="31"/>
        <v>AcuteManifestation</v>
      </c>
      <c r="I1249" s="8" t="b">
        <f>IF(D1249&lt;2,FALSE,ISERROR(MATCH(H1249,'Ontology and concepts per UC'!$A$2:$A$62,0)))</f>
        <v>0</v>
      </c>
      <c r="J1249" s="9" t="str">
        <f t="shared" si="32"/>
        <v/>
      </c>
      <c r="K1249" s="8" t="b">
        <f>IF(D1249&lt;3,FALSE,ISERROR(MATCH(J1249,'Ontology and concepts per UC'!$A$2:$A$62,0)))</f>
        <v>0</v>
      </c>
      <c r="L1249" s="2" t="s">
        <v>3269</v>
      </c>
      <c r="M1249" s="2" t="s">
        <v>3270</v>
      </c>
      <c r="N1249" s="2"/>
      <c r="O1249" s="1" t="b">
        <v>0</v>
      </c>
      <c r="P1249" s="1">
        <v>0</v>
      </c>
      <c r="Q1249" s="1">
        <v>0</v>
      </c>
      <c r="R1249" s="1" t="b">
        <f t="shared" si="33"/>
        <v>0</v>
      </c>
      <c r="S1249" s="2" t="s">
        <v>30</v>
      </c>
      <c r="T1249" s="1" t="str">
        <f>IF(S1249="","",VLOOKUP(S1249,'Ontology and concepts per UC'!$F$2:$J$46,5,FALSE))</f>
        <v>Modelo Conceptual</v>
      </c>
      <c r="U1249" s="1" t="b">
        <f t="array" ref="U1249">(INDEX('Ontology and concepts per UC'!$G$2:$I$46,MATCH($S1249,'Ontology and concepts per UC'!$F$2:$F$46,0),MATCH(LEFT($A1249,3),'Ontology and concepts per UC'!$G$1:$I$1,0))=0)</f>
        <v>0</v>
      </c>
      <c r="V1249" s="1" t="b">
        <f t="shared" si="34"/>
        <v>0</v>
      </c>
      <c r="W1249" s="1" t="b">
        <v>0</v>
      </c>
      <c r="X1249" s="1" t="b">
        <v>0</v>
      </c>
      <c r="Y1249" s="1" t="b">
        <v>0</v>
      </c>
      <c r="Z1249" s="1" t="b">
        <v>0</v>
      </c>
      <c r="AA1249" s="1"/>
    </row>
    <row r="1250" spans="1:27" x14ac:dyDescent="0.25">
      <c r="A1250" s="1" t="s">
        <v>3248</v>
      </c>
      <c r="B1250" s="2" t="s">
        <v>3271</v>
      </c>
      <c r="C1250" s="2" t="s">
        <v>3268</v>
      </c>
      <c r="D1250" s="6">
        <f t="shared" si="28"/>
        <v>2</v>
      </c>
      <c r="E1250" s="7" t="str">
        <f t="shared" si="29"/>
        <v>Manifestation</v>
      </c>
      <c r="F1250" s="8" t="b">
        <f>IF(D1250&lt;1,FALSE,ISERROR(MATCH(E1250,'Ontology and concepts per UC'!$A$2:$A$62,0)))</f>
        <v>0</v>
      </c>
      <c r="G1250" s="9" t="str">
        <f t="shared" si="30"/>
        <v>AcuteManifestation</v>
      </c>
      <c r="H1250" s="9" t="str">
        <f t="shared" si="31"/>
        <v>AcuteManifestation</v>
      </c>
      <c r="I1250" s="8" t="b">
        <f>IF(D1250&lt;2,FALSE,ISERROR(MATCH(H1250,'Ontology and concepts per UC'!$A$2:$A$62,0)))</f>
        <v>0</v>
      </c>
      <c r="J1250" s="9" t="str">
        <f t="shared" si="32"/>
        <v/>
      </c>
      <c r="K1250" s="8" t="b">
        <f>IF(D1250&lt;3,FALSE,ISERROR(MATCH(J1250,'Ontology and concepts per UC'!$A$2:$A$62,0)))</f>
        <v>0</v>
      </c>
      <c r="L1250" s="2" t="s">
        <v>3272</v>
      </c>
      <c r="M1250" s="2" t="s">
        <v>3273</v>
      </c>
      <c r="N1250" s="2"/>
      <c r="O1250" s="1" t="b">
        <v>0</v>
      </c>
      <c r="P1250" s="1">
        <v>0</v>
      </c>
      <c r="Q1250" s="1">
        <v>0</v>
      </c>
      <c r="R1250" s="1" t="b">
        <f t="shared" si="33"/>
        <v>0</v>
      </c>
      <c r="S1250" s="2" t="s">
        <v>28</v>
      </c>
      <c r="T1250" s="1" t="str">
        <f>IF(S1250="","",VLOOKUP(S1250,'Ontology and concepts per UC'!$F$2:$J$46,5,FALSE))</f>
        <v>Modelo Conceptual</v>
      </c>
      <c r="U1250" s="1" t="b">
        <f t="array" ref="U1250">(INDEX('Ontology and concepts per UC'!$G$2:$I$46,MATCH($S1250,'Ontology and concepts per UC'!$F$2:$F$46,0),MATCH(LEFT($A1250,3),'Ontology and concepts per UC'!$G$1:$I$1,0))=0)</f>
        <v>0</v>
      </c>
      <c r="V1250" s="1" t="b">
        <f t="shared" si="34"/>
        <v>0</v>
      </c>
      <c r="W1250" s="1" t="b">
        <v>0</v>
      </c>
      <c r="X1250" s="1" t="b">
        <v>0</v>
      </c>
      <c r="Y1250" s="1" t="b">
        <v>0</v>
      </c>
      <c r="Z1250" s="1" t="b">
        <v>0</v>
      </c>
      <c r="AA1250" s="1"/>
    </row>
    <row r="1251" spans="1:27" x14ac:dyDescent="0.25">
      <c r="A1251" s="1" t="s">
        <v>3248</v>
      </c>
      <c r="B1251" s="2" t="s">
        <v>3274</v>
      </c>
      <c r="C1251" s="2" t="s">
        <v>3268</v>
      </c>
      <c r="D1251" s="6">
        <f t="shared" si="28"/>
        <v>2</v>
      </c>
      <c r="E1251" s="7" t="str">
        <f t="shared" si="29"/>
        <v>Manifestation</v>
      </c>
      <c r="F1251" s="8" t="b">
        <f>IF(D1251&lt;1,FALSE,ISERROR(MATCH(E1251,'Ontology and concepts per UC'!$A$2:$A$62,0)))</f>
        <v>0</v>
      </c>
      <c r="G1251" s="9" t="str">
        <f t="shared" si="30"/>
        <v>AcuteManifestation</v>
      </c>
      <c r="H1251" s="9" t="str">
        <f t="shared" si="31"/>
        <v>AcuteManifestation</v>
      </c>
      <c r="I1251" s="8" t="b">
        <f>IF(D1251&lt;2,FALSE,ISERROR(MATCH(H1251,'Ontology and concepts per UC'!$A$2:$A$62,0)))</f>
        <v>0</v>
      </c>
      <c r="J1251" s="9" t="str">
        <f t="shared" si="32"/>
        <v/>
      </c>
      <c r="K1251" s="8" t="b">
        <f>IF(D1251&lt;3,FALSE,ISERROR(MATCH(J1251,'Ontology and concepts per UC'!$A$2:$A$62,0)))</f>
        <v>0</v>
      </c>
      <c r="L1251" s="2" t="s">
        <v>3275</v>
      </c>
      <c r="M1251" s="2" t="s">
        <v>3276</v>
      </c>
      <c r="N1251" s="2"/>
      <c r="O1251" s="1" t="b">
        <v>0</v>
      </c>
      <c r="P1251" s="1">
        <v>0</v>
      </c>
      <c r="Q1251" s="1">
        <v>0</v>
      </c>
      <c r="R1251" s="1" t="b">
        <f t="shared" si="33"/>
        <v>0</v>
      </c>
      <c r="S1251" s="2" t="s">
        <v>17</v>
      </c>
      <c r="T1251" s="1" t="str">
        <f>IF(S1251="","",VLOOKUP(S1251,'Ontology and concepts per UC'!$F$2:$J$46,5,FALSE))</f>
        <v>Modelo Conceptual</v>
      </c>
      <c r="U1251" s="1" t="b">
        <f t="array" ref="U1251">(INDEX('Ontology and concepts per UC'!$G$2:$I$46,MATCH($S1251,'Ontology and concepts per UC'!$F$2:$F$46,0),MATCH(LEFT($A1251,3),'Ontology and concepts per UC'!$G$1:$I$1,0))=0)</f>
        <v>0</v>
      </c>
      <c r="V1251" s="1" t="b">
        <f t="shared" si="34"/>
        <v>0</v>
      </c>
      <c r="W1251" s="1" t="b">
        <v>0</v>
      </c>
      <c r="X1251" s="1" t="b">
        <v>0</v>
      </c>
      <c r="Y1251" s="1" t="b">
        <v>0</v>
      </c>
      <c r="Z1251" s="1" t="b">
        <v>0</v>
      </c>
      <c r="AA1251" s="1"/>
    </row>
    <row r="1252" spans="1:27" x14ac:dyDescent="0.25">
      <c r="A1252" s="1" t="s">
        <v>3248</v>
      </c>
      <c r="B1252" s="2" t="s">
        <v>3277</v>
      </c>
      <c r="C1252" s="2" t="s">
        <v>3268</v>
      </c>
      <c r="D1252" s="6">
        <f t="shared" si="28"/>
        <v>2</v>
      </c>
      <c r="E1252" s="7" t="str">
        <f t="shared" si="29"/>
        <v>Manifestation</v>
      </c>
      <c r="F1252" s="8" t="b">
        <f>IF(D1252&lt;1,FALSE,ISERROR(MATCH(E1252,'Ontology and concepts per UC'!$A$2:$A$62,0)))</f>
        <v>0</v>
      </c>
      <c r="G1252" s="9" t="str">
        <f t="shared" si="30"/>
        <v>AcuteManifestation</v>
      </c>
      <c r="H1252" s="9" t="str">
        <f t="shared" si="31"/>
        <v>AcuteManifestation</v>
      </c>
      <c r="I1252" s="8" t="b">
        <f>IF(D1252&lt;2,FALSE,ISERROR(MATCH(H1252,'Ontology and concepts per UC'!$A$2:$A$62,0)))</f>
        <v>0</v>
      </c>
      <c r="J1252" s="9" t="str">
        <f t="shared" si="32"/>
        <v/>
      </c>
      <c r="K1252" s="8" t="b">
        <f>IF(D1252&lt;3,FALSE,ISERROR(MATCH(J1252,'Ontology and concepts per UC'!$A$2:$A$62,0)))</f>
        <v>0</v>
      </c>
      <c r="L1252" s="2" t="s">
        <v>3278</v>
      </c>
      <c r="M1252" s="2" t="s">
        <v>3279</v>
      </c>
      <c r="N1252" s="2"/>
      <c r="O1252" s="1" t="b">
        <v>0</v>
      </c>
      <c r="P1252" s="1">
        <v>0</v>
      </c>
      <c r="Q1252" s="1">
        <v>0</v>
      </c>
      <c r="R1252" s="1" t="b">
        <f t="shared" si="33"/>
        <v>0</v>
      </c>
      <c r="S1252" s="2" t="s">
        <v>325</v>
      </c>
      <c r="T1252" s="1" t="str">
        <f>IF(S1252="","",VLOOKUP(S1252,'Ontology and concepts per UC'!$F$2:$J$46,5,FALSE))</f>
        <v>Modelo Conceptual</v>
      </c>
      <c r="U1252" s="1" t="b">
        <f t="array" ref="U1252">(INDEX('Ontology and concepts per UC'!$G$2:$I$46,MATCH($S1252,'Ontology and concepts per UC'!$F$2:$F$46,0),MATCH(LEFT($A1252,3),'Ontology and concepts per UC'!$G$1:$I$1,0))=0)</f>
        <v>1</v>
      </c>
      <c r="V1252" s="1" t="b">
        <f t="shared" si="34"/>
        <v>0</v>
      </c>
      <c r="W1252" s="1" t="b">
        <v>0</v>
      </c>
      <c r="X1252" s="1" t="b">
        <v>0</v>
      </c>
      <c r="Y1252" s="1" t="b">
        <v>0</v>
      </c>
      <c r="Z1252" s="1" t="b">
        <v>0</v>
      </c>
      <c r="AA1252" s="1"/>
    </row>
    <row r="1253" spans="1:27" x14ac:dyDescent="0.25">
      <c r="A1253" s="1" t="s">
        <v>3248</v>
      </c>
      <c r="B1253" s="2" t="s">
        <v>3280</v>
      </c>
      <c r="C1253" s="2" t="s">
        <v>3281</v>
      </c>
      <c r="D1253" s="6">
        <f t="shared" si="28"/>
        <v>2</v>
      </c>
      <c r="E1253" s="7" t="str">
        <f t="shared" si="29"/>
        <v>Manifestation</v>
      </c>
      <c r="F1253" s="8" t="b">
        <f>IF(D1253&lt;1,FALSE,ISERROR(MATCH(E1253,'Ontology and concepts per UC'!$A$2:$A$62,0)))</f>
        <v>0</v>
      </c>
      <c r="G1253" s="9" t="str">
        <f t="shared" si="30"/>
        <v>ChronicManifestation</v>
      </c>
      <c r="H1253" s="9" t="str">
        <f t="shared" si="31"/>
        <v>ChronicManifestation</v>
      </c>
      <c r="I1253" s="8" t="b">
        <f>IF(D1253&lt;2,FALSE,ISERROR(MATCH(H1253,'Ontology and concepts per UC'!$A$2:$A$62,0)))</f>
        <v>0</v>
      </c>
      <c r="J1253" s="9" t="str">
        <f t="shared" si="32"/>
        <v/>
      </c>
      <c r="K1253" s="8" t="b">
        <f>IF(D1253&lt;3,FALSE,ISERROR(MATCH(J1253,'Ontology and concepts per UC'!$A$2:$A$62,0)))</f>
        <v>0</v>
      </c>
      <c r="L1253" s="2" t="s">
        <v>3282</v>
      </c>
      <c r="M1253" s="2" t="s">
        <v>3283</v>
      </c>
      <c r="N1253" s="2"/>
      <c r="O1253" s="1" t="b">
        <v>0</v>
      </c>
      <c r="P1253" s="1">
        <v>0</v>
      </c>
      <c r="Q1253" s="1">
        <v>0</v>
      </c>
      <c r="R1253" s="1" t="b">
        <f t="shared" si="33"/>
        <v>0</v>
      </c>
      <c r="S1253" s="2" t="s">
        <v>325</v>
      </c>
      <c r="T1253" s="1" t="str">
        <f>IF(S1253="","",VLOOKUP(S1253,'Ontology and concepts per UC'!$F$2:$J$46,5,FALSE))</f>
        <v>Modelo Conceptual</v>
      </c>
      <c r="U1253" s="1" t="b">
        <f t="array" ref="U1253">(INDEX('Ontology and concepts per UC'!$G$2:$I$46,MATCH($S1253,'Ontology and concepts per UC'!$F$2:$F$46,0),MATCH(LEFT($A1253,3),'Ontology and concepts per UC'!$G$1:$I$1,0))=0)</f>
        <v>1</v>
      </c>
      <c r="V1253" s="1" t="b">
        <f t="shared" si="34"/>
        <v>0</v>
      </c>
      <c r="W1253" s="1" t="b">
        <v>0</v>
      </c>
      <c r="X1253" s="1" t="b">
        <v>0</v>
      </c>
      <c r="Y1253" s="1" t="b">
        <v>0</v>
      </c>
      <c r="Z1253" s="1" t="b">
        <v>0</v>
      </c>
      <c r="AA1253" s="1"/>
    </row>
    <row r="1254" spans="1:27" x14ac:dyDescent="0.25">
      <c r="A1254" s="1" t="s">
        <v>3248</v>
      </c>
      <c r="B1254" s="2" t="s">
        <v>3284</v>
      </c>
      <c r="C1254" s="2" t="s">
        <v>3281</v>
      </c>
      <c r="D1254" s="6">
        <f t="shared" si="28"/>
        <v>2</v>
      </c>
      <c r="E1254" s="7" t="str">
        <f t="shared" si="29"/>
        <v>Manifestation</v>
      </c>
      <c r="F1254" s="8" t="b">
        <f>IF(D1254&lt;1,FALSE,ISERROR(MATCH(E1254,'Ontology and concepts per UC'!$A$2:$A$62,0)))</f>
        <v>0</v>
      </c>
      <c r="G1254" s="9" t="str">
        <f t="shared" si="30"/>
        <v>ChronicManifestation</v>
      </c>
      <c r="H1254" s="9" t="str">
        <f t="shared" si="31"/>
        <v>ChronicManifestation</v>
      </c>
      <c r="I1254" s="8" t="b">
        <f>IF(D1254&lt;2,FALSE,ISERROR(MATCH(H1254,'Ontology and concepts per UC'!$A$2:$A$62,0)))</f>
        <v>0</v>
      </c>
      <c r="J1254" s="9" t="str">
        <f t="shared" si="32"/>
        <v/>
      </c>
      <c r="K1254" s="8" t="b">
        <f>IF(D1254&lt;3,FALSE,ISERROR(MATCH(J1254,'Ontology and concepts per UC'!$A$2:$A$62,0)))</f>
        <v>0</v>
      </c>
      <c r="L1254" s="2" t="s">
        <v>3285</v>
      </c>
      <c r="M1254" s="2" t="s">
        <v>3286</v>
      </c>
      <c r="N1254" s="2"/>
      <c r="O1254" s="1" t="b">
        <v>0</v>
      </c>
      <c r="P1254" s="1">
        <v>0</v>
      </c>
      <c r="Q1254" s="1">
        <v>0</v>
      </c>
      <c r="R1254" s="1" t="b">
        <f t="shared" si="33"/>
        <v>0</v>
      </c>
      <c r="S1254" s="2" t="s">
        <v>325</v>
      </c>
      <c r="T1254" s="1" t="str">
        <f>IF(S1254="","",VLOOKUP(S1254,'Ontology and concepts per UC'!$F$2:$J$46,5,FALSE))</f>
        <v>Modelo Conceptual</v>
      </c>
      <c r="U1254" s="1" t="b">
        <f t="array" ref="U1254">(INDEX('Ontology and concepts per UC'!$G$2:$I$46,MATCH($S1254,'Ontology and concepts per UC'!$F$2:$F$46,0),MATCH(LEFT($A1254,3),'Ontology and concepts per UC'!$G$1:$I$1,0))=0)</f>
        <v>1</v>
      </c>
      <c r="V1254" s="1" t="b">
        <f t="shared" si="34"/>
        <v>0</v>
      </c>
      <c r="W1254" s="1" t="b">
        <v>0</v>
      </c>
      <c r="X1254" s="1" t="b">
        <v>0</v>
      </c>
      <c r="Y1254" s="1" t="b">
        <v>0</v>
      </c>
      <c r="Z1254" s="1" t="b">
        <v>0</v>
      </c>
      <c r="AA1254" s="1"/>
    </row>
    <row r="1255" spans="1:27" x14ac:dyDescent="0.25">
      <c r="A1255" s="1" t="s">
        <v>3248</v>
      </c>
      <c r="B1255" s="2" t="s">
        <v>3287</v>
      </c>
      <c r="C1255" s="2" t="s">
        <v>3281</v>
      </c>
      <c r="D1255" s="6">
        <f t="shared" si="28"/>
        <v>2</v>
      </c>
      <c r="E1255" s="7" t="str">
        <f t="shared" si="29"/>
        <v>Manifestation</v>
      </c>
      <c r="F1255" s="8" t="b">
        <f>IF(D1255&lt;1,FALSE,ISERROR(MATCH(E1255,'Ontology and concepts per UC'!$A$2:$A$62,0)))</f>
        <v>0</v>
      </c>
      <c r="G1255" s="9" t="str">
        <f t="shared" si="30"/>
        <v>ChronicManifestation</v>
      </c>
      <c r="H1255" s="9" t="str">
        <f t="shared" si="31"/>
        <v>ChronicManifestation</v>
      </c>
      <c r="I1255" s="8" t="b">
        <f>IF(D1255&lt;2,FALSE,ISERROR(MATCH(H1255,'Ontology and concepts per UC'!$A$2:$A$62,0)))</f>
        <v>0</v>
      </c>
      <c r="J1255" s="9" t="str">
        <f t="shared" si="32"/>
        <v/>
      </c>
      <c r="K1255" s="8" t="b">
        <f>IF(D1255&lt;3,FALSE,ISERROR(MATCH(J1255,'Ontology and concepts per UC'!$A$2:$A$62,0)))</f>
        <v>0</v>
      </c>
      <c r="L1255" s="2" t="s">
        <v>3288</v>
      </c>
      <c r="M1255" s="2" t="s">
        <v>132</v>
      </c>
      <c r="N1255" s="2"/>
      <c r="O1255" s="1" t="b">
        <v>0</v>
      </c>
      <c r="P1255" s="1">
        <v>0</v>
      </c>
      <c r="Q1255" s="1">
        <v>0</v>
      </c>
      <c r="R1255" s="1" t="b">
        <f t="shared" si="33"/>
        <v>0</v>
      </c>
      <c r="S1255" s="2" t="s">
        <v>32</v>
      </c>
      <c r="T1255" s="1" t="str">
        <f>IF(S1255="","",VLOOKUP(S1255,'Ontology and concepts per UC'!$F$2:$J$46,5,FALSE))</f>
        <v>Modelo Conceptual</v>
      </c>
      <c r="U1255" s="1" t="b">
        <f t="array" ref="U1255">(INDEX('Ontology and concepts per UC'!$G$2:$I$46,MATCH($S1255,'Ontology and concepts per UC'!$F$2:$F$46,0),MATCH(LEFT($A1255,3),'Ontology and concepts per UC'!$G$1:$I$1,0))=0)</f>
        <v>0</v>
      </c>
      <c r="V1255" s="1" t="b">
        <f t="shared" si="34"/>
        <v>0</v>
      </c>
      <c r="W1255" s="1" t="b">
        <v>0</v>
      </c>
      <c r="X1255" s="1" t="b">
        <v>0</v>
      </c>
      <c r="Y1255" s="1" t="b">
        <v>0</v>
      </c>
      <c r="Z1255" s="1" t="b">
        <v>0</v>
      </c>
      <c r="AA1255" s="1"/>
    </row>
    <row r="1256" spans="1:27" x14ac:dyDescent="0.25">
      <c r="A1256" s="1" t="s">
        <v>3248</v>
      </c>
      <c r="B1256" s="2" t="s">
        <v>3289</v>
      </c>
      <c r="C1256" s="2" t="s">
        <v>3281</v>
      </c>
      <c r="D1256" s="6">
        <f t="shared" si="28"/>
        <v>2</v>
      </c>
      <c r="E1256" s="7" t="str">
        <f t="shared" si="29"/>
        <v>Manifestation</v>
      </c>
      <c r="F1256" s="8" t="b">
        <f>IF(D1256&lt;1,FALSE,ISERROR(MATCH(E1256,'Ontology and concepts per UC'!$A$2:$A$62,0)))</f>
        <v>0</v>
      </c>
      <c r="G1256" s="9" t="str">
        <f t="shared" si="30"/>
        <v>ChronicManifestation</v>
      </c>
      <c r="H1256" s="9" t="str">
        <f t="shared" si="31"/>
        <v>ChronicManifestation</v>
      </c>
      <c r="I1256" s="8" t="b">
        <f>IF(D1256&lt;2,FALSE,ISERROR(MATCH(H1256,'Ontology and concepts per UC'!$A$2:$A$62,0)))</f>
        <v>0</v>
      </c>
      <c r="J1256" s="9" t="str">
        <f t="shared" si="32"/>
        <v/>
      </c>
      <c r="K1256" s="8" t="b">
        <f>IF(D1256&lt;3,FALSE,ISERROR(MATCH(J1256,'Ontology and concepts per UC'!$A$2:$A$62,0)))</f>
        <v>0</v>
      </c>
      <c r="L1256" s="2" t="s">
        <v>3290</v>
      </c>
      <c r="M1256" s="2" t="s">
        <v>126</v>
      </c>
      <c r="N1256" s="2"/>
      <c r="O1256" s="1" t="b">
        <v>0</v>
      </c>
      <c r="P1256" s="1">
        <v>0</v>
      </c>
      <c r="Q1256" s="1">
        <v>0</v>
      </c>
      <c r="R1256" s="1" t="b">
        <f t="shared" si="33"/>
        <v>0</v>
      </c>
      <c r="S1256" s="2" t="s">
        <v>29</v>
      </c>
      <c r="T1256" s="1" t="str">
        <f>IF(S1256="","",VLOOKUP(S1256,'Ontology and concepts per UC'!$F$2:$J$46,5,FALSE))</f>
        <v>Modelo Conceptual</v>
      </c>
      <c r="U1256" s="1" t="b">
        <f t="array" ref="U1256">(INDEX('Ontology and concepts per UC'!$G$2:$I$46,MATCH($S1256,'Ontology and concepts per UC'!$F$2:$F$46,0),MATCH(LEFT($A1256,3),'Ontology and concepts per UC'!$G$1:$I$1,0))=0)</f>
        <v>0</v>
      </c>
      <c r="V1256" s="1" t="b">
        <f t="shared" si="34"/>
        <v>0</v>
      </c>
      <c r="W1256" s="1" t="b">
        <v>0</v>
      </c>
      <c r="X1256" s="1" t="b">
        <v>0</v>
      </c>
      <c r="Y1256" s="1" t="b">
        <v>0</v>
      </c>
      <c r="Z1256" s="1" t="b">
        <v>0</v>
      </c>
      <c r="AA1256" s="1"/>
    </row>
    <row r="1257" spans="1:27" x14ac:dyDescent="0.25">
      <c r="A1257" s="1" t="s">
        <v>3248</v>
      </c>
      <c r="B1257" s="2" t="s">
        <v>3291</v>
      </c>
      <c r="C1257" s="2" t="s">
        <v>3281</v>
      </c>
      <c r="D1257" s="6">
        <f t="shared" si="28"/>
        <v>2</v>
      </c>
      <c r="E1257" s="7" t="str">
        <f t="shared" si="29"/>
        <v>Manifestation</v>
      </c>
      <c r="F1257" s="8" t="b">
        <f>IF(D1257&lt;1,FALSE,ISERROR(MATCH(E1257,'Ontology and concepts per UC'!$A$2:$A$62,0)))</f>
        <v>0</v>
      </c>
      <c r="G1257" s="9" t="str">
        <f t="shared" si="30"/>
        <v>ChronicManifestation</v>
      </c>
      <c r="H1257" s="9" t="str">
        <f t="shared" si="31"/>
        <v>ChronicManifestation</v>
      </c>
      <c r="I1257" s="8" t="b">
        <f>IF(D1257&lt;2,FALSE,ISERROR(MATCH(H1257,'Ontology and concepts per UC'!$A$2:$A$62,0)))</f>
        <v>0</v>
      </c>
      <c r="J1257" s="9" t="str">
        <f t="shared" si="32"/>
        <v/>
      </c>
      <c r="K1257" s="8" t="b">
        <f>IF(D1257&lt;3,FALSE,ISERROR(MATCH(J1257,'Ontology and concepts per UC'!$A$2:$A$62,0)))</f>
        <v>0</v>
      </c>
      <c r="L1257" s="2" t="s">
        <v>3292</v>
      </c>
      <c r="M1257" s="2" t="s">
        <v>1559</v>
      </c>
      <c r="N1257" s="2"/>
      <c r="O1257" s="1" t="b">
        <v>0</v>
      </c>
      <c r="P1257" s="1">
        <v>0</v>
      </c>
      <c r="Q1257" s="1">
        <v>0</v>
      </c>
      <c r="R1257" s="1" t="b">
        <f t="shared" si="33"/>
        <v>0</v>
      </c>
      <c r="S1257" s="2" t="s">
        <v>26</v>
      </c>
      <c r="T1257" s="1" t="str">
        <f>IF(S1257="","",VLOOKUP(S1257,'Ontology and concepts per UC'!$F$2:$J$46,5,FALSE))</f>
        <v>Modelo Conceptual</v>
      </c>
      <c r="U1257" s="1" t="b">
        <f t="array" ref="U1257">(INDEX('Ontology and concepts per UC'!$G$2:$I$46,MATCH($S1257,'Ontology and concepts per UC'!$F$2:$F$46,0),MATCH(LEFT($A1257,3),'Ontology and concepts per UC'!$G$1:$I$1,0))=0)</f>
        <v>0</v>
      </c>
      <c r="V1257" s="1" t="b">
        <f t="shared" si="34"/>
        <v>0</v>
      </c>
      <c r="W1257" s="1" t="b">
        <v>0</v>
      </c>
      <c r="X1257" s="1" t="b">
        <v>0</v>
      </c>
      <c r="Y1257" s="1" t="b">
        <v>0</v>
      </c>
      <c r="Z1257" s="1" t="b">
        <v>0</v>
      </c>
      <c r="AA1257" s="1"/>
    </row>
    <row r="1258" spans="1:27" x14ac:dyDescent="0.25">
      <c r="A1258" s="1" t="s">
        <v>3248</v>
      </c>
      <c r="B1258" s="2" t="s">
        <v>3293</v>
      </c>
      <c r="C1258" s="2" t="s">
        <v>164</v>
      </c>
      <c r="D1258" s="6">
        <f t="shared" si="28"/>
        <v>2</v>
      </c>
      <c r="E1258" s="7" t="str">
        <f t="shared" si="29"/>
        <v>RareDisease</v>
      </c>
      <c r="F1258" s="8" t="b">
        <f>IF(D1258&lt;1,FALSE,ISERROR(MATCH(E1258,'Ontology and concepts per UC'!$A$2:$A$62,0)))</f>
        <v>0</v>
      </c>
      <c r="G1258" s="9" t="str">
        <f t="shared" si="30"/>
        <v>Disease</v>
      </c>
      <c r="H1258" s="9" t="str">
        <f t="shared" si="31"/>
        <v>Disease</v>
      </c>
      <c r="I1258" s="8" t="b">
        <f>IF(D1258&lt;2,FALSE,ISERROR(MATCH(H1258,'Ontology and concepts per UC'!$A$2:$A$62,0)))</f>
        <v>0</v>
      </c>
      <c r="J1258" s="9" t="str">
        <f t="shared" si="32"/>
        <v/>
      </c>
      <c r="K1258" s="8" t="b">
        <f>IF(D1258&lt;3,FALSE,ISERROR(MATCH(J1258,'Ontology and concepts per UC'!$A$2:$A$62,0)))</f>
        <v>0</v>
      </c>
      <c r="L1258" s="2" t="s">
        <v>3294</v>
      </c>
      <c r="M1258" s="2" t="s">
        <v>3295</v>
      </c>
      <c r="N1258" s="2"/>
      <c r="O1258" s="1" t="b">
        <v>0</v>
      </c>
      <c r="P1258" s="1">
        <v>0</v>
      </c>
      <c r="Q1258" s="1">
        <v>0</v>
      </c>
      <c r="R1258" s="1" t="b">
        <f t="shared" si="33"/>
        <v>0</v>
      </c>
      <c r="S1258" s="2" t="s">
        <v>35</v>
      </c>
      <c r="T1258" s="1" t="str">
        <f>IF(S1258="","",VLOOKUP(S1258,'Ontology and concepts per UC'!$F$2:$J$46,5,FALSE))</f>
        <v>Modelo Conceptual</v>
      </c>
      <c r="U1258" s="1" t="b">
        <f t="array" ref="U1258">(INDEX('Ontology and concepts per UC'!$G$2:$I$46,MATCH($S1258,'Ontology and concepts per UC'!$F$2:$F$46,0),MATCH(LEFT($A1258,3),'Ontology and concepts per UC'!$G$1:$I$1,0))=0)</f>
        <v>0</v>
      </c>
      <c r="V1258" s="1" t="b">
        <f t="shared" si="34"/>
        <v>1</v>
      </c>
      <c r="W1258" s="1" t="b">
        <v>0</v>
      </c>
      <c r="X1258" s="1" t="b">
        <v>0</v>
      </c>
      <c r="Y1258" s="1" t="b">
        <v>0</v>
      </c>
      <c r="Z1258" s="1" t="b">
        <v>1</v>
      </c>
      <c r="AA1258" s="1" t="s">
        <v>197</v>
      </c>
    </row>
    <row r="1259" spans="1:27" x14ac:dyDescent="0.25">
      <c r="A1259" s="1" t="s">
        <v>3248</v>
      </c>
      <c r="B1259" s="2" t="s">
        <v>3296</v>
      </c>
      <c r="C1259" s="2" t="s">
        <v>219</v>
      </c>
      <c r="D1259" s="6">
        <f t="shared" si="28"/>
        <v>1</v>
      </c>
      <c r="E1259" s="7" t="str">
        <f t="shared" si="29"/>
        <v>Utility</v>
      </c>
      <c r="F1259" s="8" t="b">
        <f>IF(D1259&lt;1,FALSE,ISERROR(MATCH(E1259,'Ontology and concepts per UC'!$A$2:$A$62,0)))</f>
        <v>0</v>
      </c>
      <c r="G1259" s="9" t="str">
        <f t="shared" si="30"/>
        <v/>
      </c>
      <c r="H1259" s="9" t="str">
        <f t="shared" si="31"/>
        <v/>
      </c>
      <c r="I1259" s="8" t="b">
        <f>IF(D1259&lt;2,FALSE,ISERROR(MATCH(H1259,'Ontology and concepts per UC'!$A$2:$A$62,0)))</f>
        <v>0</v>
      </c>
      <c r="J1259" s="9" t="str">
        <f t="shared" si="32"/>
        <v/>
      </c>
      <c r="K1259" s="8" t="b">
        <f>IF(D1259&lt;3,FALSE,ISERROR(MATCH(J1259,'Ontology and concepts per UC'!$A$2:$A$62,0)))</f>
        <v>0</v>
      </c>
      <c r="L1259" s="2" t="s">
        <v>3297</v>
      </c>
      <c r="M1259" s="2" t="s">
        <v>3298</v>
      </c>
      <c r="N1259" s="2"/>
      <c r="O1259" s="1" t="b">
        <v>0</v>
      </c>
      <c r="P1259" s="1">
        <v>0</v>
      </c>
      <c r="Q1259" s="1">
        <v>0</v>
      </c>
      <c r="R1259" s="1" t="b">
        <f t="shared" si="33"/>
        <v>1</v>
      </c>
      <c r="S1259" s="2" t="s">
        <v>174</v>
      </c>
      <c r="T1259" s="1" t="str">
        <f>IF(S1259="","",VLOOKUP(S1259,'Ontology and concepts per UC'!$F$2:$J$46,5,FALSE))</f>
        <v>Utilidad</v>
      </c>
      <c r="U1259" s="1" t="b">
        <f t="array" ref="U1259">(INDEX('Ontology and concepts per UC'!$G$2:$I$46,MATCH($S1259,'Ontology and concepts per UC'!$F$2:$F$46,0),MATCH(LEFT($A1259,3),'Ontology and concepts per UC'!$G$1:$I$1,0))=0)</f>
        <v>1</v>
      </c>
      <c r="V1259" s="1" t="b">
        <f t="shared" si="34"/>
        <v>0</v>
      </c>
      <c r="W1259" s="1" t="b">
        <v>0</v>
      </c>
      <c r="X1259" s="1" t="b">
        <v>0</v>
      </c>
      <c r="Y1259" s="1" t="b">
        <v>0</v>
      </c>
      <c r="Z1259" s="1" t="b">
        <v>0</v>
      </c>
      <c r="AA1259" s="1"/>
    </row>
    <row r="1260" spans="1:27" x14ac:dyDescent="0.25">
      <c r="A1260" s="1" t="s">
        <v>3248</v>
      </c>
      <c r="B1260" s="2" t="s">
        <v>3299</v>
      </c>
      <c r="C1260" s="2" t="s">
        <v>219</v>
      </c>
      <c r="D1260" s="6">
        <f t="shared" si="28"/>
        <v>1</v>
      </c>
      <c r="E1260" s="7" t="str">
        <f t="shared" si="29"/>
        <v>Utility</v>
      </c>
      <c r="F1260" s="8" t="b">
        <f>IF(D1260&lt;1,FALSE,ISERROR(MATCH(E1260,'Ontology and concepts per UC'!$A$2:$A$62,0)))</f>
        <v>0</v>
      </c>
      <c r="G1260" s="9" t="str">
        <f t="shared" si="30"/>
        <v/>
      </c>
      <c r="H1260" s="9" t="str">
        <f t="shared" si="31"/>
        <v/>
      </c>
      <c r="I1260" s="8" t="b">
        <f>IF(D1260&lt;2,FALSE,ISERROR(MATCH(H1260,'Ontology and concepts per UC'!$A$2:$A$62,0)))</f>
        <v>0</v>
      </c>
      <c r="J1260" s="9" t="str">
        <f t="shared" si="32"/>
        <v/>
      </c>
      <c r="K1260" s="8" t="b">
        <f>IF(D1260&lt;3,FALSE,ISERROR(MATCH(J1260,'Ontology and concepts per UC'!$A$2:$A$62,0)))</f>
        <v>0</v>
      </c>
      <c r="L1260" s="2" t="s">
        <v>3297</v>
      </c>
      <c r="M1260" s="2" t="s">
        <v>3300</v>
      </c>
      <c r="N1260" s="2"/>
      <c r="O1260" s="1" t="b">
        <v>0</v>
      </c>
      <c r="P1260" s="1">
        <v>0</v>
      </c>
      <c r="Q1260" s="1">
        <v>0</v>
      </c>
      <c r="R1260" s="1" t="b">
        <f t="shared" si="33"/>
        <v>1</v>
      </c>
      <c r="S1260" s="2" t="s">
        <v>174</v>
      </c>
      <c r="T1260" s="1" t="str">
        <f>IF(S1260="","",VLOOKUP(S1260,'Ontology and concepts per UC'!$F$2:$J$46,5,FALSE))</f>
        <v>Utilidad</v>
      </c>
      <c r="U1260" s="1" t="b">
        <f t="array" ref="U1260">(INDEX('Ontology and concepts per UC'!$G$2:$I$46,MATCH($S1260,'Ontology and concepts per UC'!$F$2:$F$46,0),MATCH(LEFT($A1260,3),'Ontology and concepts per UC'!$G$1:$I$1,0))=0)</f>
        <v>1</v>
      </c>
      <c r="V1260" s="1" t="b">
        <f t="shared" si="34"/>
        <v>0</v>
      </c>
      <c r="W1260" s="1" t="b">
        <v>0</v>
      </c>
      <c r="X1260" s="1" t="b">
        <v>0</v>
      </c>
      <c r="Y1260" s="1" t="b">
        <v>0</v>
      </c>
      <c r="Z1260" s="1" t="b">
        <v>0</v>
      </c>
      <c r="AA1260" s="1"/>
    </row>
    <row r="1261" spans="1:27" x14ac:dyDescent="0.25">
      <c r="A1261" s="1" t="s">
        <v>3248</v>
      </c>
      <c r="B1261" s="2" t="s">
        <v>3301</v>
      </c>
      <c r="C1261" s="2" t="s">
        <v>219</v>
      </c>
      <c r="D1261" s="6">
        <f t="shared" si="28"/>
        <v>1</v>
      </c>
      <c r="E1261" s="7" t="str">
        <f t="shared" si="29"/>
        <v>Utility</v>
      </c>
      <c r="F1261" s="8" t="b">
        <f>IF(D1261&lt;1,FALSE,ISERROR(MATCH(E1261,'Ontology and concepts per UC'!$A$2:$A$62,0)))</f>
        <v>0</v>
      </c>
      <c r="G1261" s="9" t="str">
        <f t="shared" si="30"/>
        <v/>
      </c>
      <c r="H1261" s="9" t="str">
        <f t="shared" si="31"/>
        <v/>
      </c>
      <c r="I1261" s="8" t="b">
        <f>IF(D1261&lt;2,FALSE,ISERROR(MATCH(H1261,'Ontology and concepts per UC'!$A$2:$A$62,0)))</f>
        <v>0</v>
      </c>
      <c r="J1261" s="9" t="str">
        <f t="shared" si="32"/>
        <v/>
      </c>
      <c r="K1261" s="8" t="b">
        <f>IF(D1261&lt;3,FALSE,ISERROR(MATCH(J1261,'Ontology and concepts per UC'!$A$2:$A$62,0)))</f>
        <v>0</v>
      </c>
      <c r="L1261" s="2" t="s">
        <v>3297</v>
      </c>
      <c r="M1261" s="2" t="s">
        <v>3302</v>
      </c>
      <c r="N1261" s="2"/>
      <c r="O1261" s="1" t="b">
        <v>0</v>
      </c>
      <c r="P1261" s="1">
        <v>0</v>
      </c>
      <c r="Q1261" s="1">
        <v>0</v>
      </c>
      <c r="R1261" s="1" t="b">
        <f t="shared" si="33"/>
        <v>1</v>
      </c>
      <c r="S1261" s="2" t="s">
        <v>70</v>
      </c>
      <c r="T1261" s="1" t="str">
        <f>IF(S1261="","",VLOOKUP(S1261,'Ontology and concepts per UC'!$F$2:$J$46,5,FALSE))</f>
        <v>Utilidad</v>
      </c>
      <c r="U1261" s="1" t="b">
        <f t="array" ref="U1261">(INDEX('Ontology and concepts per UC'!$G$2:$I$46,MATCH($S1261,'Ontology and concepts per UC'!$F$2:$F$46,0),MATCH(LEFT($A1261,3),'Ontology and concepts per UC'!$G$1:$I$1,0))=0)</f>
        <v>0</v>
      </c>
      <c r="V1261" s="1" t="b">
        <f t="shared" si="34"/>
        <v>0</v>
      </c>
      <c r="W1261" s="1" t="b">
        <v>0</v>
      </c>
      <c r="X1261" s="1" t="b">
        <v>0</v>
      </c>
      <c r="Y1261" s="1" t="b">
        <v>0</v>
      </c>
      <c r="Z1261" s="1" t="b">
        <v>0</v>
      </c>
      <c r="AA1261" s="1"/>
    </row>
    <row r="1262" spans="1:27" x14ac:dyDescent="0.25">
      <c r="A1262" s="1" t="s">
        <v>3248</v>
      </c>
      <c r="B1262" s="2" t="s">
        <v>3303</v>
      </c>
      <c r="C1262" s="2" t="s">
        <v>219</v>
      </c>
      <c r="D1262" s="6">
        <f t="shared" si="28"/>
        <v>1</v>
      </c>
      <c r="E1262" s="7" t="str">
        <f t="shared" si="29"/>
        <v>Utility</v>
      </c>
      <c r="F1262" s="8" t="b">
        <f>IF(D1262&lt;1,FALSE,ISERROR(MATCH(E1262,'Ontology and concepts per UC'!$A$2:$A$62,0)))</f>
        <v>0</v>
      </c>
      <c r="G1262" s="9" t="str">
        <f t="shared" si="30"/>
        <v/>
      </c>
      <c r="H1262" s="9" t="str">
        <f t="shared" si="31"/>
        <v/>
      </c>
      <c r="I1262" s="8" t="b">
        <f>IF(D1262&lt;2,FALSE,ISERROR(MATCH(H1262,'Ontology and concepts per UC'!$A$2:$A$62,0)))</f>
        <v>0</v>
      </c>
      <c r="J1262" s="9" t="str">
        <f t="shared" si="32"/>
        <v/>
      </c>
      <c r="K1262" s="8" t="b">
        <f>IF(D1262&lt;3,FALSE,ISERROR(MATCH(J1262,'Ontology and concepts per UC'!$A$2:$A$62,0)))</f>
        <v>0</v>
      </c>
      <c r="L1262" s="2" t="s">
        <v>3297</v>
      </c>
      <c r="M1262" s="2" t="s">
        <v>3304</v>
      </c>
      <c r="N1262" s="2"/>
      <c r="O1262" s="1" t="b">
        <v>0</v>
      </c>
      <c r="P1262" s="1">
        <v>0</v>
      </c>
      <c r="Q1262" s="1">
        <v>0</v>
      </c>
      <c r="R1262" s="1" t="b">
        <f t="shared" si="33"/>
        <v>1</v>
      </c>
      <c r="S1262" s="2" t="s">
        <v>174</v>
      </c>
      <c r="T1262" s="1" t="str">
        <f>IF(S1262="","",VLOOKUP(S1262,'Ontology and concepts per UC'!$F$2:$J$46,5,FALSE))</f>
        <v>Utilidad</v>
      </c>
      <c r="U1262" s="1" t="b">
        <f t="array" ref="U1262">(INDEX('Ontology and concepts per UC'!$G$2:$I$46,MATCH($S1262,'Ontology and concepts per UC'!$F$2:$F$46,0),MATCH(LEFT($A1262,3),'Ontology and concepts per UC'!$G$1:$I$1,0))=0)</f>
        <v>1</v>
      </c>
      <c r="V1262" s="1" t="b">
        <f t="shared" si="34"/>
        <v>0</v>
      </c>
      <c r="W1262" s="1" t="b">
        <v>0</v>
      </c>
      <c r="X1262" s="1" t="b">
        <v>0</v>
      </c>
      <c r="Y1262" s="1" t="b">
        <v>0</v>
      </c>
      <c r="Z1262" s="1" t="b">
        <v>0</v>
      </c>
      <c r="AA1262" s="1"/>
    </row>
    <row r="1263" spans="1:27" x14ac:dyDescent="0.25">
      <c r="A1263" s="1" t="s">
        <v>3248</v>
      </c>
      <c r="B1263" s="2" t="s">
        <v>3305</v>
      </c>
      <c r="C1263" s="2" t="s">
        <v>219</v>
      </c>
      <c r="D1263" s="6">
        <f t="shared" si="28"/>
        <v>1</v>
      </c>
      <c r="E1263" s="7" t="str">
        <f t="shared" si="29"/>
        <v>Utility</v>
      </c>
      <c r="F1263" s="8" t="b">
        <f>IF(D1263&lt;1,FALSE,ISERROR(MATCH(E1263,'Ontology and concepts per UC'!$A$2:$A$62,0)))</f>
        <v>0</v>
      </c>
      <c r="G1263" s="9" t="str">
        <f t="shared" si="30"/>
        <v/>
      </c>
      <c r="H1263" s="9" t="str">
        <f t="shared" si="31"/>
        <v/>
      </c>
      <c r="I1263" s="8" t="b">
        <f>IF(D1263&lt;2,FALSE,ISERROR(MATCH(H1263,'Ontology and concepts per UC'!$A$2:$A$62,0)))</f>
        <v>0</v>
      </c>
      <c r="J1263" s="9" t="str">
        <f t="shared" si="32"/>
        <v/>
      </c>
      <c r="K1263" s="8" t="b">
        <f>IF(D1263&lt;3,FALSE,ISERROR(MATCH(J1263,'Ontology and concepts per UC'!$A$2:$A$62,0)))</f>
        <v>0</v>
      </c>
      <c r="L1263" s="2" t="s">
        <v>3297</v>
      </c>
      <c r="M1263" s="2" t="s">
        <v>3306</v>
      </c>
      <c r="N1263" s="2"/>
      <c r="O1263" s="1" t="b">
        <v>0</v>
      </c>
      <c r="P1263" s="1">
        <v>0</v>
      </c>
      <c r="Q1263" s="1">
        <v>0</v>
      </c>
      <c r="R1263" s="1" t="b">
        <f t="shared" si="33"/>
        <v>1</v>
      </c>
      <c r="S1263" s="2" t="s">
        <v>66</v>
      </c>
      <c r="T1263" s="1" t="str">
        <f>IF(S1263="","",VLOOKUP(S1263,'Ontology and concepts per UC'!$F$2:$J$46,5,FALSE))</f>
        <v>Utilidad</v>
      </c>
      <c r="U1263" s="1" t="b">
        <f t="array" ref="U1263">(INDEX('Ontology and concepts per UC'!$G$2:$I$46,MATCH($S1263,'Ontology and concepts per UC'!$F$2:$F$46,0),MATCH(LEFT($A1263,3),'Ontology and concepts per UC'!$G$1:$I$1,0))=0)</f>
        <v>0</v>
      </c>
      <c r="V1263" s="1" t="b">
        <f t="shared" si="34"/>
        <v>0</v>
      </c>
      <c r="W1263" s="1" t="b">
        <v>0</v>
      </c>
      <c r="X1263" s="1" t="b">
        <v>0</v>
      </c>
      <c r="Y1263" s="1" t="b">
        <v>0</v>
      </c>
      <c r="Z1263" s="1" t="b">
        <v>0</v>
      </c>
      <c r="AA1263" s="1"/>
    </row>
    <row r="1264" spans="1:27" x14ac:dyDescent="0.25">
      <c r="A1264" s="1" t="s">
        <v>3248</v>
      </c>
      <c r="B1264" s="2" t="s">
        <v>3307</v>
      </c>
      <c r="C1264" s="2" t="s">
        <v>219</v>
      </c>
      <c r="D1264" s="6">
        <f t="shared" si="28"/>
        <v>1</v>
      </c>
      <c r="E1264" s="7" t="str">
        <f t="shared" si="29"/>
        <v>Utility</v>
      </c>
      <c r="F1264" s="8" t="b">
        <f>IF(D1264&lt;1,FALSE,ISERROR(MATCH(E1264,'Ontology and concepts per UC'!$A$2:$A$62,0)))</f>
        <v>0</v>
      </c>
      <c r="G1264" s="9" t="str">
        <f t="shared" si="30"/>
        <v/>
      </c>
      <c r="H1264" s="9" t="str">
        <f t="shared" si="31"/>
        <v/>
      </c>
      <c r="I1264" s="8" t="b">
        <f>IF(D1264&lt;2,FALSE,ISERROR(MATCH(H1264,'Ontology and concepts per UC'!$A$2:$A$62,0)))</f>
        <v>0</v>
      </c>
      <c r="J1264" s="9" t="str">
        <f t="shared" si="32"/>
        <v/>
      </c>
      <c r="K1264" s="8" t="b">
        <f>IF(D1264&lt;3,FALSE,ISERROR(MATCH(J1264,'Ontology and concepts per UC'!$A$2:$A$62,0)))</f>
        <v>0</v>
      </c>
      <c r="L1264" s="2" t="s">
        <v>3297</v>
      </c>
      <c r="M1264" s="2" t="s">
        <v>3308</v>
      </c>
      <c r="N1264" s="2"/>
      <c r="O1264" s="1" t="b">
        <v>0</v>
      </c>
      <c r="P1264" s="1">
        <v>0</v>
      </c>
      <c r="Q1264" s="1">
        <v>0</v>
      </c>
      <c r="R1264" s="1" t="b">
        <f t="shared" si="33"/>
        <v>1</v>
      </c>
      <c r="S1264" s="2" t="s">
        <v>67</v>
      </c>
      <c r="T1264" s="1" t="str">
        <f>IF(S1264="","",VLOOKUP(S1264,'Ontology and concepts per UC'!$F$2:$J$46,5,FALSE))</f>
        <v>Utilidad</v>
      </c>
      <c r="U1264" s="1" t="b">
        <f t="array" ref="U1264">(INDEX('Ontology and concepts per UC'!$G$2:$I$46,MATCH($S1264,'Ontology and concepts per UC'!$F$2:$F$46,0),MATCH(LEFT($A1264,3),'Ontology and concepts per UC'!$G$1:$I$1,0))=0)</f>
        <v>0</v>
      </c>
      <c r="V1264" s="1" t="b">
        <f t="shared" si="34"/>
        <v>0</v>
      </c>
      <c r="W1264" s="1" t="b">
        <v>0</v>
      </c>
      <c r="X1264" s="1" t="b">
        <v>0</v>
      </c>
      <c r="Y1264" s="1" t="b">
        <v>0</v>
      </c>
      <c r="Z1264" s="1" t="b">
        <v>0</v>
      </c>
      <c r="AA1264" s="1"/>
    </row>
    <row r="1265" spans="1:27" x14ac:dyDescent="0.25">
      <c r="A1265" s="1" t="s">
        <v>3248</v>
      </c>
      <c r="B1265" s="2" t="s">
        <v>3309</v>
      </c>
      <c r="C1265" s="2" t="s">
        <v>219</v>
      </c>
      <c r="D1265" s="6">
        <f t="shared" si="28"/>
        <v>1</v>
      </c>
      <c r="E1265" s="7" t="str">
        <f t="shared" si="29"/>
        <v>Utility</v>
      </c>
      <c r="F1265" s="8" t="b">
        <f>IF(D1265&lt;1,FALSE,ISERROR(MATCH(E1265,'Ontology and concepts per UC'!$A$2:$A$62,0)))</f>
        <v>0</v>
      </c>
      <c r="G1265" s="9" t="str">
        <f t="shared" si="30"/>
        <v/>
      </c>
      <c r="H1265" s="9" t="str">
        <f t="shared" si="31"/>
        <v/>
      </c>
      <c r="I1265" s="8" t="b">
        <f>IF(D1265&lt;2,FALSE,ISERROR(MATCH(H1265,'Ontology and concepts per UC'!$A$2:$A$62,0)))</f>
        <v>0</v>
      </c>
      <c r="J1265" s="9" t="str">
        <f t="shared" si="32"/>
        <v/>
      </c>
      <c r="K1265" s="8" t="b">
        <f>IF(D1265&lt;3,FALSE,ISERROR(MATCH(J1265,'Ontology and concepts per UC'!$A$2:$A$62,0)))</f>
        <v>0</v>
      </c>
      <c r="L1265" s="2" t="s">
        <v>3297</v>
      </c>
      <c r="M1265" s="2" t="s">
        <v>3310</v>
      </c>
      <c r="N1265" s="2"/>
      <c r="O1265" s="1" t="b">
        <v>0</v>
      </c>
      <c r="P1265" s="1">
        <v>0</v>
      </c>
      <c r="Q1265" s="1">
        <v>0</v>
      </c>
      <c r="R1265" s="1" t="b">
        <f t="shared" si="33"/>
        <v>1</v>
      </c>
      <c r="S1265" s="2" t="s">
        <v>174</v>
      </c>
      <c r="T1265" s="1" t="str">
        <f>IF(S1265="","",VLOOKUP(S1265,'Ontology and concepts per UC'!$F$2:$J$46,5,FALSE))</f>
        <v>Utilidad</v>
      </c>
      <c r="U1265" s="1" t="b">
        <f t="array" ref="U1265">(INDEX('Ontology and concepts per UC'!$G$2:$I$46,MATCH($S1265,'Ontology and concepts per UC'!$F$2:$F$46,0),MATCH(LEFT($A1265,3),'Ontology and concepts per UC'!$G$1:$I$1,0))=0)</f>
        <v>1</v>
      </c>
      <c r="V1265" s="1" t="b">
        <f t="shared" si="34"/>
        <v>0</v>
      </c>
      <c r="W1265" s="1" t="b">
        <v>0</v>
      </c>
      <c r="X1265" s="1" t="b">
        <v>0</v>
      </c>
      <c r="Y1265" s="1" t="b">
        <v>0</v>
      </c>
      <c r="Z1265" s="1" t="b">
        <v>0</v>
      </c>
      <c r="AA1265" s="1"/>
    </row>
    <row r="1266" spans="1:27" x14ac:dyDescent="0.25">
      <c r="A1266" s="1" t="s">
        <v>3248</v>
      </c>
      <c r="B1266" s="2" t="s">
        <v>3311</v>
      </c>
      <c r="C1266" s="2" t="s">
        <v>219</v>
      </c>
      <c r="D1266" s="6">
        <f t="shared" si="28"/>
        <v>1</v>
      </c>
      <c r="E1266" s="7" t="str">
        <f t="shared" si="29"/>
        <v>Utility</v>
      </c>
      <c r="F1266" s="8" t="b">
        <f>IF(D1266&lt;1,FALSE,ISERROR(MATCH(E1266,'Ontology and concepts per UC'!$A$2:$A$62,0)))</f>
        <v>0</v>
      </c>
      <c r="G1266" s="9" t="str">
        <f t="shared" si="30"/>
        <v/>
      </c>
      <c r="H1266" s="9" t="str">
        <f t="shared" si="31"/>
        <v/>
      </c>
      <c r="I1266" s="8" t="b">
        <f>IF(D1266&lt;2,FALSE,ISERROR(MATCH(H1266,'Ontology and concepts per UC'!$A$2:$A$62,0)))</f>
        <v>0</v>
      </c>
      <c r="J1266" s="9" t="str">
        <f t="shared" si="32"/>
        <v/>
      </c>
      <c r="K1266" s="8" t="b">
        <f>IF(D1266&lt;3,FALSE,ISERROR(MATCH(J1266,'Ontology and concepts per UC'!$A$2:$A$62,0)))</f>
        <v>0</v>
      </c>
      <c r="L1266" s="2" t="s">
        <v>3297</v>
      </c>
      <c r="M1266" s="2" t="s">
        <v>3312</v>
      </c>
      <c r="N1266" s="2"/>
      <c r="O1266" s="1" t="b">
        <v>0</v>
      </c>
      <c r="P1266" s="1">
        <v>0</v>
      </c>
      <c r="Q1266" s="1">
        <v>0</v>
      </c>
      <c r="R1266" s="1" t="b">
        <f t="shared" si="33"/>
        <v>1</v>
      </c>
      <c r="S1266" s="2" t="s">
        <v>69</v>
      </c>
      <c r="T1266" s="1" t="str">
        <f>IF(S1266="","",VLOOKUP(S1266,'Ontology and concepts per UC'!$F$2:$J$46,5,FALSE))</f>
        <v>Utilidad</v>
      </c>
      <c r="U1266" s="1" t="b">
        <f t="array" ref="U1266">(INDEX('Ontology and concepts per UC'!$G$2:$I$46,MATCH($S1266,'Ontology and concepts per UC'!$F$2:$F$46,0),MATCH(LEFT($A1266,3),'Ontology and concepts per UC'!$G$1:$I$1,0))=0)</f>
        <v>0</v>
      </c>
      <c r="V1266" s="1" t="b">
        <f t="shared" si="34"/>
        <v>0</v>
      </c>
      <c r="W1266" s="1" t="b">
        <v>0</v>
      </c>
      <c r="X1266" s="1" t="b">
        <v>0</v>
      </c>
      <c r="Y1266" s="1" t="b">
        <v>0</v>
      </c>
      <c r="Z1266" s="1" t="b">
        <v>0</v>
      </c>
      <c r="AA1266" s="1"/>
    </row>
    <row r="1267" spans="1:27" x14ac:dyDescent="0.25">
      <c r="A1267" s="1" t="s">
        <v>3248</v>
      </c>
      <c r="B1267" s="2" t="s">
        <v>3313</v>
      </c>
      <c r="C1267" s="2" t="s">
        <v>219</v>
      </c>
      <c r="D1267" s="6">
        <f t="shared" si="28"/>
        <v>1</v>
      </c>
      <c r="E1267" s="7" t="str">
        <f t="shared" si="29"/>
        <v>Utility</v>
      </c>
      <c r="F1267" s="8" t="b">
        <f>IF(D1267&lt;1,FALSE,ISERROR(MATCH(E1267,'Ontology and concepts per UC'!$A$2:$A$62,0)))</f>
        <v>0</v>
      </c>
      <c r="G1267" s="9" t="str">
        <f t="shared" si="30"/>
        <v/>
      </c>
      <c r="H1267" s="9" t="str">
        <f t="shared" si="31"/>
        <v/>
      </c>
      <c r="I1267" s="8" t="b">
        <f>IF(D1267&lt;2,FALSE,ISERROR(MATCH(H1267,'Ontology and concepts per UC'!$A$2:$A$62,0)))</f>
        <v>0</v>
      </c>
      <c r="J1267" s="9" t="str">
        <f t="shared" si="32"/>
        <v/>
      </c>
      <c r="K1267" s="8" t="b">
        <f>IF(D1267&lt;3,FALSE,ISERROR(MATCH(J1267,'Ontology and concepts per UC'!$A$2:$A$62,0)))</f>
        <v>0</v>
      </c>
      <c r="L1267" s="2" t="s">
        <v>3297</v>
      </c>
      <c r="M1267" s="2" t="s">
        <v>3314</v>
      </c>
      <c r="N1267" s="2"/>
      <c r="O1267" s="1" t="b">
        <v>0</v>
      </c>
      <c r="P1267" s="1">
        <v>0</v>
      </c>
      <c r="Q1267" s="1">
        <v>0</v>
      </c>
      <c r="R1267" s="1" t="b">
        <f t="shared" si="33"/>
        <v>1</v>
      </c>
      <c r="S1267" s="2" t="s">
        <v>65</v>
      </c>
      <c r="T1267" s="1" t="str">
        <f>IF(S1267="","",VLOOKUP(S1267,'Ontology and concepts per UC'!$F$2:$J$46,5,FALSE))</f>
        <v>Utilidad</v>
      </c>
      <c r="U1267" s="1" t="b">
        <f t="array" ref="U1267">(INDEX('Ontology and concepts per UC'!$G$2:$I$46,MATCH($S1267,'Ontology and concepts per UC'!$F$2:$F$46,0),MATCH(LEFT($A1267,3),'Ontology and concepts per UC'!$G$1:$I$1,0))=0)</f>
        <v>0</v>
      </c>
      <c r="V1267" s="1" t="b">
        <f t="shared" si="34"/>
        <v>0</v>
      </c>
      <c r="W1267" s="1" t="b">
        <v>0</v>
      </c>
      <c r="X1267" s="1" t="b">
        <v>0</v>
      </c>
      <c r="Y1267" s="1" t="b">
        <v>0</v>
      </c>
      <c r="Z1267" s="1" t="b">
        <v>0</v>
      </c>
      <c r="AA1267" s="1"/>
    </row>
    <row r="1268" spans="1:27" x14ac:dyDescent="0.25">
      <c r="A1268" s="1" t="s">
        <v>3248</v>
      </c>
      <c r="B1268" s="2" t="s">
        <v>3315</v>
      </c>
      <c r="C1268" s="2" t="s">
        <v>219</v>
      </c>
      <c r="D1268" s="6">
        <f t="shared" si="28"/>
        <v>1</v>
      </c>
      <c r="E1268" s="7" t="str">
        <f t="shared" si="29"/>
        <v>Utility</v>
      </c>
      <c r="F1268" s="8" t="b">
        <f>IF(D1268&lt;1,FALSE,ISERROR(MATCH(E1268,'Ontology and concepts per UC'!$A$2:$A$62,0)))</f>
        <v>0</v>
      </c>
      <c r="G1268" s="9" t="str">
        <f t="shared" si="30"/>
        <v/>
      </c>
      <c r="H1268" s="9" t="str">
        <f t="shared" si="31"/>
        <v/>
      </c>
      <c r="I1268" s="8" t="b">
        <f>IF(D1268&lt;2,FALSE,ISERROR(MATCH(H1268,'Ontology and concepts per UC'!$A$2:$A$62,0)))</f>
        <v>0</v>
      </c>
      <c r="J1268" s="9" t="str">
        <f t="shared" si="32"/>
        <v/>
      </c>
      <c r="K1268" s="8" t="b">
        <f>IF(D1268&lt;3,FALSE,ISERROR(MATCH(J1268,'Ontology and concepts per UC'!$A$2:$A$62,0)))</f>
        <v>0</v>
      </c>
      <c r="L1268" s="2" t="s">
        <v>3297</v>
      </c>
      <c r="M1268" s="2" t="s">
        <v>3316</v>
      </c>
      <c r="N1268" s="2"/>
      <c r="O1268" s="1" t="b">
        <v>0</v>
      </c>
      <c r="P1268" s="1">
        <v>0</v>
      </c>
      <c r="Q1268" s="1">
        <v>0</v>
      </c>
      <c r="R1268" s="1" t="b">
        <f t="shared" si="33"/>
        <v>0</v>
      </c>
      <c r="S1268" s="2" t="s">
        <v>20</v>
      </c>
      <c r="T1268" s="1" t="str">
        <f>IF(S1268="","",VLOOKUP(S1268,'Ontology and concepts per UC'!$F$2:$J$46,5,FALSE))</f>
        <v>Modelo Conceptual</v>
      </c>
      <c r="U1268" s="1" t="b">
        <f t="array" ref="U1268">(INDEX('Ontology and concepts per UC'!$G$2:$I$46,MATCH($S1268,'Ontology and concepts per UC'!$F$2:$F$46,0),MATCH(LEFT($A1268,3),'Ontology and concepts per UC'!$G$1:$I$1,0))=0)</f>
        <v>0</v>
      </c>
      <c r="V1268" s="1" t="b">
        <f t="shared" si="34"/>
        <v>0</v>
      </c>
      <c r="W1268" s="1" t="b">
        <v>0</v>
      </c>
      <c r="X1268" s="1" t="b">
        <v>0</v>
      </c>
      <c r="Y1268" s="1" t="b">
        <v>0</v>
      </c>
      <c r="Z1268" s="1" t="b">
        <v>0</v>
      </c>
      <c r="AA1268" s="1"/>
    </row>
    <row r="1269" spans="1:27" x14ac:dyDescent="0.25">
      <c r="A1269" s="1" t="s">
        <v>3248</v>
      </c>
      <c r="B1269" s="2" t="s">
        <v>3317</v>
      </c>
      <c r="C1269" s="2"/>
      <c r="D1269" s="6">
        <f t="shared" si="28"/>
        <v>0</v>
      </c>
      <c r="E1269" s="7">
        <f t="shared" si="29"/>
        <v>0</v>
      </c>
      <c r="F1269" s="8" t="b">
        <f>IF(D1269&lt;1,FALSE,ISERROR(MATCH(E1269,'Ontology and concepts per UC'!$A$2:$A$62,0)))</f>
        <v>0</v>
      </c>
      <c r="G1269" s="9" t="str">
        <f t="shared" si="30"/>
        <v/>
      </c>
      <c r="H1269" s="9" t="str">
        <f t="shared" si="31"/>
        <v/>
      </c>
      <c r="I1269" s="8" t="b">
        <f>IF(D1269&lt;2,FALSE,ISERROR(MATCH(H1269,'Ontology and concepts per UC'!$A$2:$A$62,0)))</f>
        <v>0</v>
      </c>
      <c r="J1269" s="9" t="str">
        <f t="shared" si="32"/>
        <v/>
      </c>
      <c r="K1269" s="8" t="b">
        <f>IF(D1269&lt;3,FALSE,ISERROR(MATCH(J1269,'Ontology and concepts per UC'!$A$2:$A$62,0)))</f>
        <v>0</v>
      </c>
      <c r="L1269" s="2"/>
      <c r="M1269" s="2"/>
      <c r="N1269" s="2"/>
      <c r="O1269" s="1" t="b">
        <v>1</v>
      </c>
      <c r="P1269" s="1">
        <v>0</v>
      </c>
      <c r="Q1269" s="1">
        <v>0</v>
      </c>
      <c r="R1269" s="1" t="b">
        <f t="shared" si="33"/>
        <v>0</v>
      </c>
      <c r="S1269" s="2" t="s">
        <v>367</v>
      </c>
      <c r="T1269" s="1" t="str">
        <f>IF(S1269="","",VLOOKUP(S1269,'Ontology and concepts per UC'!$F$2:$J$46,5,FALSE))</f>
        <v>Parámetros de progresión</v>
      </c>
      <c r="U1269" s="1" t="b">
        <f t="array" ref="U1269">(INDEX('Ontology and concepts per UC'!$G$2:$I$46,MATCH($S1269,'Ontology and concepts per UC'!$F$2:$F$46,0),MATCH(LEFT($A1269,3),'Ontology and concepts per UC'!$G$1:$I$1,0))=0)</f>
        <v>1</v>
      </c>
      <c r="V1269" s="1" t="b">
        <f t="shared" si="34"/>
        <v>1</v>
      </c>
      <c r="W1269" s="1" t="b">
        <v>1</v>
      </c>
      <c r="X1269" s="1" t="b">
        <v>0</v>
      </c>
      <c r="Y1269" s="1" t="b">
        <v>0</v>
      </c>
      <c r="Z1269" s="1" t="b">
        <v>0</v>
      </c>
      <c r="AA1269" s="1" t="s">
        <v>188</v>
      </c>
    </row>
    <row r="1270" spans="1:27" x14ac:dyDescent="0.25">
      <c r="A1270" s="1" t="s">
        <v>3248</v>
      </c>
      <c r="B1270" s="2" t="s">
        <v>3318</v>
      </c>
      <c r="C1270" s="2"/>
      <c r="D1270" s="6">
        <f t="shared" si="28"/>
        <v>0</v>
      </c>
      <c r="E1270" s="7">
        <f t="shared" si="29"/>
        <v>0</v>
      </c>
      <c r="F1270" s="8" t="b">
        <f>IF(D1270&lt;1,FALSE,ISERROR(MATCH(E1270,'Ontology and concepts per UC'!$A$2:$A$62,0)))</f>
        <v>0</v>
      </c>
      <c r="G1270" s="9" t="str">
        <f t="shared" si="30"/>
        <v/>
      </c>
      <c r="H1270" s="9" t="str">
        <f t="shared" si="31"/>
        <v/>
      </c>
      <c r="I1270" s="8" t="b">
        <f>IF(D1270&lt;2,FALSE,ISERROR(MATCH(H1270,'Ontology and concepts per UC'!$A$2:$A$62,0)))</f>
        <v>0</v>
      </c>
      <c r="J1270" s="9" t="str">
        <f t="shared" si="32"/>
        <v/>
      </c>
      <c r="K1270" s="8" t="b">
        <f>IF(D1270&lt;3,FALSE,ISERROR(MATCH(J1270,'Ontology and concepts per UC'!$A$2:$A$62,0)))</f>
        <v>0</v>
      </c>
      <c r="L1270" s="2"/>
      <c r="M1270" s="2"/>
      <c r="N1270" s="2"/>
      <c r="O1270" s="1" t="b">
        <v>1</v>
      </c>
      <c r="P1270" s="1">
        <v>0</v>
      </c>
      <c r="Q1270" s="1">
        <v>0</v>
      </c>
      <c r="R1270" s="1" t="b">
        <f t="shared" si="33"/>
        <v>0</v>
      </c>
      <c r="S1270" s="2" t="s">
        <v>187</v>
      </c>
      <c r="T1270" s="1" t="str">
        <f>IF(S1270="","",VLOOKUP(S1270,'Ontology and concepts per UC'!$F$2:$J$46,5,FALSE))</f>
        <v>Otros</v>
      </c>
      <c r="U1270" s="1" t="b">
        <f t="array" ref="U1270">(INDEX('Ontology and concepts per UC'!$G$2:$I$46,MATCH($S1270,'Ontology and concepts per UC'!$F$2:$F$46,0),MATCH(LEFT($A1270,3),'Ontology and concepts per UC'!$G$1:$I$1,0))=0)</f>
        <v>1</v>
      </c>
      <c r="V1270" s="1" t="b">
        <f t="shared" si="34"/>
        <v>1</v>
      </c>
      <c r="W1270" s="1" t="b">
        <v>1</v>
      </c>
      <c r="X1270" s="1" t="b">
        <v>0</v>
      </c>
      <c r="Y1270" s="1" t="b">
        <v>0</v>
      </c>
      <c r="Z1270" s="1" t="b">
        <v>1</v>
      </c>
      <c r="AA1270" s="1" t="s">
        <v>3319</v>
      </c>
    </row>
    <row r="1271" spans="1:27" x14ac:dyDescent="0.25">
      <c r="A1271" s="1" t="s">
        <v>3248</v>
      </c>
      <c r="B1271" s="2" t="s">
        <v>3320</v>
      </c>
      <c r="C1271" s="2"/>
      <c r="D1271" s="6">
        <f t="shared" si="28"/>
        <v>0</v>
      </c>
      <c r="E1271" s="7">
        <f t="shared" si="29"/>
        <v>0</v>
      </c>
      <c r="F1271" s="8" t="b">
        <f>IF(D1271&lt;1,FALSE,ISERROR(MATCH(E1271,'Ontology and concepts per UC'!$A$2:$A$62,0)))</f>
        <v>0</v>
      </c>
      <c r="G1271" s="9" t="str">
        <f t="shared" si="30"/>
        <v/>
      </c>
      <c r="H1271" s="9" t="str">
        <f t="shared" si="31"/>
        <v/>
      </c>
      <c r="I1271" s="8" t="b">
        <f>IF(D1271&lt;2,FALSE,ISERROR(MATCH(H1271,'Ontology and concepts per UC'!$A$2:$A$62,0)))</f>
        <v>0</v>
      </c>
      <c r="J1271" s="9" t="str">
        <f t="shared" si="32"/>
        <v/>
      </c>
      <c r="K1271" s="8" t="b">
        <f>IF(D1271&lt;3,FALSE,ISERROR(MATCH(J1271,'Ontology and concepts per UC'!$A$2:$A$62,0)))</f>
        <v>0</v>
      </c>
      <c r="L1271" s="2"/>
      <c r="M1271" s="2"/>
      <c r="N1271" s="2"/>
      <c r="O1271" s="1" t="b">
        <v>1</v>
      </c>
      <c r="P1271" s="1">
        <v>0</v>
      </c>
      <c r="Q1271" s="1">
        <v>0</v>
      </c>
      <c r="R1271" s="1" t="b">
        <f t="shared" si="33"/>
        <v>0</v>
      </c>
      <c r="S1271" s="2" t="s">
        <v>367</v>
      </c>
      <c r="T1271" s="1" t="str">
        <f>IF(S1271="","",VLOOKUP(S1271,'Ontology and concepts per UC'!$F$2:$J$46,5,FALSE))</f>
        <v>Parámetros de progresión</v>
      </c>
      <c r="U1271" s="1" t="b">
        <f t="array" ref="U1271">(INDEX('Ontology and concepts per UC'!$G$2:$I$46,MATCH($S1271,'Ontology and concepts per UC'!$F$2:$F$46,0),MATCH(LEFT($A1271,3),'Ontology and concepts per UC'!$G$1:$I$1,0))=0)</f>
        <v>1</v>
      </c>
      <c r="V1271" s="1" t="b">
        <f t="shared" si="34"/>
        <v>1</v>
      </c>
      <c r="W1271" s="1" t="b">
        <v>1</v>
      </c>
      <c r="X1271" s="1" t="b">
        <v>0</v>
      </c>
      <c r="Y1271" s="1" t="b">
        <v>0</v>
      </c>
      <c r="Z1271" s="1" t="b">
        <v>0</v>
      </c>
      <c r="AA1271" s="1" t="s">
        <v>188</v>
      </c>
    </row>
    <row r="1272" spans="1:27" x14ac:dyDescent="0.25">
      <c r="A1272" s="1" t="s">
        <v>3248</v>
      </c>
      <c r="B1272" s="2" t="s">
        <v>3321</v>
      </c>
      <c r="C1272" s="2"/>
      <c r="D1272" s="6">
        <f t="shared" si="28"/>
        <v>0</v>
      </c>
      <c r="E1272" s="7">
        <f t="shared" si="29"/>
        <v>0</v>
      </c>
      <c r="F1272" s="8" t="b">
        <f>IF(D1272&lt;1,FALSE,ISERROR(MATCH(E1272,'Ontology and concepts per UC'!$A$2:$A$62,0)))</f>
        <v>0</v>
      </c>
      <c r="G1272" s="9" t="str">
        <f t="shared" si="30"/>
        <v/>
      </c>
      <c r="H1272" s="9" t="str">
        <f t="shared" si="31"/>
        <v/>
      </c>
      <c r="I1272" s="8" t="b">
        <f>IF(D1272&lt;2,FALSE,ISERROR(MATCH(H1272,'Ontology and concepts per UC'!$A$2:$A$62,0)))</f>
        <v>0</v>
      </c>
      <c r="J1272" s="9" t="str">
        <f t="shared" si="32"/>
        <v/>
      </c>
      <c r="K1272" s="8" t="b">
        <f>IF(D1272&lt;3,FALSE,ISERROR(MATCH(J1272,'Ontology and concepts per UC'!$A$2:$A$62,0)))</f>
        <v>0</v>
      </c>
      <c r="L1272" s="2"/>
      <c r="M1272" s="2"/>
      <c r="N1272" s="2"/>
      <c r="O1272" s="1" t="b">
        <v>1</v>
      </c>
      <c r="P1272" s="1">
        <v>0</v>
      </c>
      <c r="Q1272" s="1">
        <v>0</v>
      </c>
      <c r="R1272" s="1" t="b">
        <f t="shared" si="33"/>
        <v>0</v>
      </c>
      <c r="S1272" s="2" t="s">
        <v>187</v>
      </c>
      <c r="T1272" s="1" t="str">
        <f>IF(S1272="","",VLOOKUP(S1272,'Ontology and concepts per UC'!$F$2:$J$46,5,FALSE))</f>
        <v>Otros</v>
      </c>
      <c r="U1272" s="1" t="b">
        <f t="array" ref="U1272">(INDEX('Ontology and concepts per UC'!$G$2:$I$46,MATCH($S1272,'Ontology and concepts per UC'!$F$2:$F$46,0),MATCH(LEFT($A1272,3),'Ontology and concepts per UC'!$G$1:$I$1,0))=0)</f>
        <v>1</v>
      </c>
      <c r="V1272" s="1" t="b">
        <f t="shared" si="34"/>
        <v>1</v>
      </c>
      <c r="W1272" s="1" t="b">
        <v>1</v>
      </c>
      <c r="X1272" s="1" t="b">
        <v>0</v>
      </c>
      <c r="Y1272" s="1" t="b">
        <v>0</v>
      </c>
      <c r="Z1272" s="1" t="b">
        <v>1</v>
      </c>
      <c r="AA1272" s="1" t="s">
        <v>3319</v>
      </c>
    </row>
    <row r="1273" spans="1:27" x14ac:dyDescent="0.25">
      <c r="A1273" s="1" t="s">
        <v>3248</v>
      </c>
      <c r="B1273" s="2" t="s">
        <v>3322</v>
      </c>
      <c r="C1273" s="2"/>
      <c r="D1273" s="6">
        <f t="shared" si="28"/>
        <v>0</v>
      </c>
      <c r="E1273" s="7">
        <f t="shared" si="29"/>
        <v>0</v>
      </c>
      <c r="F1273" s="8" t="b">
        <f>IF(D1273&lt;1,FALSE,ISERROR(MATCH(E1273,'Ontology and concepts per UC'!$A$2:$A$62,0)))</f>
        <v>0</v>
      </c>
      <c r="G1273" s="9" t="str">
        <f t="shared" si="30"/>
        <v/>
      </c>
      <c r="H1273" s="9" t="str">
        <f t="shared" si="31"/>
        <v/>
      </c>
      <c r="I1273" s="8" t="b">
        <f>IF(D1273&lt;2,FALSE,ISERROR(MATCH(H1273,'Ontology and concepts per UC'!$A$2:$A$62,0)))</f>
        <v>0</v>
      </c>
      <c r="J1273" s="9" t="str">
        <f t="shared" si="32"/>
        <v/>
      </c>
      <c r="K1273" s="8" t="b">
        <f>IF(D1273&lt;3,FALSE,ISERROR(MATCH(J1273,'Ontology and concepts per UC'!$A$2:$A$62,0)))</f>
        <v>0</v>
      </c>
      <c r="L1273" s="2"/>
      <c r="M1273" s="2"/>
      <c r="N1273" s="2"/>
      <c r="O1273" s="1" t="b">
        <v>1</v>
      </c>
      <c r="P1273" s="1">
        <v>0</v>
      </c>
      <c r="Q1273" s="1">
        <v>0</v>
      </c>
      <c r="R1273" s="1" t="b">
        <f t="shared" si="33"/>
        <v>0</v>
      </c>
      <c r="S1273" s="2" t="s">
        <v>11</v>
      </c>
      <c r="T1273" s="1" t="str">
        <f>IF(S1273="","",VLOOKUP(S1273,'Ontology and concepts per UC'!$F$2:$J$46,5,FALSE))</f>
        <v>Coste</v>
      </c>
      <c r="U1273" s="1" t="b">
        <f t="array" ref="U1273">(INDEX('Ontology and concepts per UC'!$G$2:$I$46,MATCH($S1273,'Ontology and concepts per UC'!$F$2:$F$46,0),MATCH(LEFT($A1273,3),'Ontology and concepts per UC'!$G$1:$I$1,0))=0)</f>
        <v>0</v>
      </c>
      <c r="V1273" s="1" t="b">
        <f t="shared" si="34"/>
        <v>1</v>
      </c>
      <c r="W1273" s="1" t="b">
        <v>1</v>
      </c>
      <c r="X1273" s="1" t="b">
        <v>0</v>
      </c>
      <c r="Y1273" s="1" t="b">
        <v>0</v>
      </c>
      <c r="Z1273" s="1" t="b">
        <v>0</v>
      </c>
      <c r="AA1273" s="1" t="s">
        <v>188</v>
      </c>
    </row>
    <row r="1274" spans="1:27" x14ac:dyDescent="0.25">
      <c r="A1274" s="1" t="s">
        <v>3248</v>
      </c>
      <c r="B1274" s="2" t="s">
        <v>3323</v>
      </c>
      <c r="C1274" s="2"/>
      <c r="D1274" s="6">
        <f t="shared" si="28"/>
        <v>0</v>
      </c>
      <c r="E1274" s="7">
        <f t="shared" si="29"/>
        <v>0</v>
      </c>
      <c r="F1274" s="8" t="b">
        <f>IF(D1274&lt;1,FALSE,ISERROR(MATCH(E1274,'Ontology and concepts per UC'!$A$2:$A$62,0)))</f>
        <v>0</v>
      </c>
      <c r="G1274" s="9" t="str">
        <f t="shared" si="30"/>
        <v/>
      </c>
      <c r="H1274" s="9" t="str">
        <f t="shared" si="31"/>
        <v/>
      </c>
      <c r="I1274" s="8" t="b">
        <f>IF(D1274&lt;2,FALSE,ISERROR(MATCH(H1274,'Ontology and concepts per UC'!$A$2:$A$62,0)))</f>
        <v>0</v>
      </c>
      <c r="J1274" s="9" t="str">
        <f t="shared" si="32"/>
        <v/>
      </c>
      <c r="K1274" s="8" t="b">
        <f>IF(D1274&lt;3,FALSE,ISERROR(MATCH(J1274,'Ontology and concepts per UC'!$A$2:$A$62,0)))</f>
        <v>0</v>
      </c>
      <c r="L1274" s="2"/>
      <c r="M1274" s="2"/>
      <c r="N1274" s="2"/>
      <c r="O1274" s="1" t="b">
        <v>1</v>
      </c>
      <c r="P1274" s="1">
        <v>0</v>
      </c>
      <c r="Q1274" s="1">
        <v>0</v>
      </c>
      <c r="R1274" s="1" t="b">
        <f t="shared" si="33"/>
        <v>0</v>
      </c>
      <c r="S1274" s="2" t="s">
        <v>367</v>
      </c>
      <c r="T1274" s="1" t="str">
        <f>IF(S1274="","",VLOOKUP(S1274,'Ontology and concepts per UC'!$F$2:$J$46,5,FALSE))</f>
        <v>Parámetros de progresión</v>
      </c>
      <c r="U1274" s="1" t="b">
        <f t="array" ref="U1274">(INDEX('Ontology and concepts per UC'!$G$2:$I$46,MATCH($S1274,'Ontology and concepts per UC'!$F$2:$F$46,0),MATCH(LEFT($A1274,3),'Ontology and concepts per UC'!$G$1:$I$1,0))=0)</f>
        <v>1</v>
      </c>
      <c r="V1274" s="1" t="b">
        <f t="shared" si="34"/>
        <v>1</v>
      </c>
      <c r="W1274" s="1" t="b">
        <v>1</v>
      </c>
      <c r="X1274" s="1" t="b">
        <v>0</v>
      </c>
      <c r="Y1274" s="1" t="b">
        <v>0</v>
      </c>
      <c r="Z1274" s="1" t="b">
        <v>0</v>
      </c>
      <c r="AA1274" s="1" t="s">
        <v>188</v>
      </c>
    </row>
    <row r="1275" spans="1:27" x14ac:dyDescent="0.25">
      <c r="A1275" s="1" t="s">
        <v>3248</v>
      </c>
      <c r="B1275" s="2" t="s">
        <v>3324</v>
      </c>
      <c r="C1275" s="2"/>
      <c r="D1275" s="6">
        <f t="shared" si="28"/>
        <v>0</v>
      </c>
      <c r="E1275" s="7">
        <f t="shared" si="29"/>
        <v>0</v>
      </c>
      <c r="F1275" s="8" t="b">
        <f>IF(D1275&lt;1,FALSE,ISERROR(MATCH(E1275,'Ontology and concepts per UC'!$A$2:$A$62,0)))</f>
        <v>0</v>
      </c>
      <c r="G1275" s="9" t="str">
        <f t="shared" si="30"/>
        <v/>
      </c>
      <c r="H1275" s="9" t="str">
        <f t="shared" si="31"/>
        <v/>
      </c>
      <c r="I1275" s="8" t="b">
        <f>IF(D1275&lt;2,FALSE,ISERROR(MATCH(H1275,'Ontology and concepts per UC'!$A$2:$A$62,0)))</f>
        <v>0</v>
      </c>
      <c r="J1275" s="9" t="str">
        <f t="shared" si="32"/>
        <v/>
      </c>
      <c r="K1275" s="8" t="b">
        <f>IF(D1275&lt;3,FALSE,ISERROR(MATCH(J1275,'Ontology and concepts per UC'!$A$2:$A$62,0)))</f>
        <v>0</v>
      </c>
      <c r="L1275" s="2"/>
      <c r="M1275" s="2"/>
      <c r="N1275" s="2"/>
      <c r="O1275" s="1" t="b">
        <v>1</v>
      </c>
      <c r="P1275" s="1">
        <v>0</v>
      </c>
      <c r="Q1275" s="1">
        <v>0</v>
      </c>
      <c r="R1275" s="1" t="b">
        <f t="shared" si="33"/>
        <v>0</v>
      </c>
      <c r="S1275" s="2" t="s">
        <v>187</v>
      </c>
      <c r="T1275" s="1" t="str">
        <f>IF(S1275="","",VLOOKUP(S1275,'Ontology and concepts per UC'!$F$2:$J$46,5,FALSE))</f>
        <v>Otros</v>
      </c>
      <c r="U1275" s="1" t="b">
        <f t="array" ref="U1275">(INDEX('Ontology and concepts per UC'!$G$2:$I$46,MATCH($S1275,'Ontology and concepts per UC'!$F$2:$F$46,0),MATCH(LEFT($A1275,3),'Ontology and concepts per UC'!$G$1:$I$1,0))=0)</f>
        <v>1</v>
      </c>
      <c r="V1275" s="1" t="b">
        <f t="shared" si="34"/>
        <v>1</v>
      </c>
      <c r="W1275" s="1" t="b">
        <v>1</v>
      </c>
      <c r="X1275" s="1" t="b">
        <v>0</v>
      </c>
      <c r="Y1275" s="1" t="b">
        <v>0</v>
      </c>
      <c r="Z1275" s="1" t="b">
        <v>1</v>
      </c>
      <c r="AA1275" s="1" t="s">
        <v>3319</v>
      </c>
    </row>
    <row r="1276" spans="1:27" x14ac:dyDescent="0.25">
      <c r="A1276" s="1" t="s">
        <v>3248</v>
      </c>
      <c r="B1276" s="2" t="s">
        <v>3325</v>
      </c>
      <c r="C1276" s="2"/>
      <c r="D1276" s="6">
        <f t="shared" si="28"/>
        <v>0</v>
      </c>
      <c r="E1276" s="7">
        <f t="shared" si="29"/>
        <v>0</v>
      </c>
      <c r="F1276" s="8" t="b">
        <f>IF(D1276&lt;1,FALSE,ISERROR(MATCH(E1276,'Ontology and concepts per UC'!$A$2:$A$62,0)))</f>
        <v>0</v>
      </c>
      <c r="G1276" s="9" t="str">
        <f t="shared" si="30"/>
        <v/>
      </c>
      <c r="H1276" s="9" t="str">
        <f t="shared" si="31"/>
        <v/>
      </c>
      <c r="I1276" s="8" t="b">
        <f>IF(D1276&lt;2,FALSE,ISERROR(MATCH(H1276,'Ontology and concepts per UC'!$A$2:$A$62,0)))</f>
        <v>0</v>
      </c>
      <c r="J1276" s="9" t="str">
        <f t="shared" si="32"/>
        <v/>
      </c>
      <c r="K1276" s="8" t="b">
        <f>IF(D1276&lt;3,FALSE,ISERROR(MATCH(J1276,'Ontology and concepts per UC'!$A$2:$A$62,0)))</f>
        <v>0</v>
      </c>
      <c r="L1276" s="2"/>
      <c r="M1276" s="2"/>
      <c r="N1276" s="2"/>
      <c r="O1276" s="1" t="b">
        <v>1</v>
      </c>
      <c r="P1276" s="1">
        <v>0</v>
      </c>
      <c r="Q1276" s="1">
        <v>0</v>
      </c>
      <c r="R1276" s="1" t="b">
        <f t="shared" si="33"/>
        <v>0</v>
      </c>
      <c r="S1276" s="2" t="s">
        <v>51</v>
      </c>
      <c r="T1276" s="1" t="str">
        <f>IF(S1276="","",VLOOKUP(S1276,'Ontology and concepts per UC'!$F$2:$J$46,5,FALSE))</f>
        <v>Parámetros de progresión</v>
      </c>
      <c r="U1276" s="1" t="b">
        <f t="array" ref="U1276">(INDEX('Ontology and concepts per UC'!$G$2:$I$46,MATCH($S1276,'Ontology and concepts per UC'!$F$2:$F$46,0),MATCH(LEFT($A1276,3),'Ontology and concepts per UC'!$G$1:$I$1,0))=0)</f>
        <v>0</v>
      </c>
      <c r="V1276" s="1" t="b">
        <f t="shared" si="34"/>
        <v>1</v>
      </c>
      <c r="W1276" s="1" t="b">
        <v>1</v>
      </c>
      <c r="X1276" s="1" t="b">
        <v>0</v>
      </c>
      <c r="Y1276" s="1" t="b">
        <v>0</v>
      </c>
      <c r="Z1276" s="1" t="b">
        <v>0</v>
      </c>
      <c r="AA1276" s="1" t="s">
        <v>188</v>
      </c>
    </row>
    <row r="1277" spans="1:27" x14ac:dyDescent="0.25">
      <c r="A1277" s="1" t="s">
        <v>3248</v>
      </c>
      <c r="B1277" s="2" t="s">
        <v>3326</v>
      </c>
      <c r="C1277" s="2"/>
      <c r="D1277" s="6">
        <f t="shared" ref="D1277:D1368" si="35">IF(ISBLANK(C1277),0,LEN(C1277)-LEN(SUBSTITUTE(C1277,";",""))+1)</f>
        <v>0</v>
      </c>
      <c r="E1277" s="7">
        <f t="shared" ref="E1277:E1368" si="36">IF(D1277&lt;2,C1277,LEFT(C1277,FIND(";",C1277)-1))</f>
        <v>0</v>
      </c>
      <c r="F1277" s="8" t="b">
        <f>IF(D1277&lt;1,FALSE,ISERROR(MATCH(E1277,'Ontology and concepts per UC'!$A$2:$A$62,0)))</f>
        <v>0</v>
      </c>
      <c r="G1277" s="9" t="str">
        <f t="shared" ref="G1277:G1368" si="37">IF(D1277&lt;2,"",MID(C1277,LEN(E1277)+3,LEN(C1277)-FIND(";",C1277)-1))</f>
        <v/>
      </c>
      <c r="H1277" s="9" t="str">
        <f t="shared" ref="H1277:H1368" si="38">IF(D1277&lt;3,G1277,LEFT(G1277,FIND(";",G1277)-1))</f>
        <v/>
      </c>
      <c r="I1277" s="8" t="b">
        <f>IF(D1277&lt;2,FALSE,ISERROR(MATCH(H1277,'Ontology and concepts per UC'!$A$2:$A$62,0)))</f>
        <v>0</v>
      </c>
      <c r="J1277" s="9" t="str">
        <f t="shared" ref="J1277:J1368" si="39">IF(D1277&lt;3,"",RIGHT(G1277,LEN(G1277)-FIND(";",G1277)-1))</f>
        <v/>
      </c>
      <c r="K1277" s="8" t="b">
        <f>IF(D1277&lt;3,FALSE,ISERROR(MATCH(J1277,'Ontology and concepts per UC'!$A$2:$A$62,0)))</f>
        <v>0</v>
      </c>
      <c r="L1277" s="2"/>
      <c r="M1277" s="2"/>
      <c r="N1277" s="2"/>
      <c r="O1277" s="1" t="b">
        <v>1</v>
      </c>
      <c r="P1277" s="1">
        <v>0</v>
      </c>
      <c r="Q1277" s="1">
        <v>0</v>
      </c>
      <c r="R1277" s="1" t="b">
        <f t="shared" ref="R1277:R1368" si="40">NOT(ISERROR(SEARCH("hasSource",M1277)))</f>
        <v>0</v>
      </c>
      <c r="S1277" s="2" t="s">
        <v>187</v>
      </c>
      <c r="T1277" s="1" t="str">
        <f>IF(S1277="","",VLOOKUP(S1277,'Ontology and concepts per UC'!$F$2:$J$46,5,FALSE))</f>
        <v>Otros</v>
      </c>
      <c r="U1277" s="1" t="b">
        <f t="array" ref="U1277">(INDEX('Ontology and concepts per UC'!$G$2:$I$46,MATCH($S1277,'Ontology and concepts per UC'!$F$2:$F$46,0),MATCH(LEFT($A1277,3),'Ontology and concepts per UC'!$G$1:$I$1,0))=0)</f>
        <v>1</v>
      </c>
      <c r="V1277" s="1" t="b">
        <f t="shared" ref="V1277:V1368" si="41">COUNTIF(W1277:Z1277,TRUE)&gt;0</f>
        <v>1</v>
      </c>
      <c r="W1277" s="1" t="b">
        <v>1</v>
      </c>
      <c r="X1277" s="1" t="b">
        <v>0</v>
      </c>
      <c r="Y1277" s="1" t="b">
        <v>0</v>
      </c>
      <c r="Z1277" s="1" t="b">
        <v>1</v>
      </c>
      <c r="AA1277" s="1" t="s">
        <v>3319</v>
      </c>
    </row>
    <row r="1278" spans="1:27" x14ac:dyDescent="0.25">
      <c r="A1278" s="1" t="s">
        <v>3248</v>
      </c>
      <c r="B1278" s="2" t="s">
        <v>3327</v>
      </c>
      <c r="C1278" s="2"/>
      <c r="D1278" s="6">
        <f t="shared" si="35"/>
        <v>0</v>
      </c>
      <c r="E1278" s="7">
        <f t="shared" si="36"/>
        <v>0</v>
      </c>
      <c r="F1278" s="8" t="b">
        <f>IF(D1278&lt;1,FALSE,ISERROR(MATCH(E1278,'Ontology and concepts per UC'!$A$2:$A$62,0)))</f>
        <v>0</v>
      </c>
      <c r="G1278" s="9" t="str">
        <f t="shared" si="37"/>
        <v/>
      </c>
      <c r="H1278" s="9" t="str">
        <f t="shared" si="38"/>
        <v/>
      </c>
      <c r="I1278" s="8" t="b">
        <f>IF(D1278&lt;2,FALSE,ISERROR(MATCH(H1278,'Ontology and concepts per UC'!$A$2:$A$62,0)))</f>
        <v>0</v>
      </c>
      <c r="J1278" s="9" t="str">
        <f t="shared" si="39"/>
        <v/>
      </c>
      <c r="K1278" s="8" t="b">
        <f>IF(D1278&lt;3,FALSE,ISERROR(MATCH(J1278,'Ontology and concepts per UC'!$A$2:$A$62,0)))</f>
        <v>0</v>
      </c>
      <c r="L1278" s="2"/>
      <c r="M1278" s="2"/>
      <c r="N1278" s="2"/>
      <c r="O1278" s="1" t="b">
        <v>1</v>
      </c>
      <c r="P1278" s="1">
        <v>0</v>
      </c>
      <c r="Q1278" s="1">
        <v>0</v>
      </c>
      <c r="R1278" s="1" t="b">
        <f t="shared" si="40"/>
        <v>0</v>
      </c>
      <c r="S1278" s="2" t="s">
        <v>17</v>
      </c>
      <c r="T1278" s="1" t="str">
        <f>IF(S1278="","",VLOOKUP(S1278,'Ontology and concepts per UC'!$F$2:$J$46,5,FALSE))</f>
        <v>Modelo Conceptual</v>
      </c>
      <c r="U1278" s="1" t="b">
        <f t="array" ref="U1278">(INDEX('Ontology and concepts per UC'!$G$2:$I$46,MATCH($S1278,'Ontology and concepts per UC'!$F$2:$F$46,0),MATCH(LEFT($A1278,3),'Ontology and concepts per UC'!$G$1:$I$1,0))=0)</f>
        <v>0</v>
      </c>
      <c r="V1278" s="1" t="b">
        <f t="shared" si="41"/>
        <v>1</v>
      </c>
      <c r="W1278" s="1" t="b">
        <v>1</v>
      </c>
      <c r="X1278" s="1" t="b">
        <v>0</v>
      </c>
      <c r="Y1278" s="1" t="b">
        <v>0</v>
      </c>
      <c r="Z1278" s="1" t="b">
        <v>0</v>
      </c>
      <c r="AA1278" s="1" t="s">
        <v>188</v>
      </c>
    </row>
    <row r="1279" spans="1:27" x14ac:dyDescent="0.25">
      <c r="A1279" s="1" t="s">
        <v>3248</v>
      </c>
      <c r="B1279" s="2" t="s">
        <v>3328</v>
      </c>
      <c r="C1279" s="2"/>
      <c r="D1279" s="6">
        <f t="shared" si="35"/>
        <v>0</v>
      </c>
      <c r="E1279" s="7">
        <f t="shared" si="36"/>
        <v>0</v>
      </c>
      <c r="F1279" s="8" t="b">
        <f>IF(D1279&lt;1,FALSE,ISERROR(MATCH(E1279,'Ontology and concepts per UC'!$A$2:$A$62,0)))</f>
        <v>0</v>
      </c>
      <c r="G1279" s="9" t="str">
        <f t="shared" si="37"/>
        <v/>
      </c>
      <c r="H1279" s="9" t="str">
        <f t="shared" si="38"/>
        <v/>
      </c>
      <c r="I1279" s="8" t="b">
        <f>IF(D1279&lt;2,FALSE,ISERROR(MATCH(H1279,'Ontology and concepts per UC'!$A$2:$A$62,0)))</f>
        <v>0</v>
      </c>
      <c r="J1279" s="9" t="str">
        <f t="shared" si="39"/>
        <v/>
      </c>
      <c r="K1279" s="8" t="b">
        <f>IF(D1279&lt;3,FALSE,ISERROR(MATCH(J1279,'Ontology and concepts per UC'!$A$2:$A$62,0)))</f>
        <v>0</v>
      </c>
      <c r="L1279" s="2"/>
      <c r="M1279" s="2"/>
      <c r="N1279" s="2"/>
      <c r="O1279" s="1" t="b">
        <v>1</v>
      </c>
      <c r="P1279" s="1">
        <v>0</v>
      </c>
      <c r="Q1279" s="1">
        <v>0</v>
      </c>
      <c r="R1279" s="1" t="b">
        <f t="shared" si="40"/>
        <v>0</v>
      </c>
      <c r="S1279" s="2" t="s">
        <v>17</v>
      </c>
      <c r="T1279" s="1" t="str">
        <f>IF(S1279="","",VLOOKUP(S1279,'Ontology and concepts per UC'!$F$2:$J$46,5,FALSE))</f>
        <v>Modelo Conceptual</v>
      </c>
      <c r="U1279" s="1" t="b">
        <f t="array" ref="U1279">(INDEX('Ontology and concepts per UC'!$G$2:$I$46,MATCH($S1279,'Ontology and concepts per UC'!$F$2:$F$46,0),MATCH(LEFT($A1279,3),'Ontology and concepts per UC'!$G$1:$I$1,0))=0)</f>
        <v>0</v>
      </c>
      <c r="V1279" s="1" t="b">
        <f t="shared" si="41"/>
        <v>1</v>
      </c>
      <c r="W1279" s="1" t="b">
        <v>1</v>
      </c>
      <c r="X1279" s="1" t="b">
        <v>0</v>
      </c>
      <c r="Y1279" s="1" t="b">
        <v>0</v>
      </c>
      <c r="Z1279" s="1" t="b">
        <v>0</v>
      </c>
      <c r="AA1279" s="1" t="s">
        <v>188</v>
      </c>
    </row>
    <row r="1280" spans="1:27" x14ac:dyDescent="0.25">
      <c r="A1280" s="1" t="s">
        <v>3248</v>
      </c>
      <c r="B1280" s="2" t="s">
        <v>3329</v>
      </c>
      <c r="C1280" s="2"/>
      <c r="D1280" s="6">
        <f t="shared" si="35"/>
        <v>0</v>
      </c>
      <c r="E1280" s="7">
        <f t="shared" si="36"/>
        <v>0</v>
      </c>
      <c r="F1280" s="8" t="b">
        <f>IF(D1280&lt;1,FALSE,ISERROR(MATCH(E1280,'Ontology and concepts per UC'!$A$2:$A$62,0)))</f>
        <v>0</v>
      </c>
      <c r="G1280" s="9" t="str">
        <f t="shared" si="37"/>
        <v/>
      </c>
      <c r="H1280" s="9" t="str">
        <f t="shared" si="38"/>
        <v/>
      </c>
      <c r="I1280" s="8" t="b">
        <f>IF(D1280&lt;2,FALSE,ISERROR(MATCH(H1280,'Ontology and concepts per UC'!$A$2:$A$62,0)))</f>
        <v>0</v>
      </c>
      <c r="J1280" s="9" t="str">
        <f t="shared" si="39"/>
        <v/>
      </c>
      <c r="K1280" s="8" t="b">
        <f>IF(D1280&lt;3,FALSE,ISERROR(MATCH(J1280,'Ontology and concepts per UC'!$A$2:$A$62,0)))</f>
        <v>0</v>
      </c>
      <c r="L1280" s="2"/>
      <c r="M1280" s="2"/>
      <c r="N1280" s="2"/>
      <c r="O1280" s="1" t="b">
        <v>1</v>
      </c>
      <c r="P1280" s="1">
        <v>0</v>
      </c>
      <c r="Q1280" s="1">
        <v>0</v>
      </c>
      <c r="R1280" s="1" t="b">
        <f t="shared" si="40"/>
        <v>0</v>
      </c>
      <c r="S1280" s="2" t="s">
        <v>58</v>
      </c>
      <c r="T1280" s="1" t="str">
        <f>IF(S1280="","",VLOOKUP(S1280,'Ontology and concepts per UC'!$F$2:$J$46,5,FALSE))</f>
        <v>Parámetros de progresión</v>
      </c>
      <c r="U1280" s="1" t="b">
        <f t="array" ref="U1280">(INDEX('Ontology and concepts per UC'!$G$2:$I$46,MATCH($S1280,'Ontology and concepts per UC'!$F$2:$F$46,0),MATCH(LEFT($A1280,3),'Ontology and concepts per UC'!$G$1:$I$1,0))=0)</f>
        <v>0</v>
      </c>
      <c r="V1280" s="1" t="b">
        <f t="shared" si="41"/>
        <v>1</v>
      </c>
      <c r="W1280" s="1" t="b">
        <v>1</v>
      </c>
      <c r="X1280" s="1" t="b">
        <v>0</v>
      </c>
      <c r="Y1280" s="1" t="b">
        <v>0</v>
      </c>
      <c r="Z1280" s="1" t="b">
        <v>0</v>
      </c>
      <c r="AA1280" s="1" t="s">
        <v>188</v>
      </c>
    </row>
    <row r="1281" spans="1:27" x14ac:dyDescent="0.25">
      <c r="A1281" s="1" t="s">
        <v>3248</v>
      </c>
      <c r="B1281" s="2" t="s">
        <v>3330</v>
      </c>
      <c r="C1281" s="2"/>
      <c r="D1281" s="6">
        <f t="shared" si="35"/>
        <v>0</v>
      </c>
      <c r="E1281" s="7">
        <f t="shared" si="36"/>
        <v>0</v>
      </c>
      <c r="F1281" s="8" t="b">
        <f>IF(D1281&lt;1,FALSE,ISERROR(MATCH(E1281,'Ontology and concepts per UC'!$A$2:$A$62,0)))</f>
        <v>0</v>
      </c>
      <c r="G1281" s="9" t="str">
        <f t="shared" si="37"/>
        <v/>
      </c>
      <c r="H1281" s="9" t="str">
        <f t="shared" si="38"/>
        <v/>
      </c>
      <c r="I1281" s="8" t="b">
        <f>IF(D1281&lt;2,FALSE,ISERROR(MATCH(H1281,'Ontology and concepts per UC'!$A$2:$A$62,0)))</f>
        <v>0</v>
      </c>
      <c r="J1281" s="9" t="str">
        <f t="shared" si="39"/>
        <v/>
      </c>
      <c r="K1281" s="8" t="b">
        <f>IF(D1281&lt;3,FALSE,ISERROR(MATCH(J1281,'Ontology and concepts per UC'!$A$2:$A$62,0)))</f>
        <v>0</v>
      </c>
      <c r="L1281" s="2"/>
      <c r="M1281" s="2"/>
      <c r="N1281" s="2"/>
      <c r="O1281" s="1" t="b">
        <v>1</v>
      </c>
      <c r="P1281" s="1">
        <v>0</v>
      </c>
      <c r="Q1281" s="1">
        <v>0</v>
      </c>
      <c r="R1281" s="1" t="b">
        <f t="shared" si="40"/>
        <v>0</v>
      </c>
      <c r="S1281" s="2" t="s">
        <v>187</v>
      </c>
      <c r="T1281" s="1" t="str">
        <f>IF(S1281="","",VLOOKUP(S1281,'Ontology and concepts per UC'!$F$2:$J$46,5,FALSE))</f>
        <v>Otros</v>
      </c>
      <c r="U1281" s="1" t="b">
        <f t="array" ref="U1281">(INDEX('Ontology and concepts per UC'!$G$2:$I$46,MATCH($S1281,'Ontology and concepts per UC'!$F$2:$F$46,0),MATCH(LEFT($A1281,3),'Ontology and concepts per UC'!$G$1:$I$1,0))=0)</f>
        <v>1</v>
      </c>
      <c r="V1281" s="1" t="b">
        <f t="shared" si="41"/>
        <v>1</v>
      </c>
      <c r="W1281" s="1" t="b">
        <v>1</v>
      </c>
      <c r="X1281" s="1" t="b">
        <v>0</v>
      </c>
      <c r="Y1281" s="1" t="b">
        <v>0</v>
      </c>
      <c r="Z1281" s="1" t="b">
        <v>1</v>
      </c>
      <c r="AA1281" s="1" t="s">
        <v>3319</v>
      </c>
    </row>
    <row r="1282" spans="1:27" x14ac:dyDescent="0.25">
      <c r="A1282" s="1" t="s">
        <v>3248</v>
      </c>
      <c r="B1282" s="2" t="s">
        <v>3331</v>
      </c>
      <c r="C1282" s="2"/>
      <c r="D1282" s="6">
        <f t="shared" si="35"/>
        <v>0</v>
      </c>
      <c r="E1282" s="7">
        <f t="shared" si="36"/>
        <v>0</v>
      </c>
      <c r="F1282" s="8" t="b">
        <f>IF(D1282&lt;1,FALSE,ISERROR(MATCH(E1282,'Ontology and concepts per UC'!$A$2:$A$62,0)))</f>
        <v>0</v>
      </c>
      <c r="G1282" s="9" t="str">
        <f t="shared" si="37"/>
        <v/>
      </c>
      <c r="H1282" s="9" t="str">
        <f t="shared" si="38"/>
        <v/>
      </c>
      <c r="I1282" s="8" t="b">
        <f>IF(D1282&lt;2,FALSE,ISERROR(MATCH(H1282,'Ontology and concepts per UC'!$A$2:$A$62,0)))</f>
        <v>0</v>
      </c>
      <c r="J1282" s="9" t="str">
        <f t="shared" si="39"/>
        <v/>
      </c>
      <c r="K1282" s="8" t="b">
        <f>IF(D1282&lt;3,FALSE,ISERROR(MATCH(J1282,'Ontology and concepts per UC'!$A$2:$A$62,0)))</f>
        <v>0</v>
      </c>
      <c r="L1282" s="2"/>
      <c r="M1282" s="2"/>
      <c r="N1282" s="2"/>
      <c r="O1282" s="1" t="b">
        <v>1</v>
      </c>
      <c r="P1282" s="1">
        <v>0</v>
      </c>
      <c r="Q1282" s="1">
        <v>0</v>
      </c>
      <c r="R1282" s="1" t="b">
        <f t="shared" si="40"/>
        <v>0</v>
      </c>
      <c r="S1282" s="2" t="s">
        <v>367</v>
      </c>
      <c r="T1282" s="1" t="str">
        <f>IF(S1282="","",VLOOKUP(S1282,'Ontology and concepts per UC'!$F$2:$J$46,5,FALSE))</f>
        <v>Parámetros de progresión</v>
      </c>
      <c r="U1282" s="1" t="b">
        <f t="array" ref="U1282">(INDEX('Ontology and concepts per UC'!$G$2:$I$46,MATCH($S1282,'Ontology and concepts per UC'!$F$2:$F$46,0),MATCH(LEFT($A1282,3),'Ontology and concepts per UC'!$G$1:$I$1,0))=0)</f>
        <v>1</v>
      </c>
      <c r="V1282" s="1" t="b">
        <f t="shared" si="41"/>
        <v>1</v>
      </c>
      <c r="W1282" s="1" t="b">
        <v>1</v>
      </c>
      <c r="X1282" s="1" t="b">
        <v>0</v>
      </c>
      <c r="Y1282" s="1" t="b">
        <v>0</v>
      </c>
      <c r="Z1282" s="1" t="b">
        <v>0</v>
      </c>
      <c r="AA1282" s="1" t="s">
        <v>188</v>
      </c>
    </row>
    <row r="1283" spans="1:27" x14ac:dyDescent="0.25">
      <c r="A1283" s="1" t="s">
        <v>3248</v>
      </c>
      <c r="B1283" s="2" t="s">
        <v>3332</v>
      </c>
      <c r="C1283" s="2"/>
      <c r="D1283" s="6">
        <f t="shared" si="35"/>
        <v>0</v>
      </c>
      <c r="E1283" s="7">
        <f t="shared" si="36"/>
        <v>0</v>
      </c>
      <c r="F1283" s="8" t="b">
        <f>IF(D1283&lt;1,FALSE,ISERROR(MATCH(E1283,'Ontology and concepts per UC'!$A$2:$A$62,0)))</f>
        <v>0</v>
      </c>
      <c r="G1283" s="9" t="str">
        <f t="shared" si="37"/>
        <v/>
      </c>
      <c r="H1283" s="9" t="str">
        <f t="shared" si="38"/>
        <v/>
      </c>
      <c r="I1283" s="8" t="b">
        <f>IF(D1283&lt;2,FALSE,ISERROR(MATCH(H1283,'Ontology and concepts per UC'!$A$2:$A$62,0)))</f>
        <v>0</v>
      </c>
      <c r="J1283" s="9" t="str">
        <f t="shared" si="39"/>
        <v/>
      </c>
      <c r="K1283" s="8" t="b">
        <f>IF(D1283&lt;3,FALSE,ISERROR(MATCH(J1283,'Ontology and concepts per UC'!$A$2:$A$62,0)))</f>
        <v>0</v>
      </c>
      <c r="L1283" s="2"/>
      <c r="M1283" s="2"/>
      <c r="N1283" s="2"/>
      <c r="O1283" s="1" t="b">
        <v>1</v>
      </c>
      <c r="P1283" s="1">
        <v>0</v>
      </c>
      <c r="Q1283" s="1">
        <v>0</v>
      </c>
      <c r="R1283" s="1" t="b">
        <f t="shared" si="40"/>
        <v>0</v>
      </c>
      <c r="S1283" s="2" t="s">
        <v>187</v>
      </c>
      <c r="T1283" s="1" t="str">
        <f>IF(S1283="","",VLOOKUP(S1283,'Ontology and concepts per UC'!$F$2:$J$46,5,FALSE))</f>
        <v>Otros</v>
      </c>
      <c r="U1283" s="1" t="b">
        <f t="array" ref="U1283">(INDEX('Ontology and concepts per UC'!$G$2:$I$46,MATCH($S1283,'Ontology and concepts per UC'!$F$2:$F$46,0),MATCH(LEFT($A1283,3),'Ontology and concepts per UC'!$G$1:$I$1,0))=0)</f>
        <v>1</v>
      </c>
      <c r="V1283" s="1" t="b">
        <f t="shared" si="41"/>
        <v>1</v>
      </c>
      <c r="W1283" s="1" t="b">
        <v>1</v>
      </c>
      <c r="X1283" s="1" t="b">
        <v>0</v>
      </c>
      <c r="Y1283" s="1" t="b">
        <v>0</v>
      </c>
      <c r="Z1283" s="1" t="b">
        <v>1</v>
      </c>
      <c r="AA1283" s="1" t="s">
        <v>3319</v>
      </c>
    </row>
    <row r="1284" spans="1:27" x14ac:dyDescent="0.25">
      <c r="A1284" s="1" t="s">
        <v>3248</v>
      </c>
      <c r="B1284" s="2" t="s">
        <v>3333</v>
      </c>
      <c r="C1284" s="2"/>
      <c r="D1284" s="6">
        <f t="shared" si="35"/>
        <v>0</v>
      </c>
      <c r="E1284" s="7">
        <f t="shared" si="36"/>
        <v>0</v>
      </c>
      <c r="F1284" s="8" t="b">
        <f>IF(D1284&lt;1,FALSE,ISERROR(MATCH(E1284,'Ontology and concepts per UC'!$A$2:$A$62,0)))</f>
        <v>0</v>
      </c>
      <c r="G1284" s="9" t="str">
        <f t="shared" si="37"/>
        <v/>
      </c>
      <c r="H1284" s="9" t="str">
        <f t="shared" si="38"/>
        <v/>
      </c>
      <c r="I1284" s="8" t="b">
        <f>IF(D1284&lt;2,FALSE,ISERROR(MATCH(H1284,'Ontology and concepts per UC'!$A$2:$A$62,0)))</f>
        <v>0</v>
      </c>
      <c r="J1284" s="9" t="str">
        <f t="shared" si="39"/>
        <v/>
      </c>
      <c r="K1284" s="8" t="b">
        <f>IF(D1284&lt;3,FALSE,ISERROR(MATCH(J1284,'Ontology and concepts per UC'!$A$2:$A$62,0)))</f>
        <v>0</v>
      </c>
      <c r="L1284" s="2"/>
      <c r="M1284" s="2"/>
      <c r="N1284" s="2"/>
      <c r="O1284" s="1" t="b">
        <v>1</v>
      </c>
      <c r="P1284" s="1">
        <v>0</v>
      </c>
      <c r="Q1284" s="1">
        <v>0</v>
      </c>
      <c r="R1284" s="1" t="b">
        <f t="shared" si="40"/>
        <v>0</v>
      </c>
      <c r="S1284" s="2" t="s">
        <v>54</v>
      </c>
      <c r="T1284" s="1" t="str">
        <f>IF(S1284="","",VLOOKUP(S1284,'Ontology and concepts per UC'!$F$2:$J$46,5,FALSE))</f>
        <v>Parámetros de progresión</v>
      </c>
      <c r="U1284" s="1" t="b">
        <f t="array" ref="U1284">(INDEX('Ontology and concepts per UC'!$G$2:$I$46,MATCH($S1284,'Ontology and concepts per UC'!$F$2:$F$46,0),MATCH(LEFT($A1284,3),'Ontology and concepts per UC'!$G$1:$I$1,0))=0)</f>
        <v>0</v>
      </c>
      <c r="V1284" s="1" t="b">
        <f t="shared" si="41"/>
        <v>1</v>
      </c>
      <c r="W1284" s="1" t="b">
        <v>1</v>
      </c>
      <c r="X1284" s="1" t="b">
        <v>0</v>
      </c>
      <c r="Y1284" s="1" t="b">
        <v>0</v>
      </c>
      <c r="Z1284" s="1" t="b">
        <v>0</v>
      </c>
      <c r="AA1284" s="1" t="s">
        <v>188</v>
      </c>
    </row>
    <row r="1285" spans="1:27" x14ac:dyDescent="0.25">
      <c r="A1285" s="1" t="s">
        <v>3248</v>
      </c>
      <c r="B1285" s="2" t="s">
        <v>3334</v>
      </c>
      <c r="C1285" s="2"/>
      <c r="D1285" s="6">
        <f t="shared" si="35"/>
        <v>0</v>
      </c>
      <c r="E1285" s="7">
        <f t="shared" si="36"/>
        <v>0</v>
      </c>
      <c r="F1285" s="8" t="b">
        <f>IF(D1285&lt;1,FALSE,ISERROR(MATCH(E1285,'Ontology and concepts per UC'!$A$2:$A$62,0)))</f>
        <v>0</v>
      </c>
      <c r="G1285" s="9" t="str">
        <f t="shared" si="37"/>
        <v/>
      </c>
      <c r="H1285" s="9" t="str">
        <f t="shared" si="38"/>
        <v/>
      </c>
      <c r="I1285" s="8" t="b">
        <f>IF(D1285&lt;2,FALSE,ISERROR(MATCH(H1285,'Ontology and concepts per UC'!$A$2:$A$62,0)))</f>
        <v>0</v>
      </c>
      <c r="J1285" s="9" t="str">
        <f t="shared" si="39"/>
        <v/>
      </c>
      <c r="K1285" s="8" t="b">
        <f>IF(D1285&lt;3,FALSE,ISERROR(MATCH(J1285,'Ontology and concepts per UC'!$A$2:$A$62,0)))</f>
        <v>0</v>
      </c>
      <c r="L1285" s="2"/>
      <c r="M1285" s="2"/>
      <c r="N1285" s="2"/>
      <c r="O1285" s="1" t="b">
        <v>1</v>
      </c>
      <c r="P1285" s="1">
        <v>0</v>
      </c>
      <c r="Q1285" s="1">
        <v>0</v>
      </c>
      <c r="R1285" s="1" t="b">
        <f t="shared" si="40"/>
        <v>0</v>
      </c>
      <c r="S1285" s="2" t="s">
        <v>187</v>
      </c>
      <c r="T1285" s="1" t="str">
        <f>IF(S1285="","",VLOOKUP(S1285,'Ontology and concepts per UC'!$F$2:$J$46,5,FALSE))</f>
        <v>Otros</v>
      </c>
      <c r="U1285" s="1" t="b">
        <f t="array" ref="U1285">(INDEX('Ontology and concepts per UC'!$G$2:$I$46,MATCH($S1285,'Ontology and concepts per UC'!$F$2:$F$46,0),MATCH(LEFT($A1285,3),'Ontology and concepts per UC'!$G$1:$I$1,0))=0)</f>
        <v>1</v>
      </c>
      <c r="V1285" s="1" t="b">
        <f t="shared" si="41"/>
        <v>1</v>
      </c>
      <c r="W1285" s="1" t="b">
        <v>1</v>
      </c>
      <c r="X1285" s="1" t="b">
        <v>0</v>
      </c>
      <c r="Y1285" s="1" t="b">
        <v>0</v>
      </c>
      <c r="Z1285" s="1" t="b">
        <v>1</v>
      </c>
      <c r="AA1285" s="1" t="s">
        <v>3319</v>
      </c>
    </row>
    <row r="1286" spans="1:27" x14ac:dyDescent="0.25">
      <c r="A1286" s="1" t="s">
        <v>3248</v>
      </c>
      <c r="B1286" s="2" t="s">
        <v>3335</v>
      </c>
      <c r="C1286" s="2"/>
      <c r="D1286" s="6">
        <f t="shared" si="35"/>
        <v>0</v>
      </c>
      <c r="E1286" s="7">
        <f t="shared" si="36"/>
        <v>0</v>
      </c>
      <c r="F1286" s="8" t="b">
        <f>IF(D1286&lt;1,FALSE,ISERROR(MATCH(E1286,'Ontology and concepts per UC'!$A$2:$A$62,0)))</f>
        <v>0</v>
      </c>
      <c r="G1286" s="9" t="str">
        <f t="shared" si="37"/>
        <v/>
      </c>
      <c r="H1286" s="9" t="str">
        <f t="shared" si="38"/>
        <v/>
      </c>
      <c r="I1286" s="8" t="b">
        <f>IF(D1286&lt;2,FALSE,ISERROR(MATCH(H1286,'Ontology and concepts per UC'!$A$2:$A$62,0)))</f>
        <v>0</v>
      </c>
      <c r="J1286" s="9" t="str">
        <f t="shared" si="39"/>
        <v/>
      </c>
      <c r="K1286" s="8" t="b">
        <f>IF(D1286&lt;3,FALSE,ISERROR(MATCH(J1286,'Ontology and concepts per UC'!$A$2:$A$62,0)))</f>
        <v>0</v>
      </c>
      <c r="L1286" s="2"/>
      <c r="M1286" s="2"/>
      <c r="N1286" s="2"/>
      <c r="O1286" s="1" t="b">
        <v>1</v>
      </c>
      <c r="P1286" s="1">
        <v>0</v>
      </c>
      <c r="Q1286" s="1">
        <v>0</v>
      </c>
      <c r="R1286" s="1" t="b">
        <f t="shared" si="40"/>
        <v>0</v>
      </c>
      <c r="S1286" s="2" t="s">
        <v>50</v>
      </c>
      <c r="T1286" s="1" t="str">
        <f>IF(S1286="","",VLOOKUP(S1286,'Ontology and concepts per UC'!$F$2:$J$46,5,FALSE))</f>
        <v>Parámetros de progresión</v>
      </c>
      <c r="U1286" s="1" t="b">
        <f t="array" ref="U1286">(INDEX('Ontology and concepts per UC'!$G$2:$I$46,MATCH($S1286,'Ontology and concepts per UC'!$F$2:$F$46,0),MATCH(LEFT($A1286,3),'Ontology and concepts per UC'!$G$1:$I$1,0))=0)</f>
        <v>0</v>
      </c>
      <c r="V1286" s="1" t="b">
        <f t="shared" si="41"/>
        <v>1</v>
      </c>
      <c r="W1286" s="1" t="b">
        <v>1</v>
      </c>
      <c r="X1286" s="1" t="b">
        <v>0</v>
      </c>
      <c r="Y1286" s="1" t="b">
        <v>0</v>
      </c>
      <c r="Z1286" s="1" t="b">
        <v>0</v>
      </c>
      <c r="AA1286" s="1" t="s">
        <v>188</v>
      </c>
    </row>
    <row r="1287" spans="1:27" x14ac:dyDescent="0.25">
      <c r="A1287" s="1" t="s">
        <v>3248</v>
      </c>
      <c r="B1287" s="2" t="s">
        <v>3336</v>
      </c>
      <c r="C1287" s="2"/>
      <c r="D1287" s="6">
        <f t="shared" si="35"/>
        <v>0</v>
      </c>
      <c r="E1287" s="7">
        <f t="shared" si="36"/>
        <v>0</v>
      </c>
      <c r="F1287" s="8" t="b">
        <f>IF(D1287&lt;1,FALSE,ISERROR(MATCH(E1287,'Ontology and concepts per UC'!$A$2:$A$62,0)))</f>
        <v>0</v>
      </c>
      <c r="G1287" s="9" t="str">
        <f t="shared" si="37"/>
        <v/>
      </c>
      <c r="H1287" s="9" t="str">
        <f t="shared" si="38"/>
        <v/>
      </c>
      <c r="I1287" s="8" t="b">
        <f>IF(D1287&lt;2,FALSE,ISERROR(MATCH(H1287,'Ontology and concepts per UC'!$A$2:$A$62,0)))</f>
        <v>0</v>
      </c>
      <c r="J1287" s="9" t="str">
        <f t="shared" si="39"/>
        <v/>
      </c>
      <c r="K1287" s="8" t="b">
        <f>IF(D1287&lt;3,FALSE,ISERROR(MATCH(J1287,'Ontology and concepts per UC'!$A$2:$A$62,0)))</f>
        <v>0</v>
      </c>
      <c r="L1287" s="2"/>
      <c r="M1287" s="2"/>
      <c r="N1287" s="2"/>
      <c r="O1287" s="1" t="b">
        <v>1</v>
      </c>
      <c r="P1287" s="1">
        <v>0</v>
      </c>
      <c r="Q1287" s="1">
        <v>0</v>
      </c>
      <c r="R1287" s="1" t="b">
        <f t="shared" si="40"/>
        <v>0</v>
      </c>
      <c r="S1287" s="2" t="s">
        <v>187</v>
      </c>
      <c r="T1287" s="1" t="str">
        <f>IF(S1287="","",VLOOKUP(S1287,'Ontology and concepts per UC'!$F$2:$J$46,5,FALSE))</f>
        <v>Otros</v>
      </c>
      <c r="U1287" s="1" t="b">
        <f t="array" ref="U1287">(INDEX('Ontology and concepts per UC'!$G$2:$I$46,MATCH($S1287,'Ontology and concepts per UC'!$F$2:$F$46,0),MATCH(LEFT($A1287,3),'Ontology and concepts per UC'!$G$1:$I$1,0))=0)</f>
        <v>1</v>
      </c>
      <c r="V1287" s="1" t="b">
        <f t="shared" si="41"/>
        <v>1</v>
      </c>
      <c r="W1287" s="1" t="b">
        <v>1</v>
      </c>
      <c r="X1287" s="1" t="b">
        <v>0</v>
      </c>
      <c r="Y1287" s="1" t="b">
        <v>0</v>
      </c>
      <c r="Z1287" s="1" t="b">
        <v>1</v>
      </c>
      <c r="AA1287" s="1" t="s">
        <v>3319</v>
      </c>
    </row>
    <row r="1288" spans="1:27" x14ac:dyDescent="0.25">
      <c r="A1288" s="1" t="s">
        <v>3248</v>
      </c>
      <c r="B1288" s="2" t="s">
        <v>3337</v>
      </c>
      <c r="C1288" s="2"/>
      <c r="D1288" s="6">
        <f t="shared" si="35"/>
        <v>0</v>
      </c>
      <c r="E1288" s="7">
        <f t="shared" si="36"/>
        <v>0</v>
      </c>
      <c r="F1288" s="8" t="b">
        <f>IF(D1288&lt;1,FALSE,ISERROR(MATCH(E1288,'Ontology and concepts per UC'!$A$2:$A$62,0)))</f>
        <v>0</v>
      </c>
      <c r="G1288" s="9" t="str">
        <f t="shared" si="37"/>
        <v/>
      </c>
      <c r="H1288" s="9" t="str">
        <f t="shared" si="38"/>
        <v/>
      </c>
      <c r="I1288" s="8" t="b">
        <f>IF(D1288&lt;2,FALSE,ISERROR(MATCH(H1288,'Ontology and concepts per UC'!$A$2:$A$62,0)))</f>
        <v>0</v>
      </c>
      <c r="J1288" s="9" t="str">
        <f t="shared" si="39"/>
        <v/>
      </c>
      <c r="K1288" s="8" t="b">
        <f>IF(D1288&lt;3,FALSE,ISERROR(MATCH(J1288,'Ontology and concepts per UC'!$A$2:$A$62,0)))</f>
        <v>0</v>
      </c>
      <c r="L1288" s="2"/>
      <c r="M1288" s="2"/>
      <c r="N1288" s="2"/>
      <c r="O1288" s="1" t="b">
        <v>1</v>
      </c>
      <c r="P1288" s="1">
        <v>0</v>
      </c>
      <c r="Q1288" s="1">
        <v>0</v>
      </c>
      <c r="R1288" s="1" t="b">
        <f t="shared" si="40"/>
        <v>0</v>
      </c>
      <c r="S1288" s="2" t="s">
        <v>187</v>
      </c>
      <c r="T1288" s="1" t="str">
        <f>IF(S1288="","",VLOOKUP(S1288,'Ontology and concepts per UC'!$F$2:$J$46,5,FALSE))</f>
        <v>Otros</v>
      </c>
      <c r="U1288" s="1" t="b">
        <f t="array" ref="U1288">(INDEX('Ontology and concepts per UC'!$G$2:$I$46,MATCH($S1288,'Ontology and concepts per UC'!$F$2:$F$46,0),MATCH(LEFT($A1288,3),'Ontology and concepts per UC'!$G$1:$I$1,0))=0)</f>
        <v>1</v>
      </c>
      <c r="V1288" s="1" t="b">
        <f t="shared" si="41"/>
        <v>1</v>
      </c>
      <c r="W1288" s="1" t="b">
        <v>1</v>
      </c>
      <c r="X1288" s="1" t="b">
        <v>0</v>
      </c>
      <c r="Y1288" s="1" t="b">
        <v>1</v>
      </c>
      <c r="Z1288" s="1" t="b">
        <v>0</v>
      </c>
      <c r="AA1288" s="1" t="s">
        <v>2612</v>
      </c>
    </row>
    <row r="1289" spans="1:27" x14ac:dyDescent="0.25">
      <c r="A1289" s="1" t="s">
        <v>3338</v>
      </c>
      <c r="B1289" s="2" t="s">
        <v>3339</v>
      </c>
      <c r="C1289" s="2" t="s">
        <v>192</v>
      </c>
      <c r="D1289" s="6">
        <f t="shared" si="35"/>
        <v>1</v>
      </c>
      <c r="E1289" s="7" t="str">
        <f t="shared" si="36"/>
        <v>AcuteManifestation</v>
      </c>
      <c r="F1289" s="8" t="b">
        <f>IF(D1289&lt;1,FALSE,ISERROR(MATCH(E1289,'Ontology and concepts per UC'!$A$2:$A$62,0)))</f>
        <v>0</v>
      </c>
      <c r="G1289" s="9" t="str">
        <f t="shared" si="37"/>
        <v/>
      </c>
      <c r="H1289" s="9" t="str">
        <f t="shared" si="38"/>
        <v/>
      </c>
      <c r="I1289" s="8" t="b">
        <f>IF(D1289&lt;2,FALSE,ISERROR(MATCH(H1289,'Ontology and concepts per UC'!$A$2:$A$62,0)))</f>
        <v>0</v>
      </c>
      <c r="J1289" s="9" t="str">
        <f t="shared" si="39"/>
        <v/>
      </c>
      <c r="K1289" s="8" t="b">
        <f>IF(D1289&lt;3,FALSE,ISERROR(MATCH(J1289,'Ontology and concepts per UC'!$A$2:$A$62,0)))</f>
        <v>0</v>
      </c>
      <c r="L1289" s="2" t="s">
        <v>3340</v>
      </c>
      <c r="M1289" s="2" t="s">
        <v>3341</v>
      </c>
      <c r="N1289" s="2"/>
      <c r="O1289" s="1" t="b">
        <v>0</v>
      </c>
      <c r="P1289" s="1">
        <v>0</v>
      </c>
      <c r="Q1289" s="1">
        <v>0</v>
      </c>
      <c r="R1289" s="1" t="b">
        <f t="shared" si="40"/>
        <v>0</v>
      </c>
      <c r="S1289" s="2" t="s">
        <v>30</v>
      </c>
      <c r="T1289" s="1" t="str">
        <f>IF(S1289="","",VLOOKUP(S1289,'Ontology and concepts per UC'!$F$2:$J$46,5,FALSE))</f>
        <v>Modelo Conceptual</v>
      </c>
      <c r="U1289" s="1" t="b">
        <f t="array" ref="U1289">(INDEX('Ontology and concepts per UC'!$G$2:$I$46,MATCH($S1289,'Ontology and concepts per UC'!$F$2:$F$46,0),MATCH(LEFT($A1289,3),'Ontology and concepts per UC'!$G$1:$I$1,0))=0)</f>
        <v>0</v>
      </c>
      <c r="V1289" s="1" t="b">
        <f t="shared" si="41"/>
        <v>0</v>
      </c>
      <c r="W1289" s="1" t="b">
        <v>0</v>
      </c>
      <c r="X1289" s="1" t="b">
        <v>0</v>
      </c>
      <c r="Y1289" s="1" t="b">
        <v>0</v>
      </c>
      <c r="Z1289" s="1" t="b">
        <v>0</v>
      </c>
      <c r="AA1289" s="1"/>
    </row>
    <row r="1290" spans="1:27" x14ac:dyDescent="0.25">
      <c r="A1290" s="1" t="s">
        <v>3338</v>
      </c>
      <c r="B1290" s="2" t="s">
        <v>3342</v>
      </c>
      <c r="C1290" s="2" t="s">
        <v>192</v>
      </c>
      <c r="D1290" s="6">
        <f t="shared" si="35"/>
        <v>1</v>
      </c>
      <c r="E1290" s="7" t="str">
        <f t="shared" si="36"/>
        <v>AcuteManifestation</v>
      </c>
      <c r="F1290" s="8" t="b">
        <f>IF(D1290&lt;1,FALSE,ISERROR(MATCH(E1290,'Ontology and concepts per UC'!$A$2:$A$62,0)))</f>
        <v>0</v>
      </c>
      <c r="G1290" s="9" t="str">
        <f t="shared" si="37"/>
        <v/>
      </c>
      <c r="H1290" s="9" t="str">
        <f t="shared" si="38"/>
        <v/>
      </c>
      <c r="I1290" s="8" t="b">
        <f>IF(D1290&lt;2,FALSE,ISERROR(MATCH(H1290,'Ontology and concepts per UC'!$A$2:$A$62,0)))</f>
        <v>0</v>
      </c>
      <c r="J1290" s="9" t="str">
        <f t="shared" si="39"/>
        <v/>
      </c>
      <c r="K1290" s="8" t="b">
        <f>IF(D1290&lt;3,FALSE,ISERROR(MATCH(J1290,'Ontology and concepts per UC'!$A$2:$A$62,0)))</f>
        <v>0</v>
      </c>
      <c r="L1290" s="2" t="s">
        <v>3343</v>
      </c>
      <c r="M1290" s="2" t="s">
        <v>3344</v>
      </c>
      <c r="N1290" s="2"/>
      <c r="O1290" s="1" t="b">
        <v>0</v>
      </c>
      <c r="P1290" s="1">
        <v>0</v>
      </c>
      <c r="Q1290" s="1">
        <v>0</v>
      </c>
      <c r="R1290" s="1" t="b">
        <f t="shared" si="40"/>
        <v>0</v>
      </c>
      <c r="S1290" s="2" t="s">
        <v>28</v>
      </c>
      <c r="T1290" s="1" t="str">
        <f>IF(S1290="","",VLOOKUP(S1290,'Ontology and concepts per UC'!$F$2:$J$46,5,FALSE))</f>
        <v>Modelo Conceptual</v>
      </c>
      <c r="U1290" s="1" t="b">
        <f t="array" ref="U1290">(INDEX('Ontology and concepts per UC'!$G$2:$I$46,MATCH($S1290,'Ontology and concepts per UC'!$F$2:$F$46,0),MATCH(LEFT($A1290,3),'Ontology and concepts per UC'!$G$1:$I$1,0))=0)</f>
        <v>0</v>
      </c>
      <c r="V1290" s="1" t="b">
        <f t="shared" si="41"/>
        <v>0</v>
      </c>
      <c r="W1290" s="1" t="b">
        <v>0</v>
      </c>
      <c r="X1290" s="1" t="b">
        <v>0</v>
      </c>
      <c r="Y1290" s="1" t="b">
        <v>0</v>
      </c>
      <c r="Z1290" s="1" t="b">
        <v>0</v>
      </c>
      <c r="AA1290" s="1"/>
    </row>
    <row r="1291" spans="1:27" x14ac:dyDescent="0.25">
      <c r="A1291" s="1" t="s">
        <v>3338</v>
      </c>
      <c r="B1291" s="2" t="s">
        <v>3345</v>
      </c>
      <c r="C1291" s="2" t="s">
        <v>192</v>
      </c>
      <c r="D1291" s="6">
        <f t="shared" si="35"/>
        <v>1</v>
      </c>
      <c r="E1291" s="7" t="str">
        <f t="shared" si="36"/>
        <v>AcuteManifestation</v>
      </c>
      <c r="F1291" s="8" t="b">
        <f>IF(D1291&lt;1,FALSE,ISERROR(MATCH(E1291,'Ontology and concepts per UC'!$A$2:$A$62,0)))</f>
        <v>0</v>
      </c>
      <c r="G1291" s="9" t="str">
        <f t="shared" si="37"/>
        <v/>
      </c>
      <c r="H1291" s="9" t="str">
        <f t="shared" si="38"/>
        <v/>
      </c>
      <c r="I1291" s="8" t="b">
        <f>IF(D1291&lt;2,FALSE,ISERROR(MATCH(H1291,'Ontology and concepts per UC'!$A$2:$A$62,0)))</f>
        <v>0</v>
      </c>
      <c r="J1291" s="9" t="str">
        <f t="shared" si="39"/>
        <v/>
      </c>
      <c r="K1291" s="8" t="b">
        <f>IF(D1291&lt;3,FALSE,ISERROR(MATCH(J1291,'Ontology and concepts per UC'!$A$2:$A$62,0)))</f>
        <v>0</v>
      </c>
      <c r="L1291" s="2" t="s">
        <v>3346</v>
      </c>
      <c r="M1291" s="2" t="s">
        <v>3347</v>
      </c>
      <c r="N1291" s="2"/>
      <c r="O1291" s="1" t="b">
        <v>0</v>
      </c>
      <c r="P1291" s="1">
        <v>0</v>
      </c>
      <c r="Q1291" s="1">
        <v>0</v>
      </c>
      <c r="R1291" s="1" t="b">
        <f t="shared" si="40"/>
        <v>0</v>
      </c>
      <c r="S1291" s="2" t="s">
        <v>31</v>
      </c>
      <c r="T1291" s="1" t="str">
        <f>IF(S1291="","",VLOOKUP(S1291,'Ontology and concepts per UC'!$F$2:$J$46,5,FALSE))</f>
        <v>Modelo Conceptual</v>
      </c>
      <c r="U1291" s="1" t="b">
        <f t="array" ref="U1291">(INDEX('Ontology and concepts per UC'!$G$2:$I$46,MATCH($S1291,'Ontology and concepts per UC'!$F$2:$F$46,0),MATCH(LEFT($A1291,3),'Ontology and concepts per UC'!$G$1:$I$1,0))=0)</f>
        <v>0</v>
      </c>
      <c r="V1291" s="1" t="b">
        <f t="shared" si="41"/>
        <v>0</v>
      </c>
      <c r="W1291" s="1" t="b">
        <v>0</v>
      </c>
      <c r="X1291" s="1" t="b">
        <v>0</v>
      </c>
      <c r="Y1291" s="1" t="b">
        <v>0</v>
      </c>
      <c r="Z1291" s="1" t="b">
        <v>0</v>
      </c>
      <c r="AA1291" s="1"/>
    </row>
    <row r="1292" spans="1:27" x14ac:dyDescent="0.25">
      <c r="A1292" s="1" t="s">
        <v>3338</v>
      </c>
      <c r="B1292" s="2" t="s">
        <v>3348</v>
      </c>
      <c r="C1292" s="2" t="s">
        <v>192</v>
      </c>
      <c r="D1292" s="6">
        <f t="shared" si="35"/>
        <v>1</v>
      </c>
      <c r="E1292" s="7" t="str">
        <f t="shared" si="36"/>
        <v>AcuteManifestation</v>
      </c>
      <c r="F1292" s="8" t="b">
        <f>IF(D1292&lt;1,FALSE,ISERROR(MATCH(E1292,'Ontology and concepts per UC'!$A$2:$A$62,0)))</f>
        <v>0</v>
      </c>
      <c r="G1292" s="9" t="str">
        <f t="shared" si="37"/>
        <v/>
      </c>
      <c r="H1292" s="9" t="str">
        <f t="shared" si="38"/>
        <v/>
      </c>
      <c r="I1292" s="8" t="b">
        <f>IF(D1292&lt;2,FALSE,ISERROR(MATCH(H1292,'Ontology and concepts per UC'!$A$2:$A$62,0)))</f>
        <v>0</v>
      </c>
      <c r="J1292" s="9" t="str">
        <f t="shared" si="39"/>
        <v/>
      </c>
      <c r="K1292" s="8" t="b">
        <f>IF(D1292&lt;3,FALSE,ISERROR(MATCH(J1292,'Ontology and concepts per UC'!$A$2:$A$62,0)))</f>
        <v>0</v>
      </c>
      <c r="L1292" s="2" t="s">
        <v>3349</v>
      </c>
      <c r="M1292" s="2" t="s">
        <v>3350</v>
      </c>
      <c r="N1292" s="2"/>
      <c r="O1292" s="1" t="b">
        <v>0</v>
      </c>
      <c r="P1292" s="1">
        <v>0</v>
      </c>
      <c r="Q1292" s="1">
        <v>0</v>
      </c>
      <c r="R1292" s="1" t="b">
        <f t="shared" si="40"/>
        <v>0</v>
      </c>
      <c r="S1292" s="2" t="s">
        <v>30</v>
      </c>
      <c r="T1292" s="1" t="str">
        <f>IF(S1292="","",VLOOKUP(S1292,'Ontology and concepts per UC'!$F$2:$J$46,5,FALSE))</f>
        <v>Modelo Conceptual</v>
      </c>
      <c r="U1292" s="1" t="b">
        <f t="array" ref="U1292">(INDEX('Ontology and concepts per UC'!$G$2:$I$46,MATCH($S1292,'Ontology and concepts per UC'!$F$2:$F$46,0),MATCH(LEFT($A1292,3),'Ontology and concepts per UC'!$G$1:$I$1,0))=0)</f>
        <v>0</v>
      </c>
      <c r="V1292" s="1" t="b">
        <f t="shared" si="41"/>
        <v>0</v>
      </c>
      <c r="W1292" s="1" t="b">
        <v>0</v>
      </c>
      <c r="X1292" s="1" t="b">
        <v>0</v>
      </c>
      <c r="Y1292" s="1" t="b">
        <v>0</v>
      </c>
      <c r="Z1292" s="1" t="b">
        <v>0</v>
      </c>
      <c r="AA1292" s="1"/>
    </row>
    <row r="1293" spans="1:27" x14ac:dyDescent="0.25">
      <c r="A1293" s="1" t="s">
        <v>3338</v>
      </c>
      <c r="B1293" s="2" t="s">
        <v>3351</v>
      </c>
      <c r="C1293" s="2" t="s">
        <v>40</v>
      </c>
      <c r="D1293" s="6">
        <f t="shared" si="35"/>
        <v>1</v>
      </c>
      <c r="E1293" s="7" t="str">
        <f t="shared" si="36"/>
        <v>BetaDistributionExpression</v>
      </c>
      <c r="F1293" s="8" t="b">
        <f>IF(D1293&lt;1,FALSE,ISERROR(MATCH(E1293,'Ontology and concepts per UC'!$A$2:$A$62,0)))</f>
        <v>0</v>
      </c>
      <c r="G1293" s="9" t="str">
        <f t="shared" si="37"/>
        <v/>
      </c>
      <c r="H1293" s="9" t="str">
        <f t="shared" si="38"/>
        <v/>
      </c>
      <c r="I1293" s="8" t="b">
        <f>IF(D1293&lt;2,FALSE,ISERROR(MATCH(H1293,'Ontology and concepts per UC'!$A$2:$A$62,0)))</f>
        <v>0</v>
      </c>
      <c r="J1293" s="9" t="str">
        <f t="shared" si="39"/>
        <v/>
      </c>
      <c r="K1293" s="8" t="b">
        <f>IF(D1293&lt;3,FALSE,ISERROR(MATCH(J1293,'Ontology and concepts per UC'!$A$2:$A$62,0)))</f>
        <v>0</v>
      </c>
      <c r="L1293" s="2"/>
      <c r="M1293" s="2" t="s">
        <v>3352</v>
      </c>
      <c r="N1293" s="2"/>
      <c r="O1293" s="1" t="b">
        <v>0</v>
      </c>
      <c r="P1293" s="1">
        <v>0</v>
      </c>
      <c r="Q1293" s="1">
        <v>0</v>
      </c>
      <c r="R1293" s="1" t="b">
        <f t="shared" si="40"/>
        <v>0</v>
      </c>
      <c r="S1293" s="2" t="s">
        <v>58</v>
      </c>
      <c r="T1293" s="1" t="str">
        <f>IF(S1293="","",VLOOKUP(S1293,'Ontology and concepts per UC'!$F$2:$J$46,5,FALSE))</f>
        <v>Parámetros de progresión</v>
      </c>
      <c r="U1293" s="1" t="b">
        <f t="array" ref="U1293">(INDEX('Ontology and concepts per UC'!$G$2:$I$46,MATCH($S1293,'Ontology and concepts per UC'!$F$2:$F$46,0),MATCH(LEFT($A1293,3),'Ontology and concepts per UC'!$G$1:$I$1,0))=0)</f>
        <v>0</v>
      </c>
      <c r="V1293" s="1" t="b">
        <f t="shared" si="41"/>
        <v>1</v>
      </c>
      <c r="W1293" s="1" t="b">
        <v>0</v>
      </c>
      <c r="X1293" s="1" t="b">
        <v>0</v>
      </c>
      <c r="Y1293" s="1" t="b">
        <v>0</v>
      </c>
      <c r="Z1293" s="1" t="b">
        <v>1</v>
      </c>
      <c r="AA1293" s="1" t="s">
        <v>3050</v>
      </c>
    </row>
    <row r="1294" spans="1:27" x14ac:dyDescent="0.25">
      <c r="A1294" s="1" t="s">
        <v>3338</v>
      </c>
      <c r="B1294" s="2" t="s">
        <v>3353</v>
      </c>
      <c r="C1294" s="2" t="s">
        <v>40</v>
      </c>
      <c r="D1294" s="6">
        <f t="shared" si="35"/>
        <v>1</v>
      </c>
      <c r="E1294" s="7" t="str">
        <f t="shared" si="36"/>
        <v>BetaDistributionExpression</v>
      </c>
      <c r="F1294" s="8" t="b">
        <f>IF(D1294&lt;1,FALSE,ISERROR(MATCH(E1294,'Ontology and concepts per UC'!$A$2:$A$62,0)))</f>
        <v>0</v>
      </c>
      <c r="G1294" s="9" t="str">
        <f t="shared" si="37"/>
        <v/>
      </c>
      <c r="H1294" s="9" t="str">
        <f t="shared" si="38"/>
        <v/>
      </c>
      <c r="I1294" s="8" t="b">
        <f>IF(D1294&lt;2,FALSE,ISERROR(MATCH(H1294,'Ontology and concepts per UC'!$A$2:$A$62,0)))</f>
        <v>0</v>
      </c>
      <c r="J1294" s="9" t="str">
        <f t="shared" si="39"/>
        <v/>
      </c>
      <c r="K1294" s="8" t="b">
        <f>IF(D1294&lt;3,FALSE,ISERROR(MATCH(J1294,'Ontology and concepts per UC'!$A$2:$A$62,0)))</f>
        <v>0</v>
      </c>
      <c r="L1294" s="2"/>
      <c r="M1294" s="2" t="s">
        <v>3354</v>
      </c>
      <c r="N1294" s="2"/>
      <c r="O1294" s="1" t="b">
        <v>0</v>
      </c>
      <c r="P1294" s="1">
        <v>0</v>
      </c>
      <c r="Q1294" s="1">
        <v>0</v>
      </c>
      <c r="R1294" s="1" t="b">
        <f t="shared" si="40"/>
        <v>0</v>
      </c>
      <c r="S1294" s="2" t="s">
        <v>55</v>
      </c>
      <c r="T1294" s="1" t="str">
        <f>IF(S1294="","",VLOOKUP(S1294,'Ontology and concepts per UC'!$F$2:$J$46,5,FALSE))</f>
        <v>Parámetros de progresión</v>
      </c>
      <c r="U1294" s="1" t="b">
        <f t="array" ref="U1294">(INDEX('Ontology and concepts per UC'!$G$2:$I$46,MATCH($S1294,'Ontology and concepts per UC'!$F$2:$F$46,0),MATCH(LEFT($A1294,3),'Ontology and concepts per UC'!$G$1:$I$1,0))=0)</f>
        <v>0</v>
      </c>
      <c r="V1294" s="1" t="b">
        <f t="shared" si="41"/>
        <v>1</v>
      </c>
      <c r="W1294" s="1" t="b">
        <v>0</v>
      </c>
      <c r="X1294" s="1" t="b">
        <v>0</v>
      </c>
      <c r="Y1294" s="1" t="b">
        <v>0</v>
      </c>
      <c r="Z1294" s="1" t="b">
        <v>1</v>
      </c>
      <c r="AA1294" s="1" t="s">
        <v>3050</v>
      </c>
    </row>
    <row r="1295" spans="1:27" x14ac:dyDescent="0.25">
      <c r="A1295" s="1" t="s">
        <v>3338</v>
      </c>
      <c r="B1295" s="2" t="s">
        <v>3355</v>
      </c>
      <c r="C1295" s="2" t="s">
        <v>40</v>
      </c>
      <c r="D1295" s="6">
        <f t="shared" si="35"/>
        <v>1</v>
      </c>
      <c r="E1295" s="7" t="str">
        <f t="shared" si="36"/>
        <v>BetaDistributionExpression</v>
      </c>
      <c r="F1295" s="8" t="b">
        <f>IF(D1295&lt;1,FALSE,ISERROR(MATCH(E1295,'Ontology and concepts per UC'!$A$2:$A$62,0)))</f>
        <v>0</v>
      </c>
      <c r="G1295" s="9" t="str">
        <f t="shared" si="37"/>
        <v/>
      </c>
      <c r="H1295" s="9" t="str">
        <f t="shared" si="38"/>
        <v/>
      </c>
      <c r="I1295" s="8" t="b">
        <f>IF(D1295&lt;2,FALSE,ISERROR(MATCH(H1295,'Ontology and concepts per UC'!$A$2:$A$62,0)))</f>
        <v>0</v>
      </c>
      <c r="J1295" s="9" t="str">
        <f t="shared" si="39"/>
        <v/>
      </c>
      <c r="K1295" s="8" t="b">
        <f>IF(D1295&lt;3,FALSE,ISERROR(MATCH(J1295,'Ontology and concepts per UC'!$A$2:$A$62,0)))</f>
        <v>0</v>
      </c>
      <c r="L1295" s="2"/>
      <c r="M1295" s="2" t="s">
        <v>3356</v>
      </c>
      <c r="N1295" s="2"/>
      <c r="O1295" s="1" t="b">
        <v>0</v>
      </c>
      <c r="P1295" s="1">
        <v>0</v>
      </c>
      <c r="Q1295" s="1">
        <v>0</v>
      </c>
      <c r="R1295" s="1" t="b">
        <f t="shared" si="40"/>
        <v>0</v>
      </c>
      <c r="S1295" s="2" t="s">
        <v>51</v>
      </c>
      <c r="T1295" s="1" t="str">
        <f>IF(S1295="","",VLOOKUP(S1295,'Ontology and concepts per UC'!$F$2:$J$46,5,FALSE))</f>
        <v>Parámetros de progresión</v>
      </c>
      <c r="U1295" s="1" t="b">
        <f t="array" ref="U1295">(INDEX('Ontology and concepts per UC'!$G$2:$I$46,MATCH($S1295,'Ontology and concepts per UC'!$F$2:$F$46,0),MATCH(LEFT($A1295,3),'Ontology and concepts per UC'!$G$1:$I$1,0))=0)</f>
        <v>0</v>
      </c>
      <c r="V1295" s="1" t="b">
        <f t="shared" si="41"/>
        <v>0</v>
      </c>
      <c r="W1295" s="1" t="b">
        <v>0</v>
      </c>
      <c r="X1295" s="1" t="b">
        <v>0</v>
      </c>
      <c r="Y1295" s="1" t="b">
        <v>0</v>
      </c>
      <c r="Z1295" s="1" t="b">
        <v>0</v>
      </c>
      <c r="AA1295" s="1"/>
    </row>
    <row r="1296" spans="1:27" x14ac:dyDescent="0.25">
      <c r="A1296" s="1" t="s">
        <v>3338</v>
      </c>
      <c r="B1296" s="2" t="s">
        <v>3357</v>
      </c>
      <c r="C1296" s="2" t="s">
        <v>40</v>
      </c>
      <c r="D1296" s="6">
        <f t="shared" si="35"/>
        <v>1</v>
      </c>
      <c r="E1296" s="7" t="str">
        <f t="shared" si="36"/>
        <v>BetaDistributionExpression</v>
      </c>
      <c r="F1296" s="8" t="b">
        <f>IF(D1296&lt;1,FALSE,ISERROR(MATCH(E1296,'Ontology and concepts per UC'!$A$2:$A$62,0)))</f>
        <v>0</v>
      </c>
      <c r="G1296" s="9" t="str">
        <f t="shared" si="37"/>
        <v/>
      </c>
      <c r="H1296" s="9" t="str">
        <f t="shared" si="38"/>
        <v/>
      </c>
      <c r="I1296" s="8" t="b">
        <f>IF(D1296&lt;2,FALSE,ISERROR(MATCH(H1296,'Ontology and concepts per UC'!$A$2:$A$62,0)))</f>
        <v>0</v>
      </c>
      <c r="J1296" s="9" t="str">
        <f t="shared" si="39"/>
        <v/>
      </c>
      <c r="K1296" s="8" t="b">
        <f>IF(D1296&lt;3,FALSE,ISERROR(MATCH(J1296,'Ontology and concepts per UC'!$A$2:$A$62,0)))</f>
        <v>0</v>
      </c>
      <c r="L1296" s="2"/>
      <c r="M1296" s="2" t="s">
        <v>3358</v>
      </c>
      <c r="N1296" s="2"/>
      <c r="O1296" s="1" t="b">
        <v>0</v>
      </c>
      <c r="P1296" s="1">
        <v>0</v>
      </c>
      <c r="Q1296" s="1">
        <v>0</v>
      </c>
      <c r="R1296" s="1" t="b">
        <f t="shared" si="40"/>
        <v>0</v>
      </c>
      <c r="S1296" s="2" t="s">
        <v>56</v>
      </c>
      <c r="T1296" s="1" t="str">
        <f>IF(S1296="","",VLOOKUP(S1296,'Ontology and concepts per UC'!$F$2:$J$46,5,FALSE))</f>
        <v>Parámetros de progresión</v>
      </c>
      <c r="U1296" s="1" t="b">
        <f t="array" ref="U1296">(INDEX('Ontology and concepts per UC'!$G$2:$I$46,MATCH($S1296,'Ontology and concepts per UC'!$F$2:$F$46,0),MATCH(LEFT($A1296,3),'Ontology and concepts per UC'!$G$1:$I$1,0))=0)</f>
        <v>0</v>
      </c>
      <c r="V1296" s="1" t="b">
        <f t="shared" si="41"/>
        <v>1</v>
      </c>
      <c r="W1296" s="1" t="b">
        <v>0</v>
      </c>
      <c r="X1296" s="1" t="b">
        <v>0</v>
      </c>
      <c r="Y1296" s="10" t="b">
        <v>0</v>
      </c>
      <c r="Z1296" s="10" t="b">
        <v>1</v>
      </c>
      <c r="AA1296" s="9" t="s">
        <v>3050</v>
      </c>
    </row>
    <row r="1297" spans="1:27" x14ac:dyDescent="0.25">
      <c r="A1297" s="1" t="s">
        <v>3338</v>
      </c>
      <c r="B1297" s="2" t="s">
        <v>3359</v>
      </c>
      <c r="C1297" s="2" t="s">
        <v>40</v>
      </c>
      <c r="D1297" s="6">
        <f t="shared" si="35"/>
        <v>1</v>
      </c>
      <c r="E1297" s="7" t="str">
        <f t="shared" si="36"/>
        <v>BetaDistributionExpression</v>
      </c>
      <c r="F1297" s="8" t="b">
        <f>IF(D1297&lt;1,FALSE,ISERROR(MATCH(E1297,'Ontology and concepts per UC'!$A$2:$A$62,0)))</f>
        <v>0</v>
      </c>
      <c r="G1297" s="9" t="str">
        <f t="shared" si="37"/>
        <v/>
      </c>
      <c r="H1297" s="9" t="str">
        <f t="shared" si="38"/>
        <v/>
      </c>
      <c r="I1297" s="8" t="b">
        <f>IF(D1297&lt;2,FALSE,ISERROR(MATCH(H1297,'Ontology and concepts per UC'!$A$2:$A$62,0)))</f>
        <v>0</v>
      </c>
      <c r="J1297" s="9" t="str">
        <f t="shared" si="39"/>
        <v/>
      </c>
      <c r="K1297" s="8" t="b">
        <f>IF(D1297&lt;3,FALSE,ISERROR(MATCH(J1297,'Ontology and concepts per UC'!$A$2:$A$62,0)))</f>
        <v>0</v>
      </c>
      <c r="L1297" s="2"/>
      <c r="M1297" s="2" t="s">
        <v>3360</v>
      </c>
      <c r="N1297" s="2"/>
      <c r="O1297" s="1" t="b">
        <v>0</v>
      </c>
      <c r="P1297" s="1">
        <v>0</v>
      </c>
      <c r="Q1297" s="1">
        <v>0</v>
      </c>
      <c r="R1297" s="1" t="b">
        <f t="shared" si="40"/>
        <v>0</v>
      </c>
      <c r="S1297" s="2" t="s">
        <v>54</v>
      </c>
      <c r="T1297" s="1" t="str">
        <f>IF(S1297="","",VLOOKUP(S1297,'Ontology and concepts per UC'!$F$2:$J$46,5,FALSE))</f>
        <v>Parámetros de progresión</v>
      </c>
      <c r="U1297" s="1" t="b">
        <f t="array" ref="U1297">(INDEX('Ontology and concepts per UC'!$G$2:$I$46,MATCH($S1297,'Ontology and concepts per UC'!$F$2:$F$46,0),MATCH(LEFT($A1297,3),'Ontology and concepts per UC'!$G$1:$I$1,0))=0)</f>
        <v>0</v>
      </c>
      <c r="V1297" s="1" t="b">
        <f t="shared" si="41"/>
        <v>1</v>
      </c>
      <c r="W1297" s="1" t="b">
        <v>0</v>
      </c>
      <c r="X1297" s="1" t="b">
        <v>0</v>
      </c>
      <c r="Y1297" s="10" t="b">
        <v>0</v>
      </c>
      <c r="Z1297" s="10" t="b">
        <v>1</v>
      </c>
      <c r="AA1297" s="9" t="s">
        <v>3050</v>
      </c>
    </row>
    <row r="1298" spans="1:27" x14ac:dyDescent="0.25">
      <c r="A1298" s="1" t="s">
        <v>3338</v>
      </c>
      <c r="B1298" s="2" t="s">
        <v>3361</v>
      </c>
      <c r="C1298" s="2" t="s">
        <v>40</v>
      </c>
      <c r="D1298" s="6">
        <f t="shared" si="35"/>
        <v>1</v>
      </c>
      <c r="E1298" s="7" t="str">
        <f t="shared" si="36"/>
        <v>BetaDistributionExpression</v>
      </c>
      <c r="F1298" s="8" t="b">
        <f>IF(D1298&lt;1,FALSE,ISERROR(MATCH(E1298,'Ontology and concepts per UC'!$A$2:$A$62,0)))</f>
        <v>0</v>
      </c>
      <c r="G1298" s="9" t="str">
        <f t="shared" si="37"/>
        <v/>
      </c>
      <c r="H1298" s="9" t="str">
        <f t="shared" si="38"/>
        <v/>
      </c>
      <c r="I1298" s="8" t="b">
        <f>IF(D1298&lt;2,FALSE,ISERROR(MATCH(H1298,'Ontology and concepts per UC'!$A$2:$A$62,0)))</f>
        <v>0</v>
      </c>
      <c r="J1298" s="9" t="str">
        <f t="shared" si="39"/>
        <v/>
      </c>
      <c r="K1298" s="8" t="b">
        <f>IF(D1298&lt;3,FALSE,ISERROR(MATCH(J1298,'Ontology and concepts per UC'!$A$2:$A$62,0)))</f>
        <v>0</v>
      </c>
      <c r="L1298" s="2"/>
      <c r="M1298" s="2" t="s">
        <v>3362</v>
      </c>
      <c r="N1298" s="2"/>
      <c r="O1298" s="1" t="b">
        <v>0</v>
      </c>
      <c r="P1298" s="1">
        <v>0</v>
      </c>
      <c r="Q1298" s="1">
        <v>0</v>
      </c>
      <c r="R1298" s="1" t="b">
        <f t="shared" si="40"/>
        <v>0</v>
      </c>
      <c r="S1298" s="2" t="s">
        <v>50</v>
      </c>
      <c r="T1298" s="1" t="str">
        <f>IF(S1298="","",VLOOKUP(S1298,'Ontology and concepts per UC'!$F$2:$J$46,5,FALSE))</f>
        <v>Parámetros de progresión</v>
      </c>
      <c r="U1298" s="1" t="b">
        <f t="array" ref="U1298">(INDEX('Ontology and concepts per UC'!$G$2:$I$46,MATCH($S1298,'Ontology and concepts per UC'!$F$2:$F$46,0),MATCH(LEFT($A1298,3),'Ontology and concepts per UC'!$G$1:$I$1,0))=0)</f>
        <v>0</v>
      </c>
      <c r="V1298" s="1" t="b">
        <f t="shared" si="41"/>
        <v>1</v>
      </c>
      <c r="W1298" s="1" t="b">
        <v>0</v>
      </c>
      <c r="X1298" s="1" t="b">
        <v>0</v>
      </c>
      <c r="Y1298" s="10" t="b">
        <v>0</v>
      </c>
      <c r="Z1298" s="10" t="b">
        <v>1</v>
      </c>
      <c r="AA1298" s="9" t="s">
        <v>3050</v>
      </c>
    </row>
    <row r="1299" spans="1:27" x14ac:dyDescent="0.25">
      <c r="A1299" s="1" t="s">
        <v>3338</v>
      </c>
      <c r="B1299" s="2" t="s">
        <v>3363</v>
      </c>
      <c r="C1299" s="2" t="s">
        <v>40</v>
      </c>
      <c r="D1299" s="6">
        <f t="shared" si="35"/>
        <v>1</v>
      </c>
      <c r="E1299" s="7" t="str">
        <f t="shared" si="36"/>
        <v>BetaDistributionExpression</v>
      </c>
      <c r="F1299" s="8" t="b">
        <f>IF(D1299&lt;1,FALSE,ISERROR(MATCH(E1299,'Ontology and concepts per UC'!$A$2:$A$62,0)))</f>
        <v>0</v>
      </c>
      <c r="G1299" s="9" t="str">
        <f t="shared" si="37"/>
        <v/>
      </c>
      <c r="H1299" s="9" t="str">
        <f t="shared" si="38"/>
        <v/>
      </c>
      <c r="I1299" s="8" t="b">
        <f>IF(D1299&lt;2,FALSE,ISERROR(MATCH(H1299,'Ontology and concepts per UC'!$A$2:$A$62,0)))</f>
        <v>0</v>
      </c>
      <c r="J1299" s="9" t="str">
        <f t="shared" si="39"/>
        <v/>
      </c>
      <c r="K1299" s="8" t="b">
        <f>IF(D1299&lt;3,FALSE,ISERROR(MATCH(J1299,'Ontology and concepts per UC'!$A$2:$A$62,0)))</f>
        <v>0</v>
      </c>
      <c r="L1299" s="2"/>
      <c r="M1299" s="2" t="s">
        <v>3364</v>
      </c>
      <c r="N1299" s="2"/>
      <c r="O1299" s="1" t="b">
        <v>0</v>
      </c>
      <c r="P1299" s="1">
        <v>0</v>
      </c>
      <c r="Q1299" s="1">
        <v>0</v>
      </c>
      <c r="R1299" s="1" t="b">
        <f t="shared" si="40"/>
        <v>0</v>
      </c>
      <c r="S1299" s="2" t="s">
        <v>107</v>
      </c>
      <c r="T1299" s="1" t="str">
        <f>IF(S1299="","",VLOOKUP(S1299,'Ontology and concepts per UC'!$F$2:$J$46,5,FALSE))</f>
        <v>Parcial</v>
      </c>
      <c r="U1299" s="1" t="b">
        <f t="array" ref="U1299">(INDEX('Ontology and concepts per UC'!$G$2:$I$46,MATCH($S1299,'Ontology and concepts per UC'!$F$2:$F$46,0),MATCH(LEFT($A1299,3),'Ontology and concepts per UC'!$G$1:$I$1,0))=0)</f>
        <v>0</v>
      </c>
      <c r="V1299" s="1" t="b">
        <f t="shared" si="41"/>
        <v>0</v>
      </c>
      <c r="W1299" s="1" t="b">
        <v>0</v>
      </c>
      <c r="X1299" s="1" t="b">
        <v>0</v>
      </c>
      <c r="Y1299" s="1" t="b">
        <v>0</v>
      </c>
      <c r="Z1299" s="1" t="b">
        <v>0</v>
      </c>
      <c r="AA1299" s="1"/>
    </row>
    <row r="1300" spans="1:27" x14ac:dyDescent="0.25">
      <c r="A1300" s="1" t="s">
        <v>3338</v>
      </c>
      <c r="B1300" s="2" t="s">
        <v>3365</v>
      </c>
      <c r="C1300" s="2" t="s">
        <v>40</v>
      </c>
      <c r="D1300" s="6">
        <f t="shared" si="35"/>
        <v>1</v>
      </c>
      <c r="E1300" s="7" t="str">
        <f t="shared" si="36"/>
        <v>BetaDistributionExpression</v>
      </c>
      <c r="F1300" s="8" t="b">
        <f>IF(D1300&lt;1,FALSE,ISERROR(MATCH(E1300,'Ontology and concepts per UC'!$A$2:$A$62,0)))</f>
        <v>0</v>
      </c>
      <c r="G1300" s="9" t="str">
        <f t="shared" si="37"/>
        <v/>
      </c>
      <c r="H1300" s="9" t="str">
        <f t="shared" si="38"/>
        <v/>
      </c>
      <c r="I1300" s="8" t="b">
        <f>IF(D1300&lt;2,FALSE,ISERROR(MATCH(H1300,'Ontology and concepts per UC'!$A$2:$A$62,0)))</f>
        <v>0</v>
      </c>
      <c r="J1300" s="9" t="str">
        <f t="shared" si="39"/>
        <v/>
      </c>
      <c r="K1300" s="8" t="b">
        <f>IF(D1300&lt;3,FALSE,ISERROR(MATCH(J1300,'Ontology and concepts per UC'!$A$2:$A$62,0)))</f>
        <v>0</v>
      </c>
      <c r="L1300" s="2"/>
      <c r="M1300" s="2" t="s">
        <v>3366</v>
      </c>
      <c r="N1300" s="2"/>
      <c r="O1300" s="1" t="b">
        <v>0</v>
      </c>
      <c r="P1300" s="1">
        <v>0</v>
      </c>
      <c r="Q1300" s="1">
        <v>0</v>
      </c>
      <c r="R1300" s="1" t="b">
        <f t="shared" si="40"/>
        <v>0</v>
      </c>
      <c r="S1300" s="2" t="s">
        <v>107</v>
      </c>
      <c r="T1300" s="1" t="str">
        <f>IF(S1300="","",VLOOKUP(S1300,'Ontology and concepts per UC'!$F$2:$J$46,5,FALSE))</f>
        <v>Parcial</v>
      </c>
      <c r="U1300" s="1" t="b">
        <f t="array" ref="U1300">(INDEX('Ontology and concepts per UC'!$G$2:$I$46,MATCH($S1300,'Ontology and concepts per UC'!$F$2:$F$46,0),MATCH(LEFT($A1300,3),'Ontology and concepts per UC'!$G$1:$I$1,0))=0)</f>
        <v>0</v>
      </c>
      <c r="V1300" s="1" t="b">
        <f t="shared" si="41"/>
        <v>0</v>
      </c>
      <c r="W1300" s="1" t="b">
        <v>0</v>
      </c>
      <c r="X1300" s="1" t="b">
        <v>0</v>
      </c>
      <c r="Y1300" s="1" t="b">
        <v>0</v>
      </c>
      <c r="Z1300" s="1" t="b">
        <v>0</v>
      </c>
      <c r="AA1300" s="1"/>
    </row>
    <row r="1301" spans="1:27" x14ac:dyDescent="0.25">
      <c r="A1301" s="1" t="s">
        <v>3338</v>
      </c>
      <c r="B1301" s="2" t="s">
        <v>3367</v>
      </c>
      <c r="C1301" s="2" t="s">
        <v>40</v>
      </c>
      <c r="D1301" s="6">
        <f t="shared" si="35"/>
        <v>1</v>
      </c>
      <c r="E1301" s="7" t="str">
        <f t="shared" si="36"/>
        <v>BetaDistributionExpression</v>
      </c>
      <c r="F1301" s="8" t="b">
        <f>IF(D1301&lt;1,FALSE,ISERROR(MATCH(E1301,'Ontology and concepts per UC'!$A$2:$A$62,0)))</f>
        <v>0</v>
      </c>
      <c r="G1301" s="9" t="str">
        <f t="shared" si="37"/>
        <v/>
      </c>
      <c r="H1301" s="9" t="str">
        <f t="shared" si="38"/>
        <v/>
      </c>
      <c r="I1301" s="8" t="b">
        <f>IF(D1301&lt;2,FALSE,ISERROR(MATCH(H1301,'Ontology and concepts per UC'!$A$2:$A$62,0)))</f>
        <v>0</v>
      </c>
      <c r="J1301" s="9" t="str">
        <f t="shared" si="39"/>
        <v/>
      </c>
      <c r="K1301" s="8" t="b">
        <f>IF(D1301&lt;3,FALSE,ISERROR(MATCH(J1301,'Ontology and concepts per UC'!$A$2:$A$62,0)))</f>
        <v>0</v>
      </c>
      <c r="L1301" s="2"/>
      <c r="M1301" s="2" t="s">
        <v>3364</v>
      </c>
      <c r="N1301" s="2"/>
      <c r="O1301" s="1" t="b">
        <v>0</v>
      </c>
      <c r="P1301" s="1">
        <v>0</v>
      </c>
      <c r="Q1301" s="1">
        <v>0</v>
      </c>
      <c r="R1301" s="1" t="b">
        <f t="shared" si="40"/>
        <v>0</v>
      </c>
      <c r="S1301" s="2" t="s">
        <v>107</v>
      </c>
      <c r="T1301" s="1" t="str">
        <f>IF(S1301="","",VLOOKUP(S1301,'Ontology and concepts per UC'!$F$2:$J$46,5,FALSE))</f>
        <v>Parcial</v>
      </c>
      <c r="U1301" s="1" t="b">
        <f t="array" ref="U1301">(INDEX('Ontology and concepts per UC'!$G$2:$I$46,MATCH($S1301,'Ontology and concepts per UC'!$F$2:$F$46,0),MATCH(LEFT($A1301,3),'Ontology and concepts per UC'!$G$1:$I$1,0))=0)</f>
        <v>0</v>
      </c>
      <c r="V1301" s="1" t="b">
        <f t="shared" si="41"/>
        <v>0</v>
      </c>
      <c r="W1301" s="1" t="b">
        <v>0</v>
      </c>
      <c r="X1301" s="1" t="b">
        <v>0</v>
      </c>
      <c r="Y1301" s="1" t="b">
        <v>0</v>
      </c>
      <c r="Z1301" s="1" t="b">
        <v>0</v>
      </c>
      <c r="AA1301" s="1"/>
    </row>
    <row r="1302" spans="1:27" x14ac:dyDescent="0.25">
      <c r="A1302" s="1" t="s">
        <v>3338</v>
      </c>
      <c r="B1302" s="2" t="s">
        <v>3368</v>
      </c>
      <c r="C1302" s="2" t="s">
        <v>40</v>
      </c>
      <c r="D1302" s="6">
        <f t="shared" si="35"/>
        <v>1</v>
      </c>
      <c r="E1302" s="7" t="str">
        <f t="shared" si="36"/>
        <v>BetaDistributionExpression</v>
      </c>
      <c r="F1302" s="8" t="b">
        <f>IF(D1302&lt;1,FALSE,ISERROR(MATCH(E1302,'Ontology and concepts per UC'!$A$2:$A$62,0)))</f>
        <v>0</v>
      </c>
      <c r="G1302" s="9" t="str">
        <f t="shared" si="37"/>
        <v/>
      </c>
      <c r="H1302" s="9" t="str">
        <f t="shared" si="38"/>
        <v/>
      </c>
      <c r="I1302" s="8" t="b">
        <f>IF(D1302&lt;2,FALSE,ISERROR(MATCH(H1302,'Ontology and concepts per UC'!$A$2:$A$62,0)))</f>
        <v>0</v>
      </c>
      <c r="J1302" s="9" t="str">
        <f t="shared" si="39"/>
        <v/>
      </c>
      <c r="K1302" s="8" t="b">
        <f>IF(D1302&lt;3,FALSE,ISERROR(MATCH(J1302,'Ontology and concepts per UC'!$A$2:$A$62,0)))</f>
        <v>0</v>
      </c>
      <c r="L1302" s="2"/>
      <c r="M1302" s="2" t="s">
        <v>3366</v>
      </c>
      <c r="N1302" s="2"/>
      <c r="O1302" s="1" t="b">
        <v>0</v>
      </c>
      <c r="P1302" s="1">
        <v>0</v>
      </c>
      <c r="Q1302" s="1">
        <v>0</v>
      </c>
      <c r="R1302" s="1" t="b">
        <f t="shared" si="40"/>
        <v>0</v>
      </c>
      <c r="S1302" s="2" t="s">
        <v>107</v>
      </c>
      <c r="T1302" s="1" t="str">
        <f>IF(S1302="","",VLOOKUP(S1302,'Ontology and concepts per UC'!$F$2:$J$46,5,FALSE))</f>
        <v>Parcial</v>
      </c>
      <c r="U1302" s="1" t="b">
        <f t="array" ref="U1302">(INDEX('Ontology and concepts per UC'!$G$2:$I$46,MATCH($S1302,'Ontology and concepts per UC'!$F$2:$F$46,0),MATCH(LEFT($A1302,3),'Ontology and concepts per UC'!$G$1:$I$1,0))=0)</f>
        <v>0</v>
      </c>
      <c r="V1302" s="1" t="b">
        <f t="shared" si="41"/>
        <v>0</v>
      </c>
      <c r="W1302" s="1" t="b">
        <v>0</v>
      </c>
      <c r="X1302" s="1" t="b">
        <v>0</v>
      </c>
      <c r="Y1302" s="1" t="b">
        <v>0</v>
      </c>
      <c r="Z1302" s="1" t="b">
        <v>0</v>
      </c>
      <c r="AA1302" s="1"/>
    </row>
    <row r="1303" spans="1:27" x14ac:dyDescent="0.25">
      <c r="A1303" s="1" t="s">
        <v>3338</v>
      </c>
      <c r="B1303" s="2" t="s">
        <v>3369</v>
      </c>
      <c r="C1303" s="2" t="s">
        <v>40</v>
      </c>
      <c r="D1303" s="6">
        <f t="shared" si="35"/>
        <v>1</v>
      </c>
      <c r="E1303" s="7" t="str">
        <f t="shared" si="36"/>
        <v>BetaDistributionExpression</v>
      </c>
      <c r="F1303" s="8" t="b">
        <f>IF(D1303&lt;1,FALSE,ISERROR(MATCH(E1303,'Ontology and concepts per UC'!$A$2:$A$62,0)))</f>
        <v>0</v>
      </c>
      <c r="G1303" s="9" t="str">
        <f t="shared" si="37"/>
        <v/>
      </c>
      <c r="H1303" s="9" t="str">
        <f t="shared" si="38"/>
        <v/>
      </c>
      <c r="I1303" s="8" t="b">
        <f>IF(D1303&lt;2,FALSE,ISERROR(MATCH(H1303,'Ontology and concepts per UC'!$A$2:$A$62,0)))</f>
        <v>0</v>
      </c>
      <c r="J1303" s="9" t="str">
        <f t="shared" si="39"/>
        <v/>
      </c>
      <c r="K1303" s="8" t="b">
        <f>IF(D1303&lt;3,FALSE,ISERROR(MATCH(J1303,'Ontology and concepts per UC'!$A$2:$A$62,0)))</f>
        <v>0</v>
      </c>
      <c r="L1303" s="2"/>
      <c r="M1303" s="2" t="s">
        <v>3364</v>
      </c>
      <c r="N1303" s="2"/>
      <c r="O1303" s="1" t="b">
        <v>0</v>
      </c>
      <c r="P1303" s="1">
        <v>0</v>
      </c>
      <c r="Q1303" s="1">
        <v>0</v>
      </c>
      <c r="R1303" s="1" t="b">
        <f t="shared" si="40"/>
        <v>0</v>
      </c>
      <c r="S1303" s="2" t="s">
        <v>107</v>
      </c>
      <c r="T1303" s="1" t="str">
        <f>IF(S1303="","",VLOOKUP(S1303,'Ontology and concepts per UC'!$F$2:$J$46,5,FALSE))</f>
        <v>Parcial</v>
      </c>
      <c r="U1303" s="1" t="b">
        <f t="array" ref="U1303">(INDEX('Ontology and concepts per UC'!$G$2:$I$46,MATCH($S1303,'Ontology and concepts per UC'!$F$2:$F$46,0),MATCH(LEFT($A1303,3),'Ontology and concepts per UC'!$G$1:$I$1,0))=0)</f>
        <v>0</v>
      </c>
      <c r="V1303" s="1" t="b">
        <f t="shared" si="41"/>
        <v>0</v>
      </c>
      <c r="W1303" s="1" t="b">
        <v>0</v>
      </c>
      <c r="X1303" s="1" t="b">
        <v>0</v>
      </c>
      <c r="Y1303" s="1" t="b">
        <v>0</v>
      </c>
      <c r="Z1303" s="1" t="b">
        <v>0</v>
      </c>
      <c r="AA1303" s="1"/>
    </row>
    <row r="1304" spans="1:27" x14ac:dyDescent="0.25">
      <c r="A1304" s="1" t="s">
        <v>3338</v>
      </c>
      <c r="B1304" s="2" t="s">
        <v>3370</v>
      </c>
      <c r="C1304" s="2" t="s">
        <v>40</v>
      </c>
      <c r="D1304" s="6">
        <f t="shared" si="35"/>
        <v>1</v>
      </c>
      <c r="E1304" s="7" t="str">
        <f t="shared" si="36"/>
        <v>BetaDistributionExpression</v>
      </c>
      <c r="F1304" s="8" t="b">
        <f>IF(D1304&lt;1,FALSE,ISERROR(MATCH(E1304,'Ontology and concepts per UC'!$A$2:$A$62,0)))</f>
        <v>0</v>
      </c>
      <c r="G1304" s="9" t="str">
        <f t="shared" si="37"/>
        <v/>
      </c>
      <c r="H1304" s="9" t="str">
        <f t="shared" si="38"/>
        <v/>
      </c>
      <c r="I1304" s="8" t="b">
        <f>IF(D1304&lt;2,FALSE,ISERROR(MATCH(H1304,'Ontology and concepts per UC'!$A$2:$A$62,0)))</f>
        <v>0</v>
      </c>
      <c r="J1304" s="9" t="str">
        <f t="shared" si="39"/>
        <v/>
      </c>
      <c r="K1304" s="8" t="b">
        <f>IF(D1304&lt;3,FALSE,ISERROR(MATCH(J1304,'Ontology and concepts per UC'!$A$2:$A$62,0)))</f>
        <v>0</v>
      </c>
      <c r="L1304" s="2"/>
      <c r="M1304" s="2" t="s">
        <v>3364</v>
      </c>
      <c r="N1304" s="2"/>
      <c r="O1304" s="1" t="b">
        <v>0</v>
      </c>
      <c r="P1304" s="1">
        <v>0</v>
      </c>
      <c r="Q1304" s="1">
        <v>0</v>
      </c>
      <c r="R1304" s="1" t="b">
        <f t="shared" si="40"/>
        <v>0</v>
      </c>
      <c r="S1304" s="2" t="s">
        <v>107</v>
      </c>
      <c r="T1304" s="1" t="str">
        <f>IF(S1304="","",VLOOKUP(S1304,'Ontology and concepts per UC'!$F$2:$J$46,5,FALSE))</f>
        <v>Parcial</v>
      </c>
      <c r="U1304" s="1" t="b">
        <f t="array" ref="U1304">(INDEX('Ontology and concepts per UC'!$G$2:$I$46,MATCH($S1304,'Ontology and concepts per UC'!$F$2:$F$46,0),MATCH(LEFT($A1304,3),'Ontology and concepts per UC'!$G$1:$I$1,0))=0)</f>
        <v>0</v>
      </c>
      <c r="V1304" s="1" t="b">
        <f t="shared" si="41"/>
        <v>0</v>
      </c>
      <c r="W1304" s="1" t="b">
        <v>0</v>
      </c>
      <c r="X1304" s="1" t="b">
        <v>0</v>
      </c>
      <c r="Y1304" s="1" t="b">
        <v>0</v>
      </c>
      <c r="Z1304" s="1" t="b">
        <v>0</v>
      </c>
      <c r="AA1304" s="1"/>
    </row>
    <row r="1305" spans="1:27" x14ac:dyDescent="0.25">
      <c r="A1305" s="1" t="s">
        <v>3338</v>
      </c>
      <c r="B1305" s="2" t="s">
        <v>3371</v>
      </c>
      <c r="C1305" s="2" t="s">
        <v>27</v>
      </c>
      <c r="D1305" s="6">
        <f t="shared" si="35"/>
        <v>1</v>
      </c>
      <c r="E1305" s="7" t="str">
        <f t="shared" si="36"/>
        <v>ChronicManifestation</v>
      </c>
      <c r="F1305" s="8" t="b">
        <f>IF(D1305&lt;1,FALSE,ISERROR(MATCH(E1305,'Ontology and concepts per UC'!$A$2:$A$62,0)))</f>
        <v>0</v>
      </c>
      <c r="G1305" s="9" t="str">
        <f t="shared" si="37"/>
        <v/>
      </c>
      <c r="H1305" s="9" t="str">
        <f t="shared" si="38"/>
        <v/>
      </c>
      <c r="I1305" s="8" t="b">
        <f>IF(D1305&lt;2,FALSE,ISERROR(MATCH(H1305,'Ontology and concepts per UC'!$A$2:$A$62,0)))</f>
        <v>0</v>
      </c>
      <c r="J1305" s="9" t="str">
        <f t="shared" si="39"/>
        <v/>
      </c>
      <c r="K1305" s="8" t="b">
        <f>IF(D1305&lt;3,FALSE,ISERROR(MATCH(J1305,'Ontology and concepts per UC'!$A$2:$A$62,0)))</f>
        <v>0</v>
      </c>
      <c r="L1305" s="2" t="s">
        <v>3372</v>
      </c>
      <c r="M1305" s="2" t="s">
        <v>3373</v>
      </c>
      <c r="N1305" s="2"/>
      <c r="O1305" s="1" t="b">
        <v>0</v>
      </c>
      <c r="P1305" s="1">
        <v>0</v>
      </c>
      <c r="Q1305" s="1">
        <v>0</v>
      </c>
      <c r="R1305" s="1" t="b">
        <f t="shared" si="40"/>
        <v>0</v>
      </c>
      <c r="S1305" s="2" t="s">
        <v>32</v>
      </c>
      <c r="T1305" s="1" t="str">
        <f>IF(S1305="","",VLOOKUP(S1305,'Ontology and concepts per UC'!$F$2:$J$46,5,FALSE))</f>
        <v>Modelo Conceptual</v>
      </c>
      <c r="U1305" s="1" t="b">
        <f t="array" ref="U1305">(INDEX('Ontology and concepts per UC'!$G$2:$I$46,MATCH($S1305,'Ontology and concepts per UC'!$F$2:$F$46,0),MATCH(LEFT($A1305,3),'Ontology and concepts per UC'!$G$1:$I$1,0))=0)</f>
        <v>0</v>
      </c>
      <c r="V1305" s="1" t="b">
        <f t="shared" si="41"/>
        <v>0</v>
      </c>
      <c r="W1305" s="1" t="b">
        <v>0</v>
      </c>
      <c r="X1305" s="1" t="b">
        <v>0</v>
      </c>
      <c r="Y1305" s="1" t="b">
        <v>0</v>
      </c>
      <c r="Z1305" s="1" t="b">
        <v>0</v>
      </c>
      <c r="AA1305" s="1"/>
    </row>
    <row r="1306" spans="1:27" x14ac:dyDescent="0.25">
      <c r="A1306" s="1" t="s">
        <v>3338</v>
      </c>
      <c r="B1306" s="2" t="s">
        <v>3374</v>
      </c>
      <c r="C1306" s="2" t="s">
        <v>27</v>
      </c>
      <c r="D1306" s="6">
        <f t="shared" si="35"/>
        <v>1</v>
      </c>
      <c r="E1306" s="7" t="str">
        <f t="shared" si="36"/>
        <v>ChronicManifestation</v>
      </c>
      <c r="F1306" s="8" t="b">
        <f>IF(D1306&lt;1,FALSE,ISERROR(MATCH(E1306,'Ontology and concepts per UC'!$A$2:$A$62,0)))</f>
        <v>0</v>
      </c>
      <c r="G1306" s="9" t="str">
        <f t="shared" si="37"/>
        <v/>
      </c>
      <c r="H1306" s="9" t="str">
        <f t="shared" si="38"/>
        <v/>
      </c>
      <c r="I1306" s="8" t="b">
        <f>IF(D1306&lt;2,FALSE,ISERROR(MATCH(H1306,'Ontology and concepts per UC'!$A$2:$A$62,0)))</f>
        <v>0</v>
      </c>
      <c r="J1306" s="9" t="str">
        <f t="shared" si="39"/>
        <v/>
      </c>
      <c r="K1306" s="8" t="b">
        <f>IF(D1306&lt;3,FALSE,ISERROR(MATCH(J1306,'Ontology and concepts per UC'!$A$2:$A$62,0)))</f>
        <v>0</v>
      </c>
      <c r="L1306" s="2" t="s">
        <v>3375</v>
      </c>
      <c r="M1306" s="2" t="s">
        <v>3376</v>
      </c>
      <c r="N1306" s="2"/>
      <c r="O1306" s="1" t="b">
        <v>0</v>
      </c>
      <c r="P1306" s="1">
        <v>0</v>
      </c>
      <c r="Q1306" s="1">
        <v>0</v>
      </c>
      <c r="R1306" s="1" t="b">
        <f t="shared" si="40"/>
        <v>0</v>
      </c>
      <c r="S1306" s="2" t="s">
        <v>29</v>
      </c>
      <c r="T1306" s="1" t="str">
        <f>IF(S1306="","",VLOOKUP(S1306,'Ontology and concepts per UC'!$F$2:$J$46,5,FALSE))</f>
        <v>Modelo Conceptual</v>
      </c>
      <c r="U1306" s="1" t="b">
        <f t="array" ref="U1306">(INDEX('Ontology and concepts per UC'!$G$2:$I$46,MATCH($S1306,'Ontology and concepts per UC'!$F$2:$F$46,0),MATCH(LEFT($A1306,3),'Ontology and concepts per UC'!$G$1:$I$1,0))=0)</f>
        <v>0</v>
      </c>
      <c r="V1306" s="1" t="b">
        <f t="shared" si="41"/>
        <v>0</v>
      </c>
      <c r="W1306" s="1" t="b">
        <v>0</v>
      </c>
      <c r="X1306" s="1" t="b">
        <v>0</v>
      </c>
      <c r="Y1306" s="1" t="b">
        <v>0</v>
      </c>
      <c r="Z1306" s="1" t="b">
        <v>0</v>
      </c>
      <c r="AA1306" s="1"/>
    </row>
    <row r="1307" spans="1:27" x14ac:dyDescent="0.25">
      <c r="A1307" s="1" t="s">
        <v>3338</v>
      </c>
      <c r="B1307" s="2" t="s">
        <v>3377</v>
      </c>
      <c r="C1307" s="2" t="s">
        <v>27</v>
      </c>
      <c r="D1307" s="6">
        <f t="shared" si="35"/>
        <v>1</v>
      </c>
      <c r="E1307" s="7" t="str">
        <f t="shared" si="36"/>
        <v>ChronicManifestation</v>
      </c>
      <c r="F1307" s="8" t="b">
        <f>IF(D1307&lt;1,FALSE,ISERROR(MATCH(E1307,'Ontology and concepts per UC'!$A$2:$A$62,0)))</f>
        <v>0</v>
      </c>
      <c r="G1307" s="9" t="str">
        <f t="shared" si="37"/>
        <v/>
      </c>
      <c r="H1307" s="9" t="str">
        <f t="shared" si="38"/>
        <v/>
      </c>
      <c r="I1307" s="8" t="b">
        <f>IF(D1307&lt;2,FALSE,ISERROR(MATCH(H1307,'Ontology and concepts per UC'!$A$2:$A$62,0)))</f>
        <v>0</v>
      </c>
      <c r="J1307" s="9" t="str">
        <f t="shared" si="39"/>
        <v/>
      </c>
      <c r="K1307" s="8" t="b">
        <f>IF(D1307&lt;3,FALSE,ISERROR(MATCH(J1307,'Ontology and concepts per UC'!$A$2:$A$62,0)))</f>
        <v>0</v>
      </c>
      <c r="L1307" s="2" t="s">
        <v>3378</v>
      </c>
      <c r="M1307" s="2" t="s">
        <v>3379</v>
      </c>
      <c r="N1307" s="2"/>
      <c r="O1307" s="1" t="b">
        <v>0</v>
      </c>
      <c r="P1307" s="1">
        <v>0</v>
      </c>
      <c r="Q1307" s="1">
        <v>0</v>
      </c>
      <c r="R1307" s="1" t="b">
        <f t="shared" si="40"/>
        <v>0</v>
      </c>
      <c r="S1307" s="2" t="s">
        <v>26</v>
      </c>
      <c r="T1307" s="1" t="str">
        <f>IF(S1307="","",VLOOKUP(S1307,'Ontology and concepts per UC'!$F$2:$J$46,5,FALSE))</f>
        <v>Modelo Conceptual</v>
      </c>
      <c r="U1307" s="1" t="b">
        <f t="array" ref="U1307">(INDEX('Ontology and concepts per UC'!$G$2:$I$46,MATCH($S1307,'Ontology and concepts per UC'!$F$2:$F$46,0),MATCH(LEFT($A1307,3),'Ontology and concepts per UC'!$G$1:$I$1,0))=0)</f>
        <v>0</v>
      </c>
      <c r="V1307" s="1" t="b">
        <f t="shared" si="41"/>
        <v>0</v>
      </c>
      <c r="W1307" s="1" t="b">
        <v>0</v>
      </c>
      <c r="X1307" s="1" t="b">
        <v>0</v>
      </c>
      <c r="Y1307" s="1" t="b">
        <v>0</v>
      </c>
      <c r="Z1307" s="1" t="b">
        <v>0</v>
      </c>
      <c r="AA1307" s="1"/>
    </row>
    <row r="1308" spans="1:27" x14ac:dyDescent="0.25">
      <c r="A1308" s="1" t="s">
        <v>3338</v>
      </c>
      <c r="B1308" s="2" t="s">
        <v>3380</v>
      </c>
      <c r="C1308" s="2" t="s">
        <v>27</v>
      </c>
      <c r="D1308" s="6">
        <f t="shared" si="35"/>
        <v>1</v>
      </c>
      <c r="E1308" s="7" t="str">
        <f t="shared" si="36"/>
        <v>ChronicManifestation</v>
      </c>
      <c r="F1308" s="8" t="b">
        <f>IF(D1308&lt;1,FALSE,ISERROR(MATCH(E1308,'Ontology and concepts per UC'!$A$2:$A$62,0)))</f>
        <v>0</v>
      </c>
      <c r="G1308" s="9" t="str">
        <f t="shared" si="37"/>
        <v/>
      </c>
      <c r="H1308" s="9" t="str">
        <f t="shared" si="38"/>
        <v/>
      </c>
      <c r="I1308" s="8" t="b">
        <f>IF(D1308&lt;2,FALSE,ISERROR(MATCH(H1308,'Ontology and concepts per UC'!$A$2:$A$62,0)))</f>
        <v>0</v>
      </c>
      <c r="J1308" s="9" t="str">
        <f t="shared" si="39"/>
        <v/>
      </c>
      <c r="K1308" s="8" t="b">
        <f>IF(D1308&lt;3,FALSE,ISERROR(MATCH(J1308,'Ontology and concepts per UC'!$A$2:$A$62,0)))</f>
        <v>0</v>
      </c>
      <c r="L1308" s="2" t="s">
        <v>3349</v>
      </c>
      <c r="M1308" s="2" t="s">
        <v>3381</v>
      </c>
      <c r="N1308" s="2"/>
      <c r="O1308" s="1" t="b">
        <v>0</v>
      </c>
      <c r="P1308" s="1">
        <v>0</v>
      </c>
      <c r="Q1308" s="1">
        <v>0</v>
      </c>
      <c r="R1308" s="1" t="b">
        <f t="shared" si="40"/>
        <v>0</v>
      </c>
      <c r="S1308" s="2" t="s">
        <v>31</v>
      </c>
      <c r="T1308" s="1" t="str">
        <f>IF(S1308="","",VLOOKUP(S1308,'Ontology and concepts per UC'!$F$2:$J$46,5,FALSE))</f>
        <v>Modelo Conceptual</v>
      </c>
      <c r="U1308" s="1" t="b">
        <f t="array" ref="U1308">(INDEX('Ontology and concepts per UC'!$G$2:$I$46,MATCH($S1308,'Ontology and concepts per UC'!$F$2:$F$46,0),MATCH(LEFT($A1308,3),'Ontology and concepts per UC'!$G$1:$I$1,0))=0)</f>
        <v>0</v>
      </c>
      <c r="V1308" s="1" t="b">
        <f t="shared" si="41"/>
        <v>1</v>
      </c>
      <c r="W1308" s="1" t="b">
        <v>0</v>
      </c>
      <c r="X1308" s="1" t="b">
        <v>0</v>
      </c>
      <c r="Y1308" s="1" t="b">
        <v>1</v>
      </c>
      <c r="Z1308" s="1" t="b">
        <v>0</v>
      </c>
      <c r="AA1308" s="1" t="s">
        <v>3382</v>
      </c>
    </row>
    <row r="1309" spans="1:27" x14ac:dyDescent="0.25">
      <c r="A1309" s="1" t="s">
        <v>3338</v>
      </c>
      <c r="B1309" s="2" t="s">
        <v>3383</v>
      </c>
      <c r="C1309" s="2" t="s">
        <v>27</v>
      </c>
      <c r="D1309" s="6">
        <f t="shared" si="35"/>
        <v>1</v>
      </c>
      <c r="E1309" s="7" t="str">
        <f t="shared" si="36"/>
        <v>ChronicManifestation</v>
      </c>
      <c r="F1309" s="8" t="b">
        <f>IF(D1309&lt;1,FALSE,ISERROR(MATCH(E1309,'Ontology and concepts per UC'!$A$2:$A$62,0)))</f>
        <v>0</v>
      </c>
      <c r="G1309" s="9" t="str">
        <f t="shared" si="37"/>
        <v/>
      </c>
      <c r="H1309" s="9" t="str">
        <f t="shared" si="38"/>
        <v/>
      </c>
      <c r="I1309" s="8" t="b">
        <f>IF(D1309&lt;2,FALSE,ISERROR(MATCH(H1309,'Ontology and concepts per UC'!$A$2:$A$62,0)))</f>
        <v>0</v>
      </c>
      <c r="J1309" s="9" t="str">
        <f t="shared" si="39"/>
        <v/>
      </c>
      <c r="K1309" s="8" t="b">
        <f>IF(D1309&lt;3,FALSE,ISERROR(MATCH(J1309,'Ontology and concepts per UC'!$A$2:$A$62,0)))</f>
        <v>0</v>
      </c>
      <c r="L1309" s="2" t="s">
        <v>3349</v>
      </c>
      <c r="M1309" s="2" t="s">
        <v>3384</v>
      </c>
      <c r="N1309" s="2"/>
      <c r="O1309" s="1" t="b">
        <v>0</v>
      </c>
      <c r="P1309" s="1">
        <v>0</v>
      </c>
      <c r="Q1309" s="1">
        <v>0</v>
      </c>
      <c r="R1309" s="1" t="b">
        <f t="shared" si="40"/>
        <v>0</v>
      </c>
      <c r="S1309" s="2" t="s">
        <v>29</v>
      </c>
      <c r="T1309" s="1" t="str">
        <f>IF(S1309="","",VLOOKUP(S1309,'Ontology and concepts per UC'!$F$2:$J$46,5,FALSE))</f>
        <v>Modelo Conceptual</v>
      </c>
      <c r="U1309" s="1" t="b">
        <f t="array" ref="U1309">(INDEX('Ontology and concepts per UC'!$G$2:$I$46,MATCH($S1309,'Ontology and concepts per UC'!$F$2:$F$46,0),MATCH(LEFT($A1309,3),'Ontology and concepts per UC'!$G$1:$I$1,0))=0)</f>
        <v>0</v>
      </c>
      <c r="V1309" s="1" t="b">
        <f t="shared" si="41"/>
        <v>1</v>
      </c>
      <c r="W1309" s="1" t="b">
        <v>0</v>
      </c>
      <c r="X1309" s="1" t="b">
        <v>0</v>
      </c>
      <c r="Y1309" s="1" t="b">
        <v>1</v>
      </c>
      <c r="Z1309" s="1" t="b">
        <v>0</v>
      </c>
      <c r="AA1309" s="1" t="s">
        <v>3382</v>
      </c>
    </row>
    <row r="1310" spans="1:27" x14ac:dyDescent="0.25">
      <c r="A1310" s="1" t="s">
        <v>3338</v>
      </c>
      <c r="B1310" s="2" t="s">
        <v>3385</v>
      </c>
      <c r="C1310" s="2" t="s">
        <v>27</v>
      </c>
      <c r="D1310" s="6">
        <f t="shared" si="35"/>
        <v>1</v>
      </c>
      <c r="E1310" s="7" t="str">
        <f t="shared" si="36"/>
        <v>ChronicManifestation</v>
      </c>
      <c r="F1310" s="8" t="b">
        <f>IF(D1310&lt;1,FALSE,ISERROR(MATCH(E1310,'Ontology and concepts per UC'!$A$2:$A$62,0)))</f>
        <v>0</v>
      </c>
      <c r="G1310" s="9" t="str">
        <f t="shared" si="37"/>
        <v/>
      </c>
      <c r="H1310" s="9" t="str">
        <f t="shared" si="38"/>
        <v/>
      </c>
      <c r="I1310" s="8" t="b">
        <f>IF(D1310&lt;2,FALSE,ISERROR(MATCH(H1310,'Ontology and concepts per UC'!$A$2:$A$62,0)))</f>
        <v>0</v>
      </c>
      <c r="J1310" s="9" t="str">
        <f t="shared" si="39"/>
        <v/>
      </c>
      <c r="K1310" s="8" t="b">
        <f>IF(D1310&lt;3,FALSE,ISERROR(MATCH(J1310,'Ontology and concepts per UC'!$A$2:$A$62,0)))</f>
        <v>0</v>
      </c>
      <c r="L1310" s="2" t="s">
        <v>3349</v>
      </c>
      <c r="M1310" s="2" t="s">
        <v>3386</v>
      </c>
      <c r="N1310" s="2"/>
      <c r="O1310" s="1" t="b">
        <v>0</v>
      </c>
      <c r="P1310" s="1">
        <v>0</v>
      </c>
      <c r="Q1310" s="1">
        <v>0</v>
      </c>
      <c r="R1310" s="1" t="b">
        <f t="shared" si="40"/>
        <v>0</v>
      </c>
      <c r="S1310" s="2" t="s">
        <v>29</v>
      </c>
      <c r="T1310" s="1" t="str">
        <f>IF(S1310="","",VLOOKUP(S1310,'Ontology and concepts per UC'!$F$2:$J$46,5,FALSE))</f>
        <v>Modelo Conceptual</v>
      </c>
      <c r="U1310" s="1" t="b">
        <f t="array" ref="U1310">(INDEX('Ontology and concepts per UC'!$G$2:$I$46,MATCH($S1310,'Ontology and concepts per UC'!$F$2:$F$46,0),MATCH(LEFT($A1310,3),'Ontology and concepts per UC'!$G$1:$I$1,0))=0)</f>
        <v>0</v>
      </c>
      <c r="V1310" s="1" t="b">
        <f t="shared" si="41"/>
        <v>0</v>
      </c>
      <c r="W1310" s="1" t="b">
        <v>0</v>
      </c>
      <c r="X1310" s="1" t="b">
        <v>0</v>
      </c>
      <c r="Y1310" s="1" t="b">
        <v>0</v>
      </c>
      <c r="Z1310" s="1" t="b">
        <v>0</v>
      </c>
      <c r="AA1310" s="1"/>
    </row>
    <row r="1311" spans="1:27" x14ac:dyDescent="0.25">
      <c r="A1311" s="1" t="s">
        <v>3338</v>
      </c>
      <c r="B1311" s="2" t="s">
        <v>3387</v>
      </c>
      <c r="C1311" s="2" t="s">
        <v>929</v>
      </c>
      <c r="D1311" s="6">
        <f t="shared" si="35"/>
        <v>2</v>
      </c>
      <c r="E1311" s="7" t="str">
        <f t="shared" si="36"/>
        <v>DeterministicParameter</v>
      </c>
      <c r="F1311" s="8" t="b">
        <f>IF(D1311&lt;1,FALSE,ISERROR(MATCH(E1311,'Ontology and concepts per UC'!$A$2:$A$62,0)))</f>
        <v>0</v>
      </c>
      <c r="G1311" s="9" t="str">
        <f t="shared" si="37"/>
        <v>EpidemiologicalParameter</v>
      </c>
      <c r="H1311" s="9" t="str">
        <f t="shared" si="38"/>
        <v>EpidemiologicalParameter</v>
      </c>
      <c r="I1311" s="8" t="b">
        <f>IF(D1311&lt;2,FALSE,ISERROR(MATCH(H1311,'Ontology and concepts per UC'!$A$2:$A$62,0)))</f>
        <v>0</v>
      </c>
      <c r="J1311" s="9" t="str">
        <f t="shared" si="39"/>
        <v/>
      </c>
      <c r="K1311" s="8" t="b">
        <f>IF(D1311&lt;3,FALSE,ISERROR(MATCH(J1311,'Ontology and concepts per UC'!$A$2:$A$62,0)))</f>
        <v>0</v>
      </c>
      <c r="L1311" s="2" t="s">
        <v>3388</v>
      </c>
      <c r="M1311" s="2" t="s">
        <v>3389</v>
      </c>
      <c r="N1311" s="2"/>
      <c r="O1311" s="1" t="b">
        <v>0</v>
      </c>
      <c r="P1311" s="1">
        <v>0</v>
      </c>
      <c r="Q1311" s="1">
        <v>0</v>
      </c>
      <c r="R1311" s="1" t="b">
        <f t="shared" si="40"/>
        <v>1</v>
      </c>
      <c r="S1311" s="2" t="s">
        <v>107</v>
      </c>
      <c r="T1311" s="1" t="str">
        <f>IF(S1311="","",VLOOKUP(S1311,'Ontology and concepts per UC'!$F$2:$J$46,5,FALSE))</f>
        <v>Parcial</v>
      </c>
      <c r="U1311" s="1" t="b">
        <f t="array" ref="U1311">(INDEX('Ontology and concepts per UC'!$G$2:$I$46,MATCH($S1311,'Ontology and concepts per UC'!$F$2:$F$46,0),MATCH(LEFT($A1311,3),'Ontology and concepts per UC'!$G$1:$I$1,0))=0)</f>
        <v>0</v>
      </c>
      <c r="V1311" s="1" t="b">
        <f t="shared" si="41"/>
        <v>0</v>
      </c>
      <c r="W1311" s="1" t="b">
        <v>0</v>
      </c>
      <c r="X1311" s="1" t="b">
        <v>0</v>
      </c>
      <c r="Y1311" s="1" t="b">
        <v>0</v>
      </c>
      <c r="Z1311" s="1" t="b">
        <v>0</v>
      </c>
      <c r="AA1311" s="1"/>
    </row>
    <row r="1312" spans="1:27" x14ac:dyDescent="0.25">
      <c r="A1312" s="1" t="s">
        <v>3338</v>
      </c>
      <c r="B1312" s="2" t="s">
        <v>3390</v>
      </c>
      <c r="C1312" s="2" t="s">
        <v>929</v>
      </c>
      <c r="D1312" s="6">
        <f t="shared" si="35"/>
        <v>2</v>
      </c>
      <c r="E1312" s="7" t="str">
        <f t="shared" si="36"/>
        <v>DeterministicParameter</v>
      </c>
      <c r="F1312" s="8" t="b">
        <f>IF(D1312&lt;1,FALSE,ISERROR(MATCH(E1312,'Ontology and concepts per UC'!$A$2:$A$62,0)))</f>
        <v>0</v>
      </c>
      <c r="G1312" s="9" t="str">
        <f t="shared" si="37"/>
        <v>EpidemiologicalParameter</v>
      </c>
      <c r="H1312" s="9" t="str">
        <f t="shared" si="38"/>
        <v>EpidemiologicalParameter</v>
      </c>
      <c r="I1312" s="8" t="b">
        <f>IF(D1312&lt;2,FALSE,ISERROR(MATCH(H1312,'Ontology and concepts per UC'!$A$2:$A$62,0)))</f>
        <v>0</v>
      </c>
      <c r="J1312" s="9" t="str">
        <f t="shared" si="39"/>
        <v/>
      </c>
      <c r="K1312" s="8" t="b">
        <f>IF(D1312&lt;3,FALSE,ISERROR(MATCH(J1312,'Ontology and concepts per UC'!$A$2:$A$62,0)))</f>
        <v>0</v>
      </c>
      <c r="L1312" s="2" t="s">
        <v>3391</v>
      </c>
      <c r="M1312" s="2" t="s">
        <v>3392</v>
      </c>
      <c r="N1312" s="2"/>
      <c r="O1312" s="1" t="b">
        <v>0</v>
      </c>
      <c r="P1312" s="1">
        <v>0</v>
      </c>
      <c r="Q1312" s="1">
        <v>0</v>
      </c>
      <c r="R1312" s="1" t="b">
        <f t="shared" si="40"/>
        <v>1</v>
      </c>
      <c r="S1312" s="2" t="s">
        <v>38</v>
      </c>
      <c r="T1312" s="1" t="str">
        <f>IF(S1312="","",VLOOKUP(S1312,'Ontology and concepts per UC'!$F$2:$J$46,5,FALSE))</f>
        <v>Parámetro epidemiológico</v>
      </c>
      <c r="U1312" s="1" t="b">
        <f t="array" ref="U1312">(INDEX('Ontology and concepts per UC'!$G$2:$I$46,MATCH($S1312,'Ontology and concepts per UC'!$F$2:$F$46,0),MATCH(LEFT($A1312,3),'Ontology and concepts per UC'!$G$1:$I$1,0))=0)</f>
        <v>0</v>
      </c>
      <c r="V1312" s="1" t="b">
        <f t="shared" si="41"/>
        <v>0</v>
      </c>
      <c r="W1312" s="1" t="b">
        <v>0</v>
      </c>
      <c r="X1312" s="1" t="b">
        <v>0</v>
      </c>
      <c r="Y1312" s="1" t="b">
        <v>0</v>
      </c>
      <c r="Z1312" s="1" t="b">
        <v>0</v>
      </c>
      <c r="AA1312" s="1"/>
    </row>
    <row r="1313" spans="1:27" x14ac:dyDescent="0.25">
      <c r="A1313" s="1" t="s">
        <v>3338</v>
      </c>
      <c r="B1313" s="2" t="s">
        <v>3393</v>
      </c>
      <c r="C1313" s="2" t="s">
        <v>929</v>
      </c>
      <c r="D1313" s="6">
        <f t="shared" si="35"/>
        <v>2</v>
      </c>
      <c r="E1313" s="7" t="str">
        <f t="shared" si="36"/>
        <v>DeterministicParameter</v>
      </c>
      <c r="F1313" s="8" t="b">
        <f>IF(D1313&lt;1,FALSE,ISERROR(MATCH(E1313,'Ontology and concepts per UC'!$A$2:$A$62,0)))</f>
        <v>0</v>
      </c>
      <c r="G1313" s="9" t="str">
        <f t="shared" si="37"/>
        <v>EpidemiologicalParameter</v>
      </c>
      <c r="H1313" s="9" t="str">
        <f t="shared" si="38"/>
        <v>EpidemiologicalParameter</v>
      </c>
      <c r="I1313" s="8" t="b">
        <f>IF(D1313&lt;2,FALSE,ISERROR(MATCH(H1313,'Ontology and concepts per UC'!$A$2:$A$62,0)))</f>
        <v>0</v>
      </c>
      <c r="J1313" s="9" t="str">
        <f t="shared" si="39"/>
        <v/>
      </c>
      <c r="K1313" s="8" t="b">
        <f>IF(D1313&lt;3,FALSE,ISERROR(MATCH(J1313,'Ontology and concepts per UC'!$A$2:$A$62,0)))</f>
        <v>0</v>
      </c>
      <c r="L1313" s="2" t="s">
        <v>3394</v>
      </c>
      <c r="M1313" s="2" t="s">
        <v>3395</v>
      </c>
      <c r="N1313" s="2"/>
      <c r="O1313" s="1" t="b">
        <v>0</v>
      </c>
      <c r="P1313" s="1">
        <v>0</v>
      </c>
      <c r="Q1313" s="1">
        <v>0</v>
      </c>
      <c r="R1313" s="1" t="b">
        <f t="shared" si="40"/>
        <v>1</v>
      </c>
      <c r="S1313" s="2" t="s">
        <v>38</v>
      </c>
      <c r="T1313" s="1" t="str">
        <f>IF(S1313="","",VLOOKUP(S1313,'Ontology and concepts per UC'!$F$2:$J$46,5,FALSE))</f>
        <v>Parámetro epidemiológico</v>
      </c>
      <c r="U1313" s="1" t="b">
        <f t="array" ref="U1313">(INDEX('Ontology and concepts per UC'!$G$2:$I$46,MATCH($S1313,'Ontology and concepts per UC'!$F$2:$F$46,0),MATCH(LEFT($A1313,3),'Ontology and concepts per UC'!$G$1:$I$1,0))=0)</f>
        <v>0</v>
      </c>
      <c r="V1313" s="1" t="b">
        <f t="shared" si="41"/>
        <v>0</v>
      </c>
      <c r="W1313" s="1" t="b">
        <v>0</v>
      </c>
      <c r="X1313" s="1" t="b">
        <v>0</v>
      </c>
      <c r="Y1313" s="1" t="b">
        <v>0</v>
      </c>
      <c r="Z1313" s="1" t="b">
        <v>0</v>
      </c>
      <c r="AA1313" s="1"/>
    </row>
    <row r="1314" spans="1:27" x14ac:dyDescent="0.25">
      <c r="A1314" s="1" t="s">
        <v>3338</v>
      </c>
      <c r="B1314" s="2" t="s">
        <v>3396</v>
      </c>
      <c r="C1314" s="2" t="s">
        <v>942</v>
      </c>
      <c r="D1314" s="6">
        <f t="shared" si="35"/>
        <v>2</v>
      </c>
      <c r="E1314" s="7" t="str">
        <f t="shared" si="36"/>
        <v>DeterministicParameter</v>
      </c>
      <c r="F1314" s="8" t="b">
        <f>IF(D1314&lt;1,FALSE,ISERROR(MATCH(E1314,'Ontology and concepts per UC'!$A$2:$A$62,0)))</f>
        <v>0</v>
      </c>
      <c r="G1314" s="9" t="str">
        <f t="shared" si="37"/>
        <v>Parameter</v>
      </c>
      <c r="H1314" s="9" t="str">
        <f t="shared" si="38"/>
        <v>Parameter</v>
      </c>
      <c r="I1314" s="8" t="b">
        <f>IF(D1314&lt;2,FALSE,ISERROR(MATCH(H1314,'Ontology and concepts per UC'!$A$2:$A$62,0)))</f>
        <v>0</v>
      </c>
      <c r="J1314" s="9" t="str">
        <f t="shared" si="39"/>
        <v/>
      </c>
      <c r="K1314" s="8" t="b">
        <f>IF(D1314&lt;3,FALSE,ISERROR(MATCH(J1314,'Ontology and concepts per UC'!$A$2:$A$62,0)))</f>
        <v>0</v>
      </c>
      <c r="L1314" s="2" t="s">
        <v>3397</v>
      </c>
      <c r="M1314" s="2" t="s">
        <v>3398</v>
      </c>
      <c r="N1314" s="2"/>
      <c r="O1314" s="1" t="b">
        <v>0</v>
      </c>
      <c r="P1314" s="1">
        <v>0</v>
      </c>
      <c r="Q1314" s="1">
        <v>0</v>
      </c>
      <c r="R1314" s="1" t="b">
        <f t="shared" si="40"/>
        <v>1</v>
      </c>
      <c r="S1314" s="2" t="s">
        <v>62</v>
      </c>
      <c r="T1314" s="1" t="str">
        <f>IF(S1314="","",VLOOKUP(S1314,'Ontology and concepts per UC'!$F$2:$J$46,5,FALSE))</f>
        <v>Tratamiento/seguimiento</v>
      </c>
      <c r="U1314" s="1" t="b">
        <f t="array" ref="U1314">(INDEX('Ontology and concepts per UC'!$G$2:$I$46,MATCH($S1314,'Ontology and concepts per UC'!$F$2:$F$46,0),MATCH(LEFT($A1314,3),'Ontology and concepts per UC'!$G$1:$I$1,0))=0)</f>
        <v>0</v>
      </c>
      <c r="V1314" s="1" t="b">
        <f t="shared" si="41"/>
        <v>0</v>
      </c>
      <c r="W1314" s="1" t="b">
        <v>0</v>
      </c>
      <c r="X1314" s="1" t="b">
        <v>0</v>
      </c>
      <c r="Y1314" s="1" t="b">
        <v>0</v>
      </c>
      <c r="Z1314" s="1" t="b">
        <v>0</v>
      </c>
      <c r="AA1314" s="1"/>
    </row>
    <row r="1315" spans="1:27" x14ac:dyDescent="0.25">
      <c r="A1315" s="1" t="s">
        <v>3338</v>
      </c>
      <c r="B1315" s="2" t="s">
        <v>3399</v>
      </c>
      <c r="C1315" s="2" t="s">
        <v>942</v>
      </c>
      <c r="D1315" s="6">
        <f t="shared" si="35"/>
        <v>2</v>
      </c>
      <c r="E1315" s="7" t="str">
        <f t="shared" si="36"/>
        <v>DeterministicParameter</v>
      </c>
      <c r="F1315" s="8" t="b">
        <f>IF(D1315&lt;1,FALSE,ISERROR(MATCH(E1315,'Ontology and concepts per UC'!$A$2:$A$62,0)))</f>
        <v>0</v>
      </c>
      <c r="G1315" s="9" t="str">
        <f t="shared" si="37"/>
        <v>Parameter</v>
      </c>
      <c r="H1315" s="9" t="str">
        <f t="shared" si="38"/>
        <v>Parameter</v>
      </c>
      <c r="I1315" s="8" t="b">
        <f>IF(D1315&lt;2,FALSE,ISERROR(MATCH(H1315,'Ontology and concepts per UC'!$A$2:$A$62,0)))</f>
        <v>0</v>
      </c>
      <c r="J1315" s="9" t="str">
        <f t="shared" si="39"/>
        <v/>
      </c>
      <c r="K1315" s="8" t="b">
        <f>IF(D1315&lt;3,FALSE,ISERROR(MATCH(J1315,'Ontology and concepts per UC'!$A$2:$A$62,0)))</f>
        <v>0</v>
      </c>
      <c r="L1315" s="2" t="s">
        <v>3400</v>
      </c>
      <c r="M1315" s="2" t="s">
        <v>3401</v>
      </c>
      <c r="N1315" s="2"/>
      <c r="O1315" s="1" t="b">
        <v>0</v>
      </c>
      <c r="P1315" s="1">
        <v>0</v>
      </c>
      <c r="Q1315" s="1">
        <v>0</v>
      </c>
      <c r="R1315" s="1" t="b">
        <f t="shared" si="40"/>
        <v>1</v>
      </c>
      <c r="S1315" s="2" t="s">
        <v>107</v>
      </c>
      <c r="T1315" s="1" t="str">
        <f>IF(S1315="","",VLOOKUP(S1315,'Ontology and concepts per UC'!$F$2:$J$46,5,FALSE))</f>
        <v>Parcial</v>
      </c>
      <c r="U1315" s="1" t="b">
        <f t="array" ref="U1315">(INDEX('Ontology and concepts per UC'!$G$2:$I$46,MATCH($S1315,'Ontology and concepts per UC'!$F$2:$F$46,0),MATCH(LEFT($A1315,3),'Ontology and concepts per UC'!$G$1:$I$1,0))=0)</f>
        <v>0</v>
      </c>
      <c r="V1315" s="1" t="b">
        <f t="shared" si="41"/>
        <v>0</v>
      </c>
      <c r="W1315" s="1" t="b">
        <v>0</v>
      </c>
      <c r="X1315" s="1" t="b">
        <v>0</v>
      </c>
      <c r="Y1315" s="1" t="b">
        <v>0</v>
      </c>
      <c r="Z1315" s="1" t="b">
        <v>0</v>
      </c>
      <c r="AA1315" s="1"/>
    </row>
    <row r="1316" spans="1:27" x14ac:dyDescent="0.25">
      <c r="A1316" s="1" t="s">
        <v>3338</v>
      </c>
      <c r="B1316" s="2" t="s">
        <v>3402</v>
      </c>
      <c r="C1316" s="2" t="s">
        <v>942</v>
      </c>
      <c r="D1316" s="6">
        <f t="shared" si="35"/>
        <v>2</v>
      </c>
      <c r="E1316" s="7" t="str">
        <f t="shared" si="36"/>
        <v>DeterministicParameter</v>
      </c>
      <c r="F1316" s="8" t="b">
        <f>IF(D1316&lt;1,FALSE,ISERROR(MATCH(E1316,'Ontology and concepts per UC'!$A$2:$A$62,0)))</f>
        <v>0</v>
      </c>
      <c r="G1316" s="9" t="str">
        <f t="shared" si="37"/>
        <v>Parameter</v>
      </c>
      <c r="H1316" s="9" t="str">
        <f t="shared" si="38"/>
        <v>Parameter</v>
      </c>
      <c r="I1316" s="8" t="b">
        <f>IF(D1316&lt;2,FALSE,ISERROR(MATCH(H1316,'Ontology and concepts per UC'!$A$2:$A$62,0)))</f>
        <v>0</v>
      </c>
      <c r="J1316" s="9" t="str">
        <f t="shared" si="39"/>
        <v/>
      </c>
      <c r="K1316" s="8" t="b">
        <f>IF(D1316&lt;3,FALSE,ISERROR(MATCH(J1316,'Ontology and concepts per UC'!$A$2:$A$62,0)))</f>
        <v>0</v>
      </c>
      <c r="L1316" s="2" t="s">
        <v>3403</v>
      </c>
      <c r="M1316" s="2" t="s">
        <v>3404</v>
      </c>
      <c r="N1316" s="2"/>
      <c r="O1316" s="1" t="b">
        <v>0</v>
      </c>
      <c r="P1316" s="1">
        <v>0</v>
      </c>
      <c r="Q1316" s="1">
        <v>0</v>
      </c>
      <c r="R1316" s="1" t="b">
        <f t="shared" si="40"/>
        <v>1</v>
      </c>
      <c r="S1316" s="2" t="s">
        <v>51</v>
      </c>
      <c r="T1316" s="1" t="str">
        <f>IF(S1316="","",VLOOKUP(S1316,'Ontology and concepts per UC'!$F$2:$J$46,5,FALSE))</f>
        <v>Parámetros de progresión</v>
      </c>
      <c r="U1316" s="1" t="b">
        <f t="array" ref="U1316">(INDEX('Ontology and concepts per UC'!$G$2:$I$46,MATCH($S1316,'Ontology and concepts per UC'!$F$2:$F$46,0),MATCH(LEFT($A1316,3),'Ontology and concepts per UC'!$G$1:$I$1,0))=0)</f>
        <v>0</v>
      </c>
      <c r="V1316" s="1" t="b">
        <f t="shared" si="41"/>
        <v>0</v>
      </c>
      <c r="W1316" s="1" t="b">
        <v>0</v>
      </c>
      <c r="X1316" s="1" t="b">
        <v>0</v>
      </c>
      <c r="Y1316" s="1" t="b">
        <v>0</v>
      </c>
      <c r="Z1316" s="1" t="b">
        <v>0</v>
      </c>
      <c r="AA1316" s="1"/>
    </row>
    <row r="1317" spans="1:27" x14ac:dyDescent="0.25">
      <c r="A1317" s="1" t="s">
        <v>3338</v>
      </c>
      <c r="B1317" s="2" t="s">
        <v>3405</v>
      </c>
      <c r="C1317" s="2" t="s">
        <v>942</v>
      </c>
      <c r="D1317" s="6">
        <f t="shared" si="35"/>
        <v>2</v>
      </c>
      <c r="E1317" s="7" t="str">
        <f t="shared" si="36"/>
        <v>DeterministicParameter</v>
      </c>
      <c r="F1317" s="8" t="b">
        <f>IF(D1317&lt;1,FALSE,ISERROR(MATCH(E1317,'Ontology and concepts per UC'!$A$2:$A$62,0)))</f>
        <v>0</v>
      </c>
      <c r="G1317" s="9" t="str">
        <f t="shared" si="37"/>
        <v>Parameter</v>
      </c>
      <c r="H1317" s="9" t="str">
        <f t="shared" si="38"/>
        <v>Parameter</v>
      </c>
      <c r="I1317" s="8" t="b">
        <f>IF(D1317&lt;2,FALSE,ISERROR(MATCH(H1317,'Ontology and concepts per UC'!$A$2:$A$62,0)))</f>
        <v>0</v>
      </c>
      <c r="J1317" s="9" t="str">
        <f t="shared" si="39"/>
        <v/>
      </c>
      <c r="K1317" s="8" t="b">
        <f>IF(D1317&lt;3,FALSE,ISERROR(MATCH(J1317,'Ontology and concepts per UC'!$A$2:$A$62,0)))</f>
        <v>0</v>
      </c>
      <c r="L1317" s="2" t="s">
        <v>3406</v>
      </c>
      <c r="M1317" s="2" t="s">
        <v>3407</v>
      </c>
      <c r="N1317" s="2"/>
      <c r="O1317" s="1" t="b">
        <v>0</v>
      </c>
      <c r="P1317" s="1">
        <v>0</v>
      </c>
      <c r="Q1317" s="1">
        <v>0</v>
      </c>
      <c r="R1317" s="1" t="b">
        <f t="shared" si="40"/>
        <v>1</v>
      </c>
      <c r="S1317" s="2" t="s">
        <v>54</v>
      </c>
      <c r="T1317" s="1" t="str">
        <f>IF(S1317="","",VLOOKUP(S1317,'Ontology and concepts per UC'!$F$2:$J$46,5,FALSE))</f>
        <v>Parámetros de progresión</v>
      </c>
      <c r="U1317" s="1" t="b">
        <f t="array" ref="U1317">(INDEX('Ontology and concepts per UC'!$G$2:$I$46,MATCH($S1317,'Ontology and concepts per UC'!$F$2:$F$46,0),MATCH(LEFT($A1317,3),'Ontology and concepts per UC'!$G$1:$I$1,0))=0)</f>
        <v>0</v>
      </c>
      <c r="V1317" s="1" t="b">
        <f t="shared" si="41"/>
        <v>0</v>
      </c>
      <c r="W1317" s="1" t="b">
        <v>0</v>
      </c>
      <c r="X1317" s="1" t="b">
        <v>0</v>
      </c>
      <c r="Y1317" s="1" t="b">
        <v>0</v>
      </c>
      <c r="Z1317" s="1" t="b">
        <v>0</v>
      </c>
      <c r="AA1317" s="1"/>
    </row>
    <row r="1318" spans="1:27" x14ac:dyDescent="0.25">
      <c r="A1318" s="1" t="s">
        <v>3338</v>
      </c>
      <c r="B1318" s="2" t="s">
        <v>3408</v>
      </c>
      <c r="C1318" s="2" t="s">
        <v>3409</v>
      </c>
      <c r="D1318" s="6">
        <f t="shared" si="35"/>
        <v>1</v>
      </c>
      <c r="E1318" s="7" t="str">
        <f t="shared" si="36"/>
        <v>Development</v>
      </c>
      <c r="F1318" s="8" t="b">
        <f>IF(D1318&lt;1,FALSE,ISERROR(MATCH(E1318,'Ontology and concepts per UC'!$A$2:$A$62,0)))</f>
        <v>0</v>
      </c>
      <c r="G1318" s="9" t="str">
        <f t="shared" si="37"/>
        <v/>
      </c>
      <c r="H1318" s="9" t="str">
        <f t="shared" si="38"/>
        <v/>
      </c>
      <c r="I1318" s="8" t="b">
        <f>IF(D1318&lt;2,FALSE,ISERROR(MATCH(H1318,'Ontology and concepts per UC'!$A$2:$A$62,0)))</f>
        <v>0</v>
      </c>
      <c r="J1318" s="9" t="str">
        <f t="shared" si="39"/>
        <v/>
      </c>
      <c r="K1318" s="8" t="b">
        <f>IF(D1318&lt;3,FALSE,ISERROR(MATCH(J1318,'Ontology and concepts per UC'!$A$2:$A$62,0)))</f>
        <v>0</v>
      </c>
      <c r="L1318" s="2" t="s">
        <v>3410</v>
      </c>
      <c r="M1318" s="2" t="s">
        <v>3411</v>
      </c>
      <c r="N1318" s="2"/>
      <c r="O1318" s="1" t="b">
        <v>0</v>
      </c>
      <c r="P1318" s="1">
        <v>0</v>
      </c>
      <c r="Q1318" s="1">
        <v>0</v>
      </c>
      <c r="R1318" s="1" t="b">
        <f t="shared" si="40"/>
        <v>0</v>
      </c>
      <c r="S1318" s="2" t="s">
        <v>187</v>
      </c>
      <c r="T1318" s="1" t="str">
        <f>IF(S1318="","",VLOOKUP(S1318,'Ontology and concepts per UC'!$F$2:$J$46,5,FALSE))</f>
        <v>Otros</v>
      </c>
      <c r="U1318" s="1" t="b">
        <f t="array" ref="U1318">(INDEX('Ontology and concepts per UC'!$G$2:$I$46,MATCH($S1318,'Ontology and concepts per UC'!$F$2:$F$46,0),MATCH(LEFT($A1318,3),'Ontology and concepts per UC'!$G$1:$I$1,0))=0)</f>
        <v>1</v>
      </c>
      <c r="V1318" s="1" t="b">
        <f t="shared" si="41"/>
        <v>0</v>
      </c>
      <c r="W1318" s="1" t="b">
        <v>0</v>
      </c>
      <c r="X1318" s="1" t="b">
        <v>0</v>
      </c>
      <c r="Y1318" s="1" t="b">
        <v>0</v>
      </c>
      <c r="Z1318" s="1" t="b">
        <v>0</v>
      </c>
      <c r="AA1318" s="1"/>
    </row>
    <row r="1319" spans="1:27" x14ac:dyDescent="0.25">
      <c r="A1319" s="1" t="s">
        <v>3338</v>
      </c>
      <c r="B1319" s="2" t="s">
        <v>3412</v>
      </c>
      <c r="C1319" s="2" t="s">
        <v>23</v>
      </c>
      <c r="D1319" s="6">
        <f t="shared" si="35"/>
        <v>1</v>
      </c>
      <c r="E1319" s="7" t="str">
        <f t="shared" si="36"/>
        <v>DiagnosisIntervention</v>
      </c>
      <c r="F1319" s="8" t="b">
        <f>IF(D1319&lt;1,FALSE,ISERROR(MATCH(E1319,'Ontology and concepts per UC'!$A$2:$A$62,0)))</f>
        <v>0</v>
      </c>
      <c r="G1319" s="9" t="str">
        <f t="shared" si="37"/>
        <v/>
      </c>
      <c r="H1319" s="9" t="str">
        <f t="shared" si="38"/>
        <v/>
      </c>
      <c r="I1319" s="8" t="b">
        <f>IF(D1319&lt;2,FALSE,ISERROR(MATCH(H1319,'Ontology and concepts per UC'!$A$2:$A$62,0)))</f>
        <v>0</v>
      </c>
      <c r="J1319" s="9" t="str">
        <f t="shared" si="39"/>
        <v/>
      </c>
      <c r="K1319" s="8" t="b">
        <f>IF(D1319&lt;3,FALSE,ISERROR(MATCH(J1319,'Ontology and concepts per UC'!$A$2:$A$62,0)))</f>
        <v>0</v>
      </c>
      <c r="L1319" s="2" t="s">
        <v>3349</v>
      </c>
      <c r="M1319" s="2" t="s">
        <v>3413</v>
      </c>
      <c r="N1319" s="2"/>
      <c r="O1319" s="1" t="b">
        <v>0</v>
      </c>
      <c r="P1319" s="1">
        <v>0</v>
      </c>
      <c r="Q1319" s="1">
        <v>0</v>
      </c>
      <c r="R1319" s="1" t="b">
        <f t="shared" si="40"/>
        <v>0</v>
      </c>
      <c r="S1319" s="2" t="s">
        <v>22</v>
      </c>
      <c r="T1319" s="1" t="str">
        <f>IF(S1319="","",VLOOKUP(S1319,'Ontology and concepts per UC'!$F$2:$J$46,5,FALSE))</f>
        <v>Modelo Conceptual</v>
      </c>
      <c r="U1319" s="1" t="b">
        <f t="array" ref="U1319">(INDEX('Ontology and concepts per UC'!$G$2:$I$46,MATCH($S1319,'Ontology and concepts per UC'!$F$2:$F$46,0),MATCH(LEFT($A1319,3),'Ontology and concepts per UC'!$G$1:$I$1,0))=0)</f>
        <v>0</v>
      </c>
      <c r="V1319" s="1" t="b">
        <f t="shared" si="41"/>
        <v>0</v>
      </c>
      <c r="W1319" s="1" t="b">
        <v>0</v>
      </c>
      <c r="X1319" s="1" t="b">
        <v>0</v>
      </c>
      <c r="Y1319" s="1" t="b">
        <v>0</v>
      </c>
      <c r="Z1319" s="1" t="b">
        <v>0</v>
      </c>
      <c r="AA1319" s="1"/>
    </row>
    <row r="1320" spans="1:27" x14ac:dyDescent="0.25">
      <c r="A1320" s="1" t="s">
        <v>3338</v>
      </c>
      <c r="B1320" s="2" t="s">
        <v>3414</v>
      </c>
      <c r="C1320" s="2" t="s">
        <v>23</v>
      </c>
      <c r="D1320" s="6">
        <f t="shared" si="35"/>
        <v>1</v>
      </c>
      <c r="E1320" s="7" t="str">
        <f t="shared" si="36"/>
        <v>DiagnosisIntervention</v>
      </c>
      <c r="F1320" s="8" t="b">
        <f>IF(D1320&lt;1,FALSE,ISERROR(MATCH(E1320,'Ontology and concepts per UC'!$A$2:$A$62,0)))</f>
        <v>0</v>
      </c>
      <c r="G1320" s="9" t="str">
        <f t="shared" si="37"/>
        <v/>
      </c>
      <c r="H1320" s="9" t="str">
        <f t="shared" si="38"/>
        <v/>
      </c>
      <c r="I1320" s="8" t="b">
        <f>IF(D1320&lt;2,FALSE,ISERROR(MATCH(H1320,'Ontology and concepts per UC'!$A$2:$A$62,0)))</f>
        <v>0</v>
      </c>
      <c r="J1320" s="9" t="str">
        <f t="shared" si="39"/>
        <v/>
      </c>
      <c r="K1320" s="8" t="b">
        <f>IF(D1320&lt;3,FALSE,ISERROR(MATCH(J1320,'Ontology and concepts per UC'!$A$2:$A$62,0)))</f>
        <v>0</v>
      </c>
      <c r="L1320" s="2" t="s">
        <v>3349</v>
      </c>
      <c r="M1320" s="2" t="s">
        <v>3415</v>
      </c>
      <c r="N1320" s="2"/>
      <c r="O1320" s="1" t="b">
        <v>0</v>
      </c>
      <c r="P1320" s="1">
        <v>0</v>
      </c>
      <c r="Q1320" s="1">
        <v>0</v>
      </c>
      <c r="R1320" s="1" t="b">
        <f t="shared" si="40"/>
        <v>0</v>
      </c>
      <c r="S1320" s="2" t="s">
        <v>22</v>
      </c>
      <c r="T1320" s="1" t="str">
        <f>IF(S1320="","",VLOOKUP(S1320,'Ontology and concepts per UC'!$F$2:$J$46,5,FALSE))</f>
        <v>Modelo Conceptual</v>
      </c>
      <c r="U1320" s="1" t="b">
        <f t="array" ref="U1320">(INDEX('Ontology and concepts per UC'!$G$2:$I$46,MATCH($S1320,'Ontology and concepts per UC'!$F$2:$F$46,0),MATCH(LEFT($A1320,3),'Ontology and concepts per UC'!$G$1:$I$1,0))=0)</f>
        <v>0</v>
      </c>
      <c r="V1320" s="1" t="b">
        <f t="shared" si="41"/>
        <v>1</v>
      </c>
      <c r="W1320" s="1" t="b">
        <v>0</v>
      </c>
      <c r="X1320" s="1" t="b">
        <v>1</v>
      </c>
      <c r="Y1320" s="1" t="b">
        <v>0</v>
      </c>
      <c r="Z1320" s="1" t="b">
        <v>0</v>
      </c>
      <c r="AA1320" s="1" t="s">
        <v>3416</v>
      </c>
    </row>
    <row r="1321" spans="1:27" x14ac:dyDescent="0.25">
      <c r="A1321" s="1" t="s">
        <v>3338</v>
      </c>
      <c r="B1321" s="2" t="s">
        <v>3417</v>
      </c>
      <c r="C1321" s="2" t="s">
        <v>1576</v>
      </c>
      <c r="D1321" s="6">
        <f t="shared" si="35"/>
        <v>1</v>
      </c>
      <c r="E1321" s="7" t="str">
        <f t="shared" si="36"/>
        <v>DiscreteEventSimulationModel</v>
      </c>
      <c r="F1321" s="8" t="b">
        <f>IF(D1321&lt;1,FALSE,ISERROR(MATCH(E1321,'Ontology and concepts per UC'!$A$2:$A$62,0)))</f>
        <v>0</v>
      </c>
      <c r="G1321" s="9" t="str">
        <f t="shared" si="37"/>
        <v/>
      </c>
      <c r="H1321" s="9" t="str">
        <f t="shared" si="38"/>
        <v/>
      </c>
      <c r="I1321" s="8" t="b">
        <f>IF(D1321&lt;2,FALSE,ISERROR(MATCH(H1321,'Ontology and concepts per UC'!$A$2:$A$62,0)))</f>
        <v>0</v>
      </c>
      <c r="J1321" s="9" t="str">
        <f t="shared" si="39"/>
        <v/>
      </c>
      <c r="K1321" s="8" t="b">
        <f>IF(D1321&lt;3,FALSE,ISERROR(MATCH(J1321,'Ontology and concepts per UC'!$A$2:$A$62,0)))</f>
        <v>0</v>
      </c>
      <c r="L1321" s="2"/>
      <c r="M1321" s="2" t="s">
        <v>3418</v>
      </c>
      <c r="N1321" s="2"/>
      <c r="O1321" s="1" t="b">
        <v>0</v>
      </c>
      <c r="P1321" s="1">
        <v>0</v>
      </c>
      <c r="Q1321" s="1">
        <v>0</v>
      </c>
      <c r="R1321" s="1" t="b">
        <f t="shared" si="40"/>
        <v>0</v>
      </c>
      <c r="S1321" s="2" t="s">
        <v>33</v>
      </c>
      <c r="T1321" s="1" t="str">
        <f>IF(S1321="","",VLOOKUP(S1321,'Ontology and concepts per UC'!$F$2:$J$46,5,FALSE))</f>
        <v>Modelo Conceptual</v>
      </c>
      <c r="U1321" s="1" t="b">
        <f t="array" ref="U1321">(INDEX('Ontology and concepts per UC'!$G$2:$I$46,MATCH($S1321,'Ontology and concepts per UC'!$F$2:$F$46,0),MATCH(LEFT($A1321,3),'Ontology and concepts per UC'!$G$1:$I$1,0))=0)</f>
        <v>0</v>
      </c>
      <c r="V1321" s="1" t="b">
        <f t="shared" si="41"/>
        <v>0</v>
      </c>
      <c r="W1321" s="1" t="b">
        <v>0</v>
      </c>
      <c r="X1321" s="1" t="b">
        <v>0</v>
      </c>
      <c r="Y1321" s="1" t="b">
        <v>0</v>
      </c>
      <c r="Z1321" s="1" t="b">
        <v>0</v>
      </c>
      <c r="AA1321" s="1"/>
    </row>
    <row r="1322" spans="1:27" x14ac:dyDescent="0.25">
      <c r="A1322" s="1" t="s">
        <v>3338</v>
      </c>
      <c r="B1322" s="2" t="s">
        <v>3419</v>
      </c>
      <c r="C1322" s="2" t="s">
        <v>2331</v>
      </c>
      <c r="D1322" s="6">
        <f t="shared" si="35"/>
        <v>2</v>
      </c>
      <c r="E1322" s="7" t="str">
        <f t="shared" si="36"/>
        <v>EpidemiologicalParameter</v>
      </c>
      <c r="F1322" s="8" t="b">
        <f>IF(D1322&lt;1,FALSE,ISERROR(MATCH(E1322,'Ontology and concepts per UC'!$A$2:$A$62,0)))</f>
        <v>0</v>
      </c>
      <c r="G1322" s="9" t="str">
        <f t="shared" si="37"/>
        <v>SecondOrderUncertaintyParameter</v>
      </c>
      <c r="H1322" s="9" t="str">
        <f t="shared" si="38"/>
        <v>SecondOrderUncertaintyParameter</v>
      </c>
      <c r="I1322" s="8" t="b">
        <f>IF(D1322&lt;2,FALSE,ISERROR(MATCH(H1322,'Ontology and concepts per UC'!$A$2:$A$62,0)))</f>
        <v>0</v>
      </c>
      <c r="J1322" s="9" t="str">
        <f t="shared" si="39"/>
        <v/>
      </c>
      <c r="K1322" s="8" t="b">
        <f>IF(D1322&lt;3,FALSE,ISERROR(MATCH(J1322,'Ontology and concepts per UC'!$A$2:$A$62,0)))</f>
        <v>0</v>
      </c>
      <c r="L1322" s="2" t="s">
        <v>3420</v>
      </c>
      <c r="M1322" s="2" t="s">
        <v>3421</v>
      </c>
      <c r="N1322" s="2"/>
      <c r="O1322" s="1" t="b">
        <v>0</v>
      </c>
      <c r="P1322" s="1">
        <v>0</v>
      </c>
      <c r="Q1322" s="1">
        <v>0</v>
      </c>
      <c r="R1322" s="1" t="b">
        <f t="shared" si="40"/>
        <v>1</v>
      </c>
      <c r="S1322" s="2" t="s">
        <v>58</v>
      </c>
      <c r="T1322" s="1" t="str">
        <f>IF(S1322="","",VLOOKUP(S1322,'Ontology and concepts per UC'!$F$2:$J$46,5,FALSE))</f>
        <v>Parámetros de progresión</v>
      </c>
      <c r="U1322" s="1" t="b">
        <f t="array" ref="U1322">(INDEX('Ontology and concepts per UC'!$G$2:$I$46,MATCH($S1322,'Ontology and concepts per UC'!$F$2:$F$46,0),MATCH(LEFT($A1322,3),'Ontology and concepts per UC'!$G$1:$I$1,0))=0)</f>
        <v>0</v>
      </c>
      <c r="V1322" s="1" t="b">
        <f t="shared" si="41"/>
        <v>0</v>
      </c>
      <c r="W1322" s="1" t="b">
        <v>0</v>
      </c>
      <c r="X1322" s="1" t="b">
        <v>0</v>
      </c>
      <c r="Y1322" s="1" t="b">
        <v>0</v>
      </c>
      <c r="Z1322" s="1" t="b">
        <v>0</v>
      </c>
      <c r="AA1322" s="1"/>
    </row>
    <row r="1323" spans="1:27" x14ac:dyDescent="0.25">
      <c r="A1323" s="1" t="s">
        <v>3338</v>
      </c>
      <c r="B1323" s="2" t="s">
        <v>3422</v>
      </c>
      <c r="C1323" s="2" t="s">
        <v>2331</v>
      </c>
      <c r="D1323" s="6">
        <f t="shared" si="35"/>
        <v>2</v>
      </c>
      <c r="E1323" s="7" t="str">
        <f t="shared" si="36"/>
        <v>EpidemiologicalParameter</v>
      </c>
      <c r="F1323" s="8" t="b">
        <f>IF(D1323&lt;1,FALSE,ISERROR(MATCH(E1323,'Ontology and concepts per UC'!$A$2:$A$62,0)))</f>
        <v>0</v>
      </c>
      <c r="G1323" s="9" t="str">
        <f t="shared" si="37"/>
        <v>SecondOrderUncertaintyParameter</v>
      </c>
      <c r="H1323" s="9" t="str">
        <f t="shared" si="38"/>
        <v>SecondOrderUncertaintyParameter</v>
      </c>
      <c r="I1323" s="8" t="b">
        <f>IF(D1323&lt;2,FALSE,ISERROR(MATCH(H1323,'Ontology and concepts per UC'!$A$2:$A$62,0)))</f>
        <v>0</v>
      </c>
      <c r="J1323" s="9" t="str">
        <f t="shared" si="39"/>
        <v/>
      </c>
      <c r="K1323" s="8" t="b">
        <f>IF(D1323&lt;3,FALSE,ISERROR(MATCH(J1323,'Ontology and concepts per UC'!$A$2:$A$62,0)))</f>
        <v>0</v>
      </c>
      <c r="L1323" s="2" t="s">
        <v>3423</v>
      </c>
      <c r="M1323" s="2" t="s">
        <v>3424</v>
      </c>
      <c r="N1323" s="2"/>
      <c r="O1323" s="1" t="b">
        <v>0</v>
      </c>
      <c r="P1323" s="1">
        <v>0</v>
      </c>
      <c r="Q1323" s="1">
        <v>0</v>
      </c>
      <c r="R1323" s="1" t="b">
        <f t="shared" si="40"/>
        <v>1</v>
      </c>
      <c r="S1323" s="2" t="s">
        <v>107</v>
      </c>
      <c r="T1323" s="1" t="str">
        <f>IF(S1323="","",VLOOKUP(S1323,'Ontology and concepts per UC'!$F$2:$J$46,5,FALSE))</f>
        <v>Parcial</v>
      </c>
      <c r="U1323" s="1" t="b">
        <f t="array" ref="U1323">(INDEX('Ontology and concepts per UC'!$G$2:$I$46,MATCH($S1323,'Ontology and concepts per UC'!$F$2:$F$46,0),MATCH(LEFT($A1323,3),'Ontology and concepts per UC'!$G$1:$I$1,0))=0)</f>
        <v>0</v>
      </c>
      <c r="V1323" s="1" t="b">
        <f t="shared" si="41"/>
        <v>0</v>
      </c>
      <c r="W1323" s="1" t="b">
        <v>0</v>
      </c>
      <c r="X1323" s="1" t="b">
        <v>0</v>
      </c>
      <c r="Y1323" s="1" t="b">
        <v>0</v>
      </c>
      <c r="Z1323" s="1" t="b">
        <v>0</v>
      </c>
      <c r="AA1323" s="1"/>
    </row>
    <row r="1324" spans="1:27" x14ac:dyDescent="0.25">
      <c r="A1324" s="1" t="s">
        <v>3338</v>
      </c>
      <c r="B1324" s="2" t="s">
        <v>3425</v>
      </c>
      <c r="C1324" s="2" t="s">
        <v>2331</v>
      </c>
      <c r="D1324" s="6">
        <f t="shared" si="35"/>
        <v>2</v>
      </c>
      <c r="E1324" s="7" t="str">
        <f t="shared" si="36"/>
        <v>EpidemiologicalParameter</v>
      </c>
      <c r="F1324" s="8" t="b">
        <f>IF(D1324&lt;1,FALSE,ISERROR(MATCH(E1324,'Ontology and concepts per UC'!$A$2:$A$62,0)))</f>
        <v>0</v>
      </c>
      <c r="G1324" s="9" t="str">
        <f t="shared" si="37"/>
        <v>SecondOrderUncertaintyParameter</v>
      </c>
      <c r="H1324" s="9" t="str">
        <f t="shared" si="38"/>
        <v>SecondOrderUncertaintyParameter</v>
      </c>
      <c r="I1324" s="8" t="b">
        <f>IF(D1324&lt;2,FALSE,ISERROR(MATCH(H1324,'Ontology and concepts per UC'!$A$2:$A$62,0)))</f>
        <v>0</v>
      </c>
      <c r="J1324" s="9" t="str">
        <f t="shared" si="39"/>
        <v/>
      </c>
      <c r="K1324" s="8" t="b">
        <f>IF(D1324&lt;3,FALSE,ISERROR(MATCH(J1324,'Ontology and concepts per UC'!$A$2:$A$62,0)))</f>
        <v>0</v>
      </c>
      <c r="L1324" s="2" t="s">
        <v>3426</v>
      </c>
      <c r="M1324" s="2" t="s">
        <v>3427</v>
      </c>
      <c r="N1324" s="2"/>
      <c r="O1324" s="1" t="b">
        <v>0</v>
      </c>
      <c r="P1324" s="1">
        <v>0</v>
      </c>
      <c r="Q1324" s="1">
        <v>0</v>
      </c>
      <c r="R1324" s="1" t="b">
        <f t="shared" si="40"/>
        <v>1</v>
      </c>
      <c r="S1324" s="2" t="s">
        <v>107</v>
      </c>
      <c r="T1324" s="1" t="str">
        <f>IF(S1324="","",VLOOKUP(S1324,'Ontology and concepts per UC'!$F$2:$J$46,5,FALSE))</f>
        <v>Parcial</v>
      </c>
      <c r="U1324" s="1" t="b">
        <f t="array" ref="U1324">(INDEX('Ontology and concepts per UC'!$G$2:$I$46,MATCH($S1324,'Ontology and concepts per UC'!$F$2:$F$46,0),MATCH(LEFT($A1324,3),'Ontology and concepts per UC'!$G$1:$I$1,0))=0)</f>
        <v>0</v>
      </c>
      <c r="V1324" s="1" t="b">
        <f t="shared" si="41"/>
        <v>0</v>
      </c>
      <c r="W1324" s="1" t="b">
        <v>0</v>
      </c>
      <c r="X1324" s="1" t="b">
        <v>0</v>
      </c>
      <c r="Y1324" s="1" t="b">
        <v>0</v>
      </c>
      <c r="Z1324" s="1" t="b">
        <v>0</v>
      </c>
      <c r="AA1324" s="1"/>
    </row>
    <row r="1325" spans="1:27" x14ac:dyDescent="0.25">
      <c r="A1325" s="1" t="s">
        <v>3338</v>
      </c>
      <c r="B1325" s="2" t="s">
        <v>3428</v>
      </c>
      <c r="C1325" s="2" t="s">
        <v>2331</v>
      </c>
      <c r="D1325" s="6">
        <f t="shared" si="35"/>
        <v>2</v>
      </c>
      <c r="E1325" s="7" t="str">
        <f t="shared" si="36"/>
        <v>EpidemiologicalParameter</v>
      </c>
      <c r="F1325" s="8" t="b">
        <f>IF(D1325&lt;1,FALSE,ISERROR(MATCH(E1325,'Ontology and concepts per UC'!$A$2:$A$62,0)))</f>
        <v>0</v>
      </c>
      <c r="G1325" s="9" t="str">
        <f t="shared" si="37"/>
        <v>SecondOrderUncertaintyParameter</v>
      </c>
      <c r="H1325" s="9" t="str">
        <f t="shared" si="38"/>
        <v>SecondOrderUncertaintyParameter</v>
      </c>
      <c r="I1325" s="8" t="b">
        <f>IF(D1325&lt;2,FALSE,ISERROR(MATCH(H1325,'Ontology and concepts per UC'!$A$2:$A$62,0)))</f>
        <v>0</v>
      </c>
      <c r="J1325" s="9" t="str">
        <f t="shared" si="39"/>
        <v/>
      </c>
      <c r="K1325" s="8" t="b">
        <f>IF(D1325&lt;3,FALSE,ISERROR(MATCH(J1325,'Ontology and concepts per UC'!$A$2:$A$62,0)))</f>
        <v>0</v>
      </c>
      <c r="L1325" s="2" t="s">
        <v>3429</v>
      </c>
      <c r="M1325" s="2" t="s">
        <v>3430</v>
      </c>
      <c r="N1325" s="2"/>
      <c r="O1325" s="1" t="b">
        <v>0</v>
      </c>
      <c r="P1325" s="1">
        <v>0</v>
      </c>
      <c r="Q1325" s="1">
        <v>0</v>
      </c>
      <c r="R1325" s="1" t="b">
        <f t="shared" si="40"/>
        <v>1</v>
      </c>
      <c r="S1325" s="2" t="s">
        <v>107</v>
      </c>
      <c r="T1325" s="1" t="str">
        <f>IF(S1325="","",VLOOKUP(S1325,'Ontology and concepts per UC'!$F$2:$J$46,5,FALSE))</f>
        <v>Parcial</v>
      </c>
      <c r="U1325" s="1" t="b">
        <f t="array" ref="U1325">(INDEX('Ontology and concepts per UC'!$G$2:$I$46,MATCH($S1325,'Ontology and concepts per UC'!$F$2:$F$46,0),MATCH(LEFT($A1325,3),'Ontology and concepts per UC'!$G$1:$I$1,0))=0)</f>
        <v>0</v>
      </c>
      <c r="V1325" s="1" t="b">
        <f t="shared" si="41"/>
        <v>0</v>
      </c>
      <c r="W1325" s="1" t="b">
        <v>0</v>
      </c>
      <c r="X1325" s="1" t="b">
        <v>0</v>
      </c>
      <c r="Y1325" s="1" t="b">
        <v>0</v>
      </c>
      <c r="Z1325" s="1" t="b">
        <v>0</v>
      </c>
      <c r="AA1325" s="1"/>
    </row>
    <row r="1326" spans="1:27" x14ac:dyDescent="0.25">
      <c r="A1326" s="1" t="s">
        <v>3338</v>
      </c>
      <c r="B1326" s="2" t="s">
        <v>3431</v>
      </c>
      <c r="C1326" s="2" t="s">
        <v>2331</v>
      </c>
      <c r="D1326" s="6">
        <f t="shared" si="35"/>
        <v>2</v>
      </c>
      <c r="E1326" s="7" t="str">
        <f t="shared" si="36"/>
        <v>EpidemiologicalParameter</v>
      </c>
      <c r="F1326" s="8" t="b">
        <f>IF(D1326&lt;1,FALSE,ISERROR(MATCH(E1326,'Ontology and concepts per UC'!$A$2:$A$62,0)))</f>
        <v>0</v>
      </c>
      <c r="G1326" s="9" t="str">
        <f t="shared" si="37"/>
        <v>SecondOrderUncertaintyParameter</v>
      </c>
      <c r="H1326" s="9" t="str">
        <f t="shared" si="38"/>
        <v>SecondOrderUncertaintyParameter</v>
      </c>
      <c r="I1326" s="8" t="b">
        <f>IF(D1326&lt;2,FALSE,ISERROR(MATCH(H1326,'Ontology and concepts per UC'!$A$2:$A$62,0)))</f>
        <v>0</v>
      </c>
      <c r="J1326" s="9" t="str">
        <f t="shared" si="39"/>
        <v/>
      </c>
      <c r="K1326" s="8" t="b">
        <f>IF(D1326&lt;3,FALSE,ISERROR(MATCH(J1326,'Ontology and concepts per UC'!$A$2:$A$62,0)))</f>
        <v>0</v>
      </c>
      <c r="L1326" s="2" t="s">
        <v>3432</v>
      </c>
      <c r="M1326" s="2" t="s">
        <v>3433</v>
      </c>
      <c r="N1326" s="2"/>
      <c r="O1326" s="1" t="b">
        <v>0</v>
      </c>
      <c r="P1326" s="1">
        <v>0</v>
      </c>
      <c r="Q1326" s="1">
        <v>0</v>
      </c>
      <c r="R1326" s="1" t="b">
        <f t="shared" si="40"/>
        <v>1</v>
      </c>
      <c r="S1326" s="2" t="s">
        <v>107</v>
      </c>
      <c r="T1326" s="1" t="str">
        <f>IF(S1326="","",VLOOKUP(S1326,'Ontology and concepts per UC'!$F$2:$J$46,5,FALSE))</f>
        <v>Parcial</v>
      </c>
      <c r="U1326" s="1" t="b">
        <f t="array" ref="U1326">(INDEX('Ontology and concepts per UC'!$G$2:$I$46,MATCH($S1326,'Ontology and concepts per UC'!$F$2:$F$46,0),MATCH(LEFT($A1326,3),'Ontology and concepts per UC'!$G$1:$I$1,0))=0)</f>
        <v>0</v>
      </c>
      <c r="V1326" s="1" t="b">
        <f t="shared" si="41"/>
        <v>0</v>
      </c>
      <c r="W1326" s="1" t="b">
        <v>0</v>
      </c>
      <c r="X1326" s="1" t="b">
        <v>0</v>
      </c>
      <c r="Y1326" s="1" t="b">
        <v>0</v>
      </c>
      <c r="Z1326" s="1" t="b">
        <v>0</v>
      </c>
      <c r="AA1326" s="1"/>
    </row>
    <row r="1327" spans="1:27" x14ac:dyDescent="0.25">
      <c r="A1327" s="1" t="s">
        <v>3338</v>
      </c>
      <c r="B1327" s="2" t="s">
        <v>3434</v>
      </c>
      <c r="C1327" s="2" t="s">
        <v>61</v>
      </c>
      <c r="D1327" s="6">
        <f t="shared" si="35"/>
        <v>1</v>
      </c>
      <c r="E1327" s="7" t="str">
        <f t="shared" si="36"/>
        <v>FollowUpStrategy</v>
      </c>
      <c r="F1327" s="8" t="b">
        <f>IF(D1327&lt;1,FALSE,ISERROR(MATCH(E1327,'Ontology and concepts per UC'!$A$2:$A$62,0)))</f>
        <v>0</v>
      </c>
      <c r="G1327" s="9" t="str">
        <f t="shared" si="37"/>
        <v/>
      </c>
      <c r="H1327" s="9" t="str">
        <f t="shared" si="38"/>
        <v/>
      </c>
      <c r="I1327" s="8" t="b">
        <f>IF(D1327&lt;2,FALSE,ISERROR(MATCH(H1327,'Ontology and concepts per UC'!$A$2:$A$62,0)))</f>
        <v>0</v>
      </c>
      <c r="J1327" s="9" t="str">
        <f t="shared" si="39"/>
        <v/>
      </c>
      <c r="K1327" s="8" t="b">
        <f>IF(D1327&lt;3,FALSE,ISERROR(MATCH(J1327,'Ontology and concepts per UC'!$A$2:$A$62,0)))</f>
        <v>0</v>
      </c>
      <c r="L1327" s="2" t="s">
        <v>3349</v>
      </c>
      <c r="M1327" s="2" t="s">
        <v>3435</v>
      </c>
      <c r="N1327" s="2"/>
      <c r="O1327" s="1" t="b">
        <v>0</v>
      </c>
      <c r="P1327" s="1">
        <v>0</v>
      </c>
      <c r="Q1327" s="1">
        <v>0</v>
      </c>
      <c r="R1327" s="1" t="b">
        <f t="shared" si="40"/>
        <v>0</v>
      </c>
      <c r="S1327" s="2" t="s">
        <v>60</v>
      </c>
      <c r="T1327" s="1" t="str">
        <f>IF(S1327="","",VLOOKUP(S1327,'Ontology and concepts per UC'!$F$2:$J$46,5,FALSE))</f>
        <v>Tratamiento/seguimiento</v>
      </c>
      <c r="U1327" s="1" t="b">
        <f t="array" ref="U1327">(INDEX('Ontology and concepts per UC'!$G$2:$I$46,MATCH($S1327,'Ontology and concepts per UC'!$F$2:$F$46,0),MATCH(LEFT($A1327,3),'Ontology and concepts per UC'!$G$1:$I$1,0))=0)</f>
        <v>0</v>
      </c>
      <c r="V1327" s="1" t="b">
        <f t="shared" si="41"/>
        <v>0</v>
      </c>
      <c r="W1327" s="1" t="b">
        <v>0</v>
      </c>
      <c r="X1327" s="1" t="b">
        <v>0</v>
      </c>
      <c r="Y1327" s="1" t="b">
        <v>0</v>
      </c>
      <c r="Z1327" s="1" t="b">
        <v>0</v>
      </c>
      <c r="AA1327" s="1"/>
    </row>
    <row r="1328" spans="1:27" x14ac:dyDescent="0.25">
      <c r="A1328" s="1" t="s">
        <v>3338</v>
      </c>
      <c r="B1328" s="2" t="s">
        <v>3436</v>
      </c>
      <c r="C1328" s="2" t="s">
        <v>61</v>
      </c>
      <c r="D1328" s="6">
        <f t="shared" si="35"/>
        <v>1</v>
      </c>
      <c r="E1328" s="7" t="str">
        <f t="shared" si="36"/>
        <v>FollowUpStrategy</v>
      </c>
      <c r="F1328" s="8" t="b">
        <f>IF(D1328&lt;1,FALSE,ISERROR(MATCH(E1328,'Ontology and concepts per UC'!$A$2:$A$62,0)))</f>
        <v>0</v>
      </c>
      <c r="G1328" s="9" t="str">
        <f t="shared" si="37"/>
        <v/>
      </c>
      <c r="H1328" s="9" t="str">
        <f t="shared" si="38"/>
        <v/>
      </c>
      <c r="I1328" s="8" t="b">
        <f>IF(D1328&lt;2,FALSE,ISERROR(MATCH(H1328,'Ontology and concepts per UC'!$A$2:$A$62,0)))</f>
        <v>0</v>
      </c>
      <c r="J1328" s="9" t="str">
        <f t="shared" si="39"/>
        <v/>
      </c>
      <c r="K1328" s="8" t="b">
        <f>IF(D1328&lt;3,FALSE,ISERROR(MATCH(J1328,'Ontology and concepts per UC'!$A$2:$A$62,0)))</f>
        <v>0</v>
      </c>
      <c r="L1328" s="2" t="s">
        <v>3437</v>
      </c>
      <c r="M1328" s="2" t="s">
        <v>3438</v>
      </c>
      <c r="N1328" s="2"/>
      <c r="O1328" s="1" t="b">
        <v>0</v>
      </c>
      <c r="P1328" s="1">
        <v>0</v>
      </c>
      <c r="Q1328" s="1">
        <v>0</v>
      </c>
      <c r="R1328" s="1" t="b">
        <f t="shared" si="40"/>
        <v>0</v>
      </c>
      <c r="S1328" s="2" t="s">
        <v>107</v>
      </c>
      <c r="T1328" s="1" t="str">
        <f>IF(S1328="","",VLOOKUP(S1328,'Ontology and concepts per UC'!$F$2:$J$46,5,FALSE))</f>
        <v>Parcial</v>
      </c>
      <c r="U1328" s="1" t="b">
        <f t="array" ref="U1328">(INDEX('Ontology and concepts per UC'!$G$2:$I$46,MATCH($S1328,'Ontology and concepts per UC'!$F$2:$F$46,0),MATCH(LEFT($A1328,3),'Ontology and concepts per UC'!$G$1:$I$1,0))=0)</f>
        <v>0</v>
      </c>
      <c r="V1328" s="1" t="b">
        <f t="shared" si="41"/>
        <v>0</v>
      </c>
      <c r="W1328" s="1" t="b">
        <v>0</v>
      </c>
      <c r="X1328" s="1" t="b">
        <v>0</v>
      </c>
      <c r="Y1328" s="1" t="b">
        <v>0</v>
      </c>
      <c r="Z1328" s="1" t="b">
        <v>0</v>
      </c>
      <c r="AA1328" s="1"/>
    </row>
    <row r="1329" spans="1:27" x14ac:dyDescent="0.25">
      <c r="A1329" s="1" t="s">
        <v>3338</v>
      </c>
      <c r="B1329" s="2" t="s">
        <v>3439</v>
      </c>
      <c r="C1329" s="2" t="s">
        <v>61</v>
      </c>
      <c r="D1329" s="6">
        <f t="shared" si="35"/>
        <v>1</v>
      </c>
      <c r="E1329" s="7" t="str">
        <f t="shared" si="36"/>
        <v>FollowUpStrategy</v>
      </c>
      <c r="F1329" s="8" t="b">
        <f>IF(D1329&lt;1,FALSE,ISERROR(MATCH(E1329,'Ontology and concepts per UC'!$A$2:$A$62,0)))</f>
        <v>0</v>
      </c>
      <c r="G1329" s="9" t="str">
        <f t="shared" si="37"/>
        <v/>
      </c>
      <c r="H1329" s="9" t="str">
        <f t="shared" si="38"/>
        <v/>
      </c>
      <c r="I1329" s="8" t="b">
        <f>IF(D1329&lt;2,FALSE,ISERROR(MATCH(H1329,'Ontology and concepts per UC'!$A$2:$A$62,0)))</f>
        <v>0</v>
      </c>
      <c r="J1329" s="9" t="str">
        <f t="shared" si="39"/>
        <v/>
      </c>
      <c r="K1329" s="8" t="b">
        <f>IF(D1329&lt;3,FALSE,ISERROR(MATCH(J1329,'Ontology and concepts per UC'!$A$2:$A$62,0)))</f>
        <v>0</v>
      </c>
      <c r="L1329" s="2" t="s">
        <v>3440</v>
      </c>
      <c r="M1329" s="2" t="s">
        <v>3441</v>
      </c>
      <c r="N1329" s="2"/>
      <c r="O1329" s="1" t="b">
        <v>0</v>
      </c>
      <c r="P1329" s="1">
        <v>0</v>
      </c>
      <c r="Q1329" s="1">
        <v>0</v>
      </c>
      <c r="R1329" s="1" t="b">
        <f t="shared" si="40"/>
        <v>0</v>
      </c>
      <c r="S1329" s="2" t="s">
        <v>60</v>
      </c>
      <c r="T1329" s="1" t="str">
        <f>IF(S1329="","",VLOOKUP(S1329,'Ontology and concepts per UC'!$F$2:$J$46,5,FALSE))</f>
        <v>Tratamiento/seguimiento</v>
      </c>
      <c r="U1329" s="1" t="b">
        <f t="array" ref="U1329">(INDEX('Ontology and concepts per UC'!$G$2:$I$46,MATCH($S1329,'Ontology and concepts per UC'!$F$2:$F$46,0),MATCH(LEFT($A1329,3),'Ontology and concepts per UC'!$G$1:$I$1,0))=0)</f>
        <v>0</v>
      </c>
      <c r="V1329" s="1" t="b">
        <f t="shared" si="41"/>
        <v>0</v>
      </c>
      <c r="W1329" s="1" t="b">
        <v>0</v>
      </c>
      <c r="X1329" s="1" t="b">
        <v>0</v>
      </c>
      <c r="Y1329" s="1" t="b">
        <v>0</v>
      </c>
      <c r="Z1329" s="1" t="b">
        <v>0</v>
      </c>
      <c r="AA1329" s="1"/>
    </row>
    <row r="1330" spans="1:27" x14ac:dyDescent="0.25">
      <c r="A1330" s="1" t="s">
        <v>3338</v>
      </c>
      <c r="B1330" s="2" t="s">
        <v>3442</v>
      </c>
      <c r="C1330" s="2" t="s">
        <v>1942</v>
      </c>
      <c r="D1330" s="6">
        <f t="shared" si="35"/>
        <v>1</v>
      </c>
      <c r="E1330" s="7" t="str">
        <f t="shared" si="36"/>
        <v>Guideline</v>
      </c>
      <c r="F1330" s="8" t="b">
        <f>IF(D1330&lt;1,FALSE,ISERROR(MATCH(E1330,'Ontology and concepts per UC'!$A$2:$A$62,0)))</f>
        <v>0</v>
      </c>
      <c r="G1330" s="9" t="str">
        <f t="shared" si="37"/>
        <v/>
      </c>
      <c r="H1330" s="9" t="str">
        <f t="shared" si="38"/>
        <v/>
      </c>
      <c r="I1330" s="8" t="b">
        <f>IF(D1330&lt;2,FALSE,ISERROR(MATCH(H1330,'Ontology and concepts per UC'!$A$2:$A$62,0)))</f>
        <v>0</v>
      </c>
      <c r="J1330" s="9" t="str">
        <f t="shared" si="39"/>
        <v/>
      </c>
      <c r="K1330" s="8" t="b">
        <f>IF(D1330&lt;3,FALSE,ISERROR(MATCH(J1330,'Ontology and concepts per UC'!$A$2:$A$62,0)))</f>
        <v>0</v>
      </c>
      <c r="L1330" s="2" t="s">
        <v>3443</v>
      </c>
      <c r="M1330" s="2" t="s">
        <v>3444</v>
      </c>
      <c r="N1330" s="2"/>
      <c r="O1330" s="1" t="b">
        <v>0</v>
      </c>
      <c r="P1330" s="1">
        <v>0</v>
      </c>
      <c r="Q1330" s="1">
        <v>0</v>
      </c>
      <c r="R1330" s="1" t="b">
        <f t="shared" si="40"/>
        <v>0</v>
      </c>
      <c r="S1330" s="2" t="s">
        <v>62</v>
      </c>
      <c r="T1330" s="1" t="str">
        <f>IF(S1330="","",VLOOKUP(S1330,'Ontology and concepts per UC'!$F$2:$J$46,5,FALSE))</f>
        <v>Tratamiento/seguimiento</v>
      </c>
      <c r="U1330" s="1" t="b">
        <f t="array" ref="U1330">(INDEX('Ontology and concepts per UC'!$G$2:$I$46,MATCH($S1330,'Ontology and concepts per UC'!$F$2:$F$46,0),MATCH(LEFT($A1330,3),'Ontology and concepts per UC'!$G$1:$I$1,0))=0)</f>
        <v>0</v>
      </c>
      <c r="V1330" s="1" t="b">
        <f t="shared" si="41"/>
        <v>0</v>
      </c>
      <c r="W1330" s="1" t="b">
        <v>0</v>
      </c>
      <c r="X1330" s="1" t="b">
        <v>0</v>
      </c>
      <c r="Y1330" s="1" t="b">
        <v>0</v>
      </c>
      <c r="Z1330" s="1" t="b">
        <v>0</v>
      </c>
      <c r="AA1330" s="1"/>
    </row>
    <row r="1331" spans="1:27" x14ac:dyDescent="0.25">
      <c r="A1331" s="1" t="s">
        <v>3338</v>
      </c>
      <c r="B1331" s="2" t="s">
        <v>3445</v>
      </c>
      <c r="C1331" s="2" t="s">
        <v>1942</v>
      </c>
      <c r="D1331" s="6">
        <f t="shared" si="35"/>
        <v>1</v>
      </c>
      <c r="E1331" s="7" t="str">
        <f t="shared" si="36"/>
        <v>Guideline</v>
      </c>
      <c r="F1331" s="8" t="b">
        <f>IF(D1331&lt;1,FALSE,ISERROR(MATCH(E1331,'Ontology and concepts per UC'!$A$2:$A$62,0)))</f>
        <v>0</v>
      </c>
      <c r="G1331" s="9" t="str">
        <f t="shared" si="37"/>
        <v/>
      </c>
      <c r="H1331" s="9" t="str">
        <f t="shared" si="38"/>
        <v/>
      </c>
      <c r="I1331" s="8" t="b">
        <f>IF(D1331&lt;2,FALSE,ISERROR(MATCH(H1331,'Ontology and concepts per UC'!$A$2:$A$62,0)))</f>
        <v>0</v>
      </c>
      <c r="J1331" s="9" t="str">
        <f t="shared" si="39"/>
        <v/>
      </c>
      <c r="K1331" s="8" t="b">
        <f>IF(D1331&lt;3,FALSE,ISERROR(MATCH(J1331,'Ontology and concepts per UC'!$A$2:$A$62,0)))</f>
        <v>0</v>
      </c>
      <c r="L1331" s="2" t="s">
        <v>3446</v>
      </c>
      <c r="M1331" s="2" t="s">
        <v>3447</v>
      </c>
      <c r="N1331" s="2"/>
      <c r="O1331" s="1" t="b">
        <v>0</v>
      </c>
      <c r="P1331" s="1">
        <v>0</v>
      </c>
      <c r="Q1331" s="1">
        <v>0</v>
      </c>
      <c r="R1331" s="1" t="b">
        <f t="shared" si="40"/>
        <v>0</v>
      </c>
      <c r="S1331" s="2" t="s">
        <v>107</v>
      </c>
      <c r="T1331" s="1" t="str">
        <f>IF(S1331="","",VLOOKUP(S1331,'Ontology and concepts per UC'!$F$2:$J$46,5,FALSE))</f>
        <v>Parcial</v>
      </c>
      <c r="U1331" s="1" t="b">
        <f t="array" ref="U1331">(INDEX('Ontology and concepts per UC'!$G$2:$I$46,MATCH($S1331,'Ontology and concepts per UC'!$F$2:$F$46,0),MATCH(LEFT($A1331,3),'Ontology and concepts per UC'!$G$1:$I$1,0))=0)</f>
        <v>0</v>
      </c>
      <c r="V1331" s="1" t="b">
        <f t="shared" si="41"/>
        <v>0</v>
      </c>
      <c r="W1331" s="1" t="b">
        <v>0</v>
      </c>
      <c r="X1331" s="1" t="b">
        <v>0</v>
      </c>
      <c r="Y1331" s="1" t="b">
        <v>0</v>
      </c>
      <c r="Z1331" s="1" t="b">
        <v>0</v>
      </c>
      <c r="AA1331" s="1"/>
    </row>
    <row r="1332" spans="1:27" x14ac:dyDescent="0.25">
      <c r="A1332" s="1" t="s">
        <v>3338</v>
      </c>
      <c r="B1332" s="2" t="s">
        <v>3448</v>
      </c>
      <c r="C1332" s="2" t="s">
        <v>1942</v>
      </c>
      <c r="D1332" s="6">
        <f t="shared" si="35"/>
        <v>1</v>
      </c>
      <c r="E1332" s="7" t="str">
        <f t="shared" si="36"/>
        <v>Guideline</v>
      </c>
      <c r="F1332" s="8" t="b">
        <f>IF(D1332&lt;1,FALSE,ISERROR(MATCH(E1332,'Ontology and concepts per UC'!$A$2:$A$62,0)))</f>
        <v>0</v>
      </c>
      <c r="G1332" s="9" t="str">
        <f t="shared" si="37"/>
        <v/>
      </c>
      <c r="H1332" s="9" t="str">
        <f t="shared" si="38"/>
        <v/>
      </c>
      <c r="I1332" s="8" t="b">
        <f>IF(D1332&lt;2,FALSE,ISERROR(MATCH(H1332,'Ontology and concepts per UC'!$A$2:$A$62,0)))</f>
        <v>0</v>
      </c>
      <c r="J1332" s="9" t="str">
        <f t="shared" si="39"/>
        <v/>
      </c>
      <c r="K1332" s="8" t="b">
        <f>IF(D1332&lt;3,FALSE,ISERROR(MATCH(J1332,'Ontology and concepts per UC'!$A$2:$A$62,0)))</f>
        <v>0</v>
      </c>
      <c r="L1332" s="2" t="s">
        <v>3449</v>
      </c>
      <c r="M1332" s="2" t="s">
        <v>3450</v>
      </c>
      <c r="N1332" s="2"/>
      <c r="O1332" s="1" t="b">
        <v>0</v>
      </c>
      <c r="P1332" s="1">
        <v>0</v>
      </c>
      <c r="Q1332" s="1">
        <v>0</v>
      </c>
      <c r="R1332" s="1" t="b">
        <f t="shared" si="40"/>
        <v>0</v>
      </c>
      <c r="S1332" s="2" t="s">
        <v>62</v>
      </c>
      <c r="T1332" s="1" t="str">
        <f>IF(S1332="","",VLOOKUP(S1332,'Ontology and concepts per UC'!$F$2:$J$46,5,FALSE))</f>
        <v>Tratamiento/seguimiento</v>
      </c>
      <c r="U1332" s="1" t="b">
        <f t="array" ref="U1332">(INDEX('Ontology and concepts per UC'!$G$2:$I$46,MATCH($S1332,'Ontology and concepts per UC'!$F$2:$F$46,0),MATCH(LEFT($A1332,3),'Ontology and concepts per UC'!$G$1:$I$1,0))=0)</f>
        <v>0</v>
      </c>
      <c r="V1332" s="1" t="b">
        <f t="shared" si="41"/>
        <v>0</v>
      </c>
      <c r="W1332" s="1" t="b">
        <v>0</v>
      </c>
      <c r="X1332" s="1" t="b">
        <v>0</v>
      </c>
      <c r="Y1332" s="1" t="b">
        <v>0</v>
      </c>
      <c r="Z1332" s="1" t="b">
        <v>0</v>
      </c>
      <c r="AA1332" s="1"/>
    </row>
    <row r="1333" spans="1:27" x14ac:dyDescent="0.25">
      <c r="A1333" s="1" t="s">
        <v>3338</v>
      </c>
      <c r="B1333" s="2" t="s">
        <v>3451</v>
      </c>
      <c r="C1333" s="2" t="s">
        <v>1942</v>
      </c>
      <c r="D1333" s="6">
        <f t="shared" si="35"/>
        <v>1</v>
      </c>
      <c r="E1333" s="7" t="str">
        <f t="shared" si="36"/>
        <v>Guideline</v>
      </c>
      <c r="F1333" s="8" t="b">
        <f>IF(D1333&lt;1,FALSE,ISERROR(MATCH(E1333,'Ontology and concepts per UC'!$A$2:$A$62,0)))</f>
        <v>0</v>
      </c>
      <c r="G1333" s="9" t="str">
        <f t="shared" si="37"/>
        <v/>
      </c>
      <c r="H1333" s="9" t="str">
        <f t="shared" si="38"/>
        <v/>
      </c>
      <c r="I1333" s="8" t="b">
        <f>IF(D1333&lt;2,FALSE,ISERROR(MATCH(H1333,'Ontology and concepts per UC'!$A$2:$A$62,0)))</f>
        <v>0</v>
      </c>
      <c r="J1333" s="9" t="str">
        <f t="shared" si="39"/>
        <v/>
      </c>
      <c r="K1333" s="8" t="b">
        <f>IF(D1333&lt;3,FALSE,ISERROR(MATCH(J1333,'Ontology and concepts per UC'!$A$2:$A$62,0)))</f>
        <v>0</v>
      </c>
      <c r="L1333" s="2" t="s">
        <v>3452</v>
      </c>
      <c r="M1333" s="2" t="s">
        <v>3453</v>
      </c>
      <c r="N1333" s="2"/>
      <c r="O1333" s="1" t="b">
        <v>0</v>
      </c>
      <c r="P1333" s="1">
        <v>0</v>
      </c>
      <c r="Q1333" s="1">
        <v>0</v>
      </c>
      <c r="R1333" s="1" t="b">
        <f t="shared" si="40"/>
        <v>0</v>
      </c>
      <c r="S1333" s="2" t="s">
        <v>107</v>
      </c>
      <c r="T1333" s="1" t="str">
        <f>IF(S1333="","",VLOOKUP(S1333,'Ontology and concepts per UC'!$F$2:$J$46,5,FALSE))</f>
        <v>Parcial</v>
      </c>
      <c r="U1333" s="1" t="b">
        <f t="array" ref="U1333">(INDEX('Ontology and concepts per UC'!$G$2:$I$46,MATCH($S1333,'Ontology and concepts per UC'!$F$2:$F$46,0),MATCH(LEFT($A1333,3),'Ontology and concepts per UC'!$G$1:$I$1,0))=0)</f>
        <v>0</v>
      </c>
      <c r="V1333" s="1" t="b">
        <f t="shared" si="41"/>
        <v>0</v>
      </c>
      <c r="W1333" s="1" t="b">
        <v>0</v>
      </c>
      <c r="X1333" s="1" t="b">
        <v>0</v>
      </c>
      <c r="Y1333" s="1" t="b">
        <v>0</v>
      </c>
      <c r="Z1333" s="1" t="b">
        <v>0</v>
      </c>
      <c r="AA1333" s="1"/>
    </row>
    <row r="1334" spans="1:27" x14ac:dyDescent="0.25">
      <c r="A1334" s="1" t="s">
        <v>3338</v>
      </c>
      <c r="B1334" s="2" t="s">
        <v>3454</v>
      </c>
      <c r="C1334" s="2" t="s">
        <v>1942</v>
      </c>
      <c r="D1334" s="6">
        <f t="shared" si="35"/>
        <v>1</v>
      </c>
      <c r="E1334" s="7" t="str">
        <f t="shared" si="36"/>
        <v>Guideline</v>
      </c>
      <c r="F1334" s="8" t="b">
        <f>IF(D1334&lt;1,FALSE,ISERROR(MATCH(E1334,'Ontology and concepts per UC'!$A$2:$A$62,0)))</f>
        <v>0</v>
      </c>
      <c r="G1334" s="9" t="str">
        <f t="shared" si="37"/>
        <v/>
      </c>
      <c r="H1334" s="9" t="str">
        <f t="shared" si="38"/>
        <v/>
      </c>
      <c r="I1334" s="8" t="b">
        <f>IF(D1334&lt;2,FALSE,ISERROR(MATCH(H1334,'Ontology and concepts per UC'!$A$2:$A$62,0)))</f>
        <v>0</v>
      </c>
      <c r="J1334" s="9" t="str">
        <f t="shared" si="39"/>
        <v/>
      </c>
      <c r="K1334" s="8" t="b">
        <f>IF(D1334&lt;3,FALSE,ISERROR(MATCH(J1334,'Ontology and concepts per UC'!$A$2:$A$62,0)))</f>
        <v>0</v>
      </c>
      <c r="L1334" s="2" t="s">
        <v>3455</v>
      </c>
      <c r="M1334" s="2" t="s">
        <v>3456</v>
      </c>
      <c r="N1334" s="2"/>
      <c r="O1334" s="1" t="b">
        <v>0</v>
      </c>
      <c r="P1334" s="1">
        <v>0</v>
      </c>
      <c r="Q1334" s="1">
        <v>0</v>
      </c>
      <c r="R1334" s="1" t="b">
        <f t="shared" si="40"/>
        <v>0</v>
      </c>
      <c r="S1334" s="2" t="s">
        <v>60</v>
      </c>
      <c r="T1334" s="1" t="str">
        <f>IF(S1334="","",VLOOKUP(S1334,'Ontology and concepts per UC'!$F$2:$J$46,5,FALSE))</f>
        <v>Tratamiento/seguimiento</v>
      </c>
      <c r="U1334" s="1" t="b">
        <f t="array" ref="U1334">(INDEX('Ontology and concepts per UC'!$G$2:$I$46,MATCH($S1334,'Ontology and concepts per UC'!$F$2:$F$46,0),MATCH(LEFT($A1334,3),'Ontology and concepts per UC'!$G$1:$I$1,0))=0)</f>
        <v>0</v>
      </c>
      <c r="V1334" s="1" t="b">
        <f t="shared" si="41"/>
        <v>0</v>
      </c>
      <c r="W1334" s="1" t="b">
        <v>0</v>
      </c>
      <c r="X1334" s="1" t="b">
        <v>0</v>
      </c>
      <c r="Y1334" s="1" t="b">
        <v>0</v>
      </c>
      <c r="Z1334" s="1" t="b">
        <v>0</v>
      </c>
      <c r="AA1334" s="1"/>
    </row>
    <row r="1335" spans="1:27" x14ac:dyDescent="0.25">
      <c r="A1335" s="1" t="s">
        <v>3338</v>
      </c>
      <c r="B1335" s="2" t="s">
        <v>3457</v>
      </c>
      <c r="C1335" s="2" t="s">
        <v>63</v>
      </c>
      <c r="D1335" s="6">
        <f t="shared" si="35"/>
        <v>1</v>
      </c>
      <c r="E1335" s="7" t="str">
        <f t="shared" si="36"/>
        <v>LineOfTherapy</v>
      </c>
      <c r="F1335" s="8" t="b">
        <f>IF(D1335&lt;1,FALSE,ISERROR(MATCH(E1335,'Ontology and concepts per UC'!$A$2:$A$62,0)))</f>
        <v>0</v>
      </c>
      <c r="G1335" s="9" t="str">
        <f t="shared" si="37"/>
        <v/>
      </c>
      <c r="H1335" s="9" t="str">
        <f t="shared" si="38"/>
        <v/>
      </c>
      <c r="I1335" s="8" t="b">
        <f>IF(D1335&lt;2,FALSE,ISERROR(MATCH(H1335,'Ontology and concepts per UC'!$A$2:$A$62,0)))</f>
        <v>0</v>
      </c>
      <c r="J1335" s="9" t="str">
        <f t="shared" si="39"/>
        <v/>
      </c>
      <c r="K1335" s="8" t="b">
        <f>IF(D1335&lt;3,FALSE,ISERROR(MATCH(J1335,'Ontology and concepts per UC'!$A$2:$A$62,0)))</f>
        <v>0</v>
      </c>
      <c r="L1335" s="2" t="s">
        <v>3458</v>
      </c>
      <c r="M1335" s="2"/>
      <c r="N1335" s="2"/>
      <c r="O1335" s="1" t="b">
        <v>0</v>
      </c>
      <c r="P1335" s="1">
        <v>0</v>
      </c>
      <c r="Q1335" s="1">
        <v>0</v>
      </c>
      <c r="R1335" s="1" t="b">
        <f t="shared" si="40"/>
        <v>0</v>
      </c>
      <c r="S1335" s="2" t="s">
        <v>62</v>
      </c>
      <c r="T1335" s="1" t="str">
        <f>IF(S1335="","",VLOOKUP(S1335,'Ontology and concepts per UC'!$F$2:$J$46,5,FALSE))</f>
        <v>Tratamiento/seguimiento</v>
      </c>
      <c r="U1335" s="1" t="b">
        <f t="array" ref="U1335">(INDEX('Ontology and concepts per UC'!$G$2:$I$46,MATCH($S1335,'Ontology and concepts per UC'!$F$2:$F$46,0),MATCH(LEFT($A1335,3),'Ontology and concepts per UC'!$G$1:$I$1,0))=0)</f>
        <v>0</v>
      </c>
      <c r="V1335" s="1" t="b">
        <f t="shared" si="41"/>
        <v>0</v>
      </c>
      <c r="W1335" s="1" t="b">
        <v>0</v>
      </c>
      <c r="X1335" s="1" t="b">
        <v>0</v>
      </c>
      <c r="Y1335" s="1" t="b">
        <v>0</v>
      </c>
      <c r="Z1335" s="1" t="b">
        <v>0</v>
      </c>
      <c r="AA1335" s="1"/>
    </row>
    <row r="1336" spans="1:27" x14ac:dyDescent="0.25">
      <c r="A1336" s="1" t="s">
        <v>3338</v>
      </c>
      <c r="B1336" s="2" t="s">
        <v>3459</v>
      </c>
      <c r="C1336" s="2" t="s">
        <v>157</v>
      </c>
      <c r="D1336" s="6">
        <f t="shared" si="35"/>
        <v>2</v>
      </c>
      <c r="E1336" s="7" t="str">
        <f t="shared" si="36"/>
        <v>Parameter</v>
      </c>
      <c r="F1336" s="8" t="b">
        <f>IF(D1336&lt;1,FALSE,ISERROR(MATCH(E1336,'Ontology and concepts per UC'!$A$2:$A$62,0)))</f>
        <v>0</v>
      </c>
      <c r="G1336" s="9" t="str">
        <f t="shared" si="37"/>
        <v>DeterministicParameter</v>
      </c>
      <c r="H1336" s="9" t="str">
        <f t="shared" si="38"/>
        <v>DeterministicParameter</v>
      </c>
      <c r="I1336" s="8" t="b">
        <f>IF(D1336&lt;2,FALSE,ISERROR(MATCH(H1336,'Ontology and concepts per UC'!$A$2:$A$62,0)))</f>
        <v>0</v>
      </c>
      <c r="J1336" s="9" t="str">
        <f t="shared" si="39"/>
        <v/>
      </c>
      <c r="K1336" s="8" t="b">
        <f>IF(D1336&lt;3,FALSE,ISERROR(MATCH(J1336,'Ontology and concepts per UC'!$A$2:$A$62,0)))</f>
        <v>0</v>
      </c>
      <c r="L1336" s="2" t="s">
        <v>3460</v>
      </c>
      <c r="M1336" s="2" t="s">
        <v>3461</v>
      </c>
      <c r="N1336" s="2"/>
      <c r="O1336" s="1" t="b">
        <v>0</v>
      </c>
      <c r="P1336" s="1">
        <v>0</v>
      </c>
      <c r="Q1336" s="1">
        <v>0</v>
      </c>
      <c r="R1336" s="1" t="b">
        <f t="shared" si="40"/>
        <v>1</v>
      </c>
      <c r="S1336" s="2" t="s">
        <v>58</v>
      </c>
      <c r="T1336" s="1" t="str">
        <f>IF(S1336="","",VLOOKUP(S1336,'Ontology and concepts per UC'!$F$2:$J$46,5,FALSE))</f>
        <v>Parámetros de progresión</v>
      </c>
      <c r="U1336" s="1" t="b">
        <f t="array" ref="U1336">(INDEX('Ontology and concepts per UC'!$G$2:$I$46,MATCH($S1336,'Ontology and concepts per UC'!$F$2:$F$46,0),MATCH(LEFT($A1336,3),'Ontology and concepts per UC'!$G$1:$I$1,0))=0)</f>
        <v>0</v>
      </c>
      <c r="V1336" s="1" t="b">
        <f t="shared" si="41"/>
        <v>0</v>
      </c>
      <c r="W1336" s="1" t="b">
        <v>0</v>
      </c>
      <c r="X1336" s="1" t="b">
        <v>0</v>
      </c>
      <c r="Y1336" s="1" t="b">
        <v>0</v>
      </c>
      <c r="Z1336" s="1" t="b">
        <v>0</v>
      </c>
      <c r="AA1336" s="1"/>
    </row>
    <row r="1337" spans="1:27" x14ac:dyDescent="0.25">
      <c r="A1337" s="1" t="s">
        <v>3338</v>
      </c>
      <c r="B1337" s="2" t="s">
        <v>3462</v>
      </c>
      <c r="C1337" s="2" t="s">
        <v>157</v>
      </c>
      <c r="D1337" s="6">
        <f t="shared" si="35"/>
        <v>2</v>
      </c>
      <c r="E1337" s="7" t="str">
        <f t="shared" si="36"/>
        <v>Parameter</v>
      </c>
      <c r="F1337" s="8" t="b">
        <f>IF(D1337&lt;1,FALSE,ISERROR(MATCH(E1337,'Ontology and concepts per UC'!$A$2:$A$62,0)))</f>
        <v>0</v>
      </c>
      <c r="G1337" s="9" t="str">
        <f t="shared" si="37"/>
        <v>DeterministicParameter</v>
      </c>
      <c r="H1337" s="9" t="str">
        <f t="shared" si="38"/>
        <v>DeterministicParameter</v>
      </c>
      <c r="I1337" s="8" t="b">
        <f>IF(D1337&lt;2,FALSE,ISERROR(MATCH(H1337,'Ontology and concepts per UC'!$A$2:$A$62,0)))</f>
        <v>0</v>
      </c>
      <c r="J1337" s="9" t="str">
        <f t="shared" si="39"/>
        <v/>
      </c>
      <c r="K1337" s="8" t="b">
        <f>IF(D1337&lt;3,FALSE,ISERROR(MATCH(J1337,'Ontology and concepts per UC'!$A$2:$A$62,0)))</f>
        <v>0</v>
      </c>
      <c r="L1337" s="2" t="s">
        <v>3463</v>
      </c>
      <c r="M1337" s="2" t="s">
        <v>3464</v>
      </c>
      <c r="N1337" s="2"/>
      <c r="O1337" s="1" t="b">
        <v>0</v>
      </c>
      <c r="P1337" s="1">
        <v>0</v>
      </c>
      <c r="Q1337" s="1">
        <v>0</v>
      </c>
      <c r="R1337" s="1" t="b">
        <f t="shared" si="40"/>
        <v>1</v>
      </c>
      <c r="S1337" s="2" t="s">
        <v>62</v>
      </c>
      <c r="T1337" s="1" t="str">
        <f>IF(S1337="","",VLOOKUP(S1337,'Ontology and concepts per UC'!$F$2:$J$46,5,FALSE))</f>
        <v>Tratamiento/seguimiento</v>
      </c>
      <c r="U1337" s="1" t="b">
        <f t="array" ref="U1337">(INDEX('Ontology and concepts per UC'!$G$2:$I$46,MATCH($S1337,'Ontology and concepts per UC'!$F$2:$F$46,0),MATCH(LEFT($A1337,3),'Ontology and concepts per UC'!$G$1:$I$1,0))=0)</f>
        <v>0</v>
      </c>
      <c r="V1337" s="1" t="b">
        <f t="shared" si="41"/>
        <v>0</v>
      </c>
      <c r="W1337" s="1" t="b">
        <v>0</v>
      </c>
      <c r="X1337" s="1" t="b">
        <v>0</v>
      </c>
      <c r="Y1337" s="1" t="b">
        <v>0</v>
      </c>
      <c r="Z1337" s="1" t="b">
        <v>0</v>
      </c>
      <c r="AA1337" s="1"/>
    </row>
    <row r="1338" spans="1:27" x14ac:dyDescent="0.25">
      <c r="A1338" s="1" t="s">
        <v>3338</v>
      </c>
      <c r="B1338" s="2" t="s">
        <v>3465</v>
      </c>
      <c r="C1338" s="2" t="s">
        <v>157</v>
      </c>
      <c r="D1338" s="6">
        <f t="shared" si="35"/>
        <v>2</v>
      </c>
      <c r="E1338" s="7" t="str">
        <f t="shared" si="36"/>
        <v>Parameter</v>
      </c>
      <c r="F1338" s="8" t="b">
        <f>IF(D1338&lt;1,FALSE,ISERROR(MATCH(E1338,'Ontology and concepts per UC'!$A$2:$A$62,0)))</f>
        <v>0</v>
      </c>
      <c r="G1338" s="9" t="str">
        <f t="shared" si="37"/>
        <v>DeterministicParameter</v>
      </c>
      <c r="H1338" s="9" t="str">
        <f t="shared" si="38"/>
        <v>DeterministicParameter</v>
      </c>
      <c r="I1338" s="8" t="b">
        <f>IF(D1338&lt;2,FALSE,ISERROR(MATCH(H1338,'Ontology and concepts per UC'!$A$2:$A$62,0)))</f>
        <v>0</v>
      </c>
      <c r="J1338" s="9" t="str">
        <f t="shared" si="39"/>
        <v/>
      </c>
      <c r="K1338" s="8" t="b">
        <f>IF(D1338&lt;3,FALSE,ISERROR(MATCH(J1338,'Ontology and concepts per UC'!$A$2:$A$62,0)))</f>
        <v>0</v>
      </c>
      <c r="L1338" s="2" t="s">
        <v>3466</v>
      </c>
      <c r="M1338" s="2" t="s">
        <v>3467</v>
      </c>
      <c r="N1338" s="2"/>
      <c r="O1338" s="1" t="b">
        <v>0</v>
      </c>
      <c r="P1338" s="1">
        <v>0</v>
      </c>
      <c r="Q1338" s="1">
        <v>0</v>
      </c>
      <c r="R1338" s="1" t="b">
        <f t="shared" si="40"/>
        <v>1</v>
      </c>
      <c r="S1338" s="2" t="s">
        <v>62</v>
      </c>
      <c r="T1338" s="1" t="str">
        <f>IF(S1338="","",VLOOKUP(S1338,'Ontology and concepts per UC'!$F$2:$J$46,5,FALSE))</f>
        <v>Tratamiento/seguimiento</v>
      </c>
      <c r="U1338" s="1" t="b">
        <f t="array" ref="U1338">(INDEX('Ontology and concepts per UC'!$G$2:$I$46,MATCH($S1338,'Ontology and concepts per UC'!$F$2:$F$46,0),MATCH(LEFT($A1338,3),'Ontology and concepts per UC'!$G$1:$I$1,0))=0)</f>
        <v>0</v>
      </c>
      <c r="V1338" s="1" t="b">
        <f t="shared" si="41"/>
        <v>0</v>
      </c>
      <c r="W1338" s="1" t="b">
        <v>0</v>
      </c>
      <c r="X1338" s="1" t="b">
        <v>0</v>
      </c>
      <c r="Y1338" s="1" t="b">
        <v>0</v>
      </c>
      <c r="Z1338" s="1" t="b">
        <v>0</v>
      </c>
      <c r="AA1338" s="1"/>
    </row>
    <row r="1339" spans="1:27" x14ac:dyDescent="0.25">
      <c r="A1339" s="1" t="s">
        <v>3338</v>
      </c>
      <c r="B1339" s="2" t="s">
        <v>3468</v>
      </c>
      <c r="C1339" s="2" t="s">
        <v>157</v>
      </c>
      <c r="D1339" s="6">
        <f t="shared" si="35"/>
        <v>2</v>
      </c>
      <c r="E1339" s="7" t="str">
        <f t="shared" si="36"/>
        <v>Parameter</v>
      </c>
      <c r="F1339" s="8" t="b">
        <f>IF(D1339&lt;1,FALSE,ISERROR(MATCH(E1339,'Ontology and concepts per UC'!$A$2:$A$62,0)))</f>
        <v>0</v>
      </c>
      <c r="G1339" s="9" t="str">
        <f t="shared" si="37"/>
        <v>DeterministicParameter</v>
      </c>
      <c r="H1339" s="9" t="str">
        <f t="shared" si="38"/>
        <v>DeterministicParameter</v>
      </c>
      <c r="I1339" s="8" t="b">
        <f>IF(D1339&lt;2,FALSE,ISERROR(MATCH(H1339,'Ontology and concepts per UC'!$A$2:$A$62,0)))</f>
        <v>0</v>
      </c>
      <c r="J1339" s="9" t="str">
        <f t="shared" si="39"/>
        <v/>
      </c>
      <c r="K1339" s="8" t="b">
        <f>IF(D1339&lt;3,FALSE,ISERROR(MATCH(J1339,'Ontology and concepts per UC'!$A$2:$A$62,0)))</f>
        <v>0</v>
      </c>
      <c r="L1339" s="2" t="s">
        <v>3469</v>
      </c>
      <c r="M1339" s="2" t="s">
        <v>3470</v>
      </c>
      <c r="N1339" s="2"/>
      <c r="O1339" s="1" t="b">
        <v>0</v>
      </c>
      <c r="P1339" s="1">
        <v>0</v>
      </c>
      <c r="Q1339" s="1">
        <v>0</v>
      </c>
      <c r="R1339" s="1" t="b">
        <f t="shared" si="40"/>
        <v>1</v>
      </c>
      <c r="S1339" s="2" t="s">
        <v>107</v>
      </c>
      <c r="T1339" s="1" t="str">
        <f>IF(S1339="","",VLOOKUP(S1339,'Ontology and concepts per UC'!$F$2:$J$46,5,FALSE))</f>
        <v>Parcial</v>
      </c>
      <c r="U1339" s="1" t="b">
        <f t="array" ref="U1339">(INDEX('Ontology and concepts per UC'!$G$2:$I$46,MATCH($S1339,'Ontology and concepts per UC'!$F$2:$F$46,0),MATCH(LEFT($A1339,3),'Ontology and concepts per UC'!$G$1:$I$1,0))=0)</f>
        <v>0</v>
      </c>
      <c r="V1339" s="1" t="b">
        <f t="shared" si="41"/>
        <v>0</v>
      </c>
      <c r="W1339" s="1" t="b">
        <v>0</v>
      </c>
      <c r="X1339" s="1" t="b">
        <v>0</v>
      </c>
      <c r="Y1339" s="1" t="b">
        <v>0</v>
      </c>
      <c r="Z1339" s="1" t="b">
        <v>0</v>
      </c>
      <c r="AA1339" s="1"/>
    </row>
    <row r="1340" spans="1:27" x14ac:dyDescent="0.25">
      <c r="A1340" s="1" t="s">
        <v>3338</v>
      </c>
      <c r="B1340" s="2" t="s">
        <v>3471</v>
      </c>
      <c r="C1340" s="2" t="s">
        <v>157</v>
      </c>
      <c r="D1340" s="6">
        <f t="shared" si="35"/>
        <v>2</v>
      </c>
      <c r="E1340" s="7" t="str">
        <f t="shared" si="36"/>
        <v>Parameter</v>
      </c>
      <c r="F1340" s="8" t="b">
        <f>IF(D1340&lt;1,FALSE,ISERROR(MATCH(E1340,'Ontology and concepts per UC'!$A$2:$A$62,0)))</f>
        <v>0</v>
      </c>
      <c r="G1340" s="9" t="str">
        <f t="shared" si="37"/>
        <v>DeterministicParameter</v>
      </c>
      <c r="H1340" s="9" t="str">
        <f t="shared" si="38"/>
        <v>DeterministicParameter</v>
      </c>
      <c r="I1340" s="8" t="b">
        <f>IF(D1340&lt;2,FALSE,ISERROR(MATCH(H1340,'Ontology and concepts per UC'!$A$2:$A$62,0)))</f>
        <v>0</v>
      </c>
      <c r="J1340" s="9" t="str">
        <f t="shared" si="39"/>
        <v/>
      </c>
      <c r="K1340" s="8" t="b">
        <f>IF(D1340&lt;3,FALSE,ISERROR(MATCH(J1340,'Ontology and concepts per UC'!$A$2:$A$62,0)))</f>
        <v>0</v>
      </c>
      <c r="L1340" s="2" t="s">
        <v>3472</v>
      </c>
      <c r="M1340" s="2" t="s">
        <v>3473</v>
      </c>
      <c r="N1340" s="2"/>
      <c r="O1340" s="1" t="b">
        <v>0</v>
      </c>
      <c r="P1340" s="1">
        <v>0</v>
      </c>
      <c r="Q1340" s="1">
        <v>0</v>
      </c>
      <c r="R1340" s="1" t="b">
        <f t="shared" si="40"/>
        <v>1</v>
      </c>
      <c r="S1340" s="2" t="s">
        <v>62</v>
      </c>
      <c r="T1340" s="1" t="str">
        <f>IF(S1340="","",VLOOKUP(S1340,'Ontology and concepts per UC'!$F$2:$J$46,5,FALSE))</f>
        <v>Tratamiento/seguimiento</v>
      </c>
      <c r="U1340" s="1" t="b">
        <f t="array" ref="U1340">(INDEX('Ontology and concepts per UC'!$G$2:$I$46,MATCH($S1340,'Ontology and concepts per UC'!$F$2:$F$46,0),MATCH(LEFT($A1340,3),'Ontology and concepts per UC'!$G$1:$I$1,0))=0)</f>
        <v>0</v>
      </c>
      <c r="V1340" s="1" t="b">
        <f t="shared" si="41"/>
        <v>0</v>
      </c>
      <c r="W1340" s="1" t="b">
        <v>0</v>
      </c>
      <c r="X1340" s="1" t="b">
        <v>0</v>
      </c>
      <c r="Y1340" s="1" t="b">
        <v>0</v>
      </c>
      <c r="Z1340" s="1" t="b">
        <v>0</v>
      </c>
      <c r="AA1340" s="1"/>
    </row>
    <row r="1341" spans="1:27" x14ac:dyDescent="0.25">
      <c r="A1341" s="1" t="s">
        <v>3338</v>
      </c>
      <c r="B1341" s="2" t="s">
        <v>3474</v>
      </c>
      <c r="C1341" s="2" t="s">
        <v>157</v>
      </c>
      <c r="D1341" s="6">
        <f t="shared" si="35"/>
        <v>2</v>
      </c>
      <c r="E1341" s="7" t="str">
        <f t="shared" si="36"/>
        <v>Parameter</v>
      </c>
      <c r="F1341" s="8" t="b">
        <f>IF(D1341&lt;1,FALSE,ISERROR(MATCH(E1341,'Ontology and concepts per UC'!$A$2:$A$62,0)))</f>
        <v>0</v>
      </c>
      <c r="G1341" s="9" t="str">
        <f t="shared" si="37"/>
        <v>DeterministicParameter</v>
      </c>
      <c r="H1341" s="9" t="str">
        <f t="shared" si="38"/>
        <v>DeterministicParameter</v>
      </c>
      <c r="I1341" s="8" t="b">
        <f>IF(D1341&lt;2,FALSE,ISERROR(MATCH(H1341,'Ontology and concepts per UC'!$A$2:$A$62,0)))</f>
        <v>0</v>
      </c>
      <c r="J1341" s="9" t="str">
        <f t="shared" si="39"/>
        <v/>
      </c>
      <c r="K1341" s="8" t="b">
        <f>IF(D1341&lt;3,FALSE,ISERROR(MATCH(J1341,'Ontology and concepts per UC'!$A$2:$A$62,0)))</f>
        <v>0</v>
      </c>
      <c r="L1341" s="2" t="s">
        <v>3475</v>
      </c>
      <c r="M1341" s="2" t="s">
        <v>3476</v>
      </c>
      <c r="N1341" s="2"/>
      <c r="O1341" s="1" t="b">
        <v>0</v>
      </c>
      <c r="P1341" s="1">
        <v>0</v>
      </c>
      <c r="Q1341" s="1">
        <v>0</v>
      </c>
      <c r="R1341" s="1" t="b">
        <f t="shared" si="40"/>
        <v>1</v>
      </c>
      <c r="S1341" s="2" t="s">
        <v>55</v>
      </c>
      <c r="T1341" s="1" t="str">
        <f>IF(S1341="","",VLOOKUP(S1341,'Ontology and concepts per UC'!$F$2:$J$46,5,FALSE))</f>
        <v>Parámetros de progresión</v>
      </c>
      <c r="U1341" s="1" t="b">
        <f t="array" ref="U1341">(INDEX('Ontology and concepts per UC'!$G$2:$I$46,MATCH($S1341,'Ontology and concepts per UC'!$F$2:$F$46,0),MATCH(LEFT($A1341,3),'Ontology and concepts per UC'!$G$1:$I$1,0))=0)</f>
        <v>0</v>
      </c>
      <c r="V1341" s="1" t="b">
        <f t="shared" si="41"/>
        <v>0</v>
      </c>
      <c r="W1341" s="1" t="b">
        <v>0</v>
      </c>
      <c r="X1341" s="1" t="b">
        <v>0</v>
      </c>
      <c r="Y1341" s="1" t="b">
        <v>0</v>
      </c>
      <c r="Z1341" s="1" t="b">
        <v>0</v>
      </c>
      <c r="AA1341" s="1"/>
    </row>
    <row r="1342" spans="1:27" x14ac:dyDescent="0.25">
      <c r="A1342" s="1" t="s">
        <v>3338</v>
      </c>
      <c r="B1342" s="2" t="s">
        <v>3477</v>
      </c>
      <c r="C1342" s="2" t="s">
        <v>157</v>
      </c>
      <c r="D1342" s="6">
        <f t="shared" si="35"/>
        <v>2</v>
      </c>
      <c r="E1342" s="7" t="str">
        <f t="shared" si="36"/>
        <v>Parameter</v>
      </c>
      <c r="F1342" s="8" t="b">
        <f>IF(D1342&lt;1,FALSE,ISERROR(MATCH(E1342,'Ontology and concepts per UC'!$A$2:$A$62,0)))</f>
        <v>0</v>
      </c>
      <c r="G1342" s="9" t="str">
        <f t="shared" si="37"/>
        <v>DeterministicParameter</v>
      </c>
      <c r="H1342" s="9" t="str">
        <f t="shared" si="38"/>
        <v>DeterministicParameter</v>
      </c>
      <c r="I1342" s="8" t="b">
        <f>IF(D1342&lt;2,FALSE,ISERROR(MATCH(H1342,'Ontology and concepts per UC'!$A$2:$A$62,0)))</f>
        <v>0</v>
      </c>
      <c r="J1342" s="9" t="str">
        <f t="shared" si="39"/>
        <v/>
      </c>
      <c r="K1342" s="8" t="b">
        <f>IF(D1342&lt;3,FALSE,ISERROR(MATCH(J1342,'Ontology and concepts per UC'!$A$2:$A$62,0)))</f>
        <v>0</v>
      </c>
      <c r="L1342" s="2" t="s">
        <v>3478</v>
      </c>
      <c r="M1342" s="2" t="s">
        <v>3479</v>
      </c>
      <c r="N1342" s="2"/>
      <c r="O1342" s="1" t="b">
        <v>0</v>
      </c>
      <c r="P1342" s="1">
        <v>0</v>
      </c>
      <c r="Q1342" s="1">
        <v>0</v>
      </c>
      <c r="R1342" s="1" t="b">
        <f t="shared" si="40"/>
        <v>1</v>
      </c>
      <c r="S1342" s="2" t="s">
        <v>56</v>
      </c>
      <c r="T1342" s="1" t="str">
        <f>IF(S1342="","",VLOOKUP(S1342,'Ontology and concepts per UC'!$F$2:$J$46,5,FALSE))</f>
        <v>Parámetros de progresión</v>
      </c>
      <c r="U1342" s="1" t="b">
        <f t="array" ref="U1342">(INDEX('Ontology and concepts per UC'!$G$2:$I$46,MATCH($S1342,'Ontology and concepts per UC'!$F$2:$F$46,0),MATCH(LEFT($A1342,3),'Ontology and concepts per UC'!$G$1:$I$1,0))=0)</f>
        <v>0</v>
      </c>
      <c r="V1342" s="1" t="b">
        <f t="shared" si="41"/>
        <v>1</v>
      </c>
      <c r="W1342" s="1" t="b">
        <v>0</v>
      </c>
      <c r="X1342" s="1" t="b">
        <v>0</v>
      </c>
      <c r="Y1342" s="10" t="b">
        <v>0</v>
      </c>
      <c r="Z1342" s="10" t="b">
        <v>1</v>
      </c>
      <c r="AA1342" s="9" t="s">
        <v>3050</v>
      </c>
    </row>
    <row r="1343" spans="1:27" x14ac:dyDescent="0.25">
      <c r="A1343" s="1" t="s">
        <v>3338</v>
      </c>
      <c r="B1343" s="2" t="s">
        <v>3480</v>
      </c>
      <c r="C1343" s="2" t="s">
        <v>157</v>
      </c>
      <c r="D1343" s="6">
        <f t="shared" si="35"/>
        <v>2</v>
      </c>
      <c r="E1343" s="7" t="str">
        <f t="shared" si="36"/>
        <v>Parameter</v>
      </c>
      <c r="F1343" s="8" t="b">
        <f>IF(D1343&lt;1,FALSE,ISERROR(MATCH(E1343,'Ontology and concepts per UC'!$A$2:$A$62,0)))</f>
        <v>0</v>
      </c>
      <c r="G1343" s="9" t="str">
        <f t="shared" si="37"/>
        <v>DeterministicParameter</v>
      </c>
      <c r="H1343" s="9" t="str">
        <f t="shared" si="38"/>
        <v>DeterministicParameter</v>
      </c>
      <c r="I1343" s="8" t="b">
        <f>IF(D1343&lt;2,FALSE,ISERROR(MATCH(H1343,'Ontology and concepts per UC'!$A$2:$A$62,0)))</f>
        <v>0</v>
      </c>
      <c r="J1343" s="9" t="str">
        <f t="shared" si="39"/>
        <v/>
      </c>
      <c r="K1343" s="8" t="b">
        <f>IF(D1343&lt;3,FALSE,ISERROR(MATCH(J1343,'Ontology and concepts per UC'!$A$2:$A$62,0)))</f>
        <v>0</v>
      </c>
      <c r="L1343" s="2" t="s">
        <v>3481</v>
      </c>
      <c r="M1343" s="2" t="s">
        <v>3482</v>
      </c>
      <c r="N1343" s="2"/>
      <c r="O1343" s="1" t="b">
        <v>0</v>
      </c>
      <c r="P1343" s="1">
        <v>0</v>
      </c>
      <c r="Q1343" s="1">
        <v>0</v>
      </c>
      <c r="R1343" s="1" t="b">
        <f t="shared" si="40"/>
        <v>1</v>
      </c>
      <c r="S1343" s="2" t="s">
        <v>107</v>
      </c>
      <c r="T1343" s="1" t="str">
        <f>IF(S1343="","",VLOOKUP(S1343,'Ontology and concepts per UC'!$F$2:$J$46,5,FALSE))</f>
        <v>Parcial</v>
      </c>
      <c r="U1343" s="1" t="b">
        <f t="array" ref="U1343">(INDEX('Ontology and concepts per UC'!$G$2:$I$46,MATCH($S1343,'Ontology and concepts per UC'!$F$2:$F$46,0),MATCH(LEFT($A1343,3),'Ontology and concepts per UC'!$G$1:$I$1,0))=0)</f>
        <v>0</v>
      </c>
      <c r="V1343" s="1" t="b">
        <f t="shared" si="41"/>
        <v>0</v>
      </c>
      <c r="W1343" s="1" t="b">
        <v>0</v>
      </c>
      <c r="X1343" s="1" t="b">
        <v>0</v>
      </c>
      <c r="Y1343" s="1" t="b">
        <v>0</v>
      </c>
      <c r="Z1343" s="1" t="b">
        <v>0</v>
      </c>
      <c r="AA1343" s="1"/>
    </row>
    <row r="1344" spans="1:27" x14ac:dyDescent="0.25">
      <c r="A1344" s="1" t="s">
        <v>3338</v>
      </c>
      <c r="B1344" s="2" t="s">
        <v>3483</v>
      </c>
      <c r="C1344" s="2" t="s">
        <v>157</v>
      </c>
      <c r="D1344" s="6">
        <f t="shared" si="35"/>
        <v>2</v>
      </c>
      <c r="E1344" s="7" t="str">
        <f t="shared" si="36"/>
        <v>Parameter</v>
      </c>
      <c r="F1344" s="8" t="b">
        <f>IF(D1344&lt;1,FALSE,ISERROR(MATCH(E1344,'Ontology and concepts per UC'!$A$2:$A$62,0)))</f>
        <v>0</v>
      </c>
      <c r="G1344" s="9" t="str">
        <f t="shared" si="37"/>
        <v>DeterministicParameter</v>
      </c>
      <c r="H1344" s="9" t="str">
        <f t="shared" si="38"/>
        <v>DeterministicParameter</v>
      </c>
      <c r="I1344" s="8" t="b">
        <f>IF(D1344&lt;2,FALSE,ISERROR(MATCH(H1344,'Ontology and concepts per UC'!$A$2:$A$62,0)))</f>
        <v>0</v>
      </c>
      <c r="J1344" s="9" t="str">
        <f t="shared" si="39"/>
        <v/>
      </c>
      <c r="K1344" s="8" t="b">
        <f>IF(D1344&lt;3,FALSE,ISERROR(MATCH(J1344,'Ontology and concepts per UC'!$A$2:$A$62,0)))</f>
        <v>0</v>
      </c>
      <c r="L1344" s="2" t="s">
        <v>3484</v>
      </c>
      <c r="M1344" s="2" t="s">
        <v>3485</v>
      </c>
      <c r="N1344" s="2"/>
      <c r="O1344" s="1" t="b">
        <v>0</v>
      </c>
      <c r="P1344" s="1">
        <v>0</v>
      </c>
      <c r="Q1344" s="1">
        <v>0</v>
      </c>
      <c r="R1344" s="1" t="b">
        <f t="shared" si="40"/>
        <v>1</v>
      </c>
      <c r="S1344" s="2" t="s">
        <v>60</v>
      </c>
      <c r="T1344" s="1" t="str">
        <f>IF(S1344="","",VLOOKUP(S1344,'Ontology and concepts per UC'!$F$2:$J$46,5,FALSE))</f>
        <v>Tratamiento/seguimiento</v>
      </c>
      <c r="U1344" s="1" t="b">
        <f t="array" ref="U1344">(INDEX('Ontology and concepts per UC'!$G$2:$I$46,MATCH($S1344,'Ontology and concepts per UC'!$F$2:$F$46,0),MATCH(LEFT($A1344,3),'Ontology and concepts per UC'!$G$1:$I$1,0))=0)</f>
        <v>0</v>
      </c>
      <c r="V1344" s="1" t="b">
        <f t="shared" si="41"/>
        <v>0</v>
      </c>
      <c r="W1344" s="1" t="b">
        <v>0</v>
      </c>
      <c r="X1344" s="1" t="b">
        <v>0</v>
      </c>
      <c r="Y1344" s="1" t="b">
        <v>0</v>
      </c>
      <c r="Z1344" s="1" t="b">
        <v>0</v>
      </c>
      <c r="AA1344" s="1"/>
    </row>
    <row r="1345" spans="1:27" x14ac:dyDescent="0.25">
      <c r="A1345" s="1" t="s">
        <v>3338</v>
      </c>
      <c r="B1345" s="2" t="s">
        <v>3486</v>
      </c>
      <c r="C1345" s="2" t="s">
        <v>157</v>
      </c>
      <c r="D1345" s="6">
        <f t="shared" si="35"/>
        <v>2</v>
      </c>
      <c r="E1345" s="7" t="str">
        <f t="shared" si="36"/>
        <v>Parameter</v>
      </c>
      <c r="F1345" s="8" t="b">
        <f>IF(D1345&lt;1,FALSE,ISERROR(MATCH(E1345,'Ontology and concepts per UC'!$A$2:$A$62,0)))</f>
        <v>0</v>
      </c>
      <c r="G1345" s="9" t="str">
        <f t="shared" si="37"/>
        <v>DeterministicParameter</v>
      </c>
      <c r="H1345" s="9" t="str">
        <f t="shared" si="38"/>
        <v>DeterministicParameter</v>
      </c>
      <c r="I1345" s="8" t="b">
        <f>IF(D1345&lt;2,FALSE,ISERROR(MATCH(H1345,'Ontology and concepts per UC'!$A$2:$A$62,0)))</f>
        <v>0</v>
      </c>
      <c r="J1345" s="9" t="str">
        <f t="shared" si="39"/>
        <v/>
      </c>
      <c r="K1345" s="8" t="b">
        <f>IF(D1345&lt;3,FALSE,ISERROR(MATCH(J1345,'Ontology and concepts per UC'!$A$2:$A$62,0)))</f>
        <v>0</v>
      </c>
      <c r="L1345" s="2" t="s">
        <v>3487</v>
      </c>
      <c r="M1345" s="2" t="s">
        <v>3488</v>
      </c>
      <c r="N1345" s="2"/>
      <c r="O1345" s="1" t="b">
        <v>0</v>
      </c>
      <c r="P1345" s="1">
        <v>0</v>
      </c>
      <c r="Q1345" s="1">
        <v>0</v>
      </c>
      <c r="R1345" s="1" t="b">
        <f t="shared" si="40"/>
        <v>1</v>
      </c>
      <c r="S1345" s="2" t="s">
        <v>50</v>
      </c>
      <c r="T1345" s="1" t="str">
        <f>IF(S1345="","",VLOOKUP(S1345,'Ontology and concepts per UC'!$F$2:$J$46,5,FALSE))</f>
        <v>Parámetros de progresión</v>
      </c>
      <c r="U1345" s="1" t="b">
        <f t="array" ref="U1345">(INDEX('Ontology and concepts per UC'!$G$2:$I$46,MATCH($S1345,'Ontology and concepts per UC'!$F$2:$F$46,0),MATCH(LEFT($A1345,3),'Ontology and concepts per UC'!$G$1:$I$1,0))=0)</f>
        <v>0</v>
      </c>
      <c r="V1345" s="1" t="b">
        <f t="shared" si="41"/>
        <v>0</v>
      </c>
      <c r="W1345" s="1" t="b">
        <v>0</v>
      </c>
      <c r="X1345" s="1" t="b">
        <v>0</v>
      </c>
      <c r="Y1345" s="1" t="b">
        <v>0</v>
      </c>
      <c r="Z1345" s="1" t="b">
        <v>0</v>
      </c>
      <c r="AA1345" s="1"/>
    </row>
    <row r="1346" spans="1:27" x14ac:dyDescent="0.25">
      <c r="A1346" s="1" t="s">
        <v>3338</v>
      </c>
      <c r="B1346" s="2" t="s">
        <v>3489</v>
      </c>
      <c r="C1346" s="2" t="s">
        <v>164</v>
      </c>
      <c r="D1346" s="6">
        <f t="shared" si="35"/>
        <v>2</v>
      </c>
      <c r="E1346" s="7" t="str">
        <f t="shared" si="36"/>
        <v>RareDisease</v>
      </c>
      <c r="F1346" s="8" t="b">
        <f>IF(D1346&lt;1,FALSE,ISERROR(MATCH(E1346,'Ontology and concepts per UC'!$A$2:$A$62,0)))</f>
        <v>0</v>
      </c>
      <c r="G1346" s="9" t="str">
        <f t="shared" si="37"/>
        <v>Disease</v>
      </c>
      <c r="H1346" s="9" t="str">
        <f t="shared" si="38"/>
        <v>Disease</v>
      </c>
      <c r="I1346" s="8" t="b">
        <f>IF(D1346&lt;2,FALSE,ISERROR(MATCH(H1346,'Ontology and concepts per UC'!$A$2:$A$62,0)))</f>
        <v>0</v>
      </c>
      <c r="J1346" s="9" t="str">
        <f t="shared" si="39"/>
        <v/>
      </c>
      <c r="K1346" s="8" t="b">
        <f>IF(D1346&lt;3,FALSE,ISERROR(MATCH(J1346,'Ontology and concepts per UC'!$A$2:$A$62,0)))</f>
        <v>0</v>
      </c>
      <c r="L1346" s="2" t="s">
        <v>3490</v>
      </c>
      <c r="M1346" s="2" t="s">
        <v>3491</v>
      </c>
      <c r="N1346" s="2"/>
      <c r="O1346" s="1" t="b">
        <v>0</v>
      </c>
      <c r="P1346" s="1">
        <v>0</v>
      </c>
      <c r="Q1346" s="1">
        <v>0</v>
      </c>
      <c r="R1346" s="1" t="b">
        <f t="shared" si="40"/>
        <v>0</v>
      </c>
      <c r="S1346" s="2" t="s">
        <v>35</v>
      </c>
      <c r="T1346" s="1" t="str">
        <f>IF(S1346="","",VLOOKUP(S1346,'Ontology and concepts per UC'!$F$2:$J$46,5,FALSE))</f>
        <v>Modelo Conceptual</v>
      </c>
      <c r="U1346" s="1" t="b">
        <f t="array" ref="U1346">(INDEX('Ontology and concepts per UC'!$G$2:$I$46,MATCH($S1346,'Ontology and concepts per UC'!$F$2:$F$46,0),MATCH(LEFT($A1346,3),'Ontology and concepts per UC'!$G$1:$I$1,0))=0)</f>
        <v>0</v>
      </c>
      <c r="V1346" s="1" t="b">
        <f t="shared" si="41"/>
        <v>1</v>
      </c>
      <c r="W1346" s="1" t="b">
        <v>0</v>
      </c>
      <c r="X1346" s="1" t="b">
        <v>0</v>
      </c>
      <c r="Y1346" s="1" t="b">
        <v>0</v>
      </c>
      <c r="Z1346" s="1" t="b">
        <v>1</v>
      </c>
      <c r="AA1346" s="1" t="s">
        <v>197</v>
      </c>
    </row>
    <row r="1347" spans="1:27" x14ac:dyDescent="0.25">
      <c r="A1347" s="1" t="s">
        <v>3338</v>
      </c>
      <c r="B1347" s="2" t="s">
        <v>3492</v>
      </c>
      <c r="C1347" s="2" t="s">
        <v>25</v>
      </c>
      <c r="D1347" s="6">
        <f t="shared" si="35"/>
        <v>1</v>
      </c>
      <c r="E1347" s="7" t="str">
        <f t="shared" si="36"/>
        <v>ScreeningIntervention</v>
      </c>
      <c r="F1347" s="8" t="b">
        <f>IF(D1347&lt;1,FALSE,ISERROR(MATCH(E1347,'Ontology and concepts per UC'!$A$2:$A$62,0)))</f>
        <v>0</v>
      </c>
      <c r="G1347" s="9" t="str">
        <f t="shared" si="37"/>
        <v/>
      </c>
      <c r="H1347" s="9" t="str">
        <f t="shared" si="38"/>
        <v/>
      </c>
      <c r="I1347" s="8" t="b">
        <f>IF(D1347&lt;2,FALSE,ISERROR(MATCH(H1347,'Ontology and concepts per UC'!$A$2:$A$62,0)))</f>
        <v>0</v>
      </c>
      <c r="J1347" s="9" t="str">
        <f t="shared" si="39"/>
        <v/>
      </c>
      <c r="K1347" s="8" t="b">
        <f>IF(D1347&lt;3,FALSE,ISERROR(MATCH(J1347,'Ontology and concepts per UC'!$A$2:$A$62,0)))</f>
        <v>0</v>
      </c>
      <c r="L1347" s="2" t="s">
        <v>3349</v>
      </c>
      <c r="M1347" s="2" t="s">
        <v>3493</v>
      </c>
      <c r="N1347" s="2"/>
      <c r="O1347" s="1" t="b">
        <v>0</v>
      </c>
      <c r="P1347" s="1">
        <v>0</v>
      </c>
      <c r="Q1347" s="1">
        <v>0</v>
      </c>
      <c r="R1347" s="1" t="b">
        <f t="shared" si="40"/>
        <v>0</v>
      </c>
      <c r="S1347" s="2" t="s">
        <v>24</v>
      </c>
      <c r="T1347" s="1" t="str">
        <f>IF(S1347="","",VLOOKUP(S1347,'Ontology and concepts per UC'!$F$2:$J$46,5,FALSE))</f>
        <v>Modelo Conceptual</v>
      </c>
      <c r="U1347" s="1" t="b">
        <f t="array" ref="U1347">(INDEX('Ontology and concepts per UC'!$G$2:$I$46,MATCH($S1347,'Ontology and concepts per UC'!$F$2:$F$46,0),MATCH(LEFT($A1347,3),'Ontology and concepts per UC'!$G$1:$I$1,0))=0)</f>
        <v>0</v>
      </c>
      <c r="V1347" s="1" t="b">
        <f t="shared" si="41"/>
        <v>0</v>
      </c>
      <c r="W1347" s="1" t="b">
        <v>0</v>
      </c>
      <c r="X1347" s="1" t="b">
        <v>0</v>
      </c>
      <c r="Y1347" s="1" t="b">
        <v>0</v>
      </c>
      <c r="Z1347" s="1" t="b">
        <v>0</v>
      </c>
      <c r="AA1347" s="1"/>
    </row>
    <row r="1348" spans="1:27" x14ac:dyDescent="0.25">
      <c r="A1348" s="1" t="s">
        <v>3338</v>
      </c>
      <c r="B1348" s="2" t="s">
        <v>3494</v>
      </c>
      <c r="C1348" s="2" t="s">
        <v>169</v>
      </c>
      <c r="D1348" s="6">
        <f t="shared" si="35"/>
        <v>2</v>
      </c>
      <c r="E1348" s="7" t="str">
        <f t="shared" si="36"/>
        <v>SecondOrderUncertaintyParameter</v>
      </c>
      <c r="F1348" s="8" t="b">
        <f>IF(D1348&lt;1,FALSE,ISERROR(MATCH(E1348,'Ontology and concepts per UC'!$A$2:$A$62,0)))</f>
        <v>0</v>
      </c>
      <c r="G1348" s="9" t="str">
        <f t="shared" si="37"/>
        <v>EpidemiologicalParameter</v>
      </c>
      <c r="H1348" s="9" t="str">
        <f t="shared" si="38"/>
        <v>EpidemiologicalParameter</v>
      </c>
      <c r="I1348" s="8" t="b">
        <f>IF(D1348&lt;2,FALSE,ISERROR(MATCH(H1348,'Ontology and concepts per UC'!$A$2:$A$62,0)))</f>
        <v>0</v>
      </c>
      <c r="J1348" s="9" t="str">
        <f t="shared" si="39"/>
        <v/>
      </c>
      <c r="K1348" s="8" t="b">
        <f>IF(D1348&lt;3,FALSE,ISERROR(MATCH(J1348,'Ontology and concepts per UC'!$A$2:$A$62,0)))</f>
        <v>0</v>
      </c>
      <c r="L1348" s="2" t="s">
        <v>3495</v>
      </c>
      <c r="M1348" s="2" t="s">
        <v>3496</v>
      </c>
      <c r="N1348" s="2"/>
      <c r="O1348" s="1" t="b">
        <v>0</v>
      </c>
      <c r="P1348" s="1">
        <v>0</v>
      </c>
      <c r="Q1348" s="1">
        <v>0</v>
      </c>
      <c r="R1348" s="1" t="b">
        <f t="shared" si="40"/>
        <v>1</v>
      </c>
      <c r="S1348" s="2" t="s">
        <v>55</v>
      </c>
      <c r="T1348" s="1" t="str">
        <f>IF(S1348="","",VLOOKUP(S1348,'Ontology and concepts per UC'!$F$2:$J$46,5,FALSE))</f>
        <v>Parámetros de progresión</v>
      </c>
      <c r="U1348" s="1" t="b">
        <f t="array" ref="U1348">(INDEX('Ontology and concepts per UC'!$G$2:$I$46,MATCH($S1348,'Ontology and concepts per UC'!$F$2:$F$46,0),MATCH(LEFT($A1348,3),'Ontology and concepts per UC'!$G$1:$I$1,0))=0)</f>
        <v>0</v>
      </c>
      <c r="V1348" s="1" t="b">
        <f t="shared" si="41"/>
        <v>0</v>
      </c>
      <c r="W1348" s="1" t="b">
        <v>0</v>
      </c>
      <c r="X1348" s="1" t="b">
        <v>0</v>
      </c>
      <c r="Y1348" s="1" t="b">
        <v>0</v>
      </c>
      <c r="Z1348" s="1" t="b">
        <v>0</v>
      </c>
      <c r="AA1348" s="1"/>
    </row>
    <row r="1349" spans="1:27" x14ac:dyDescent="0.25">
      <c r="A1349" s="1" t="s">
        <v>3338</v>
      </c>
      <c r="B1349" s="2" t="s">
        <v>3497</v>
      </c>
      <c r="C1349" s="2" t="s">
        <v>169</v>
      </c>
      <c r="D1349" s="6">
        <f t="shared" si="35"/>
        <v>2</v>
      </c>
      <c r="E1349" s="7" t="str">
        <f t="shared" si="36"/>
        <v>SecondOrderUncertaintyParameter</v>
      </c>
      <c r="F1349" s="8" t="b">
        <f>IF(D1349&lt;1,FALSE,ISERROR(MATCH(E1349,'Ontology and concepts per UC'!$A$2:$A$62,0)))</f>
        <v>0</v>
      </c>
      <c r="G1349" s="9" t="str">
        <f t="shared" si="37"/>
        <v>EpidemiologicalParameter</v>
      </c>
      <c r="H1349" s="9" t="str">
        <f t="shared" si="38"/>
        <v>EpidemiologicalParameter</v>
      </c>
      <c r="I1349" s="8" t="b">
        <f>IF(D1349&lt;2,FALSE,ISERROR(MATCH(H1349,'Ontology and concepts per UC'!$A$2:$A$62,0)))</f>
        <v>0</v>
      </c>
      <c r="J1349" s="9" t="str">
        <f t="shared" si="39"/>
        <v/>
      </c>
      <c r="K1349" s="8" t="b">
        <f>IF(D1349&lt;3,FALSE,ISERROR(MATCH(J1349,'Ontology and concepts per UC'!$A$2:$A$62,0)))</f>
        <v>0</v>
      </c>
      <c r="L1349" s="2" t="s">
        <v>3498</v>
      </c>
      <c r="M1349" s="2" t="s">
        <v>3499</v>
      </c>
      <c r="N1349" s="2"/>
      <c r="O1349" s="1" t="b">
        <v>0</v>
      </c>
      <c r="P1349" s="1">
        <v>0</v>
      </c>
      <c r="Q1349" s="1">
        <v>0</v>
      </c>
      <c r="R1349" s="1" t="b">
        <f t="shared" si="40"/>
        <v>1</v>
      </c>
      <c r="S1349" s="2" t="s">
        <v>51</v>
      </c>
      <c r="T1349" s="1" t="str">
        <f>IF(S1349="","",VLOOKUP(S1349,'Ontology and concepts per UC'!$F$2:$J$46,5,FALSE))</f>
        <v>Parámetros de progresión</v>
      </c>
      <c r="U1349" s="1" t="b">
        <f t="array" ref="U1349">(INDEX('Ontology and concepts per UC'!$G$2:$I$46,MATCH($S1349,'Ontology and concepts per UC'!$F$2:$F$46,0),MATCH(LEFT($A1349,3),'Ontology and concepts per UC'!$G$1:$I$1,0))=0)</f>
        <v>0</v>
      </c>
      <c r="V1349" s="1" t="b">
        <f t="shared" si="41"/>
        <v>0</v>
      </c>
      <c r="W1349" s="1" t="b">
        <v>0</v>
      </c>
      <c r="X1349" s="1" t="b">
        <v>0</v>
      </c>
      <c r="Y1349" s="1" t="b">
        <v>0</v>
      </c>
      <c r="Z1349" s="1" t="b">
        <v>0</v>
      </c>
      <c r="AA1349" s="1"/>
    </row>
    <row r="1350" spans="1:27" x14ac:dyDescent="0.25">
      <c r="A1350" s="1" t="s">
        <v>3338</v>
      </c>
      <c r="B1350" s="2" t="s">
        <v>3500</v>
      </c>
      <c r="C1350" s="2" t="s">
        <v>169</v>
      </c>
      <c r="D1350" s="6">
        <f t="shared" si="35"/>
        <v>2</v>
      </c>
      <c r="E1350" s="7" t="str">
        <f t="shared" si="36"/>
        <v>SecondOrderUncertaintyParameter</v>
      </c>
      <c r="F1350" s="8" t="b">
        <f>IF(D1350&lt;1,FALSE,ISERROR(MATCH(E1350,'Ontology and concepts per UC'!$A$2:$A$62,0)))</f>
        <v>0</v>
      </c>
      <c r="G1350" s="9" t="str">
        <f t="shared" si="37"/>
        <v>EpidemiologicalParameter</v>
      </c>
      <c r="H1350" s="9" t="str">
        <f t="shared" si="38"/>
        <v>EpidemiologicalParameter</v>
      </c>
      <c r="I1350" s="8" t="b">
        <f>IF(D1350&lt;2,FALSE,ISERROR(MATCH(H1350,'Ontology and concepts per UC'!$A$2:$A$62,0)))</f>
        <v>0</v>
      </c>
      <c r="J1350" s="9" t="str">
        <f t="shared" si="39"/>
        <v/>
      </c>
      <c r="K1350" s="8" t="b">
        <f>IF(D1350&lt;3,FALSE,ISERROR(MATCH(J1350,'Ontology and concepts per UC'!$A$2:$A$62,0)))</f>
        <v>0</v>
      </c>
      <c r="L1350" s="2" t="s">
        <v>3501</v>
      </c>
      <c r="M1350" s="2" t="s">
        <v>3502</v>
      </c>
      <c r="N1350" s="2"/>
      <c r="O1350" s="1" t="b">
        <v>0</v>
      </c>
      <c r="P1350" s="1">
        <v>0</v>
      </c>
      <c r="Q1350" s="1">
        <v>0</v>
      </c>
      <c r="R1350" s="1" t="b">
        <f t="shared" si="40"/>
        <v>1</v>
      </c>
      <c r="S1350" s="2" t="s">
        <v>56</v>
      </c>
      <c r="T1350" s="1" t="str">
        <f>IF(S1350="","",VLOOKUP(S1350,'Ontology and concepts per UC'!$F$2:$J$46,5,FALSE))</f>
        <v>Parámetros de progresión</v>
      </c>
      <c r="U1350" s="1" t="b">
        <f t="array" ref="U1350">(INDEX('Ontology and concepts per UC'!$G$2:$I$46,MATCH($S1350,'Ontology and concepts per UC'!$F$2:$F$46,0),MATCH(LEFT($A1350,3),'Ontology and concepts per UC'!$G$1:$I$1,0))=0)</f>
        <v>0</v>
      </c>
      <c r="V1350" s="1" t="b">
        <f t="shared" si="41"/>
        <v>0</v>
      </c>
      <c r="W1350" s="1" t="b">
        <v>0</v>
      </c>
      <c r="X1350" s="1" t="b">
        <v>0</v>
      </c>
      <c r="Y1350" s="1" t="b">
        <v>0</v>
      </c>
      <c r="Z1350" s="1" t="b">
        <v>0</v>
      </c>
      <c r="AA1350" s="1"/>
    </row>
    <row r="1351" spans="1:27" x14ac:dyDescent="0.25">
      <c r="A1351" s="1" t="s">
        <v>3338</v>
      </c>
      <c r="B1351" s="2" t="s">
        <v>3503</v>
      </c>
      <c r="C1351" s="2" t="s">
        <v>169</v>
      </c>
      <c r="D1351" s="6">
        <f t="shared" si="35"/>
        <v>2</v>
      </c>
      <c r="E1351" s="7" t="str">
        <f t="shared" si="36"/>
        <v>SecondOrderUncertaintyParameter</v>
      </c>
      <c r="F1351" s="8" t="b">
        <f>IF(D1351&lt;1,FALSE,ISERROR(MATCH(E1351,'Ontology and concepts per UC'!$A$2:$A$62,0)))</f>
        <v>0</v>
      </c>
      <c r="G1351" s="9" t="str">
        <f t="shared" si="37"/>
        <v>EpidemiologicalParameter</v>
      </c>
      <c r="H1351" s="9" t="str">
        <f t="shared" si="38"/>
        <v>EpidemiologicalParameter</v>
      </c>
      <c r="I1351" s="8" t="b">
        <f>IF(D1351&lt;2,FALSE,ISERROR(MATCH(H1351,'Ontology and concepts per UC'!$A$2:$A$62,0)))</f>
        <v>0</v>
      </c>
      <c r="J1351" s="9" t="str">
        <f t="shared" si="39"/>
        <v/>
      </c>
      <c r="K1351" s="8" t="b">
        <f>IF(D1351&lt;3,FALSE,ISERROR(MATCH(J1351,'Ontology and concepts per UC'!$A$2:$A$62,0)))</f>
        <v>0</v>
      </c>
      <c r="L1351" s="2" t="s">
        <v>3504</v>
      </c>
      <c r="M1351" s="2" t="s">
        <v>3505</v>
      </c>
      <c r="N1351" s="2"/>
      <c r="O1351" s="1" t="b">
        <v>0</v>
      </c>
      <c r="P1351" s="1">
        <v>0</v>
      </c>
      <c r="Q1351" s="1">
        <v>0</v>
      </c>
      <c r="R1351" s="1" t="b">
        <f t="shared" si="40"/>
        <v>1</v>
      </c>
      <c r="S1351" s="2" t="s">
        <v>54</v>
      </c>
      <c r="T1351" s="1" t="str">
        <f>IF(S1351="","",VLOOKUP(S1351,'Ontology and concepts per UC'!$F$2:$J$46,5,FALSE))</f>
        <v>Parámetros de progresión</v>
      </c>
      <c r="U1351" s="1" t="b">
        <f t="array" ref="U1351">(INDEX('Ontology and concepts per UC'!$G$2:$I$46,MATCH($S1351,'Ontology and concepts per UC'!$F$2:$F$46,0),MATCH(LEFT($A1351,3),'Ontology and concepts per UC'!$G$1:$I$1,0))=0)</f>
        <v>0</v>
      </c>
      <c r="V1351" s="1" t="b">
        <f t="shared" si="41"/>
        <v>0</v>
      </c>
      <c r="W1351" s="1" t="b">
        <v>0</v>
      </c>
      <c r="X1351" s="1" t="b">
        <v>0</v>
      </c>
      <c r="Y1351" s="1" t="b">
        <v>0</v>
      </c>
      <c r="Z1351" s="1" t="b">
        <v>0</v>
      </c>
      <c r="AA1351" s="1"/>
    </row>
    <row r="1352" spans="1:27" x14ac:dyDescent="0.25">
      <c r="A1352" s="1" t="s">
        <v>3338</v>
      </c>
      <c r="B1352" s="2" t="s">
        <v>3506</v>
      </c>
      <c r="C1352" s="2" t="s">
        <v>169</v>
      </c>
      <c r="D1352" s="6">
        <f t="shared" si="35"/>
        <v>2</v>
      </c>
      <c r="E1352" s="7" t="str">
        <f t="shared" si="36"/>
        <v>SecondOrderUncertaintyParameter</v>
      </c>
      <c r="F1352" s="8" t="b">
        <f>IF(D1352&lt;1,FALSE,ISERROR(MATCH(E1352,'Ontology and concepts per UC'!$A$2:$A$62,0)))</f>
        <v>0</v>
      </c>
      <c r="G1352" s="9" t="str">
        <f t="shared" si="37"/>
        <v>EpidemiologicalParameter</v>
      </c>
      <c r="H1352" s="9" t="str">
        <f t="shared" si="38"/>
        <v>EpidemiologicalParameter</v>
      </c>
      <c r="I1352" s="8" t="b">
        <f>IF(D1352&lt;2,FALSE,ISERROR(MATCH(H1352,'Ontology and concepts per UC'!$A$2:$A$62,0)))</f>
        <v>0</v>
      </c>
      <c r="J1352" s="9" t="str">
        <f t="shared" si="39"/>
        <v/>
      </c>
      <c r="K1352" s="8" t="b">
        <f>IF(D1352&lt;3,FALSE,ISERROR(MATCH(J1352,'Ontology and concepts per UC'!$A$2:$A$62,0)))</f>
        <v>0</v>
      </c>
      <c r="L1352" s="2" t="s">
        <v>3507</v>
      </c>
      <c r="M1352" s="2" t="s">
        <v>3508</v>
      </c>
      <c r="N1352" s="2"/>
      <c r="O1352" s="1" t="b">
        <v>0</v>
      </c>
      <c r="P1352" s="1">
        <v>0</v>
      </c>
      <c r="Q1352" s="1">
        <v>0</v>
      </c>
      <c r="R1352" s="1" t="b">
        <f t="shared" si="40"/>
        <v>1</v>
      </c>
      <c r="S1352" s="2" t="s">
        <v>50</v>
      </c>
      <c r="T1352" s="1" t="str">
        <f>IF(S1352="","",VLOOKUP(S1352,'Ontology and concepts per UC'!$F$2:$J$46,5,FALSE))</f>
        <v>Parámetros de progresión</v>
      </c>
      <c r="U1352" s="1" t="b">
        <f t="array" ref="U1352">(INDEX('Ontology and concepts per UC'!$G$2:$I$46,MATCH($S1352,'Ontology and concepts per UC'!$F$2:$F$46,0),MATCH(LEFT($A1352,3),'Ontology and concepts per UC'!$G$1:$I$1,0))=0)</f>
        <v>0</v>
      </c>
      <c r="V1352" s="1" t="b">
        <f t="shared" si="41"/>
        <v>0</v>
      </c>
      <c r="W1352" s="1" t="b">
        <v>0</v>
      </c>
      <c r="X1352" s="1" t="b">
        <v>0</v>
      </c>
      <c r="Y1352" s="1" t="b">
        <v>0</v>
      </c>
      <c r="Z1352" s="1" t="b">
        <v>0</v>
      </c>
      <c r="AA1352" s="1"/>
    </row>
    <row r="1353" spans="1:27" x14ac:dyDescent="0.25">
      <c r="A1353" s="1" t="s">
        <v>3338</v>
      </c>
      <c r="B1353" s="2" t="s">
        <v>3509</v>
      </c>
      <c r="C1353" s="2" t="s">
        <v>169</v>
      </c>
      <c r="D1353" s="6">
        <f t="shared" si="35"/>
        <v>2</v>
      </c>
      <c r="E1353" s="7" t="str">
        <f t="shared" si="36"/>
        <v>SecondOrderUncertaintyParameter</v>
      </c>
      <c r="F1353" s="8" t="b">
        <f>IF(D1353&lt;1,FALSE,ISERROR(MATCH(E1353,'Ontology and concepts per UC'!$A$2:$A$62,0)))</f>
        <v>0</v>
      </c>
      <c r="G1353" s="9" t="str">
        <f t="shared" si="37"/>
        <v>EpidemiologicalParameter</v>
      </c>
      <c r="H1353" s="9" t="str">
        <f t="shared" si="38"/>
        <v>EpidemiologicalParameter</v>
      </c>
      <c r="I1353" s="8" t="b">
        <f>IF(D1353&lt;2,FALSE,ISERROR(MATCH(H1353,'Ontology and concepts per UC'!$A$2:$A$62,0)))</f>
        <v>0</v>
      </c>
      <c r="J1353" s="9" t="str">
        <f t="shared" si="39"/>
        <v/>
      </c>
      <c r="K1353" s="8" t="b">
        <f>IF(D1353&lt;3,FALSE,ISERROR(MATCH(J1353,'Ontology and concepts per UC'!$A$2:$A$62,0)))</f>
        <v>0</v>
      </c>
      <c r="L1353" s="2" t="s">
        <v>3510</v>
      </c>
      <c r="M1353" s="2" t="s">
        <v>3511</v>
      </c>
      <c r="N1353" s="2"/>
      <c r="O1353" s="1" t="b">
        <v>0</v>
      </c>
      <c r="P1353" s="1">
        <v>0</v>
      </c>
      <c r="Q1353" s="1">
        <v>0</v>
      </c>
      <c r="R1353" s="1" t="b">
        <f t="shared" si="40"/>
        <v>1</v>
      </c>
      <c r="S1353" s="2" t="s">
        <v>107</v>
      </c>
      <c r="T1353" s="1" t="str">
        <f>IF(S1353="","",VLOOKUP(S1353,'Ontology and concepts per UC'!$F$2:$J$46,5,FALSE))</f>
        <v>Parcial</v>
      </c>
      <c r="U1353" s="1" t="b">
        <f t="array" ref="U1353">(INDEX('Ontology and concepts per UC'!$G$2:$I$46,MATCH($S1353,'Ontology and concepts per UC'!$F$2:$F$46,0),MATCH(LEFT($A1353,3),'Ontology and concepts per UC'!$G$1:$I$1,0))=0)</f>
        <v>0</v>
      </c>
      <c r="V1353" s="1" t="b">
        <f t="shared" si="41"/>
        <v>0</v>
      </c>
      <c r="W1353" s="1" t="b">
        <v>0</v>
      </c>
      <c r="X1353" s="1" t="b">
        <v>0</v>
      </c>
      <c r="Y1353" s="1" t="b">
        <v>0</v>
      </c>
      <c r="Z1353" s="1" t="b">
        <v>0</v>
      </c>
      <c r="AA1353" s="1"/>
    </row>
    <row r="1354" spans="1:27" x14ac:dyDescent="0.25">
      <c r="A1354" s="1" t="s">
        <v>3338</v>
      </c>
      <c r="B1354" s="2" t="s">
        <v>3512</v>
      </c>
      <c r="C1354" s="2" t="s">
        <v>169</v>
      </c>
      <c r="D1354" s="6">
        <f t="shared" si="35"/>
        <v>2</v>
      </c>
      <c r="E1354" s="7" t="str">
        <f t="shared" si="36"/>
        <v>SecondOrderUncertaintyParameter</v>
      </c>
      <c r="F1354" s="8" t="b">
        <f>IF(D1354&lt;1,FALSE,ISERROR(MATCH(E1354,'Ontology and concepts per UC'!$A$2:$A$62,0)))</f>
        <v>0</v>
      </c>
      <c r="G1354" s="9" t="str">
        <f t="shared" si="37"/>
        <v>EpidemiologicalParameter</v>
      </c>
      <c r="H1354" s="9" t="str">
        <f t="shared" si="38"/>
        <v>EpidemiologicalParameter</v>
      </c>
      <c r="I1354" s="8" t="b">
        <f>IF(D1354&lt;2,FALSE,ISERROR(MATCH(H1354,'Ontology and concepts per UC'!$A$2:$A$62,0)))</f>
        <v>0</v>
      </c>
      <c r="J1354" s="9" t="str">
        <f t="shared" si="39"/>
        <v/>
      </c>
      <c r="K1354" s="8" t="b">
        <f>IF(D1354&lt;3,FALSE,ISERROR(MATCH(J1354,'Ontology and concepts per UC'!$A$2:$A$62,0)))</f>
        <v>0</v>
      </c>
      <c r="L1354" s="2" t="s">
        <v>3513</v>
      </c>
      <c r="M1354" s="2" t="s">
        <v>3514</v>
      </c>
      <c r="N1354" s="2"/>
      <c r="O1354" s="1" t="b">
        <v>0</v>
      </c>
      <c r="P1354" s="1">
        <v>0</v>
      </c>
      <c r="Q1354" s="1">
        <v>0</v>
      </c>
      <c r="R1354" s="1" t="b">
        <f t="shared" si="40"/>
        <v>1</v>
      </c>
      <c r="S1354" s="2" t="s">
        <v>107</v>
      </c>
      <c r="T1354" s="1" t="str">
        <f>IF(S1354="","",VLOOKUP(S1354,'Ontology and concepts per UC'!$F$2:$J$46,5,FALSE))</f>
        <v>Parcial</v>
      </c>
      <c r="U1354" s="1" t="b">
        <f t="array" ref="U1354">(INDEX('Ontology and concepts per UC'!$G$2:$I$46,MATCH($S1354,'Ontology and concepts per UC'!$F$2:$F$46,0),MATCH(LEFT($A1354,3),'Ontology and concepts per UC'!$G$1:$I$1,0))=0)</f>
        <v>0</v>
      </c>
      <c r="V1354" s="1" t="b">
        <f t="shared" si="41"/>
        <v>0</v>
      </c>
      <c r="W1354" s="1" t="b">
        <v>0</v>
      </c>
      <c r="X1354" s="1" t="b">
        <v>0</v>
      </c>
      <c r="Y1354" s="1" t="b">
        <v>0</v>
      </c>
      <c r="Z1354" s="1" t="b">
        <v>0</v>
      </c>
      <c r="AA1354" s="1"/>
    </row>
    <row r="1355" spans="1:27" x14ac:dyDescent="0.25">
      <c r="A1355" s="1" t="s">
        <v>3338</v>
      </c>
      <c r="B1355" s="2" t="s">
        <v>3515</v>
      </c>
      <c r="C1355" s="2" t="s">
        <v>581</v>
      </c>
      <c r="D1355" s="6">
        <f t="shared" si="35"/>
        <v>1</v>
      </c>
      <c r="E1355" s="7" t="str">
        <f t="shared" si="36"/>
        <v>Stage</v>
      </c>
      <c r="F1355" s="8" t="b">
        <f>IF(D1355&lt;1,FALSE,ISERROR(MATCH(E1355,'Ontology and concepts per UC'!$A$2:$A$62,0)))</f>
        <v>0</v>
      </c>
      <c r="G1355" s="9" t="str">
        <f t="shared" si="37"/>
        <v/>
      </c>
      <c r="H1355" s="9" t="str">
        <f t="shared" si="38"/>
        <v/>
      </c>
      <c r="I1355" s="8" t="b">
        <f>IF(D1355&lt;2,FALSE,ISERROR(MATCH(H1355,'Ontology and concepts per UC'!$A$2:$A$62,0)))</f>
        <v>0</v>
      </c>
      <c r="J1355" s="9" t="str">
        <f t="shared" si="39"/>
        <v/>
      </c>
      <c r="K1355" s="8" t="b">
        <f>IF(D1355&lt;3,FALSE,ISERROR(MATCH(J1355,'Ontology and concepts per UC'!$A$2:$A$62,0)))</f>
        <v>0</v>
      </c>
      <c r="L1355" s="2" t="s">
        <v>3349</v>
      </c>
      <c r="M1355" s="2" t="s">
        <v>3516</v>
      </c>
      <c r="N1355" s="2"/>
      <c r="O1355" s="1" t="b">
        <v>0</v>
      </c>
      <c r="P1355" s="1">
        <v>0</v>
      </c>
      <c r="Q1355" s="1">
        <v>0</v>
      </c>
      <c r="R1355" s="1" t="b">
        <f t="shared" si="40"/>
        <v>0</v>
      </c>
      <c r="S1355" s="2" t="s">
        <v>187</v>
      </c>
      <c r="T1355" s="1" t="str">
        <f>IF(S1355="","",VLOOKUP(S1355,'Ontology and concepts per UC'!$F$2:$J$46,5,FALSE))</f>
        <v>Otros</v>
      </c>
      <c r="U1355" s="1" t="b">
        <f t="array" ref="U1355">(INDEX('Ontology and concepts per UC'!$G$2:$I$46,MATCH($S1355,'Ontology and concepts per UC'!$F$2:$F$46,0),MATCH(LEFT($A1355,3),'Ontology and concepts per UC'!$G$1:$I$1,0))=0)</f>
        <v>1</v>
      </c>
      <c r="V1355" s="1" t="b">
        <f t="shared" si="41"/>
        <v>0</v>
      </c>
      <c r="W1355" s="1" t="b">
        <v>0</v>
      </c>
      <c r="X1355" s="1" t="b">
        <v>0</v>
      </c>
      <c r="Y1355" s="1" t="b">
        <v>0</v>
      </c>
      <c r="Z1355" s="1" t="b">
        <v>0</v>
      </c>
      <c r="AA1355" s="1"/>
    </row>
    <row r="1356" spans="1:27" x14ac:dyDescent="0.25">
      <c r="A1356" s="1" t="s">
        <v>3338</v>
      </c>
      <c r="B1356" s="2" t="s">
        <v>3517</v>
      </c>
      <c r="C1356" s="2" t="s">
        <v>581</v>
      </c>
      <c r="D1356" s="6">
        <f t="shared" si="35"/>
        <v>1</v>
      </c>
      <c r="E1356" s="7" t="str">
        <f t="shared" si="36"/>
        <v>Stage</v>
      </c>
      <c r="F1356" s="8" t="b">
        <f>IF(D1356&lt;1,FALSE,ISERROR(MATCH(E1356,'Ontology and concepts per UC'!$A$2:$A$62,0)))</f>
        <v>0</v>
      </c>
      <c r="G1356" s="9" t="str">
        <f t="shared" si="37"/>
        <v/>
      </c>
      <c r="H1356" s="9" t="str">
        <f t="shared" si="38"/>
        <v/>
      </c>
      <c r="I1356" s="8" t="b">
        <f>IF(D1356&lt;2,FALSE,ISERROR(MATCH(H1356,'Ontology and concepts per UC'!$A$2:$A$62,0)))</f>
        <v>0</v>
      </c>
      <c r="J1356" s="9" t="str">
        <f t="shared" si="39"/>
        <v/>
      </c>
      <c r="K1356" s="8" t="b">
        <f>IF(D1356&lt;3,FALSE,ISERROR(MATCH(J1356,'Ontology and concepts per UC'!$A$2:$A$62,0)))</f>
        <v>0</v>
      </c>
      <c r="L1356" s="2" t="s">
        <v>3518</v>
      </c>
      <c r="M1356" s="2" t="s">
        <v>3519</v>
      </c>
      <c r="N1356" s="2"/>
      <c r="O1356" s="1" t="b">
        <v>0</v>
      </c>
      <c r="P1356" s="1">
        <v>0</v>
      </c>
      <c r="Q1356" s="1">
        <v>0</v>
      </c>
      <c r="R1356" s="1" t="b">
        <f t="shared" si="40"/>
        <v>0</v>
      </c>
      <c r="S1356" s="2" t="s">
        <v>187</v>
      </c>
      <c r="T1356" s="1" t="str">
        <f>IF(S1356="","",VLOOKUP(S1356,'Ontology and concepts per UC'!$F$2:$J$46,5,FALSE))</f>
        <v>Otros</v>
      </c>
      <c r="U1356" s="1" t="b">
        <f t="array" ref="U1356">(INDEX('Ontology and concepts per UC'!$G$2:$I$46,MATCH($S1356,'Ontology and concepts per UC'!$F$2:$F$46,0),MATCH(LEFT($A1356,3),'Ontology and concepts per UC'!$G$1:$I$1,0))=0)</f>
        <v>1</v>
      </c>
      <c r="V1356" s="1" t="b">
        <f t="shared" si="41"/>
        <v>0</v>
      </c>
      <c r="W1356" s="1" t="b">
        <v>0</v>
      </c>
      <c r="X1356" s="1" t="b">
        <v>0</v>
      </c>
      <c r="Y1356" s="1" t="b">
        <v>0</v>
      </c>
      <c r="Z1356" s="1" t="b">
        <v>0</v>
      </c>
      <c r="AA1356" s="1"/>
    </row>
    <row r="1357" spans="1:27" x14ac:dyDescent="0.25">
      <c r="A1357" s="1" t="s">
        <v>3338</v>
      </c>
      <c r="B1357" s="2" t="s">
        <v>3520</v>
      </c>
      <c r="C1357" s="2" t="s">
        <v>605</v>
      </c>
      <c r="D1357" s="6">
        <f t="shared" si="35"/>
        <v>1</v>
      </c>
      <c r="E1357" s="7" t="str">
        <f t="shared" si="36"/>
        <v>TherapeuticIntervention</v>
      </c>
      <c r="F1357" s="8" t="b">
        <f>IF(D1357&lt;1,FALSE,ISERROR(MATCH(E1357,'Ontology and concepts per UC'!$A$2:$A$62,0)))</f>
        <v>0</v>
      </c>
      <c r="G1357" s="9" t="str">
        <f t="shared" si="37"/>
        <v/>
      </c>
      <c r="H1357" s="9" t="str">
        <f t="shared" si="38"/>
        <v/>
      </c>
      <c r="I1357" s="8" t="b">
        <f>IF(D1357&lt;2,FALSE,ISERROR(MATCH(H1357,'Ontology and concepts per UC'!$A$2:$A$62,0)))</f>
        <v>0</v>
      </c>
      <c r="J1357" s="9" t="str">
        <f t="shared" si="39"/>
        <v/>
      </c>
      <c r="K1357" s="8" t="b">
        <f>IF(D1357&lt;3,FALSE,ISERROR(MATCH(J1357,'Ontology and concepts per UC'!$A$2:$A$62,0)))</f>
        <v>0</v>
      </c>
      <c r="L1357" s="2" t="s">
        <v>3521</v>
      </c>
      <c r="M1357" s="2" t="s">
        <v>3522</v>
      </c>
      <c r="N1357" s="2"/>
      <c r="O1357" s="1" t="b">
        <v>0</v>
      </c>
      <c r="P1357" s="1">
        <v>0</v>
      </c>
      <c r="Q1357" s="1">
        <v>0</v>
      </c>
      <c r="R1357" s="1" t="b">
        <f t="shared" si="40"/>
        <v>0</v>
      </c>
      <c r="S1357" s="2" t="s">
        <v>62</v>
      </c>
      <c r="T1357" s="1" t="str">
        <f>IF(S1357="","",VLOOKUP(S1357,'Ontology and concepts per UC'!$F$2:$J$46,5,FALSE))</f>
        <v>Tratamiento/seguimiento</v>
      </c>
      <c r="U1357" s="1" t="b">
        <f t="array" ref="U1357">(INDEX('Ontology and concepts per UC'!$G$2:$I$46,MATCH($S1357,'Ontology and concepts per UC'!$F$2:$F$46,0),MATCH(LEFT($A1357,3),'Ontology and concepts per UC'!$G$1:$I$1,0))=0)</f>
        <v>0</v>
      </c>
      <c r="V1357" s="1" t="b">
        <f t="shared" si="41"/>
        <v>1</v>
      </c>
      <c r="W1357" s="1" t="b">
        <v>0</v>
      </c>
      <c r="X1357" s="1" t="b">
        <v>0</v>
      </c>
      <c r="Y1357" s="1" t="b">
        <v>0</v>
      </c>
      <c r="Z1357" s="1" t="b">
        <v>1</v>
      </c>
      <c r="AA1357" s="1" t="s">
        <v>1954</v>
      </c>
    </row>
    <row r="1358" spans="1:27" x14ac:dyDescent="0.25">
      <c r="A1358" s="1" t="s">
        <v>3338</v>
      </c>
      <c r="B1358" s="2" t="s">
        <v>3523</v>
      </c>
      <c r="C1358" s="2" t="s">
        <v>1308</v>
      </c>
      <c r="D1358" s="6">
        <f t="shared" si="35"/>
        <v>1</v>
      </c>
      <c r="E1358" s="7" t="str">
        <f t="shared" si="36"/>
        <v>Treatment</v>
      </c>
      <c r="F1358" s="8" t="b">
        <f>IF(D1358&lt;1,FALSE,ISERROR(MATCH(E1358,'Ontology and concepts per UC'!$A$2:$A$62,0)))</f>
        <v>0</v>
      </c>
      <c r="G1358" s="9" t="str">
        <f t="shared" si="37"/>
        <v/>
      </c>
      <c r="H1358" s="9" t="str">
        <f t="shared" si="38"/>
        <v/>
      </c>
      <c r="I1358" s="8" t="b">
        <f>IF(D1358&lt;2,FALSE,ISERROR(MATCH(H1358,'Ontology and concepts per UC'!$A$2:$A$62,0)))</f>
        <v>0</v>
      </c>
      <c r="J1358" s="9" t="str">
        <f t="shared" si="39"/>
        <v/>
      </c>
      <c r="K1358" s="8" t="b">
        <f>IF(D1358&lt;3,FALSE,ISERROR(MATCH(J1358,'Ontology and concepts per UC'!$A$2:$A$62,0)))</f>
        <v>0</v>
      </c>
      <c r="L1358" s="2" t="s">
        <v>3524</v>
      </c>
      <c r="M1358" s="2" t="s">
        <v>3525</v>
      </c>
      <c r="N1358" s="2"/>
      <c r="O1358" s="1" t="b">
        <v>0</v>
      </c>
      <c r="P1358" s="1">
        <v>0</v>
      </c>
      <c r="Q1358" s="1">
        <v>0</v>
      </c>
      <c r="R1358" s="1" t="b">
        <f t="shared" si="40"/>
        <v>0</v>
      </c>
      <c r="S1358" s="2" t="s">
        <v>107</v>
      </c>
      <c r="T1358" s="1" t="str">
        <f>IF(S1358="","",VLOOKUP(S1358,'Ontology and concepts per UC'!$F$2:$J$46,5,FALSE))</f>
        <v>Parcial</v>
      </c>
      <c r="U1358" s="1" t="b">
        <f t="array" ref="U1358">(INDEX('Ontology and concepts per UC'!$G$2:$I$46,MATCH($S1358,'Ontology and concepts per UC'!$F$2:$F$46,0),MATCH(LEFT($A1358,3),'Ontology and concepts per UC'!$G$1:$I$1,0))=0)</f>
        <v>0</v>
      </c>
      <c r="V1358" s="1" t="b">
        <f t="shared" si="41"/>
        <v>0</v>
      </c>
      <c r="W1358" s="1" t="b">
        <v>0</v>
      </c>
      <c r="X1358" s="1" t="b">
        <v>0</v>
      </c>
      <c r="Y1358" s="1" t="b">
        <v>0</v>
      </c>
      <c r="Z1358" s="1" t="b">
        <v>0</v>
      </c>
      <c r="AA1358" s="1"/>
    </row>
    <row r="1359" spans="1:27" x14ac:dyDescent="0.25">
      <c r="A1359" s="1" t="s">
        <v>3338</v>
      </c>
      <c r="B1359" s="2" t="s">
        <v>3526</v>
      </c>
      <c r="C1359" s="2" t="s">
        <v>1308</v>
      </c>
      <c r="D1359" s="6">
        <f t="shared" si="35"/>
        <v>1</v>
      </c>
      <c r="E1359" s="7" t="str">
        <f t="shared" si="36"/>
        <v>Treatment</v>
      </c>
      <c r="F1359" s="8" t="b">
        <f>IF(D1359&lt;1,FALSE,ISERROR(MATCH(E1359,'Ontology and concepts per UC'!$A$2:$A$62,0)))</f>
        <v>0</v>
      </c>
      <c r="G1359" s="9" t="str">
        <f t="shared" si="37"/>
        <v/>
      </c>
      <c r="H1359" s="9" t="str">
        <f t="shared" si="38"/>
        <v/>
      </c>
      <c r="I1359" s="8" t="b">
        <f>IF(D1359&lt;2,FALSE,ISERROR(MATCH(H1359,'Ontology and concepts per UC'!$A$2:$A$62,0)))</f>
        <v>0</v>
      </c>
      <c r="J1359" s="9" t="str">
        <f t="shared" si="39"/>
        <v/>
      </c>
      <c r="K1359" s="8" t="b">
        <f>IF(D1359&lt;3,FALSE,ISERROR(MATCH(J1359,'Ontology and concepts per UC'!$A$2:$A$62,0)))</f>
        <v>0</v>
      </c>
      <c r="L1359" s="2" t="s">
        <v>3527</v>
      </c>
      <c r="M1359" s="2" t="s">
        <v>3528</v>
      </c>
      <c r="N1359" s="2"/>
      <c r="O1359" s="1" t="b">
        <v>0</v>
      </c>
      <c r="P1359" s="1">
        <v>0</v>
      </c>
      <c r="Q1359" s="1">
        <v>0</v>
      </c>
      <c r="R1359" s="1" t="b">
        <f t="shared" si="40"/>
        <v>0</v>
      </c>
      <c r="S1359" s="2" t="s">
        <v>62</v>
      </c>
      <c r="T1359" s="1" t="str">
        <f>IF(S1359="","",VLOOKUP(S1359,'Ontology and concepts per UC'!$F$2:$J$46,5,FALSE))</f>
        <v>Tratamiento/seguimiento</v>
      </c>
      <c r="U1359" s="1" t="b">
        <f t="array" ref="U1359">(INDEX('Ontology and concepts per UC'!$G$2:$I$46,MATCH($S1359,'Ontology and concepts per UC'!$F$2:$F$46,0),MATCH(LEFT($A1359,3),'Ontology and concepts per UC'!$G$1:$I$1,0))=0)</f>
        <v>0</v>
      </c>
      <c r="V1359" s="1" t="b">
        <f t="shared" si="41"/>
        <v>0</v>
      </c>
      <c r="W1359" s="1" t="b">
        <v>0</v>
      </c>
      <c r="X1359" s="1" t="b">
        <v>0</v>
      </c>
      <c r="Y1359" s="1" t="b">
        <v>0</v>
      </c>
      <c r="Z1359" s="1" t="b">
        <v>0</v>
      </c>
      <c r="AA1359" s="1"/>
    </row>
    <row r="1360" spans="1:27" x14ac:dyDescent="0.25">
      <c r="A1360" s="1" t="s">
        <v>3338</v>
      </c>
      <c r="B1360" s="2" t="s">
        <v>3529</v>
      </c>
      <c r="C1360" s="2" t="s">
        <v>219</v>
      </c>
      <c r="D1360" s="6">
        <f t="shared" si="35"/>
        <v>1</v>
      </c>
      <c r="E1360" s="7" t="str">
        <f t="shared" si="36"/>
        <v>Utility</v>
      </c>
      <c r="F1360" s="8" t="b">
        <f>IF(D1360&lt;1,FALSE,ISERROR(MATCH(E1360,'Ontology and concepts per UC'!$A$2:$A$62,0)))</f>
        <v>0</v>
      </c>
      <c r="G1360" s="9" t="str">
        <f t="shared" si="37"/>
        <v/>
      </c>
      <c r="H1360" s="9" t="str">
        <f t="shared" si="38"/>
        <v/>
      </c>
      <c r="I1360" s="8" t="b">
        <f>IF(D1360&lt;2,FALSE,ISERROR(MATCH(H1360,'Ontology and concepts per UC'!$A$2:$A$62,0)))</f>
        <v>0</v>
      </c>
      <c r="J1360" s="9" t="str">
        <f t="shared" si="39"/>
        <v/>
      </c>
      <c r="K1360" s="8" t="b">
        <f>IF(D1360&lt;3,FALSE,ISERROR(MATCH(J1360,'Ontology and concepts per UC'!$A$2:$A$62,0)))</f>
        <v>0</v>
      </c>
      <c r="L1360" s="2" t="s">
        <v>3530</v>
      </c>
      <c r="M1360" s="2" t="s">
        <v>3531</v>
      </c>
      <c r="N1360" s="2"/>
      <c r="O1360" s="1" t="b">
        <v>0</v>
      </c>
      <c r="P1360" s="1">
        <v>0</v>
      </c>
      <c r="Q1360" s="1">
        <v>0</v>
      </c>
      <c r="R1360" s="1" t="b">
        <f t="shared" si="40"/>
        <v>1</v>
      </c>
      <c r="S1360" s="2" t="s">
        <v>70</v>
      </c>
      <c r="T1360" s="1" t="str">
        <f>IF(S1360="","",VLOOKUP(S1360,'Ontology and concepts per UC'!$F$2:$J$46,5,FALSE))</f>
        <v>Utilidad</v>
      </c>
      <c r="U1360" s="1" t="b">
        <f t="array" ref="U1360">(INDEX('Ontology and concepts per UC'!$G$2:$I$46,MATCH($S1360,'Ontology and concepts per UC'!$F$2:$F$46,0),MATCH(LEFT($A1360,3),'Ontology and concepts per UC'!$G$1:$I$1,0))=0)</f>
        <v>0</v>
      </c>
      <c r="V1360" s="1" t="b">
        <f t="shared" si="41"/>
        <v>0</v>
      </c>
      <c r="W1360" s="1" t="b">
        <v>0</v>
      </c>
      <c r="X1360" s="1" t="b">
        <v>0</v>
      </c>
      <c r="Y1360" s="1" t="b">
        <v>0</v>
      </c>
      <c r="Z1360" s="1" t="b">
        <v>0</v>
      </c>
      <c r="AA1360" s="1"/>
    </row>
    <row r="1361" spans="1:27" x14ac:dyDescent="0.25">
      <c r="A1361" s="1" t="s">
        <v>3338</v>
      </c>
      <c r="B1361" s="2" t="s">
        <v>3532</v>
      </c>
      <c r="C1361" s="2" t="s">
        <v>219</v>
      </c>
      <c r="D1361" s="6">
        <f t="shared" si="35"/>
        <v>1</v>
      </c>
      <c r="E1361" s="7" t="str">
        <f t="shared" si="36"/>
        <v>Utility</v>
      </c>
      <c r="F1361" s="8" t="b">
        <f>IF(D1361&lt;1,FALSE,ISERROR(MATCH(E1361,'Ontology and concepts per UC'!$A$2:$A$62,0)))</f>
        <v>0</v>
      </c>
      <c r="G1361" s="9" t="str">
        <f t="shared" si="37"/>
        <v/>
      </c>
      <c r="H1361" s="9" t="str">
        <f t="shared" si="38"/>
        <v/>
      </c>
      <c r="I1361" s="8" t="b">
        <f>IF(D1361&lt;2,FALSE,ISERROR(MATCH(H1361,'Ontology and concepts per UC'!$A$2:$A$62,0)))</f>
        <v>0</v>
      </c>
      <c r="J1361" s="9" t="str">
        <f t="shared" si="39"/>
        <v/>
      </c>
      <c r="K1361" s="8" t="b">
        <f>IF(D1361&lt;3,FALSE,ISERROR(MATCH(J1361,'Ontology and concepts per UC'!$A$2:$A$62,0)))</f>
        <v>0</v>
      </c>
      <c r="L1361" s="2" t="s">
        <v>3533</v>
      </c>
      <c r="M1361" s="2" t="s">
        <v>3534</v>
      </c>
      <c r="N1361" s="2"/>
      <c r="O1361" s="1" t="b">
        <v>0</v>
      </c>
      <c r="P1361" s="1">
        <v>0</v>
      </c>
      <c r="Q1361" s="1">
        <v>0</v>
      </c>
      <c r="R1361" s="1" t="b">
        <f t="shared" si="40"/>
        <v>1</v>
      </c>
      <c r="S1361" s="2" t="s">
        <v>68</v>
      </c>
      <c r="T1361" s="1" t="str">
        <f>IF(S1361="","",VLOOKUP(S1361,'Ontology and concepts per UC'!$F$2:$J$46,5,FALSE))</f>
        <v>Utilidad</v>
      </c>
      <c r="U1361" s="1" t="b">
        <f t="array" ref="U1361">(INDEX('Ontology and concepts per UC'!$G$2:$I$46,MATCH($S1361,'Ontology and concepts per UC'!$F$2:$F$46,0),MATCH(LEFT($A1361,3),'Ontology and concepts per UC'!$G$1:$I$1,0))=0)</f>
        <v>0</v>
      </c>
      <c r="V1361" s="1" t="b">
        <f t="shared" si="41"/>
        <v>0</v>
      </c>
      <c r="W1361" s="1" t="b">
        <v>0</v>
      </c>
      <c r="X1361" s="1" t="b">
        <v>0</v>
      </c>
      <c r="Y1361" s="1" t="b">
        <v>0</v>
      </c>
      <c r="Z1361" s="1" t="b">
        <v>0</v>
      </c>
      <c r="AA1361" s="1"/>
    </row>
    <row r="1362" spans="1:27" x14ac:dyDescent="0.25">
      <c r="A1362" s="1" t="s">
        <v>3338</v>
      </c>
      <c r="B1362" s="2" t="s">
        <v>3535</v>
      </c>
      <c r="C1362" s="2" t="s">
        <v>219</v>
      </c>
      <c r="D1362" s="6">
        <f t="shared" si="35"/>
        <v>1</v>
      </c>
      <c r="E1362" s="7" t="str">
        <f t="shared" si="36"/>
        <v>Utility</v>
      </c>
      <c r="F1362" s="8" t="b">
        <f>IF(D1362&lt;1,FALSE,ISERROR(MATCH(E1362,'Ontology and concepts per UC'!$A$2:$A$62,0)))</f>
        <v>0</v>
      </c>
      <c r="G1362" s="9" t="str">
        <f t="shared" si="37"/>
        <v/>
      </c>
      <c r="H1362" s="9" t="str">
        <f t="shared" si="38"/>
        <v/>
      </c>
      <c r="I1362" s="8" t="b">
        <f>IF(D1362&lt;2,FALSE,ISERROR(MATCH(H1362,'Ontology and concepts per UC'!$A$2:$A$62,0)))</f>
        <v>0</v>
      </c>
      <c r="J1362" s="9" t="str">
        <f t="shared" si="39"/>
        <v/>
      </c>
      <c r="K1362" s="8" t="b">
        <f>IF(D1362&lt;3,FALSE,ISERROR(MATCH(J1362,'Ontology and concepts per UC'!$A$2:$A$62,0)))</f>
        <v>0</v>
      </c>
      <c r="L1362" s="2" t="s">
        <v>3536</v>
      </c>
      <c r="M1362" s="2" t="s">
        <v>3537</v>
      </c>
      <c r="N1362" s="2"/>
      <c r="O1362" s="1" t="b">
        <v>0</v>
      </c>
      <c r="P1362" s="1">
        <v>0</v>
      </c>
      <c r="Q1362" s="1">
        <v>0</v>
      </c>
      <c r="R1362" s="1" t="b">
        <f t="shared" si="40"/>
        <v>1</v>
      </c>
      <c r="S1362" s="2" t="s">
        <v>67</v>
      </c>
      <c r="T1362" s="1" t="str">
        <f>IF(S1362="","",VLOOKUP(S1362,'Ontology and concepts per UC'!$F$2:$J$46,5,FALSE))</f>
        <v>Utilidad</v>
      </c>
      <c r="U1362" s="1" t="b">
        <f t="array" ref="U1362">(INDEX('Ontology and concepts per UC'!$G$2:$I$46,MATCH($S1362,'Ontology and concepts per UC'!$F$2:$F$46,0),MATCH(LEFT($A1362,3),'Ontology and concepts per UC'!$G$1:$I$1,0))=0)</f>
        <v>0</v>
      </c>
      <c r="V1362" s="1" t="b">
        <f t="shared" si="41"/>
        <v>0</v>
      </c>
      <c r="W1362" s="1" t="b">
        <v>0</v>
      </c>
      <c r="X1362" s="1" t="b">
        <v>0</v>
      </c>
      <c r="Y1362" s="1" t="b">
        <v>0</v>
      </c>
      <c r="Z1362" s="1" t="b">
        <v>0</v>
      </c>
      <c r="AA1362" s="1"/>
    </row>
    <row r="1363" spans="1:27" x14ac:dyDescent="0.25">
      <c r="A1363" s="1" t="s">
        <v>3338</v>
      </c>
      <c r="B1363" s="2" t="s">
        <v>3538</v>
      </c>
      <c r="C1363" s="2" t="s">
        <v>219</v>
      </c>
      <c r="D1363" s="6">
        <f t="shared" si="35"/>
        <v>1</v>
      </c>
      <c r="E1363" s="7" t="str">
        <f t="shared" si="36"/>
        <v>Utility</v>
      </c>
      <c r="F1363" s="8" t="b">
        <f>IF(D1363&lt;1,FALSE,ISERROR(MATCH(E1363,'Ontology and concepts per UC'!$A$2:$A$62,0)))</f>
        <v>0</v>
      </c>
      <c r="G1363" s="9" t="str">
        <f t="shared" si="37"/>
        <v/>
      </c>
      <c r="H1363" s="9" t="str">
        <f t="shared" si="38"/>
        <v/>
      </c>
      <c r="I1363" s="8" t="b">
        <f>IF(D1363&lt;2,FALSE,ISERROR(MATCH(H1363,'Ontology and concepts per UC'!$A$2:$A$62,0)))</f>
        <v>0</v>
      </c>
      <c r="J1363" s="9" t="str">
        <f t="shared" si="39"/>
        <v/>
      </c>
      <c r="K1363" s="8" t="b">
        <f>IF(D1363&lt;3,FALSE,ISERROR(MATCH(J1363,'Ontology and concepts per UC'!$A$2:$A$62,0)))</f>
        <v>0</v>
      </c>
      <c r="L1363" s="2" t="s">
        <v>3349</v>
      </c>
      <c r="M1363" s="2" t="s">
        <v>3539</v>
      </c>
      <c r="N1363" s="2"/>
      <c r="O1363" s="1" t="b">
        <v>0</v>
      </c>
      <c r="P1363" s="1">
        <v>0</v>
      </c>
      <c r="Q1363" s="1">
        <v>0</v>
      </c>
      <c r="R1363" s="1" t="b">
        <f t="shared" si="40"/>
        <v>1</v>
      </c>
      <c r="S1363" s="2" t="s">
        <v>20</v>
      </c>
      <c r="T1363" s="1" t="str">
        <f>IF(S1363="","",VLOOKUP(S1363,'Ontology and concepts per UC'!$F$2:$J$46,5,FALSE))</f>
        <v>Modelo Conceptual</v>
      </c>
      <c r="U1363" s="1" t="b">
        <f t="array" ref="U1363">(INDEX('Ontology and concepts per UC'!$G$2:$I$46,MATCH($S1363,'Ontology and concepts per UC'!$F$2:$F$46,0),MATCH(LEFT($A1363,3),'Ontology and concepts per UC'!$G$1:$I$1,0))=0)</f>
        <v>0</v>
      </c>
      <c r="V1363" s="1" t="b">
        <f t="shared" si="41"/>
        <v>0</v>
      </c>
      <c r="W1363" s="1" t="b">
        <v>0</v>
      </c>
      <c r="X1363" s="1" t="b">
        <v>0</v>
      </c>
      <c r="Y1363" s="1" t="b">
        <v>0</v>
      </c>
      <c r="Z1363" s="1" t="b">
        <v>0</v>
      </c>
      <c r="AA1363" s="1"/>
    </row>
    <row r="1364" spans="1:27" x14ac:dyDescent="0.25">
      <c r="A1364" s="1" t="s">
        <v>3338</v>
      </c>
      <c r="B1364" s="2" t="s">
        <v>3540</v>
      </c>
      <c r="C1364" s="2" t="s">
        <v>219</v>
      </c>
      <c r="D1364" s="6">
        <f t="shared" si="35"/>
        <v>1</v>
      </c>
      <c r="E1364" s="7" t="str">
        <f t="shared" si="36"/>
        <v>Utility</v>
      </c>
      <c r="F1364" s="8" t="b">
        <f>IF(D1364&lt;1,FALSE,ISERROR(MATCH(E1364,'Ontology and concepts per UC'!$A$2:$A$62,0)))</f>
        <v>0</v>
      </c>
      <c r="G1364" s="9" t="str">
        <f t="shared" si="37"/>
        <v/>
      </c>
      <c r="H1364" s="9" t="str">
        <f t="shared" si="38"/>
        <v/>
      </c>
      <c r="I1364" s="8" t="b">
        <f>IF(D1364&lt;2,FALSE,ISERROR(MATCH(H1364,'Ontology and concepts per UC'!$A$2:$A$62,0)))</f>
        <v>0</v>
      </c>
      <c r="J1364" s="9" t="str">
        <f t="shared" si="39"/>
        <v/>
      </c>
      <c r="K1364" s="8" t="b">
        <f>IF(D1364&lt;3,FALSE,ISERROR(MATCH(J1364,'Ontology and concepts per UC'!$A$2:$A$62,0)))</f>
        <v>0</v>
      </c>
      <c r="L1364" s="2" t="s">
        <v>3541</v>
      </c>
      <c r="M1364" s="2" t="s">
        <v>3542</v>
      </c>
      <c r="N1364" s="2"/>
      <c r="O1364" s="1" t="b">
        <v>0</v>
      </c>
      <c r="P1364" s="1">
        <v>0</v>
      </c>
      <c r="Q1364" s="1">
        <v>0</v>
      </c>
      <c r="R1364" s="1" t="b">
        <f t="shared" si="40"/>
        <v>1</v>
      </c>
      <c r="S1364" s="2" t="s">
        <v>69</v>
      </c>
      <c r="T1364" s="1" t="str">
        <f>IF(S1364="","",VLOOKUP(S1364,'Ontology and concepts per UC'!$F$2:$J$46,5,FALSE))</f>
        <v>Utilidad</v>
      </c>
      <c r="U1364" s="1" t="b">
        <f t="array" ref="U1364">(INDEX('Ontology and concepts per UC'!$G$2:$I$46,MATCH($S1364,'Ontology and concepts per UC'!$F$2:$F$46,0),MATCH(LEFT($A1364,3),'Ontology and concepts per UC'!$G$1:$I$1,0))=0)</f>
        <v>0</v>
      </c>
      <c r="V1364" s="1" t="b">
        <f t="shared" si="41"/>
        <v>0</v>
      </c>
      <c r="W1364" s="1" t="b">
        <v>0</v>
      </c>
      <c r="X1364" s="1" t="b">
        <v>0</v>
      </c>
      <c r="Y1364" s="1" t="b">
        <v>0</v>
      </c>
      <c r="Z1364" s="1" t="b">
        <v>0</v>
      </c>
      <c r="AA1364" s="1"/>
    </row>
    <row r="1365" spans="1:27" x14ac:dyDescent="0.25">
      <c r="A1365" s="1" t="s">
        <v>3338</v>
      </c>
      <c r="B1365" s="2" t="s">
        <v>3543</v>
      </c>
      <c r="C1365" s="2" t="s">
        <v>219</v>
      </c>
      <c r="D1365" s="6">
        <f t="shared" si="35"/>
        <v>1</v>
      </c>
      <c r="E1365" s="7" t="str">
        <f t="shared" si="36"/>
        <v>Utility</v>
      </c>
      <c r="F1365" s="8" t="b">
        <f>IF(D1365&lt;1,FALSE,ISERROR(MATCH(E1365,'Ontology and concepts per UC'!$A$2:$A$62,0)))</f>
        <v>0</v>
      </c>
      <c r="G1365" s="9" t="str">
        <f t="shared" si="37"/>
        <v/>
      </c>
      <c r="H1365" s="9" t="str">
        <f t="shared" si="38"/>
        <v/>
      </c>
      <c r="I1365" s="8" t="b">
        <f>IF(D1365&lt;2,FALSE,ISERROR(MATCH(H1365,'Ontology and concepts per UC'!$A$2:$A$62,0)))</f>
        <v>0</v>
      </c>
      <c r="J1365" s="9" t="str">
        <f t="shared" si="39"/>
        <v/>
      </c>
      <c r="K1365" s="8" t="b">
        <f>IF(D1365&lt;3,FALSE,ISERROR(MATCH(J1365,'Ontology and concepts per UC'!$A$2:$A$62,0)))</f>
        <v>0</v>
      </c>
      <c r="L1365" s="2" t="s">
        <v>3544</v>
      </c>
      <c r="M1365" s="2" t="s">
        <v>3545</v>
      </c>
      <c r="N1365" s="2"/>
      <c r="O1365" s="1" t="b">
        <v>0</v>
      </c>
      <c r="P1365" s="1">
        <v>0</v>
      </c>
      <c r="Q1365" s="1">
        <v>0</v>
      </c>
      <c r="R1365" s="1" t="b">
        <f t="shared" si="40"/>
        <v>1</v>
      </c>
      <c r="S1365" s="2" t="s">
        <v>65</v>
      </c>
      <c r="T1365" s="1" t="str">
        <f>IF(S1365="","",VLOOKUP(S1365,'Ontology and concepts per UC'!$F$2:$J$46,5,FALSE))</f>
        <v>Utilidad</v>
      </c>
      <c r="U1365" s="1" t="b">
        <f t="array" ref="U1365">(INDEX('Ontology and concepts per UC'!$G$2:$I$46,MATCH($S1365,'Ontology and concepts per UC'!$F$2:$F$46,0),MATCH(LEFT($A1365,3),'Ontology and concepts per UC'!$G$1:$I$1,0))=0)</f>
        <v>0</v>
      </c>
      <c r="V1365" s="1" t="b">
        <f t="shared" si="41"/>
        <v>0</v>
      </c>
      <c r="W1365" s="1" t="b">
        <v>0</v>
      </c>
      <c r="X1365" s="1" t="b">
        <v>0</v>
      </c>
      <c r="Y1365" s="1" t="b">
        <v>0</v>
      </c>
      <c r="Z1365" s="1" t="b">
        <v>0</v>
      </c>
      <c r="AA1365" s="1"/>
    </row>
    <row r="1366" spans="1:27" x14ac:dyDescent="0.25">
      <c r="A1366" s="1" t="s">
        <v>3338</v>
      </c>
      <c r="B1366" s="2" t="s">
        <v>3337</v>
      </c>
      <c r="C1366" s="2"/>
      <c r="D1366" s="6">
        <f t="shared" si="35"/>
        <v>0</v>
      </c>
      <c r="E1366" s="7">
        <f t="shared" si="36"/>
        <v>0</v>
      </c>
      <c r="F1366" s="8" t="b">
        <f>IF(D1366&lt;1,FALSE,ISERROR(MATCH(E1366,'Ontology and concepts per UC'!$A$2:$A$62,0)))</f>
        <v>0</v>
      </c>
      <c r="G1366" s="9" t="str">
        <f t="shared" si="37"/>
        <v/>
      </c>
      <c r="H1366" s="9" t="str">
        <f t="shared" si="38"/>
        <v/>
      </c>
      <c r="I1366" s="8" t="b">
        <f>IF(D1366&lt;2,FALSE,ISERROR(MATCH(H1366,'Ontology and concepts per UC'!$A$2:$A$62,0)))</f>
        <v>0</v>
      </c>
      <c r="J1366" s="9" t="str">
        <f t="shared" si="39"/>
        <v/>
      </c>
      <c r="K1366" s="8" t="b">
        <f>IF(D1366&lt;3,FALSE,ISERROR(MATCH(J1366,'Ontology and concepts per UC'!$A$2:$A$62,0)))</f>
        <v>0</v>
      </c>
      <c r="L1366" s="2"/>
      <c r="M1366" s="2"/>
      <c r="N1366" s="2"/>
      <c r="O1366" s="1" t="b">
        <v>1</v>
      </c>
      <c r="P1366" s="1">
        <v>0</v>
      </c>
      <c r="Q1366" s="1">
        <v>0</v>
      </c>
      <c r="R1366" s="1" t="b">
        <f t="shared" si="40"/>
        <v>0</v>
      </c>
      <c r="S1366" s="2" t="s">
        <v>187</v>
      </c>
      <c r="T1366" s="1" t="str">
        <f>IF(S1366="","",VLOOKUP(S1366,'Ontology and concepts per UC'!$F$2:$J$46,5,FALSE))</f>
        <v>Otros</v>
      </c>
      <c r="U1366" s="1" t="b">
        <f t="array" ref="U1366">(INDEX('Ontology and concepts per UC'!$G$2:$I$46,MATCH($S1366,'Ontology and concepts per UC'!$F$2:$F$46,0),MATCH(LEFT($A1366,3),'Ontology and concepts per UC'!$G$1:$I$1,0))=0)</f>
        <v>1</v>
      </c>
      <c r="V1366" s="1" t="b">
        <f t="shared" si="41"/>
        <v>1</v>
      </c>
      <c r="W1366" s="1" t="b">
        <v>1</v>
      </c>
      <c r="X1366" s="1" t="b">
        <v>0</v>
      </c>
      <c r="Y1366" s="1" t="b">
        <v>1</v>
      </c>
      <c r="Z1366" s="1" t="b">
        <v>0</v>
      </c>
      <c r="AA1366" s="1" t="s">
        <v>2612</v>
      </c>
    </row>
    <row r="1367" spans="1:27" x14ac:dyDescent="0.25">
      <c r="A1367" s="1" t="s">
        <v>3338</v>
      </c>
      <c r="B1367" s="2" t="s">
        <v>2010</v>
      </c>
      <c r="C1367" s="2"/>
      <c r="D1367" s="6">
        <f t="shared" si="35"/>
        <v>0</v>
      </c>
      <c r="E1367" s="7">
        <f t="shared" si="36"/>
        <v>0</v>
      </c>
      <c r="F1367" s="8" t="b">
        <f>IF(D1367&lt;1,FALSE,ISERROR(MATCH(E1367,'Ontology and concepts per UC'!$A$2:$A$62,0)))</f>
        <v>0</v>
      </c>
      <c r="G1367" s="9" t="str">
        <f t="shared" si="37"/>
        <v/>
      </c>
      <c r="H1367" s="9" t="str">
        <f t="shared" si="38"/>
        <v/>
      </c>
      <c r="I1367" s="8" t="b">
        <f>IF(D1367&lt;2,FALSE,ISERROR(MATCH(H1367,'Ontology and concepts per UC'!$A$2:$A$62,0)))</f>
        <v>0</v>
      </c>
      <c r="J1367" s="9" t="str">
        <f t="shared" si="39"/>
        <v/>
      </c>
      <c r="K1367" s="8" t="b">
        <f>IF(D1367&lt;3,FALSE,ISERROR(MATCH(J1367,'Ontology and concepts per UC'!$A$2:$A$62,0)))</f>
        <v>0</v>
      </c>
      <c r="L1367" s="2"/>
      <c r="M1367" s="2"/>
      <c r="N1367" s="2"/>
      <c r="O1367" s="1" t="b">
        <v>1</v>
      </c>
      <c r="P1367" s="1">
        <v>0</v>
      </c>
      <c r="Q1367" s="1">
        <v>0</v>
      </c>
      <c r="R1367" s="1" t="b">
        <f t="shared" si="40"/>
        <v>0</v>
      </c>
      <c r="S1367" s="2" t="s">
        <v>187</v>
      </c>
      <c r="T1367" s="1" t="str">
        <f>IF(S1367="","",VLOOKUP(S1367,'Ontology and concepts per UC'!$F$2:$J$46,5,FALSE))</f>
        <v>Otros</v>
      </c>
      <c r="U1367" s="1" t="b">
        <f t="array" ref="U1367">(INDEX('Ontology and concepts per UC'!$G$2:$I$46,MATCH($S1367,'Ontology and concepts per UC'!$F$2:$F$46,0),MATCH(LEFT($A1367,3),'Ontology and concepts per UC'!$G$1:$I$1,0))=0)</f>
        <v>1</v>
      </c>
      <c r="V1367" s="1" t="b">
        <f t="shared" si="41"/>
        <v>1</v>
      </c>
      <c r="W1367" s="1" t="b">
        <v>1</v>
      </c>
      <c r="X1367" s="1" t="b">
        <v>0</v>
      </c>
      <c r="Y1367" s="1" t="b">
        <v>1</v>
      </c>
      <c r="Z1367" s="1" t="b">
        <v>0</v>
      </c>
      <c r="AA1367" s="1" t="s">
        <v>2612</v>
      </c>
    </row>
    <row r="1368" spans="1:27" x14ac:dyDescent="0.25">
      <c r="A1368" s="1" t="s">
        <v>3338</v>
      </c>
      <c r="B1368" s="2" t="s">
        <v>2011</v>
      </c>
      <c r="C1368" s="2"/>
      <c r="D1368" s="6">
        <f t="shared" si="35"/>
        <v>0</v>
      </c>
      <c r="E1368" s="7">
        <f t="shared" si="36"/>
        <v>0</v>
      </c>
      <c r="F1368" s="8" t="b">
        <f>IF(D1368&lt;1,FALSE,ISERROR(MATCH(E1368,'Ontology and concepts per UC'!$A$2:$A$62,0)))</f>
        <v>0</v>
      </c>
      <c r="G1368" s="9" t="str">
        <f t="shared" si="37"/>
        <v/>
      </c>
      <c r="H1368" s="9" t="str">
        <f t="shared" si="38"/>
        <v/>
      </c>
      <c r="I1368" s="8" t="b">
        <f>IF(D1368&lt;2,FALSE,ISERROR(MATCH(H1368,'Ontology and concepts per UC'!$A$2:$A$62,0)))</f>
        <v>0</v>
      </c>
      <c r="J1368" s="9" t="str">
        <f t="shared" si="39"/>
        <v/>
      </c>
      <c r="K1368" s="8" t="b">
        <f>IF(D1368&lt;3,FALSE,ISERROR(MATCH(J1368,'Ontology and concepts per UC'!$A$2:$A$62,0)))</f>
        <v>0</v>
      </c>
      <c r="L1368" s="2"/>
      <c r="M1368" s="2"/>
      <c r="N1368" s="2"/>
      <c r="O1368" s="1" t="b">
        <v>1</v>
      </c>
      <c r="P1368" s="1">
        <v>0</v>
      </c>
      <c r="Q1368" s="1">
        <v>0</v>
      </c>
      <c r="R1368" s="1" t="b">
        <f t="shared" si="40"/>
        <v>0</v>
      </c>
      <c r="S1368" s="2" t="s">
        <v>187</v>
      </c>
      <c r="T1368" s="1" t="str">
        <f>IF(S1368="","",VLOOKUP(S1368,'Ontology and concepts per UC'!$F$2:$J$46,5,FALSE))</f>
        <v>Otros</v>
      </c>
      <c r="U1368" s="1" t="b">
        <f t="array" ref="U1368">(INDEX('Ontology and concepts per UC'!$G$2:$I$46,MATCH($S1368,'Ontology and concepts per UC'!$F$2:$F$46,0),MATCH(LEFT($A1368,3),'Ontology and concepts per UC'!$G$1:$I$1,0))=0)</f>
        <v>1</v>
      </c>
      <c r="V1368" s="1" t="b">
        <f t="shared" si="41"/>
        <v>1</v>
      </c>
      <c r="W1368" s="1" t="b">
        <v>1</v>
      </c>
      <c r="X1368" s="1" t="b">
        <v>0</v>
      </c>
      <c r="Y1368" s="1" t="b">
        <v>1</v>
      </c>
      <c r="Z1368" s="1" t="b">
        <v>0</v>
      </c>
      <c r="AA1368" s="1" t="s">
        <v>2612</v>
      </c>
    </row>
    <row r="1369" spans="1:27" x14ac:dyDescent="0.25">
      <c r="A1369" s="1"/>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row>
  </sheetData>
  <customSheetViews>
    <customSheetView guid="{8D7FC475-0C0C-4114-AD8E-FD0AE14FCB26}" filter="1" showAutoFilter="1">
      <pageMargins left="0.7" right="0.7" top="0.75" bottom="0.75" header="0.3" footer="0.3"/>
      <autoFilter ref="A1:AA779" xr:uid="{54D346F6-40C5-47C9-991F-FC572B9C08D6}"/>
    </customSheetView>
  </customSheetViews>
  <conditionalFormatting sqref="A1:AA1369">
    <cfRule type="expression" dxfId="0" priority="1">
      <formula>ISODD(COUNTUNIQUE($A1:$A$2))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'Ontology and concepts per UC'!$F$2:$F$46</xm:f>
          </x14:formula1>
          <xm:sqref>S2:S1368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863"/>
  <sheetViews>
    <sheetView workbookViewId="0"/>
  </sheetViews>
  <sheetFormatPr baseColWidth="10" defaultColWidth="12.6640625" defaultRowHeight="15.75" customHeight="1" x14ac:dyDescent="0.25"/>
  <sheetData>
    <row r="1" spans="1:10" x14ac:dyDescent="0.25">
      <c r="A1" s="3" t="s">
        <v>3546</v>
      </c>
      <c r="B1" s="3" t="s">
        <v>3547</v>
      </c>
      <c r="C1" s="3" t="s">
        <v>72</v>
      </c>
      <c r="D1" s="3" t="s">
        <v>1</v>
      </c>
      <c r="E1" s="3" t="s">
        <v>2</v>
      </c>
      <c r="F1" s="3" t="s">
        <v>3548</v>
      </c>
      <c r="G1" s="3" t="s">
        <v>3549</v>
      </c>
      <c r="H1" s="3" t="s">
        <v>85</v>
      </c>
      <c r="I1" s="3" t="s">
        <v>86</v>
      </c>
      <c r="J1" s="3" t="s">
        <v>3550</v>
      </c>
    </row>
    <row r="2" spans="1:10" x14ac:dyDescent="0.25">
      <c r="A2" s="11" t="s">
        <v>94</v>
      </c>
      <c r="B2" s="11" t="s">
        <v>3551</v>
      </c>
      <c r="C2" s="12" t="s">
        <v>96</v>
      </c>
      <c r="D2" s="11"/>
      <c r="E2" s="12" t="s">
        <v>3552</v>
      </c>
      <c r="F2" s="13" t="b">
        <v>0</v>
      </c>
      <c r="G2" s="13" t="b">
        <v>1</v>
      </c>
      <c r="H2" s="11" t="s">
        <v>11</v>
      </c>
      <c r="I2" s="11" t="e">
        <f t="array" aca="1" ref="I2" ca="1">IF(H2="","",VLOOKUP(H2,_xludf.HSTACK(#REF!,#REF!),2,FALSE))</f>
        <v>#NAME?</v>
      </c>
      <c r="J2" s="11"/>
    </row>
    <row r="3" spans="1:10" x14ac:dyDescent="0.25">
      <c r="A3" s="11" t="s">
        <v>94</v>
      </c>
      <c r="B3" s="11" t="s">
        <v>3553</v>
      </c>
      <c r="C3" s="12" t="s">
        <v>96</v>
      </c>
      <c r="D3" s="11"/>
      <c r="E3" s="12" t="s">
        <v>3554</v>
      </c>
      <c r="F3" s="13" t="b">
        <v>0</v>
      </c>
      <c r="G3" s="13" t="b">
        <v>1</v>
      </c>
      <c r="H3" s="11" t="s">
        <v>6</v>
      </c>
      <c r="I3" s="11" t="e">
        <f t="array" aca="1" ref="I3" ca="1">IF(H3="","",VLOOKUP(H3,_xludf.HSTACK(#REF!,#REF!),2,FALSE))</f>
        <v>#NAME?</v>
      </c>
      <c r="J3" s="11"/>
    </row>
    <row r="4" spans="1:10" x14ac:dyDescent="0.25">
      <c r="A4" s="11" t="s">
        <v>94</v>
      </c>
      <c r="B4" s="11" t="s">
        <v>3555</v>
      </c>
      <c r="C4" s="12" t="s">
        <v>3556</v>
      </c>
      <c r="D4" s="12" t="s">
        <v>3557</v>
      </c>
      <c r="E4" s="12" t="s">
        <v>3558</v>
      </c>
      <c r="F4" s="13" t="b">
        <v>0</v>
      </c>
      <c r="G4" s="13" t="b">
        <v>0</v>
      </c>
      <c r="H4" s="11" t="s">
        <v>35</v>
      </c>
      <c r="I4" s="11" t="e">
        <f t="array" aca="1" ref="I4" ca="1">IF(H4="","",VLOOKUP(H4,_xludf.HSTACK(#REF!,#REF!),2,FALSE))</f>
        <v>#NAME?</v>
      </c>
      <c r="J4" s="11"/>
    </row>
    <row r="5" spans="1:10" x14ac:dyDescent="0.25">
      <c r="A5" s="11" t="s">
        <v>94</v>
      </c>
      <c r="B5" s="11" t="s">
        <v>3559</v>
      </c>
      <c r="C5" s="12" t="s">
        <v>104</v>
      </c>
      <c r="D5" s="12" t="s">
        <v>3560</v>
      </c>
      <c r="E5" s="12" t="s">
        <v>3561</v>
      </c>
      <c r="F5" s="13" t="b">
        <v>0</v>
      </c>
      <c r="G5" s="13" t="b">
        <v>0</v>
      </c>
      <c r="H5" s="11"/>
      <c r="I5" s="11" t="str">
        <f t="array" ref="I5">IF(H5="","",VLOOKUP(H5,_xludf.HSTACK(#REF!,#REF!),2,FALSE))</f>
        <v/>
      </c>
      <c r="J5" s="11"/>
    </row>
    <row r="6" spans="1:10" x14ac:dyDescent="0.25">
      <c r="A6" s="11" t="s">
        <v>94</v>
      </c>
      <c r="B6" s="11" t="s">
        <v>3562</v>
      </c>
      <c r="C6" s="12" t="s">
        <v>104</v>
      </c>
      <c r="D6" s="12" t="s">
        <v>3563</v>
      </c>
      <c r="E6" s="12" t="s">
        <v>3564</v>
      </c>
      <c r="F6" s="13" t="b">
        <v>0</v>
      </c>
      <c r="G6" s="13" t="b">
        <v>1</v>
      </c>
      <c r="H6" s="11" t="s">
        <v>35</v>
      </c>
      <c r="I6" s="11" t="e">
        <f t="array" aca="1" ref="I6" ca="1">IF(H6="","",VLOOKUP(H6,_xludf.HSTACK(#REF!,#REF!),2,FALSE))</f>
        <v>#NAME?</v>
      </c>
      <c r="J6" s="11" t="s">
        <v>3565</v>
      </c>
    </row>
    <row r="7" spans="1:10" x14ac:dyDescent="0.25">
      <c r="A7" s="11" t="s">
        <v>94</v>
      </c>
      <c r="B7" s="11" t="s">
        <v>3566</v>
      </c>
      <c r="C7" s="12" t="s">
        <v>61</v>
      </c>
      <c r="D7" s="11"/>
      <c r="E7" s="11"/>
      <c r="F7" s="13" t="b">
        <v>0</v>
      </c>
      <c r="G7" s="13" t="b">
        <v>0</v>
      </c>
      <c r="H7" s="11" t="s">
        <v>60</v>
      </c>
      <c r="I7" s="11" t="e">
        <f t="array" aca="1" ref="I7" ca="1">IF(H7="","",VLOOKUP(H7,_xludf.HSTACK(#REF!,#REF!),2,FALSE))</f>
        <v>#NAME?</v>
      </c>
      <c r="J7" s="11"/>
    </row>
    <row r="8" spans="1:10" x14ac:dyDescent="0.25">
      <c r="A8" s="11" t="s">
        <v>94</v>
      </c>
      <c r="B8" s="11" t="s">
        <v>3567</v>
      </c>
      <c r="C8" s="12" t="s">
        <v>39</v>
      </c>
      <c r="D8" s="11"/>
      <c r="E8" s="12" t="s">
        <v>3568</v>
      </c>
      <c r="F8" s="13" t="b">
        <v>0</v>
      </c>
      <c r="G8" s="13" t="b">
        <v>0</v>
      </c>
      <c r="H8" s="11" t="s">
        <v>38</v>
      </c>
      <c r="I8" s="11" t="e">
        <f t="array" aca="1" ref="I8" ca="1">IF(H8="","",VLOOKUP(H8,_xludf.HSTACK(#REF!,#REF!),2,FALSE))</f>
        <v>#NAME?</v>
      </c>
      <c r="J8" s="11"/>
    </row>
    <row r="9" spans="1:10" x14ac:dyDescent="0.25">
      <c r="A9" s="11" t="s">
        <v>94</v>
      </c>
      <c r="B9" s="11" t="s">
        <v>3569</v>
      </c>
      <c r="C9" s="12" t="s">
        <v>115</v>
      </c>
      <c r="D9" s="12" t="s">
        <v>3570</v>
      </c>
      <c r="E9" s="12" t="s">
        <v>3571</v>
      </c>
      <c r="F9" s="13" t="b">
        <v>0</v>
      </c>
      <c r="G9" s="13" t="b">
        <v>0</v>
      </c>
      <c r="H9" s="11" t="s">
        <v>62</v>
      </c>
      <c r="I9" s="11" t="e">
        <f t="array" aca="1" ref="I9" ca="1">IF(H9="","",VLOOKUP(H9,_xludf.HSTACK(#REF!,#REF!),2,FALSE))</f>
        <v>#NAME?</v>
      </c>
      <c r="J9" s="11" t="s">
        <v>3572</v>
      </c>
    </row>
    <row r="10" spans="1:10" x14ac:dyDescent="0.25">
      <c r="A10" s="11" t="s">
        <v>94</v>
      </c>
      <c r="B10" s="11" t="s">
        <v>3573</v>
      </c>
      <c r="C10" s="12" t="s">
        <v>115</v>
      </c>
      <c r="D10" s="11"/>
      <c r="E10" s="12" t="s">
        <v>3574</v>
      </c>
      <c r="F10" s="13" t="b">
        <v>0</v>
      </c>
      <c r="G10" s="13" t="b">
        <v>0</v>
      </c>
      <c r="H10" s="11" t="s">
        <v>22</v>
      </c>
      <c r="I10" s="11" t="e">
        <f t="array" aca="1" ref="I10" ca="1">IF(H10="","",VLOOKUP(H10,_xludf.HSTACK(#REF!,#REF!),2,FALSE))</f>
        <v>#NAME?</v>
      </c>
      <c r="J10" s="11"/>
    </row>
    <row r="11" spans="1:10" x14ac:dyDescent="0.25">
      <c r="A11" s="11" t="s">
        <v>94</v>
      </c>
      <c r="B11" s="11" t="s">
        <v>3575</v>
      </c>
      <c r="C11" s="12" t="s">
        <v>115</v>
      </c>
      <c r="D11" s="12" t="s">
        <v>3576</v>
      </c>
      <c r="E11" s="12" t="s">
        <v>3577</v>
      </c>
      <c r="F11" s="13" t="b">
        <v>0</v>
      </c>
      <c r="G11" s="13" t="b">
        <v>0</v>
      </c>
      <c r="H11" s="11" t="s">
        <v>24</v>
      </c>
      <c r="I11" s="11" t="e">
        <f t="array" aca="1" ref="I11" ca="1">IF(H11="","",VLOOKUP(H11,_xludf.HSTACK(#REF!,#REF!),2,FALSE))</f>
        <v>#NAME?</v>
      </c>
      <c r="J11" s="11"/>
    </row>
    <row r="12" spans="1:10" x14ac:dyDescent="0.25">
      <c r="A12" s="11" t="s">
        <v>94</v>
      </c>
      <c r="B12" s="11" t="s">
        <v>3578</v>
      </c>
      <c r="C12" s="12" t="s">
        <v>172</v>
      </c>
      <c r="D12" s="11"/>
      <c r="E12" s="12" t="s">
        <v>3579</v>
      </c>
      <c r="F12" s="13" t="b">
        <v>0</v>
      </c>
      <c r="G12" s="13" t="b">
        <v>1</v>
      </c>
      <c r="H12" s="11"/>
      <c r="I12" s="11" t="str">
        <f t="array" ref="I12">IF(H12="","",VLOOKUP(H12,_xludf.HSTACK(#REF!,#REF!),2,FALSE))</f>
        <v/>
      </c>
      <c r="J12" s="11"/>
    </row>
    <row r="13" spans="1:10" x14ac:dyDescent="0.25">
      <c r="A13" s="11" t="s">
        <v>94</v>
      </c>
      <c r="B13" s="11" t="s">
        <v>3580</v>
      </c>
      <c r="C13" s="12" t="s">
        <v>125</v>
      </c>
      <c r="D13" s="11"/>
      <c r="E13" s="12" t="s">
        <v>3581</v>
      </c>
      <c r="F13" s="13" t="b">
        <v>0</v>
      </c>
      <c r="G13" s="13" t="b">
        <v>0</v>
      </c>
      <c r="H13" s="11" t="s">
        <v>29</v>
      </c>
      <c r="I13" s="11" t="e">
        <f t="array" aca="1" ref="I13" ca="1">IF(H13="","",VLOOKUP(H13,_xludf.HSTACK(#REF!,#REF!),2,FALSE))</f>
        <v>#NAME?</v>
      </c>
      <c r="J13" s="11"/>
    </row>
    <row r="14" spans="1:10" x14ac:dyDescent="0.25">
      <c r="A14" s="11" t="s">
        <v>94</v>
      </c>
      <c r="B14" s="11" t="s">
        <v>3582</v>
      </c>
      <c r="C14" s="12" t="s">
        <v>138</v>
      </c>
      <c r="D14" s="11"/>
      <c r="E14" s="12" t="s">
        <v>3583</v>
      </c>
      <c r="F14" s="13" t="b">
        <v>1</v>
      </c>
      <c r="G14" s="13" t="b">
        <v>0</v>
      </c>
      <c r="H14" s="11" t="s">
        <v>54</v>
      </c>
      <c r="I14" s="11" t="e">
        <f t="array" aca="1" ref="I14" ca="1">IF(H14="","",VLOOKUP(H14,_xludf.HSTACK(#REF!,#REF!),2,FALSE))</f>
        <v>#NAME?</v>
      </c>
      <c r="J14" s="11" t="s">
        <v>3584</v>
      </c>
    </row>
    <row r="15" spans="1:10" x14ac:dyDescent="0.25">
      <c r="A15" s="11" t="s">
        <v>94</v>
      </c>
      <c r="B15" s="11" t="s">
        <v>3585</v>
      </c>
      <c r="C15" s="12" t="s">
        <v>138</v>
      </c>
      <c r="D15" s="11"/>
      <c r="E15" s="12" t="s">
        <v>3586</v>
      </c>
      <c r="F15" s="13" t="b">
        <v>1</v>
      </c>
      <c r="G15" s="13" t="b">
        <v>0</v>
      </c>
      <c r="H15" s="11" t="s">
        <v>54</v>
      </c>
      <c r="I15" s="11" t="e">
        <f t="array" aca="1" ref="I15" ca="1">IF(H15="","",VLOOKUP(H15,_xludf.HSTACK(#REF!,#REF!),2,FALSE))</f>
        <v>#NAME?</v>
      </c>
      <c r="J15" s="11" t="s">
        <v>3584</v>
      </c>
    </row>
    <row r="16" spans="1:10" x14ac:dyDescent="0.25">
      <c r="A16" s="11" t="s">
        <v>94</v>
      </c>
      <c r="B16" s="11" t="s">
        <v>3587</v>
      </c>
      <c r="C16" s="12" t="s">
        <v>172</v>
      </c>
      <c r="D16" s="11"/>
      <c r="E16" s="12" t="s">
        <v>3588</v>
      </c>
      <c r="F16" s="13" t="b">
        <v>0</v>
      </c>
      <c r="G16" s="13" t="b">
        <v>1</v>
      </c>
      <c r="H16" s="11" t="s">
        <v>69</v>
      </c>
      <c r="I16" s="11" t="e">
        <f t="array" aca="1" ref="I16" ca="1">IF(H16="","",VLOOKUP(H16,_xludf.HSTACK(#REF!,#REF!),2,FALSE))</f>
        <v>#NAME?</v>
      </c>
      <c r="J16" s="11" t="s">
        <v>3589</v>
      </c>
    </row>
    <row r="17" spans="1:10" x14ac:dyDescent="0.25">
      <c r="A17" s="11" t="s">
        <v>94</v>
      </c>
      <c r="B17" s="11" t="s">
        <v>3590</v>
      </c>
      <c r="C17" s="12" t="s">
        <v>125</v>
      </c>
      <c r="D17" s="11"/>
      <c r="E17" s="12" t="s">
        <v>3591</v>
      </c>
      <c r="F17" s="13" t="b">
        <v>0</v>
      </c>
      <c r="G17" s="13" t="b">
        <v>0</v>
      </c>
      <c r="H17" s="11" t="s">
        <v>26</v>
      </c>
      <c r="I17" s="11" t="e">
        <f t="array" aca="1" ref="I17" ca="1">IF(H17="","",VLOOKUP(H17,_xludf.HSTACK(#REF!,#REF!),2,FALSE))</f>
        <v>#NAME?</v>
      </c>
      <c r="J17" s="11"/>
    </row>
    <row r="18" spans="1:10" x14ac:dyDescent="0.25">
      <c r="A18" s="11" t="s">
        <v>94</v>
      </c>
      <c r="B18" s="11" t="s">
        <v>3592</v>
      </c>
      <c r="C18" s="12" t="s">
        <v>138</v>
      </c>
      <c r="D18" s="11"/>
      <c r="E18" s="12" t="s">
        <v>3593</v>
      </c>
      <c r="F18" s="13" t="b">
        <v>1</v>
      </c>
      <c r="G18" s="13" t="b">
        <v>0</v>
      </c>
      <c r="H18" s="11" t="s">
        <v>50</v>
      </c>
      <c r="I18" s="11" t="e">
        <f t="array" aca="1" ref="I18" ca="1">IF(H18="","",VLOOKUP(H18,_xludf.HSTACK(#REF!,#REF!),2,FALSE))</f>
        <v>#NAME?</v>
      </c>
      <c r="J18" s="11" t="s">
        <v>3584</v>
      </c>
    </row>
    <row r="19" spans="1:10" x14ac:dyDescent="0.25">
      <c r="A19" s="11" t="s">
        <v>94</v>
      </c>
      <c r="B19" s="11" t="s">
        <v>3594</v>
      </c>
      <c r="C19" s="12" t="s">
        <v>138</v>
      </c>
      <c r="D19" s="11"/>
      <c r="E19" s="12" t="s">
        <v>3595</v>
      </c>
      <c r="F19" s="13" t="b">
        <v>1</v>
      </c>
      <c r="G19" s="13" t="b">
        <v>1</v>
      </c>
      <c r="H19" s="11" t="s">
        <v>50</v>
      </c>
      <c r="I19" s="11" t="e">
        <f t="array" aca="1" ref="I19" ca="1">IF(H19="","",VLOOKUP(H19,_xludf.HSTACK(#REF!,#REF!),2,FALSE))</f>
        <v>#NAME?</v>
      </c>
      <c r="J19" s="11" t="s">
        <v>3596</v>
      </c>
    </row>
    <row r="20" spans="1:10" x14ac:dyDescent="0.25">
      <c r="A20" s="11" t="s">
        <v>94</v>
      </c>
      <c r="B20" s="11" t="s">
        <v>3597</v>
      </c>
      <c r="C20" s="12" t="s">
        <v>172</v>
      </c>
      <c r="D20" s="11"/>
      <c r="E20" s="12" t="s">
        <v>3598</v>
      </c>
      <c r="F20" s="13" t="b">
        <v>0</v>
      </c>
      <c r="G20" s="13" t="b">
        <v>1</v>
      </c>
      <c r="H20" s="11" t="s">
        <v>65</v>
      </c>
      <c r="I20" s="11" t="e">
        <f t="array" aca="1" ref="I20" ca="1">IF(H20="","",VLOOKUP(H20,_xludf.HSTACK(#REF!,#REF!),2,FALSE))</f>
        <v>#NAME?</v>
      </c>
      <c r="J20" s="11" t="s">
        <v>3589</v>
      </c>
    </row>
    <row r="21" spans="1:10" x14ac:dyDescent="0.25">
      <c r="A21" s="11" t="s">
        <v>94</v>
      </c>
      <c r="B21" s="11" t="s">
        <v>3599</v>
      </c>
      <c r="C21" s="12" t="s">
        <v>125</v>
      </c>
      <c r="D21" s="11"/>
      <c r="E21" s="12" t="s">
        <v>3600</v>
      </c>
      <c r="F21" s="13" t="b">
        <v>0</v>
      </c>
      <c r="G21" s="13" t="b">
        <v>0</v>
      </c>
      <c r="H21" s="11" t="s">
        <v>28</v>
      </c>
      <c r="I21" s="11" t="e">
        <f t="array" aca="1" ref="I21" ca="1">IF(H21="","",VLOOKUP(H21,_xludf.HSTACK(#REF!,#REF!),2,FALSE))</f>
        <v>#NAME?</v>
      </c>
      <c r="J21" s="11"/>
    </row>
    <row r="22" spans="1:10" x14ac:dyDescent="0.25">
      <c r="A22" s="11" t="s">
        <v>94</v>
      </c>
      <c r="B22" s="11" t="s">
        <v>3601</v>
      </c>
      <c r="C22" s="12" t="s">
        <v>125</v>
      </c>
      <c r="D22" s="11"/>
      <c r="E22" s="12" t="s">
        <v>3602</v>
      </c>
      <c r="F22" s="13" t="b">
        <v>0</v>
      </c>
      <c r="G22" s="13" t="b">
        <v>0</v>
      </c>
      <c r="H22" s="11" t="s">
        <v>32</v>
      </c>
      <c r="I22" s="11" t="e">
        <f t="array" aca="1" ref="I22" ca="1">IF(H22="","",VLOOKUP(H22,_xludf.HSTACK(#REF!,#REF!),2,FALSE))</f>
        <v>#NAME?</v>
      </c>
      <c r="J22" s="11"/>
    </row>
    <row r="23" spans="1:10" x14ac:dyDescent="0.25">
      <c r="A23" s="11" t="s">
        <v>94</v>
      </c>
      <c r="B23" s="11" t="s">
        <v>3603</v>
      </c>
      <c r="C23" s="12" t="s">
        <v>138</v>
      </c>
      <c r="D23" s="11"/>
      <c r="E23" s="12" t="s">
        <v>3604</v>
      </c>
      <c r="F23" s="13" t="b">
        <v>1</v>
      </c>
      <c r="G23" s="13" t="b">
        <v>0</v>
      </c>
      <c r="H23" s="11" t="s">
        <v>58</v>
      </c>
      <c r="I23" s="11" t="e">
        <f t="array" aca="1" ref="I23" ca="1">IF(H23="","",VLOOKUP(H23,_xludf.HSTACK(#REF!,#REF!),2,FALSE))</f>
        <v>#NAME?</v>
      </c>
      <c r="J23" s="11" t="s">
        <v>3605</v>
      </c>
    </row>
    <row r="24" spans="1:10" x14ac:dyDescent="0.25">
      <c r="A24" s="11" t="s">
        <v>94</v>
      </c>
      <c r="B24" s="11" t="s">
        <v>3606</v>
      </c>
      <c r="C24" s="12" t="s">
        <v>138</v>
      </c>
      <c r="D24" s="11"/>
      <c r="E24" s="12" t="s">
        <v>3607</v>
      </c>
      <c r="F24" s="13" t="b">
        <v>1</v>
      </c>
      <c r="G24" s="13" t="b">
        <v>0</v>
      </c>
      <c r="H24" s="11" t="s">
        <v>58</v>
      </c>
      <c r="I24" s="11" t="e">
        <f t="array" aca="1" ref="I24" ca="1">IF(H24="","",VLOOKUP(H24,_xludf.HSTACK(#REF!,#REF!),2,FALSE))</f>
        <v>#NAME?</v>
      </c>
      <c r="J24" s="11" t="s">
        <v>3605</v>
      </c>
    </row>
    <row r="25" spans="1:10" x14ac:dyDescent="0.25">
      <c r="A25" s="11" t="s">
        <v>94</v>
      </c>
      <c r="B25" s="11" t="s">
        <v>3608</v>
      </c>
      <c r="C25" s="12" t="s">
        <v>172</v>
      </c>
      <c r="D25" s="11"/>
      <c r="E25" s="12" t="s">
        <v>3609</v>
      </c>
      <c r="F25" s="13" t="b">
        <v>0</v>
      </c>
      <c r="G25" s="13" t="b">
        <v>1</v>
      </c>
      <c r="H25" s="11" t="s">
        <v>67</v>
      </c>
      <c r="I25" s="11" t="e">
        <f t="array" aca="1" ref="I25" ca="1">IF(H25="","",VLOOKUP(H25,_xludf.HSTACK(#REF!,#REF!),2,FALSE))</f>
        <v>#NAME?</v>
      </c>
      <c r="J25" s="11" t="s">
        <v>3589</v>
      </c>
    </row>
    <row r="26" spans="1:10" x14ac:dyDescent="0.25">
      <c r="A26" s="11" t="s">
        <v>94</v>
      </c>
      <c r="B26" s="11" t="s">
        <v>3610</v>
      </c>
      <c r="C26" s="12" t="s">
        <v>125</v>
      </c>
      <c r="D26" s="11"/>
      <c r="E26" s="12" t="s">
        <v>3611</v>
      </c>
      <c r="F26" s="13" t="b">
        <v>0</v>
      </c>
      <c r="G26" s="13" t="b">
        <v>0</v>
      </c>
      <c r="H26" s="11" t="s">
        <v>30</v>
      </c>
      <c r="I26" s="11" t="e">
        <f t="array" aca="1" ref="I26" ca="1">IF(H26="","",VLOOKUP(H26,_xludf.HSTACK(#REF!,#REF!),2,FALSE))</f>
        <v>#NAME?</v>
      </c>
      <c r="J26" s="11"/>
    </row>
    <row r="27" spans="1:10" x14ac:dyDescent="0.25">
      <c r="A27" s="11" t="s">
        <v>94</v>
      </c>
      <c r="B27" s="11" t="s">
        <v>3612</v>
      </c>
      <c r="C27" s="12" t="s">
        <v>138</v>
      </c>
      <c r="D27" s="11"/>
      <c r="E27" s="12" t="s">
        <v>3613</v>
      </c>
      <c r="F27" s="13" t="b">
        <v>1</v>
      </c>
      <c r="G27" s="13" t="b">
        <v>0</v>
      </c>
      <c r="H27" s="11" t="s">
        <v>55</v>
      </c>
      <c r="I27" s="11" t="e">
        <f t="array" aca="1" ref="I27" ca="1">IF(H27="","",VLOOKUP(H27,_xludf.HSTACK(#REF!,#REF!),2,FALSE))</f>
        <v>#NAME?</v>
      </c>
      <c r="J27" s="11" t="s">
        <v>3584</v>
      </c>
    </row>
    <row r="28" spans="1:10" x14ac:dyDescent="0.25">
      <c r="A28" s="11" t="s">
        <v>94</v>
      </c>
      <c r="B28" s="11" t="s">
        <v>3614</v>
      </c>
      <c r="C28" s="12" t="s">
        <v>172</v>
      </c>
      <c r="D28" s="11"/>
      <c r="E28" s="12" t="s">
        <v>3615</v>
      </c>
      <c r="F28" s="13" t="b">
        <v>0</v>
      </c>
      <c r="G28" s="13" t="b">
        <v>1</v>
      </c>
      <c r="H28" s="11" t="s">
        <v>70</v>
      </c>
      <c r="I28" s="11" t="e">
        <f t="array" aca="1" ref="I28" ca="1">IF(H28="","",VLOOKUP(H28,_xludf.HSTACK(#REF!,#REF!),2,FALSE))</f>
        <v>#NAME?</v>
      </c>
      <c r="J28" s="11" t="s">
        <v>3589</v>
      </c>
    </row>
    <row r="29" spans="1:10" x14ac:dyDescent="0.25">
      <c r="A29" s="11" t="s">
        <v>94</v>
      </c>
      <c r="B29" s="11" t="s">
        <v>3616</v>
      </c>
      <c r="C29" s="12" t="s">
        <v>125</v>
      </c>
      <c r="D29" s="11"/>
      <c r="E29" s="12" t="s">
        <v>3617</v>
      </c>
      <c r="F29" s="13" t="b">
        <v>0</v>
      </c>
      <c r="G29" s="13" t="b">
        <v>0</v>
      </c>
      <c r="H29" s="11" t="s">
        <v>31</v>
      </c>
      <c r="I29" s="11" t="e">
        <f t="array" aca="1" ref="I29" ca="1">IF(H29="","",VLOOKUP(H29,_xludf.HSTACK(#REF!,#REF!),2,FALSE))</f>
        <v>#NAME?</v>
      </c>
      <c r="J29" s="11"/>
    </row>
    <row r="30" spans="1:10" x14ac:dyDescent="0.25">
      <c r="A30" s="11" t="s">
        <v>94</v>
      </c>
      <c r="B30" s="11" t="s">
        <v>3618</v>
      </c>
      <c r="C30" s="12" t="s">
        <v>172</v>
      </c>
      <c r="D30" s="11"/>
      <c r="E30" s="12" t="s">
        <v>3619</v>
      </c>
      <c r="F30" s="13" t="b">
        <v>0</v>
      </c>
      <c r="G30" s="13" t="b">
        <v>1</v>
      </c>
      <c r="H30" s="11" t="s">
        <v>20</v>
      </c>
      <c r="I30" s="11" t="e">
        <f t="array" aca="1" ref="I30" ca="1">IF(H30="","",VLOOKUP(H30,_xludf.HSTACK(#REF!,#REF!),2,FALSE))</f>
        <v>#NAME?</v>
      </c>
      <c r="J30" s="11"/>
    </row>
    <row r="31" spans="1:10" x14ac:dyDescent="0.25">
      <c r="A31" s="11" t="s">
        <v>94</v>
      </c>
      <c r="B31" s="11" t="s">
        <v>3620</v>
      </c>
      <c r="C31" s="12" t="s">
        <v>14</v>
      </c>
      <c r="D31" s="12" t="s">
        <v>3621</v>
      </c>
      <c r="E31" s="12" t="s">
        <v>3622</v>
      </c>
      <c r="F31" s="13" t="b">
        <v>1</v>
      </c>
      <c r="G31" s="13" t="b">
        <v>0</v>
      </c>
      <c r="H31" s="11" t="s">
        <v>13</v>
      </c>
      <c r="I31" s="11" t="e">
        <f t="array" aca="1" ref="I31" ca="1">IF(H31="","",VLOOKUP(H31,_xludf.HSTACK(#REF!,#REF!),2,FALSE))</f>
        <v>#NAME?</v>
      </c>
      <c r="J31" s="11" t="s">
        <v>3623</v>
      </c>
    </row>
    <row r="32" spans="1:10" x14ac:dyDescent="0.25">
      <c r="A32" s="11" t="s">
        <v>94</v>
      </c>
      <c r="B32" s="11" t="s">
        <v>3624</v>
      </c>
      <c r="C32" s="12" t="s">
        <v>96</v>
      </c>
      <c r="D32" s="11"/>
      <c r="E32" s="12" t="s">
        <v>3625</v>
      </c>
      <c r="F32" s="13" t="b">
        <v>0</v>
      </c>
      <c r="G32" s="13" t="b">
        <v>1</v>
      </c>
      <c r="H32" s="11" t="s">
        <v>10</v>
      </c>
      <c r="I32" s="11" t="e">
        <f t="array" aca="1" ref="I32" ca="1">IF(H32="","",VLOOKUP(H32,_xludf.HSTACK(#REF!,#REF!),2,FALSE))</f>
        <v>#NAME?</v>
      </c>
      <c r="J32" s="11"/>
    </row>
    <row r="33" spans="1:10" x14ac:dyDescent="0.25">
      <c r="A33" s="11" t="s">
        <v>94</v>
      </c>
      <c r="B33" s="11" t="s">
        <v>3626</v>
      </c>
      <c r="C33" s="12" t="s">
        <v>3</v>
      </c>
      <c r="D33" s="11"/>
      <c r="E33" s="12" t="s">
        <v>3627</v>
      </c>
      <c r="F33" s="13" t="b">
        <v>1</v>
      </c>
      <c r="G33" s="13" t="b">
        <v>0</v>
      </c>
      <c r="H33" s="11" t="s">
        <v>47</v>
      </c>
      <c r="I33" s="11" t="e">
        <f t="array" aca="1" ref="I33" ca="1">IF(H33="","",VLOOKUP(H33,_xludf.HSTACK(#REF!,#REF!),2,FALSE))</f>
        <v>#NAME?</v>
      </c>
      <c r="J33" s="11" t="s">
        <v>3628</v>
      </c>
    </row>
    <row r="34" spans="1:10" x14ac:dyDescent="0.25">
      <c r="A34" s="11" t="s">
        <v>94</v>
      </c>
      <c r="B34" s="11" t="s">
        <v>3629</v>
      </c>
      <c r="C34" s="12" t="s">
        <v>138</v>
      </c>
      <c r="D34" s="11"/>
      <c r="E34" s="12" t="s">
        <v>3630</v>
      </c>
      <c r="F34" s="13" t="b">
        <v>0</v>
      </c>
      <c r="G34" s="13" t="b">
        <v>0</v>
      </c>
      <c r="H34" s="11" t="s">
        <v>46</v>
      </c>
      <c r="I34" s="11" t="e">
        <f t="array" aca="1" ref="I34" ca="1">IF(H34="","",VLOOKUP(H34,_xludf.HSTACK(#REF!,#REF!),2,FALSE))</f>
        <v>#NAME?</v>
      </c>
      <c r="J34" s="11"/>
    </row>
    <row r="35" spans="1:10" x14ac:dyDescent="0.25">
      <c r="A35" s="9" t="s">
        <v>190</v>
      </c>
      <c r="B35" s="9" t="s">
        <v>3631</v>
      </c>
      <c r="C35" s="7" t="s">
        <v>25</v>
      </c>
      <c r="D35" s="7" t="s">
        <v>3632</v>
      </c>
      <c r="E35" s="9"/>
      <c r="F35" s="10" t="b">
        <v>0</v>
      </c>
      <c r="G35" s="10" t="b">
        <v>0</v>
      </c>
      <c r="H35" s="9" t="s">
        <v>24</v>
      </c>
      <c r="I35" s="9" t="e">
        <f t="array" aca="1" ref="I35" ca="1">IF(H35="","",VLOOKUP(H35,_xludf.HSTACK(#REF!,#REF!),2,FALSE))</f>
        <v>#NAME?</v>
      </c>
      <c r="J35" s="9"/>
    </row>
    <row r="36" spans="1:10" x14ac:dyDescent="0.25">
      <c r="A36" s="9" t="s">
        <v>190</v>
      </c>
      <c r="B36" s="9" t="s">
        <v>3633</v>
      </c>
      <c r="C36" s="7" t="s">
        <v>36</v>
      </c>
      <c r="D36" s="7" t="s">
        <v>3634</v>
      </c>
      <c r="E36" s="7" t="s">
        <v>3635</v>
      </c>
      <c r="F36" s="10" t="b">
        <v>1</v>
      </c>
      <c r="G36" s="10" t="b">
        <v>0</v>
      </c>
      <c r="H36" s="9" t="s">
        <v>35</v>
      </c>
      <c r="I36" s="9" t="e">
        <f t="array" aca="1" ref="I36" ca="1">IF(H36="","",VLOOKUP(H36,_xludf.HSTACK(#REF!,#REF!),2,FALSE))</f>
        <v>#NAME?</v>
      </c>
      <c r="J36" s="9" t="s">
        <v>3636</v>
      </c>
    </row>
    <row r="37" spans="1:10" x14ac:dyDescent="0.25">
      <c r="A37" s="9" t="s">
        <v>190</v>
      </c>
      <c r="B37" s="9" t="s">
        <v>3637</v>
      </c>
      <c r="C37" s="7" t="s">
        <v>23</v>
      </c>
      <c r="D37" s="9"/>
      <c r="E37" s="9"/>
      <c r="F37" s="10" t="b">
        <v>0</v>
      </c>
      <c r="G37" s="10" t="b">
        <v>0</v>
      </c>
      <c r="H37" s="9" t="s">
        <v>22</v>
      </c>
      <c r="I37" s="9" t="e">
        <f t="array" aca="1" ref="I37" ca="1">IF(H37="","",VLOOKUP(H37,_xludf.HSTACK(#REF!,#REF!),2,FALSE))</f>
        <v>#NAME?</v>
      </c>
      <c r="J37" s="9"/>
    </row>
    <row r="38" spans="1:10" x14ac:dyDescent="0.25">
      <c r="A38" s="9" t="s">
        <v>190</v>
      </c>
      <c r="B38" s="9" t="s">
        <v>3638</v>
      </c>
      <c r="C38" s="7" t="s">
        <v>192</v>
      </c>
      <c r="D38" s="9"/>
      <c r="E38" s="9"/>
      <c r="F38" s="10" t="b">
        <v>0</v>
      </c>
      <c r="G38" s="10" t="b">
        <v>0</v>
      </c>
      <c r="H38" s="9" t="s">
        <v>30</v>
      </c>
      <c r="I38" s="9" t="e">
        <f t="array" aca="1" ref="I38" ca="1">IF(H38="","",VLOOKUP(H38,_xludf.HSTACK(#REF!,#REF!),2,FALSE))</f>
        <v>#NAME?</v>
      </c>
      <c r="J38" s="9"/>
    </row>
    <row r="39" spans="1:10" x14ac:dyDescent="0.25">
      <c r="A39" s="9" t="s">
        <v>190</v>
      </c>
      <c r="B39" s="9" t="s">
        <v>3639</v>
      </c>
      <c r="C39" s="7" t="s">
        <v>27</v>
      </c>
      <c r="D39" s="9"/>
      <c r="E39" s="9"/>
      <c r="F39" s="10" t="b">
        <v>0</v>
      </c>
      <c r="G39" s="10" t="b">
        <v>0</v>
      </c>
      <c r="H39" s="9" t="s">
        <v>31</v>
      </c>
      <c r="I39" s="9" t="e">
        <f t="array" aca="1" ref="I39" ca="1">IF(H39="","",VLOOKUP(H39,_xludf.HSTACK(#REF!,#REF!),2,FALSE))</f>
        <v>#NAME?</v>
      </c>
      <c r="J39" s="9"/>
    </row>
    <row r="40" spans="1:10" x14ac:dyDescent="0.25">
      <c r="A40" s="9" t="s">
        <v>190</v>
      </c>
      <c r="B40" s="9" t="s">
        <v>3640</v>
      </c>
      <c r="C40" s="7" t="s">
        <v>201</v>
      </c>
      <c r="D40" s="9"/>
      <c r="E40" s="7" t="s">
        <v>3641</v>
      </c>
      <c r="F40" s="10" t="b">
        <v>0</v>
      </c>
      <c r="G40" s="10" t="b">
        <v>0</v>
      </c>
      <c r="H40" s="9" t="s">
        <v>46</v>
      </c>
      <c r="I40" s="9" t="e">
        <f t="array" aca="1" ref="I40" ca="1">IF(H40="","",VLOOKUP(H40,_xludf.HSTACK(#REF!,#REF!),2,FALSE))</f>
        <v>#NAME?</v>
      </c>
      <c r="J40" s="9"/>
    </row>
    <row r="41" spans="1:10" x14ac:dyDescent="0.25">
      <c r="A41" s="9" t="s">
        <v>190</v>
      </c>
      <c r="B41" s="9" t="s">
        <v>3642</v>
      </c>
      <c r="C41" s="7" t="s">
        <v>208</v>
      </c>
      <c r="D41" s="9"/>
      <c r="E41" s="7" t="s">
        <v>3643</v>
      </c>
      <c r="F41" s="10" t="b">
        <v>0</v>
      </c>
      <c r="G41" s="10" t="b">
        <v>0</v>
      </c>
      <c r="H41" s="9" t="s">
        <v>38</v>
      </c>
      <c r="I41" s="9" t="e">
        <f t="array" aca="1" ref="I41" ca="1">IF(H41="","",VLOOKUP(H41,_xludf.HSTACK(#REF!,#REF!),2,FALSE))</f>
        <v>#NAME?</v>
      </c>
      <c r="J41" s="9"/>
    </row>
    <row r="42" spans="1:10" x14ac:dyDescent="0.25">
      <c r="A42" s="9" t="s">
        <v>190</v>
      </c>
      <c r="B42" s="9" t="s">
        <v>3644</v>
      </c>
      <c r="C42" s="7" t="s">
        <v>201</v>
      </c>
      <c r="D42" s="9"/>
      <c r="E42" s="7" t="s">
        <v>3645</v>
      </c>
      <c r="F42" s="10" t="b">
        <v>1</v>
      </c>
      <c r="G42" s="10" t="b">
        <v>0</v>
      </c>
      <c r="H42" s="9" t="s">
        <v>47</v>
      </c>
      <c r="I42" s="9" t="e">
        <f t="array" aca="1" ref="I42" ca="1">IF(H42="","",VLOOKUP(H42,_xludf.HSTACK(#REF!,#REF!),2,FALSE))</f>
        <v>#NAME?</v>
      </c>
      <c r="J42" s="9" t="s">
        <v>3628</v>
      </c>
    </row>
    <row r="43" spans="1:10" x14ac:dyDescent="0.25">
      <c r="A43" s="9" t="s">
        <v>190</v>
      </c>
      <c r="B43" s="9" t="s">
        <v>3646</v>
      </c>
      <c r="C43" s="7" t="s">
        <v>14</v>
      </c>
      <c r="D43" s="9"/>
      <c r="E43" s="7" t="s">
        <v>3647</v>
      </c>
      <c r="F43" s="10" t="b">
        <v>0</v>
      </c>
      <c r="G43" s="10" t="b">
        <v>0</v>
      </c>
      <c r="H43" s="9" t="s">
        <v>13</v>
      </c>
      <c r="I43" s="9" t="e">
        <f t="array" aca="1" ref="I43" ca="1">IF(H43="","",VLOOKUP(H43,_xludf.HSTACK(#REF!,#REF!),2,FALSE))</f>
        <v>#NAME?</v>
      </c>
      <c r="J43" s="9"/>
    </row>
    <row r="44" spans="1:10" x14ac:dyDescent="0.25">
      <c r="A44" s="9" t="s">
        <v>190</v>
      </c>
      <c r="B44" s="9" t="s">
        <v>3648</v>
      </c>
      <c r="C44" s="7" t="s">
        <v>208</v>
      </c>
      <c r="D44" s="9"/>
      <c r="E44" s="9"/>
      <c r="F44" s="10" t="b">
        <v>0</v>
      </c>
      <c r="G44" s="10" t="b">
        <v>0</v>
      </c>
      <c r="H44" s="9" t="s">
        <v>38</v>
      </c>
      <c r="I44" s="9" t="e">
        <f t="array" aca="1" ref="I44" ca="1">IF(H44="","",VLOOKUP(H44,_xludf.HSTACK(#REF!,#REF!),2,FALSE))</f>
        <v>#NAME?</v>
      </c>
      <c r="J44" s="9" t="s">
        <v>3649</v>
      </c>
    </row>
    <row r="45" spans="1:10" x14ac:dyDescent="0.25">
      <c r="A45" s="9" t="s">
        <v>190</v>
      </c>
      <c r="B45" s="9" t="s">
        <v>3650</v>
      </c>
      <c r="C45" s="7" t="s">
        <v>219</v>
      </c>
      <c r="D45" s="9"/>
      <c r="E45" s="7" t="s">
        <v>3651</v>
      </c>
      <c r="F45" s="10" t="b">
        <v>0</v>
      </c>
      <c r="G45" s="10" t="b">
        <v>0</v>
      </c>
      <c r="H45" s="9" t="s">
        <v>70</v>
      </c>
      <c r="I45" s="9" t="e">
        <f t="array" aca="1" ref="I45" ca="1">IF(H45="","",VLOOKUP(H45,_xludf.HSTACK(#REF!,#REF!),2,FALSE))</f>
        <v>#NAME?</v>
      </c>
      <c r="J45" s="9" t="s">
        <v>3589</v>
      </c>
    </row>
    <row r="46" spans="1:10" x14ac:dyDescent="0.25">
      <c r="A46" s="9" t="s">
        <v>190</v>
      </c>
      <c r="B46" s="9" t="s">
        <v>3652</v>
      </c>
      <c r="C46" s="7" t="s">
        <v>219</v>
      </c>
      <c r="D46" s="9"/>
      <c r="E46" s="7" t="s">
        <v>3653</v>
      </c>
      <c r="F46" s="10" t="b">
        <v>0</v>
      </c>
      <c r="G46" s="10" t="b">
        <v>0</v>
      </c>
      <c r="H46" s="9" t="s">
        <v>68</v>
      </c>
      <c r="I46" s="9" t="e">
        <f t="array" aca="1" ref="I46" ca="1">IF(H46="","",VLOOKUP(H46,_xludf.HSTACK(#REF!,#REF!),2,FALSE))</f>
        <v>#NAME?</v>
      </c>
      <c r="J46" s="9" t="s">
        <v>3589</v>
      </c>
    </row>
    <row r="47" spans="1:10" x14ac:dyDescent="0.25">
      <c r="A47" s="11" t="s">
        <v>223</v>
      </c>
      <c r="B47" s="11" t="s">
        <v>3654</v>
      </c>
      <c r="C47" s="12" t="s">
        <v>3655</v>
      </c>
      <c r="D47" s="12" t="s">
        <v>3656</v>
      </c>
      <c r="E47" s="12" t="s">
        <v>3657</v>
      </c>
      <c r="F47" s="13" t="b">
        <v>0</v>
      </c>
      <c r="G47" s="13" t="b">
        <v>1</v>
      </c>
      <c r="H47" s="11" t="s">
        <v>35</v>
      </c>
      <c r="I47" s="11" t="e">
        <f t="array" aca="1" ref="I47" ca="1">IF(H47="","",VLOOKUP(H47,_xludf.HSTACK(#REF!,#REF!),2,FALSE))</f>
        <v>#NAME?</v>
      </c>
      <c r="J47" s="11"/>
    </row>
    <row r="48" spans="1:10" x14ac:dyDescent="0.25">
      <c r="A48" s="11" t="s">
        <v>223</v>
      </c>
      <c r="B48" s="11" t="s">
        <v>3658</v>
      </c>
      <c r="C48" s="12" t="s">
        <v>208</v>
      </c>
      <c r="D48" s="11"/>
      <c r="E48" s="12" t="s">
        <v>3659</v>
      </c>
      <c r="F48" s="13" t="b">
        <v>0</v>
      </c>
      <c r="G48" s="13" t="b">
        <v>0</v>
      </c>
      <c r="H48" s="11" t="s">
        <v>38</v>
      </c>
      <c r="I48" s="11" t="e">
        <f t="array" aca="1" ref="I48" ca="1">IF(H48="","",VLOOKUP(H48,_xludf.HSTACK(#REF!,#REF!),2,FALSE))</f>
        <v>#NAME?</v>
      </c>
      <c r="J48" s="11"/>
    </row>
    <row r="49" spans="1:10" x14ac:dyDescent="0.25">
      <c r="A49" s="11" t="s">
        <v>223</v>
      </c>
      <c r="B49" s="11" t="s">
        <v>3660</v>
      </c>
      <c r="C49" s="12" t="s">
        <v>208</v>
      </c>
      <c r="D49" s="11"/>
      <c r="E49" s="12" t="s">
        <v>3661</v>
      </c>
      <c r="F49" s="13" t="b">
        <v>0</v>
      </c>
      <c r="G49" s="13" t="b">
        <v>0</v>
      </c>
      <c r="H49" s="11" t="s">
        <v>38</v>
      </c>
      <c r="I49" s="11" t="e">
        <f t="array" aca="1" ref="I49" ca="1">IF(H49="","",VLOOKUP(H49,_xludf.HSTACK(#REF!,#REF!),2,FALSE))</f>
        <v>#NAME?</v>
      </c>
      <c r="J49" s="11"/>
    </row>
    <row r="50" spans="1:10" x14ac:dyDescent="0.25">
      <c r="A50" s="11" t="s">
        <v>223</v>
      </c>
      <c r="B50" s="11" t="s">
        <v>3662</v>
      </c>
      <c r="C50" s="12" t="s">
        <v>273</v>
      </c>
      <c r="D50" s="12" t="s">
        <v>3663</v>
      </c>
      <c r="E50" s="12" t="s">
        <v>3664</v>
      </c>
      <c r="F50" s="13" t="b">
        <v>0</v>
      </c>
      <c r="G50" s="13" t="b">
        <v>1</v>
      </c>
      <c r="H50" s="11"/>
      <c r="I50" s="11" t="str">
        <f t="array" ref="I50">IF(H50="","",VLOOKUP(H50,_xludf.HSTACK(#REF!,#REF!),2,FALSE))</f>
        <v/>
      </c>
      <c r="J50" s="11"/>
    </row>
    <row r="51" spans="1:10" x14ac:dyDescent="0.25">
      <c r="A51" s="11" t="s">
        <v>223</v>
      </c>
      <c r="B51" s="11" t="s">
        <v>3665</v>
      </c>
      <c r="C51" s="11"/>
      <c r="D51" s="11"/>
      <c r="E51" s="11"/>
      <c r="F51" s="13" t="b">
        <v>0</v>
      </c>
      <c r="G51" s="13" t="b">
        <v>1</v>
      </c>
      <c r="H51" s="11"/>
      <c r="I51" s="11" t="str">
        <f t="array" ref="I51">IF(H51="","",VLOOKUP(H51,_xludf.HSTACK(#REF!,#REF!),2,FALSE))</f>
        <v/>
      </c>
      <c r="J51" s="11"/>
    </row>
    <row r="52" spans="1:10" x14ac:dyDescent="0.25">
      <c r="A52" s="11" t="s">
        <v>223</v>
      </c>
      <c r="B52" s="11" t="s">
        <v>3666</v>
      </c>
      <c r="C52" s="11"/>
      <c r="D52" s="11"/>
      <c r="E52" s="11"/>
      <c r="F52" s="13" t="b">
        <v>0</v>
      </c>
      <c r="G52" s="13" t="b">
        <v>1</v>
      </c>
      <c r="H52" s="11"/>
      <c r="I52" s="11" t="str">
        <f t="array" ref="I52">IF(H52="","",VLOOKUP(H52,_xludf.HSTACK(#REF!,#REF!),2,FALSE))</f>
        <v/>
      </c>
      <c r="J52" s="11"/>
    </row>
    <row r="53" spans="1:10" x14ac:dyDescent="0.25">
      <c r="A53" s="11" t="s">
        <v>223</v>
      </c>
      <c r="B53" s="11" t="s">
        <v>3667</v>
      </c>
      <c r="C53" s="12" t="s">
        <v>172</v>
      </c>
      <c r="D53" s="11"/>
      <c r="E53" s="12" t="s">
        <v>3668</v>
      </c>
      <c r="F53" s="13" t="b">
        <v>0</v>
      </c>
      <c r="G53" s="13" t="b">
        <v>1</v>
      </c>
      <c r="H53" s="11" t="s">
        <v>20</v>
      </c>
      <c r="I53" s="11" t="e">
        <f t="array" aca="1" ref="I53" ca="1">IF(H53="","",VLOOKUP(H53,_xludf.HSTACK(#REF!,#REF!),2,FALSE))</f>
        <v>#NAME?</v>
      </c>
      <c r="J53" s="11"/>
    </row>
    <row r="54" spans="1:10" x14ac:dyDescent="0.25">
      <c r="A54" s="11" t="s">
        <v>223</v>
      </c>
      <c r="B54" s="11" t="s">
        <v>3669</v>
      </c>
      <c r="C54" s="12" t="s">
        <v>286</v>
      </c>
      <c r="D54" s="11"/>
      <c r="E54" s="12" t="s">
        <v>3670</v>
      </c>
      <c r="F54" s="13" t="b">
        <v>0</v>
      </c>
      <c r="G54" s="13" t="b">
        <v>1</v>
      </c>
      <c r="H54" s="11" t="s">
        <v>60</v>
      </c>
      <c r="I54" s="11" t="e">
        <f t="array" aca="1" ref="I54" ca="1">IF(H54="","",VLOOKUP(H54,_xludf.HSTACK(#REF!,#REF!),2,FALSE))</f>
        <v>#NAME?</v>
      </c>
      <c r="J54" s="11"/>
    </row>
    <row r="55" spans="1:10" x14ac:dyDescent="0.25">
      <c r="A55" s="11" t="s">
        <v>223</v>
      </c>
      <c r="B55" s="11" t="s">
        <v>3671</v>
      </c>
      <c r="C55" s="12" t="s">
        <v>300</v>
      </c>
      <c r="D55" s="12" t="s">
        <v>3672</v>
      </c>
      <c r="E55" s="12" t="s">
        <v>3673</v>
      </c>
      <c r="F55" s="13" t="b">
        <v>0</v>
      </c>
      <c r="G55" s="13" t="b">
        <v>1</v>
      </c>
      <c r="H55" s="11" t="s">
        <v>62</v>
      </c>
      <c r="I55" s="11" t="e">
        <f t="array" aca="1" ref="I55" ca="1">IF(H55="","",VLOOKUP(H55,_xludf.HSTACK(#REF!,#REF!),2,FALSE))</f>
        <v>#NAME?</v>
      </c>
      <c r="J55" s="11"/>
    </row>
    <row r="56" spans="1:10" x14ac:dyDescent="0.25">
      <c r="A56" s="11" t="s">
        <v>223</v>
      </c>
      <c r="B56" s="11" t="s">
        <v>3674</v>
      </c>
      <c r="C56" s="12" t="s">
        <v>250</v>
      </c>
      <c r="D56" s="11"/>
      <c r="E56" s="12" t="s">
        <v>3675</v>
      </c>
      <c r="F56" s="13" t="b">
        <v>0</v>
      </c>
      <c r="G56" s="13" t="b">
        <v>1</v>
      </c>
      <c r="H56" s="11"/>
      <c r="I56" s="11" t="str">
        <f t="array" ref="I56">IF(H56="","",VLOOKUP(H56,_xludf.HSTACK(#REF!,#REF!),2,FALSE))</f>
        <v/>
      </c>
      <c r="J56" s="11"/>
    </row>
    <row r="57" spans="1:10" x14ac:dyDescent="0.25">
      <c r="A57" s="11" t="s">
        <v>223</v>
      </c>
      <c r="B57" s="11" t="s">
        <v>3676</v>
      </c>
      <c r="C57" s="12" t="s">
        <v>3677</v>
      </c>
      <c r="D57" s="12" t="s">
        <v>3678</v>
      </c>
      <c r="E57" s="12" t="s">
        <v>3679</v>
      </c>
      <c r="F57" s="13" t="b">
        <v>1</v>
      </c>
      <c r="G57" s="13" t="b">
        <v>1</v>
      </c>
      <c r="H57" s="11" t="s">
        <v>24</v>
      </c>
      <c r="I57" s="11" t="e">
        <f t="array" aca="1" ref="I57" ca="1">IF(H57="","",VLOOKUP(H57,_xludf.HSTACK(#REF!,#REF!),2,FALSE))</f>
        <v>#NAME?</v>
      </c>
      <c r="J57" s="11"/>
    </row>
    <row r="58" spans="1:10" x14ac:dyDescent="0.25">
      <c r="A58" s="11" t="s">
        <v>223</v>
      </c>
      <c r="B58" s="11" t="s">
        <v>3680</v>
      </c>
      <c r="C58" s="12" t="s">
        <v>290</v>
      </c>
      <c r="D58" s="12" t="s">
        <v>3681</v>
      </c>
      <c r="E58" s="12" t="s">
        <v>3682</v>
      </c>
      <c r="F58" s="13" t="b">
        <v>1</v>
      </c>
      <c r="G58" s="13" t="b">
        <v>1</v>
      </c>
      <c r="H58" s="11" t="s">
        <v>47</v>
      </c>
      <c r="I58" s="11" t="e">
        <f t="array" aca="1" ref="I58" ca="1">IF(H58="","",VLOOKUP(H58,_xludf.HSTACK(#REF!,#REF!),2,FALSE))</f>
        <v>#NAME?</v>
      </c>
      <c r="J58" s="11" t="s">
        <v>3628</v>
      </c>
    </row>
    <row r="59" spans="1:10" x14ac:dyDescent="0.25">
      <c r="A59" s="11" t="s">
        <v>223</v>
      </c>
      <c r="B59" s="11" t="s">
        <v>3683</v>
      </c>
      <c r="C59" s="12" t="s">
        <v>3684</v>
      </c>
      <c r="D59" s="12" t="s">
        <v>3685</v>
      </c>
      <c r="E59" s="12" t="s">
        <v>3686</v>
      </c>
      <c r="F59" s="13" t="b">
        <v>1</v>
      </c>
      <c r="G59" s="13" t="b">
        <v>1</v>
      </c>
      <c r="H59" s="11" t="s">
        <v>32</v>
      </c>
      <c r="I59" s="11" t="e">
        <f t="array" aca="1" ref="I59" ca="1">IF(H59="","",VLOOKUP(H59,_xludf.HSTACK(#REF!,#REF!),2,FALSE))</f>
        <v>#NAME?</v>
      </c>
      <c r="J59" s="11" t="s">
        <v>3687</v>
      </c>
    </row>
    <row r="60" spans="1:10" x14ac:dyDescent="0.25">
      <c r="A60" s="11" t="s">
        <v>223</v>
      </c>
      <c r="B60" s="11" t="s">
        <v>3688</v>
      </c>
      <c r="C60" s="12" t="s">
        <v>347</v>
      </c>
      <c r="D60" s="11"/>
      <c r="E60" s="12" t="s">
        <v>3689</v>
      </c>
      <c r="F60" s="13" t="b">
        <v>0</v>
      </c>
      <c r="G60" s="13" t="b">
        <v>1</v>
      </c>
      <c r="H60" s="11" t="s">
        <v>32</v>
      </c>
      <c r="I60" s="11" t="e">
        <f t="array" aca="1" ref="I60" ca="1">IF(H60="","",VLOOKUP(H60,_xludf.HSTACK(#REF!,#REF!),2,FALSE))</f>
        <v>#NAME?</v>
      </c>
      <c r="J60" s="11"/>
    </row>
    <row r="61" spans="1:10" x14ac:dyDescent="0.25">
      <c r="A61" s="11" t="s">
        <v>223</v>
      </c>
      <c r="B61" s="11" t="s">
        <v>3690</v>
      </c>
      <c r="C61" s="12" t="s">
        <v>238</v>
      </c>
      <c r="D61" s="11"/>
      <c r="E61" s="12" t="s">
        <v>3691</v>
      </c>
      <c r="F61" s="13" t="b">
        <v>1</v>
      </c>
      <c r="G61" s="13" t="b">
        <v>1</v>
      </c>
      <c r="H61" s="11" t="s">
        <v>67</v>
      </c>
      <c r="I61" s="11" t="e">
        <f t="array" aca="1" ref="I61" ca="1">IF(H61="","",VLOOKUP(H61,_xludf.HSTACK(#REF!,#REF!),2,FALSE))</f>
        <v>#NAME?</v>
      </c>
      <c r="J61" s="11" t="s">
        <v>3692</v>
      </c>
    </row>
    <row r="62" spans="1:10" x14ac:dyDescent="0.25">
      <c r="A62" s="11" t="s">
        <v>223</v>
      </c>
      <c r="B62" s="11" t="s">
        <v>3693</v>
      </c>
      <c r="C62" s="12" t="s">
        <v>311</v>
      </c>
      <c r="D62" s="12" t="s">
        <v>3694</v>
      </c>
      <c r="E62" s="12" t="s">
        <v>3695</v>
      </c>
      <c r="F62" s="13" t="b">
        <v>1</v>
      </c>
      <c r="G62" s="13" t="b">
        <v>1</v>
      </c>
      <c r="H62" s="11" t="s">
        <v>30</v>
      </c>
      <c r="I62" s="11" t="e">
        <f t="array" aca="1" ref="I62" ca="1">IF(H62="","",VLOOKUP(H62,_xludf.HSTACK(#REF!,#REF!),2,FALSE))</f>
        <v>#NAME?</v>
      </c>
      <c r="J62" s="11"/>
    </row>
    <row r="63" spans="1:10" x14ac:dyDescent="0.25">
      <c r="A63" s="11" t="s">
        <v>223</v>
      </c>
      <c r="B63" s="11" t="s">
        <v>3696</v>
      </c>
      <c r="C63" s="12" t="s">
        <v>305</v>
      </c>
      <c r="D63" s="11"/>
      <c r="E63" s="12" t="s">
        <v>3697</v>
      </c>
      <c r="F63" s="13" t="b">
        <v>0</v>
      </c>
      <c r="G63" s="13" t="b">
        <v>1</v>
      </c>
      <c r="H63" s="11" t="s">
        <v>30</v>
      </c>
      <c r="I63" s="11" t="e">
        <f t="array" aca="1" ref="I63" ca="1">IF(H63="","",VLOOKUP(H63,_xludf.HSTACK(#REF!,#REF!),2,FALSE))</f>
        <v>#NAME?</v>
      </c>
      <c r="J63" s="11"/>
    </row>
    <row r="64" spans="1:10" x14ac:dyDescent="0.25">
      <c r="A64" s="11" t="s">
        <v>223</v>
      </c>
      <c r="B64" s="11" t="s">
        <v>3698</v>
      </c>
      <c r="C64" s="12" t="s">
        <v>311</v>
      </c>
      <c r="D64" s="11"/>
      <c r="E64" s="12" t="s">
        <v>3699</v>
      </c>
      <c r="F64" s="13" t="b">
        <v>0</v>
      </c>
      <c r="G64" s="13" t="b">
        <v>1</v>
      </c>
      <c r="H64" s="11" t="s">
        <v>30</v>
      </c>
      <c r="I64" s="11" t="e">
        <f t="array" aca="1" ref="I64" ca="1">IF(H64="","",VLOOKUP(H64,_xludf.HSTACK(#REF!,#REF!),2,FALSE))</f>
        <v>#NAME?</v>
      </c>
      <c r="J64" s="11"/>
    </row>
    <row r="65" spans="1:10" x14ac:dyDescent="0.25">
      <c r="A65" s="11" t="s">
        <v>223</v>
      </c>
      <c r="B65" s="11" t="s">
        <v>3700</v>
      </c>
      <c r="C65" s="12" t="s">
        <v>3701</v>
      </c>
      <c r="D65" s="11"/>
      <c r="E65" s="12" t="s">
        <v>3702</v>
      </c>
      <c r="F65" s="13" t="b">
        <v>1</v>
      </c>
      <c r="G65" s="13" t="b">
        <v>1</v>
      </c>
      <c r="H65" s="11" t="s">
        <v>70</v>
      </c>
      <c r="I65" s="11" t="e">
        <f t="array" aca="1" ref="I65" ca="1">IF(H65="","",VLOOKUP(H65,_xludf.HSTACK(#REF!,#REF!),2,FALSE))</f>
        <v>#NAME?</v>
      </c>
      <c r="J65" s="11" t="s">
        <v>3692</v>
      </c>
    </row>
    <row r="66" spans="1:10" x14ac:dyDescent="0.25">
      <c r="A66" s="11" t="s">
        <v>223</v>
      </c>
      <c r="B66" s="11" t="s">
        <v>3703</v>
      </c>
      <c r="C66" s="12" t="s">
        <v>311</v>
      </c>
      <c r="D66" s="12" t="s">
        <v>3704</v>
      </c>
      <c r="E66" s="12" t="s">
        <v>3705</v>
      </c>
      <c r="F66" s="13" t="b">
        <v>1</v>
      </c>
      <c r="G66" s="13" t="b">
        <v>1</v>
      </c>
      <c r="H66" s="11" t="s">
        <v>31</v>
      </c>
      <c r="I66" s="11" t="e">
        <f t="array" aca="1" ref="I66" ca="1">IF(H66="","",VLOOKUP(H66,_xludf.HSTACK(#REF!,#REF!),2,FALSE))</f>
        <v>#NAME?</v>
      </c>
      <c r="J66" s="11"/>
    </row>
    <row r="67" spans="1:10" x14ac:dyDescent="0.25">
      <c r="A67" s="11" t="s">
        <v>223</v>
      </c>
      <c r="B67" s="11" t="s">
        <v>3706</v>
      </c>
      <c r="C67" s="12" t="s">
        <v>305</v>
      </c>
      <c r="D67" s="11"/>
      <c r="E67" s="12" t="s">
        <v>3707</v>
      </c>
      <c r="F67" s="13" t="b">
        <v>0</v>
      </c>
      <c r="G67" s="13" t="b">
        <v>1</v>
      </c>
      <c r="H67" s="11" t="s">
        <v>31</v>
      </c>
      <c r="I67" s="11" t="e">
        <f t="array" aca="1" ref="I67" ca="1">IF(H67="","",VLOOKUP(H67,_xludf.HSTACK(#REF!,#REF!),2,FALSE))</f>
        <v>#NAME?</v>
      </c>
      <c r="J67" s="11"/>
    </row>
    <row r="68" spans="1:10" x14ac:dyDescent="0.25">
      <c r="A68" s="11" t="s">
        <v>223</v>
      </c>
      <c r="B68" s="11" t="s">
        <v>3708</v>
      </c>
      <c r="C68" s="12" t="s">
        <v>311</v>
      </c>
      <c r="D68" s="11"/>
      <c r="E68" s="12" t="s">
        <v>3709</v>
      </c>
      <c r="F68" s="13" t="b">
        <v>0</v>
      </c>
      <c r="G68" s="13" t="b">
        <v>1</v>
      </c>
      <c r="H68" s="11" t="s">
        <v>31</v>
      </c>
      <c r="I68" s="11" t="e">
        <f t="array" aca="1" ref="I68" ca="1">IF(H68="","",VLOOKUP(H68,_xludf.HSTACK(#REF!,#REF!),2,FALSE))</f>
        <v>#NAME?</v>
      </c>
      <c r="J68" s="11"/>
    </row>
    <row r="69" spans="1:10" x14ac:dyDescent="0.25">
      <c r="A69" s="11" t="s">
        <v>223</v>
      </c>
      <c r="B69" s="11" t="s">
        <v>3710</v>
      </c>
      <c r="C69" s="12" t="s">
        <v>238</v>
      </c>
      <c r="D69" s="11"/>
      <c r="E69" s="12" t="s">
        <v>3711</v>
      </c>
      <c r="F69" s="13" t="b">
        <v>1</v>
      </c>
      <c r="G69" s="13" t="b">
        <v>1</v>
      </c>
      <c r="H69" s="11" t="s">
        <v>68</v>
      </c>
      <c r="I69" s="11" t="e">
        <f t="array" aca="1" ref="I69" ca="1">IF(H69="","",VLOOKUP(H69,_xludf.HSTACK(#REF!,#REF!),2,FALSE))</f>
        <v>#NAME?</v>
      </c>
      <c r="J69" s="11" t="s">
        <v>3692</v>
      </c>
    </row>
    <row r="70" spans="1:10" x14ac:dyDescent="0.25">
      <c r="A70" s="11" t="s">
        <v>223</v>
      </c>
      <c r="B70" s="11" t="s">
        <v>3712</v>
      </c>
      <c r="C70" s="12" t="s">
        <v>311</v>
      </c>
      <c r="D70" s="11"/>
      <c r="E70" s="12" t="s">
        <v>3713</v>
      </c>
      <c r="F70" s="13" t="b">
        <v>0</v>
      </c>
      <c r="G70" s="13" t="b">
        <v>1</v>
      </c>
      <c r="H70" s="11"/>
      <c r="I70" s="11" t="str">
        <f t="array" ref="I70">IF(H70="","",VLOOKUP(H70,_xludf.HSTACK(#REF!,#REF!),2,FALSE))</f>
        <v/>
      </c>
      <c r="J70" s="11"/>
    </row>
    <row r="71" spans="1:10" x14ac:dyDescent="0.25">
      <c r="A71" s="11" t="s">
        <v>223</v>
      </c>
      <c r="B71" s="11" t="s">
        <v>3714</v>
      </c>
      <c r="C71" s="12" t="s">
        <v>311</v>
      </c>
      <c r="D71" s="12" t="s">
        <v>3715</v>
      </c>
      <c r="E71" s="12" t="s">
        <v>3716</v>
      </c>
      <c r="F71" s="13" t="b">
        <v>1</v>
      </c>
      <c r="G71" s="13" t="b">
        <v>1</v>
      </c>
      <c r="H71" s="11" t="s">
        <v>26</v>
      </c>
      <c r="I71" s="11" t="e">
        <f t="array" aca="1" ref="I71" ca="1">IF(H71="","",VLOOKUP(H71,_xludf.HSTACK(#REF!,#REF!),2,FALSE))</f>
        <v>#NAME?</v>
      </c>
      <c r="J71" s="11"/>
    </row>
    <row r="72" spans="1:10" x14ac:dyDescent="0.25">
      <c r="A72" s="11" t="s">
        <v>223</v>
      </c>
      <c r="B72" s="11" t="s">
        <v>3717</v>
      </c>
      <c r="C72" s="12" t="s">
        <v>347</v>
      </c>
      <c r="D72" s="11"/>
      <c r="E72" s="12" t="s">
        <v>3718</v>
      </c>
      <c r="F72" s="13" t="b">
        <v>0</v>
      </c>
      <c r="G72" s="13" t="b">
        <v>1</v>
      </c>
      <c r="H72" s="11" t="s">
        <v>26</v>
      </c>
      <c r="I72" s="11" t="e">
        <f t="array" aca="1" ref="I72" ca="1">IF(H72="","",VLOOKUP(H72,_xludf.HSTACK(#REF!,#REF!),2,FALSE))</f>
        <v>#NAME?</v>
      </c>
      <c r="J72" s="11"/>
    </row>
    <row r="73" spans="1:10" x14ac:dyDescent="0.25">
      <c r="A73" s="11" t="s">
        <v>223</v>
      </c>
      <c r="B73" s="11" t="s">
        <v>3719</v>
      </c>
      <c r="C73" s="12" t="s">
        <v>27</v>
      </c>
      <c r="D73" s="11"/>
      <c r="E73" s="12" t="s">
        <v>3720</v>
      </c>
      <c r="F73" s="13" t="b">
        <v>0</v>
      </c>
      <c r="G73" s="13" t="b">
        <v>0</v>
      </c>
      <c r="H73" s="11" t="s">
        <v>26</v>
      </c>
      <c r="I73" s="11" t="e">
        <f t="array" aca="1" ref="I73" ca="1">IF(H73="","",VLOOKUP(H73,_xludf.HSTACK(#REF!,#REF!),2,FALSE))</f>
        <v>#NAME?</v>
      </c>
      <c r="J73" s="11"/>
    </row>
    <row r="74" spans="1:10" x14ac:dyDescent="0.25">
      <c r="A74" s="11" t="s">
        <v>223</v>
      </c>
      <c r="B74" s="11" t="s">
        <v>3721</v>
      </c>
      <c r="C74" s="12" t="s">
        <v>208</v>
      </c>
      <c r="D74" s="11"/>
      <c r="E74" s="12" t="s">
        <v>3722</v>
      </c>
      <c r="F74" s="13" t="b">
        <v>0</v>
      </c>
      <c r="G74" s="13" t="b">
        <v>0</v>
      </c>
      <c r="H74" s="11" t="s">
        <v>50</v>
      </c>
      <c r="I74" s="11" t="e">
        <f t="array" aca="1" ref="I74" ca="1">IF(H74="","",VLOOKUP(H74,_xludf.HSTACK(#REF!,#REF!),2,FALSE))</f>
        <v>#NAME?</v>
      </c>
      <c r="J74" s="11"/>
    </row>
    <row r="75" spans="1:10" x14ac:dyDescent="0.25">
      <c r="A75" s="11" t="s">
        <v>223</v>
      </c>
      <c r="B75" s="11" t="s">
        <v>3723</v>
      </c>
      <c r="C75" s="12" t="s">
        <v>3701</v>
      </c>
      <c r="D75" s="11"/>
      <c r="E75" s="12" t="s">
        <v>3724</v>
      </c>
      <c r="F75" s="13" t="b">
        <v>1</v>
      </c>
      <c r="G75" s="13" t="b">
        <v>1</v>
      </c>
      <c r="H75" s="11" t="s">
        <v>65</v>
      </c>
      <c r="I75" s="11" t="e">
        <f t="array" aca="1" ref="I75" ca="1">IF(H75="","",VLOOKUP(H75,_xludf.HSTACK(#REF!,#REF!),2,FALSE))</f>
        <v>#NAME?</v>
      </c>
      <c r="J75" s="11" t="s">
        <v>3692</v>
      </c>
    </row>
    <row r="76" spans="1:10" x14ac:dyDescent="0.25">
      <c r="A76" s="11" t="s">
        <v>223</v>
      </c>
      <c r="B76" s="11" t="s">
        <v>3725</v>
      </c>
      <c r="C76" s="12" t="s">
        <v>311</v>
      </c>
      <c r="D76" s="11"/>
      <c r="E76" s="12" t="s">
        <v>3726</v>
      </c>
      <c r="F76" s="13" t="b">
        <v>0</v>
      </c>
      <c r="G76" s="13" t="b">
        <v>1</v>
      </c>
      <c r="H76" s="11" t="s">
        <v>28</v>
      </c>
      <c r="I76" s="11" t="e">
        <f t="array" aca="1" ref="I76" ca="1">IF(H76="","",VLOOKUP(H76,_xludf.HSTACK(#REF!,#REF!),2,FALSE))</f>
        <v>#NAME?</v>
      </c>
      <c r="J76" s="11"/>
    </row>
    <row r="77" spans="1:10" x14ac:dyDescent="0.25">
      <c r="A77" s="11" t="s">
        <v>223</v>
      </c>
      <c r="B77" s="11" t="s">
        <v>3727</v>
      </c>
      <c r="C77" s="12" t="s">
        <v>27</v>
      </c>
      <c r="D77" s="11"/>
      <c r="E77" s="12" t="s">
        <v>3728</v>
      </c>
      <c r="F77" s="13" t="b">
        <v>0</v>
      </c>
      <c r="G77" s="13" t="b">
        <v>0</v>
      </c>
      <c r="H77" s="11" t="s">
        <v>28</v>
      </c>
      <c r="I77" s="11" t="e">
        <f t="array" aca="1" ref="I77" ca="1">IF(H77="","",VLOOKUP(H77,_xludf.HSTACK(#REF!,#REF!),2,FALSE))</f>
        <v>#NAME?</v>
      </c>
      <c r="J77" s="11"/>
    </row>
    <row r="78" spans="1:10" x14ac:dyDescent="0.25">
      <c r="A78" s="11" t="s">
        <v>223</v>
      </c>
      <c r="B78" s="11" t="s">
        <v>3729</v>
      </c>
      <c r="C78" s="12" t="s">
        <v>3730</v>
      </c>
      <c r="D78" s="12" t="s">
        <v>3731</v>
      </c>
      <c r="E78" s="12" t="s">
        <v>3732</v>
      </c>
      <c r="F78" s="13" t="b">
        <v>1</v>
      </c>
      <c r="G78" s="13" t="b">
        <v>1</v>
      </c>
      <c r="H78" s="11" t="s">
        <v>29</v>
      </c>
      <c r="I78" s="11" t="e">
        <f t="array" aca="1" ref="I78" ca="1">IF(H78="","",VLOOKUP(H78,_xludf.HSTACK(#REF!,#REF!),2,FALSE))</f>
        <v>#NAME?</v>
      </c>
      <c r="J78" s="11"/>
    </row>
    <row r="79" spans="1:10" x14ac:dyDescent="0.25">
      <c r="A79" s="11" t="s">
        <v>223</v>
      </c>
      <c r="B79" s="11" t="s">
        <v>3733</v>
      </c>
      <c r="C79" s="12" t="s">
        <v>238</v>
      </c>
      <c r="D79" s="11"/>
      <c r="E79" s="12" t="s">
        <v>3734</v>
      </c>
      <c r="F79" s="13" t="b">
        <v>1</v>
      </c>
      <c r="G79" s="13" t="b">
        <v>1</v>
      </c>
      <c r="H79" s="11" t="s">
        <v>69</v>
      </c>
      <c r="I79" s="11" t="e">
        <f t="array" aca="1" ref="I79" ca="1">IF(H79="","",VLOOKUP(H79,_xludf.HSTACK(#REF!,#REF!),2,FALSE))</f>
        <v>#NAME?</v>
      </c>
      <c r="J79" s="11" t="s">
        <v>3692</v>
      </c>
    </row>
    <row r="80" spans="1:10" x14ac:dyDescent="0.25">
      <c r="A80" s="11" t="s">
        <v>223</v>
      </c>
      <c r="B80" s="11" t="s">
        <v>3735</v>
      </c>
      <c r="C80" s="12" t="s">
        <v>353</v>
      </c>
      <c r="D80" s="11"/>
      <c r="E80" s="12" t="s">
        <v>3736</v>
      </c>
      <c r="F80" s="13" t="b">
        <v>0</v>
      </c>
      <c r="G80" s="13" t="b">
        <v>1</v>
      </c>
      <c r="H80" s="11"/>
      <c r="I80" s="11" t="str">
        <f t="array" ref="I80">IF(H80="","",VLOOKUP(H80,_xludf.HSTACK(#REF!,#REF!),2,FALSE))</f>
        <v/>
      </c>
      <c r="J80" s="11"/>
    </row>
    <row r="81" spans="1:10" x14ac:dyDescent="0.25">
      <c r="A81" s="11" t="s">
        <v>223</v>
      </c>
      <c r="B81" s="11" t="s">
        <v>3737</v>
      </c>
      <c r="C81" s="12" t="s">
        <v>357</v>
      </c>
      <c r="D81" s="11"/>
      <c r="E81" s="12" t="s">
        <v>3738</v>
      </c>
      <c r="F81" s="13" t="b">
        <v>0</v>
      </c>
      <c r="G81" s="13" t="b">
        <v>1</v>
      </c>
      <c r="H81" s="11" t="s">
        <v>60</v>
      </c>
      <c r="I81" s="11" t="e">
        <f t="array" aca="1" ref="I81" ca="1">IF(H81="","",VLOOKUP(H81,_xludf.HSTACK(#REF!,#REF!),2,FALSE))</f>
        <v>#NAME?</v>
      </c>
      <c r="J81" s="11"/>
    </row>
    <row r="82" spans="1:10" x14ac:dyDescent="0.25">
      <c r="A82" s="11" t="s">
        <v>223</v>
      </c>
      <c r="B82" s="11" t="s">
        <v>3739</v>
      </c>
      <c r="C82" s="12" t="s">
        <v>365</v>
      </c>
      <c r="D82" s="11"/>
      <c r="E82" s="12" t="s">
        <v>3740</v>
      </c>
      <c r="F82" s="13" t="b">
        <v>0</v>
      </c>
      <c r="G82" s="13" t="b">
        <v>1</v>
      </c>
      <c r="H82" s="11"/>
      <c r="I82" s="11" t="str">
        <f t="array" ref="I82">IF(H82="","",VLOOKUP(H82,_xludf.HSTACK(#REF!,#REF!),2,FALSE))</f>
        <v/>
      </c>
      <c r="J82" s="11"/>
    </row>
    <row r="83" spans="1:10" x14ac:dyDescent="0.25">
      <c r="A83" s="11" t="s">
        <v>223</v>
      </c>
      <c r="B83" s="11" t="s">
        <v>3741</v>
      </c>
      <c r="C83" s="12" t="s">
        <v>311</v>
      </c>
      <c r="D83" s="11"/>
      <c r="E83" s="12" t="s">
        <v>3742</v>
      </c>
      <c r="F83" s="13" t="b">
        <v>0</v>
      </c>
      <c r="G83" s="13" t="b">
        <v>1</v>
      </c>
      <c r="H83" s="11"/>
      <c r="I83" s="11" t="str">
        <f t="array" ref="I83">IF(H83="","",VLOOKUP(H83,_xludf.HSTACK(#REF!,#REF!),2,FALSE))</f>
        <v/>
      </c>
      <c r="J83" s="11"/>
    </row>
    <row r="84" spans="1:10" x14ac:dyDescent="0.25">
      <c r="A84" s="11" t="s">
        <v>223</v>
      </c>
      <c r="B84" s="11" t="s">
        <v>3743</v>
      </c>
      <c r="C84" s="12" t="s">
        <v>311</v>
      </c>
      <c r="D84" s="11"/>
      <c r="E84" s="12" t="s">
        <v>3744</v>
      </c>
      <c r="F84" s="13" t="b">
        <v>0</v>
      </c>
      <c r="G84" s="13" t="b">
        <v>1</v>
      </c>
      <c r="H84" s="11"/>
      <c r="I84" s="11" t="str">
        <f t="array" ref="I84">IF(H84="","",VLOOKUP(H84,_xludf.HSTACK(#REF!,#REF!),2,FALSE))</f>
        <v/>
      </c>
      <c r="J84" s="11"/>
    </row>
    <row r="85" spans="1:10" x14ac:dyDescent="0.25">
      <c r="A85" s="11" t="s">
        <v>223</v>
      </c>
      <c r="B85" s="11" t="s">
        <v>3745</v>
      </c>
      <c r="C85" s="12" t="s">
        <v>311</v>
      </c>
      <c r="D85" s="11"/>
      <c r="E85" s="12" t="s">
        <v>3746</v>
      </c>
      <c r="F85" s="13" t="b">
        <v>0</v>
      </c>
      <c r="G85" s="13" t="b">
        <v>1</v>
      </c>
      <c r="H85" s="11"/>
      <c r="I85" s="11" t="str">
        <f t="array" ref="I85">IF(H85="","",VLOOKUP(H85,_xludf.HSTACK(#REF!,#REF!),2,FALSE))</f>
        <v/>
      </c>
      <c r="J85" s="11"/>
    </row>
    <row r="86" spans="1:10" x14ac:dyDescent="0.25">
      <c r="A86" s="11" t="s">
        <v>223</v>
      </c>
      <c r="B86" s="11" t="s">
        <v>3747</v>
      </c>
      <c r="C86" s="12" t="s">
        <v>35</v>
      </c>
      <c r="D86" s="12" t="s">
        <v>3748</v>
      </c>
      <c r="E86" s="12" t="s">
        <v>3749</v>
      </c>
      <c r="F86" s="13" t="b">
        <v>0</v>
      </c>
      <c r="G86" s="13" t="b">
        <v>1</v>
      </c>
      <c r="H86" s="11"/>
      <c r="I86" s="11" t="str">
        <f t="array" ref="I86">IF(H86="","",VLOOKUP(H86,_xludf.HSTACK(#REF!,#REF!),2,FALSE))</f>
        <v/>
      </c>
      <c r="J86" s="11"/>
    </row>
    <row r="87" spans="1:10" x14ac:dyDescent="0.25">
      <c r="A87" s="11" t="s">
        <v>223</v>
      </c>
      <c r="B87" s="11" t="s">
        <v>3750</v>
      </c>
      <c r="C87" s="12" t="s">
        <v>311</v>
      </c>
      <c r="D87" s="11"/>
      <c r="E87" s="12" t="s">
        <v>3751</v>
      </c>
      <c r="F87" s="13" t="b">
        <v>0</v>
      </c>
      <c r="G87" s="13" t="b">
        <v>1</v>
      </c>
      <c r="H87" s="11"/>
      <c r="I87" s="11" t="str">
        <f t="array" ref="I87">IF(H87="","",VLOOKUP(H87,_xludf.HSTACK(#REF!,#REF!),2,FALSE))</f>
        <v/>
      </c>
      <c r="J87" s="11"/>
    </row>
    <row r="88" spans="1:10" x14ac:dyDescent="0.25">
      <c r="A88" s="11" t="s">
        <v>223</v>
      </c>
      <c r="B88" s="11" t="s">
        <v>3752</v>
      </c>
      <c r="C88" s="12" t="s">
        <v>208</v>
      </c>
      <c r="D88" s="11"/>
      <c r="E88" s="12" t="s">
        <v>3753</v>
      </c>
      <c r="F88" s="13" t="b">
        <v>0</v>
      </c>
      <c r="G88" s="13" t="b">
        <v>0</v>
      </c>
      <c r="H88" s="11"/>
      <c r="I88" s="11" t="str">
        <f t="array" ref="I88">IF(H88="","",VLOOKUP(H88,_xludf.HSTACK(#REF!,#REF!),2,FALSE))</f>
        <v/>
      </c>
      <c r="J88" s="11"/>
    </row>
    <row r="89" spans="1:10" x14ac:dyDescent="0.25">
      <c r="A89" s="11" t="s">
        <v>223</v>
      </c>
      <c r="B89" s="11" t="s">
        <v>3754</v>
      </c>
      <c r="C89" s="12" t="s">
        <v>208</v>
      </c>
      <c r="D89" s="11"/>
      <c r="E89" s="12" t="s">
        <v>3755</v>
      </c>
      <c r="F89" s="13" t="b">
        <v>1</v>
      </c>
      <c r="G89" s="13" t="b">
        <v>0</v>
      </c>
      <c r="H89" s="11" t="s">
        <v>38</v>
      </c>
      <c r="I89" s="11" t="e">
        <f t="array" aca="1" ref="I89" ca="1">IF(H89="","",VLOOKUP(H89,_xludf.HSTACK(#REF!,#REF!),2,FALSE))</f>
        <v>#NAME?</v>
      </c>
      <c r="J89" s="11"/>
    </row>
    <row r="90" spans="1:10" x14ac:dyDescent="0.25">
      <c r="A90" s="11" t="s">
        <v>223</v>
      </c>
      <c r="B90" s="11" t="s">
        <v>3756</v>
      </c>
      <c r="C90" s="12" t="s">
        <v>365</v>
      </c>
      <c r="D90" s="11"/>
      <c r="E90" s="12" t="s">
        <v>3757</v>
      </c>
      <c r="F90" s="13" t="b">
        <v>0</v>
      </c>
      <c r="G90" s="13" t="b">
        <v>1</v>
      </c>
      <c r="H90" s="11"/>
      <c r="I90" s="11" t="str">
        <f t="array" ref="I90">IF(H90="","",VLOOKUP(H90,_xludf.HSTACK(#REF!,#REF!),2,FALSE))</f>
        <v/>
      </c>
      <c r="J90" s="11"/>
    </row>
    <row r="91" spans="1:10" x14ac:dyDescent="0.25">
      <c r="A91" s="11" t="s">
        <v>223</v>
      </c>
      <c r="B91" s="11" t="s">
        <v>3758</v>
      </c>
      <c r="C91" s="12" t="s">
        <v>234</v>
      </c>
      <c r="D91" s="12" t="s">
        <v>3759</v>
      </c>
      <c r="E91" s="11"/>
      <c r="F91" s="13" t="b">
        <v>0</v>
      </c>
      <c r="G91" s="13" t="b">
        <v>1</v>
      </c>
      <c r="H91" s="11"/>
      <c r="I91" s="11" t="str">
        <f t="array" ref="I91">IF(H91="","",VLOOKUP(H91,_xludf.HSTACK(#REF!,#REF!),2,FALSE))</f>
        <v/>
      </c>
      <c r="J91" s="11"/>
    </row>
    <row r="92" spans="1:10" x14ac:dyDescent="0.25">
      <c r="A92" s="11" t="s">
        <v>223</v>
      </c>
      <c r="B92" s="11" t="s">
        <v>3760</v>
      </c>
      <c r="C92" s="12" t="s">
        <v>361</v>
      </c>
      <c r="D92" s="11"/>
      <c r="E92" s="12" t="s">
        <v>3761</v>
      </c>
      <c r="F92" s="13" t="b">
        <v>0</v>
      </c>
      <c r="G92" s="13" t="b">
        <v>1</v>
      </c>
      <c r="H92" s="11"/>
      <c r="I92" s="11" t="str">
        <f t="array" ref="I92">IF(H92="","",VLOOKUP(H92,_xludf.HSTACK(#REF!,#REF!),2,FALSE))</f>
        <v/>
      </c>
      <c r="J92" s="11"/>
    </row>
    <row r="93" spans="1:10" x14ac:dyDescent="0.25">
      <c r="A93" s="11" t="s">
        <v>223</v>
      </c>
      <c r="B93" s="11" t="s">
        <v>3762</v>
      </c>
      <c r="C93" s="12" t="s">
        <v>278</v>
      </c>
      <c r="D93" s="12" t="s">
        <v>3763</v>
      </c>
      <c r="E93" s="12" t="s">
        <v>3764</v>
      </c>
      <c r="F93" s="13" t="b">
        <v>0</v>
      </c>
      <c r="G93" s="13" t="b">
        <v>1</v>
      </c>
      <c r="H93" s="11"/>
      <c r="I93" s="11" t="str">
        <f t="array" ref="I93">IF(H93="","",VLOOKUP(H93,_xludf.HSTACK(#REF!,#REF!),2,FALSE))</f>
        <v/>
      </c>
      <c r="J93" s="11"/>
    </row>
    <row r="94" spans="1:10" x14ac:dyDescent="0.25">
      <c r="A94" s="11" t="s">
        <v>223</v>
      </c>
      <c r="B94" s="11" t="s">
        <v>3765</v>
      </c>
      <c r="C94" s="12" t="s">
        <v>278</v>
      </c>
      <c r="D94" s="12" t="s">
        <v>3766</v>
      </c>
      <c r="E94" s="12" t="s">
        <v>3767</v>
      </c>
      <c r="F94" s="13" t="b">
        <v>0</v>
      </c>
      <c r="G94" s="13" t="b">
        <v>1</v>
      </c>
      <c r="H94" s="11" t="s">
        <v>60</v>
      </c>
      <c r="I94" s="11" t="e">
        <f t="array" aca="1" ref="I94" ca="1">IF(H94="","",VLOOKUP(H94,_xludf.HSTACK(#REF!,#REF!),2,FALSE))</f>
        <v>#NAME?</v>
      </c>
      <c r="J94" s="11"/>
    </row>
    <row r="95" spans="1:10" x14ac:dyDescent="0.25">
      <c r="A95" s="9" t="s">
        <v>652</v>
      </c>
      <c r="B95" s="9" t="s">
        <v>3768</v>
      </c>
      <c r="C95" s="7" t="s">
        <v>827</v>
      </c>
      <c r="D95" s="9"/>
      <c r="E95" s="7" t="s">
        <v>3769</v>
      </c>
      <c r="F95" s="10" t="b">
        <v>0</v>
      </c>
      <c r="G95" s="10" t="b">
        <v>1</v>
      </c>
      <c r="H95" s="9"/>
      <c r="I95" s="9" t="str">
        <f t="array" ref="I95">IF(H95="","",VLOOKUP(H95,_xludf.HSTACK(#REF!,#REF!),2,FALSE))</f>
        <v/>
      </c>
      <c r="J95" s="9"/>
    </row>
    <row r="96" spans="1:10" x14ac:dyDescent="0.25">
      <c r="A96" s="9" t="s">
        <v>652</v>
      </c>
      <c r="B96" s="9" t="s">
        <v>3770</v>
      </c>
      <c r="C96" s="7" t="s">
        <v>96</v>
      </c>
      <c r="D96" s="9"/>
      <c r="E96" s="7" t="s">
        <v>3771</v>
      </c>
      <c r="F96" s="10" t="b">
        <v>0</v>
      </c>
      <c r="G96" s="10" t="b">
        <v>1</v>
      </c>
      <c r="H96" s="9" t="s">
        <v>11</v>
      </c>
      <c r="I96" s="9" t="e">
        <f t="array" aca="1" ref="I96" ca="1">IF(H96="","",VLOOKUP(H96,_xludf.HSTACK(#REF!,#REF!),2,FALSE))</f>
        <v>#NAME?</v>
      </c>
      <c r="J96" s="9"/>
    </row>
    <row r="97" spans="1:10" x14ac:dyDescent="0.25">
      <c r="A97" s="9" t="s">
        <v>652</v>
      </c>
      <c r="B97" s="9" t="s">
        <v>3772</v>
      </c>
      <c r="C97" s="7" t="s">
        <v>96</v>
      </c>
      <c r="D97" s="9"/>
      <c r="E97" s="7" t="s">
        <v>3773</v>
      </c>
      <c r="F97" s="10" t="b">
        <v>0</v>
      </c>
      <c r="G97" s="10" t="b">
        <v>1</v>
      </c>
      <c r="H97" s="9" t="s">
        <v>6</v>
      </c>
      <c r="I97" s="9" t="e">
        <f t="array" aca="1" ref="I97" ca="1">IF(H97="","",VLOOKUP(H97,_xludf.HSTACK(#REF!,#REF!),2,FALSE))</f>
        <v>#NAME?</v>
      </c>
      <c r="J97" s="9"/>
    </row>
    <row r="98" spans="1:10" x14ac:dyDescent="0.25">
      <c r="A98" s="9" t="s">
        <v>652</v>
      </c>
      <c r="B98" s="9" t="s">
        <v>3774</v>
      </c>
      <c r="C98" s="7" t="s">
        <v>96</v>
      </c>
      <c r="D98" s="9"/>
      <c r="E98" s="7" t="s">
        <v>3775</v>
      </c>
      <c r="F98" s="10" t="b">
        <v>0</v>
      </c>
      <c r="G98" s="10" t="b">
        <v>1</v>
      </c>
      <c r="H98" s="9" t="s">
        <v>10</v>
      </c>
      <c r="I98" s="9" t="e">
        <f t="array" aca="1" ref="I98" ca="1">IF(H98="","",VLOOKUP(H98,_xludf.HSTACK(#REF!,#REF!),2,FALSE))</f>
        <v>#NAME?</v>
      </c>
      <c r="J98" s="9"/>
    </row>
    <row r="99" spans="1:10" x14ac:dyDescent="0.25">
      <c r="A99" s="9" t="s">
        <v>652</v>
      </c>
      <c r="B99" s="9" t="s">
        <v>3776</v>
      </c>
      <c r="C99" s="7" t="s">
        <v>96</v>
      </c>
      <c r="D99" s="9"/>
      <c r="E99" s="7" t="s">
        <v>3777</v>
      </c>
      <c r="F99" s="10" t="b">
        <v>0</v>
      </c>
      <c r="G99" s="10" t="b">
        <v>1</v>
      </c>
      <c r="H99" s="9" t="s">
        <v>11</v>
      </c>
      <c r="I99" s="9" t="e">
        <f t="array" aca="1" ref="I99" ca="1">IF(H99="","",VLOOKUP(H99,_xludf.HSTACK(#REF!,#REF!),2,FALSE))</f>
        <v>#NAME?</v>
      </c>
      <c r="J99" s="9"/>
    </row>
    <row r="100" spans="1:10" x14ac:dyDescent="0.25">
      <c r="A100" s="9" t="s">
        <v>652</v>
      </c>
      <c r="B100" s="9" t="s">
        <v>3778</v>
      </c>
      <c r="C100" s="7" t="s">
        <v>208</v>
      </c>
      <c r="D100" s="9"/>
      <c r="E100" s="7" t="s">
        <v>3779</v>
      </c>
      <c r="F100" s="10" t="b">
        <v>0</v>
      </c>
      <c r="G100" s="10" t="b">
        <v>0</v>
      </c>
      <c r="H100" s="9"/>
      <c r="I100" s="9" t="str">
        <f t="array" ref="I100">IF(H100="","",VLOOKUP(H100,_xludf.HSTACK(#REF!,#REF!),2,FALSE))</f>
        <v/>
      </c>
      <c r="J100" s="9"/>
    </row>
    <row r="101" spans="1:10" x14ac:dyDescent="0.25">
      <c r="A101" s="9" t="s">
        <v>652</v>
      </c>
      <c r="B101" s="9" t="s">
        <v>3555</v>
      </c>
      <c r="C101" s="7" t="s">
        <v>104</v>
      </c>
      <c r="D101" s="7" t="s">
        <v>3780</v>
      </c>
      <c r="E101" s="7" t="s">
        <v>3781</v>
      </c>
      <c r="F101" s="10" t="b">
        <v>1</v>
      </c>
      <c r="G101" s="10" t="b">
        <v>0</v>
      </c>
      <c r="H101" s="9" t="s">
        <v>35</v>
      </c>
      <c r="I101" s="9" t="e">
        <f t="array" aca="1" ref="I101" ca="1">IF(H101="","",VLOOKUP(H101,_xludf.HSTACK(#REF!,#REF!),2,FALSE))</f>
        <v>#NAME?</v>
      </c>
      <c r="J101" s="9" t="s">
        <v>3782</v>
      </c>
    </row>
    <row r="102" spans="1:10" x14ac:dyDescent="0.25">
      <c r="A102" s="9" t="s">
        <v>652</v>
      </c>
      <c r="B102" s="9" t="s">
        <v>3783</v>
      </c>
      <c r="C102" s="7" t="s">
        <v>208</v>
      </c>
      <c r="D102" s="9"/>
      <c r="E102" s="7" t="s">
        <v>3784</v>
      </c>
      <c r="F102" s="10" t="b">
        <v>0</v>
      </c>
      <c r="G102" s="10" t="b">
        <v>0</v>
      </c>
      <c r="H102" s="9"/>
      <c r="I102" s="9" t="str">
        <f t="array" ref="I102">IF(H102="","",VLOOKUP(H102,_xludf.HSTACK(#REF!,#REF!),2,FALSE))</f>
        <v/>
      </c>
      <c r="J102" s="9"/>
    </row>
    <row r="103" spans="1:10" x14ac:dyDescent="0.25">
      <c r="A103" s="9" t="s">
        <v>652</v>
      </c>
      <c r="B103" s="9" t="s">
        <v>3785</v>
      </c>
      <c r="C103" s="7" t="s">
        <v>208</v>
      </c>
      <c r="D103" s="9"/>
      <c r="E103" s="7" t="s">
        <v>3786</v>
      </c>
      <c r="F103" s="10" t="b">
        <v>1</v>
      </c>
      <c r="G103" s="10" t="b">
        <v>0</v>
      </c>
      <c r="H103" s="9" t="s">
        <v>38</v>
      </c>
      <c r="I103" s="9" t="e">
        <f t="array" aca="1" ref="I103" ca="1">IF(H103="","",VLOOKUP(H103,_xludf.HSTACK(#REF!,#REF!),2,FALSE))</f>
        <v>#NAME?</v>
      </c>
      <c r="J103" s="9" t="s">
        <v>3787</v>
      </c>
    </row>
    <row r="104" spans="1:10" x14ac:dyDescent="0.25">
      <c r="A104" s="9" t="s">
        <v>652</v>
      </c>
      <c r="B104" s="9" t="s">
        <v>3788</v>
      </c>
      <c r="C104" s="7" t="s">
        <v>208</v>
      </c>
      <c r="D104" s="9"/>
      <c r="E104" s="7" t="s">
        <v>3789</v>
      </c>
      <c r="F104" s="10" t="b">
        <v>0</v>
      </c>
      <c r="G104" s="10" t="b">
        <v>0</v>
      </c>
      <c r="H104" s="9"/>
      <c r="I104" s="9" t="str">
        <f t="array" ref="I104">IF(H104="","",VLOOKUP(H104,_xludf.HSTACK(#REF!,#REF!),2,FALSE))</f>
        <v/>
      </c>
      <c r="J104" s="9"/>
    </row>
    <row r="105" spans="1:10" x14ac:dyDescent="0.25">
      <c r="A105" s="9" t="s">
        <v>652</v>
      </c>
      <c r="B105" s="9" t="s">
        <v>3790</v>
      </c>
      <c r="C105" s="7" t="s">
        <v>727</v>
      </c>
      <c r="D105" s="9"/>
      <c r="E105" s="7" t="s">
        <v>3791</v>
      </c>
      <c r="F105" s="10" t="b">
        <v>1</v>
      </c>
      <c r="G105" s="10" t="b">
        <v>1</v>
      </c>
      <c r="H105" s="9" t="s">
        <v>60</v>
      </c>
      <c r="I105" s="9" t="e">
        <f t="array" aca="1" ref="I105" ca="1">IF(H105="","",VLOOKUP(H105,_xludf.HSTACK(#REF!,#REF!),2,FALSE))</f>
        <v>#NAME?</v>
      </c>
      <c r="J105" s="9" t="s">
        <v>3792</v>
      </c>
    </row>
    <row r="106" spans="1:10" x14ac:dyDescent="0.25">
      <c r="A106" s="9" t="s">
        <v>652</v>
      </c>
      <c r="B106" s="9" t="s">
        <v>3793</v>
      </c>
      <c r="C106" s="7" t="s">
        <v>727</v>
      </c>
      <c r="D106" s="9"/>
      <c r="E106" s="7" t="s">
        <v>3794</v>
      </c>
      <c r="F106" s="10" t="b">
        <v>1</v>
      </c>
      <c r="G106" s="10" t="b">
        <v>1</v>
      </c>
      <c r="H106" s="9" t="s">
        <v>60</v>
      </c>
      <c r="I106" s="9" t="e">
        <f t="array" aca="1" ref="I106" ca="1">IF(H106="","",VLOOKUP(H106,_xludf.HSTACK(#REF!,#REF!),2,FALSE))</f>
        <v>#NAME?</v>
      </c>
      <c r="J106" s="9" t="s">
        <v>3792</v>
      </c>
    </row>
    <row r="107" spans="1:10" x14ac:dyDescent="0.25">
      <c r="A107" s="9" t="s">
        <v>652</v>
      </c>
      <c r="B107" s="9" t="s">
        <v>3795</v>
      </c>
      <c r="C107" s="7" t="s">
        <v>727</v>
      </c>
      <c r="D107" s="7" t="s">
        <v>3796</v>
      </c>
      <c r="E107" s="7" t="s">
        <v>3797</v>
      </c>
      <c r="F107" s="10" t="b">
        <v>0</v>
      </c>
      <c r="G107" s="10" t="b">
        <v>1</v>
      </c>
      <c r="H107" s="9"/>
      <c r="I107" s="9" t="str">
        <f t="array" ref="I107">IF(H107="","",VLOOKUP(H107,_xludf.HSTACK(#REF!,#REF!),2,FALSE))</f>
        <v/>
      </c>
      <c r="J107" s="9"/>
    </row>
    <row r="108" spans="1:10" x14ac:dyDescent="0.25">
      <c r="A108" s="9" t="s">
        <v>652</v>
      </c>
      <c r="B108" s="9" t="s">
        <v>3798</v>
      </c>
      <c r="C108" s="7" t="s">
        <v>727</v>
      </c>
      <c r="D108" s="9"/>
      <c r="E108" s="7" t="s">
        <v>3799</v>
      </c>
      <c r="F108" s="10" t="b">
        <v>1</v>
      </c>
      <c r="G108" s="10" t="b">
        <v>1</v>
      </c>
      <c r="H108" s="9" t="s">
        <v>60</v>
      </c>
      <c r="I108" s="9" t="e">
        <f t="array" aca="1" ref="I108" ca="1">IF(H108="","",VLOOKUP(H108,_xludf.HSTACK(#REF!,#REF!),2,FALSE))</f>
        <v>#NAME?</v>
      </c>
      <c r="J108" s="9" t="s">
        <v>3792</v>
      </c>
    </row>
    <row r="109" spans="1:10" x14ac:dyDescent="0.25">
      <c r="A109" s="9" t="s">
        <v>652</v>
      </c>
      <c r="B109" s="9" t="s">
        <v>3800</v>
      </c>
      <c r="C109" s="7" t="s">
        <v>727</v>
      </c>
      <c r="D109" s="7" t="s">
        <v>3801</v>
      </c>
      <c r="E109" s="7" t="s">
        <v>3802</v>
      </c>
      <c r="F109" s="10" t="b">
        <v>1</v>
      </c>
      <c r="G109" s="10" t="b">
        <v>1</v>
      </c>
      <c r="H109" s="9" t="s">
        <v>60</v>
      </c>
      <c r="I109" s="9" t="e">
        <f t="array" aca="1" ref="I109" ca="1">IF(H109="","",VLOOKUP(H109,_xludf.HSTACK(#REF!,#REF!),2,FALSE))</f>
        <v>#NAME?</v>
      </c>
      <c r="J109" s="9" t="s">
        <v>3792</v>
      </c>
    </row>
    <row r="110" spans="1:10" x14ac:dyDescent="0.25">
      <c r="A110" s="9" t="s">
        <v>652</v>
      </c>
      <c r="B110" s="9" t="s">
        <v>3569</v>
      </c>
      <c r="C110" s="7" t="s">
        <v>115</v>
      </c>
      <c r="D110" s="7" t="s">
        <v>3803</v>
      </c>
      <c r="E110" s="7" t="s">
        <v>3804</v>
      </c>
      <c r="F110" s="10" t="b">
        <v>1</v>
      </c>
      <c r="G110" s="10" t="b">
        <v>1</v>
      </c>
      <c r="H110" s="9" t="s">
        <v>62</v>
      </c>
      <c r="I110" s="9" t="e">
        <f t="array" aca="1" ref="I110" ca="1">IF(H110="","",VLOOKUP(H110,_xludf.HSTACK(#REF!,#REF!),2,FALSE))</f>
        <v>#NAME?</v>
      </c>
      <c r="J110" s="9" t="s">
        <v>3572</v>
      </c>
    </row>
    <row r="111" spans="1:10" x14ac:dyDescent="0.25">
      <c r="A111" s="9" t="s">
        <v>652</v>
      </c>
      <c r="B111" s="9" t="s">
        <v>3805</v>
      </c>
      <c r="C111" s="7" t="s">
        <v>115</v>
      </c>
      <c r="D111" s="7" t="s">
        <v>3806</v>
      </c>
      <c r="E111" s="7" t="s">
        <v>3807</v>
      </c>
      <c r="F111" s="10" t="b">
        <v>0</v>
      </c>
      <c r="G111" s="10" t="b">
        <v>1</v>
      </c>
      <c r="H111" s="9" t="s">
        <v>22</v>
      </c>
      <c r="I111" s="9" t="e">
        <f t="array" aca="1" ref="I111" ca="1">IF(H111="","",VLOOKUP(H111,_xludf.HSTACK(#REF!,#REF!),2,FALSE))</f>
        <v>#NAME?</v>
      </c>
      <c r="J111" s="9"/>
    </row>
    <row r="112" spans="1:10" x14ac:dyDescent="0.25">
      <c r="A112" s="9" t="s">
        <v>652</v>
      </c>
      <c r="B112" s="9" t="s">
        <v>3575</v>
      </c>
      <c r="C112" s="7" t="s">
        <v>115</v>
      </c>
      <c r="D112" s="7" t="s">
        <v>3808</v>
      </c>
      <c r="E112" s="7" t="s">
        <v>3809</v>
      </c>
      <c r="F112" s="10" t="b">
        <v>0</v>
      </c>
      <c r="G112" s="10" t="b">
        <v>0</v>
      </c>
      <c r="H112" s="9" t="s">
        <v>24</v>
      </c>
      <c r="I112" s="9" t="e">
        <f t="array" aca="1" ref="I112" ca="1">IF(H112="","",VLOOKUP(H112,_xludf.HSTACK(#REF!,#REF!),2,FALSE))</f>
        <v>#NAME?</v>
      </c>
      <c r="J112" s="9"/>
    </row>
    <row r="113" spans="1:10" x14ac:dyDescent="0.25">
      <c r="A113" s="9" t="s">
        <v>652</v>
      </c>
      <c r="B113" s="9" t="s">
        <v>3810</v>
      </c>
      <c r="C113" s="7" t="s">
        <v>125</v>
      </c>
      <c r="D113" s="9"/>
      <c r="E113" s="7" t="s">
        <v>3811</v>
      </c>
      <c r="F113" s="10" t="b">
        <v>1</v>
      </c>
      <c r="G113" s="10" t="b">
        <v>0</v>
      </c>
      <c r="H113" s="9" t="s">
        <v>32</v>
      </c>
      <c r="I113" s="9" t="e">
        <f t="array" aca="1" ref="I113" ca="1">IF(H113="","",VLOOKUP(H113,_xludf.HSTACK(#REF!,#REF!),2,FALSE))</f>
        <v>#NAME?</v>
      </c>
      <c r="J113" s="9" t="s">
        <v>3812</v>
      </c>
    </row>
    <row r="114" spans="1:10" x14ac:dyDescent="0.25">
      <c r="A114" s="9" t="s">
        <v>652</v>
      </c>
      <c r="B114" s="9" t="s">
        <v>3813</v>
      </c>
      <c r="C114" s="7" t="s">
        <v>125</v>
      </c>
      <c r="D114" s="9"/>
      <c r="E114" s="7" t="s">
        <v>3814</v>
      </c>
      <c r="F114" s="10" t="b">
        <v>1</v>
      </c>
      <c r="G114" s="10" t="b">
        <v>0</v>
      </c>
      <c r="H114" s="9" t="s">
        <v>31</v>
      </c>
      <c r="I114" s="9" t="e">
        <f t="array" aca="1" ref="I114" ca="1">IF(H114="","",VLOOKUP(H114,_xludf.HSTACK(#REF!,#REF!),2,FALSE))</f>
        <v>#NAME?</v>
      </c>
      <c r="J114" s="9" t="s">
        <v>3812</v>
      </c>
    </row>
    <row r="115" spans="1:10" x14ac:dyDescent="0.25">
      <c r="A115" s="9" t="s">
        <v>652</v>
      </c>
      <c r="B115" s="9" t="s">
        <v>3815</v>
      </c>
      <c r="C115" s="7" t="s">
        <v>125</v>
      </c>
      <c r="D115" s="7" t="s">
        <v>3816</v>
      </c>
      <c r="E115" s="7" t="s">
        <v>3817</v>
      </c>
      <c r="F115" s="10" t="b">
        <v>0</v>
      </c>
      <c r="G115" s="10" t="b">
        <v>1</v>
      </c>
      <c r="H115" s="9"/>
      <c r="I115" s="9" t="str">
        <f t="array" ref="I115">IF(H115="","",VLOOKUP(H115,_xludf.HSTACK(#REF!,#REF!),2,FALSE))</f>
        <v/>
      </c>
      <c r="J115" s="9"/>
    </row>
    <row r="116" spans="1:10" x14ac:dyDescent="0.25">
      <c r="A116" s="9" t="s">
        <v>652</v>
      </c>
      <c r="B116" s="9" t="s">
        <v>3818</v>
      </c>
      <c r="C116" s="7" t="s">
        <v>172</v>
      </c>
      <c r="D116" s="9"/>
      <c r="E116" s="7" t="s">
        <v>3819</v>
      </c>
      <c r="F116" s="10" t="b">
        <v>0</v>
      </c>
      <c r="G116" s="10" t="b">
        <v>1</v>
      </c>
      <c r="H116" s="9"/>
      <c r="I116" s="9" t="str">
        <f t="array" ref="I116">IF(H116="","",VLOOKUP(H116,_xludf.HSTACK(#REF!,#REF!),2,FALSE))</f>
        <v/>
      </c>
      <c r="J116" s="9"/>
    </row>
    <row r="117" spans="1:10" x14ac:dyDescent="0.25">
      <c r="A117" s="9" t="s">
        <v>652</v>
      </c>
      <c r="B117" s="9" t="s">
        <v>3820</v>
      </c>
      <c r="C117" s="7" t="s">
        <v>125</v>
      </c>
      <c r="D117" s="9"/>
      <c r="E117" s="7" t="s">
        <v>3821</v>
      </c>
      <c r="F117" s="10" t="b">
        <v>0</v>
      </c>
      <c r="G117" s="10" t="b">
        <v>0</v>
      </c>
      <c r="H117" s="9"/>
      <c r="I117" s="9" t="str">
        <f t="array" ref="I117">IF(H117="","",VLOOKUP(H117,_xludf.HSTACK(#REF!,#REF!),2,FALSE))</f>
        <v/>
      </c>
      <c r="J117" s="9"/>
    </row>
    <row r="118" spans="1:10" x14ac:dyDescent="0.25">
      <c r="A118" s="9" t="s">
        <v>652</v>
      </c>
      <c r="B118" s="9" t="s">
        <v>3822</v>
      </c>
      <c r="C118" s="7" t="s">
        <v>125</v>
      </c>
      <c r="D118" s="7" t="s">
        <v>3823</v>
      </c>
      <c r="E118" s="7" t="s">
        <v>3824</v>
      </c>
      <c r="F118" s="10" t="b">
        <v>0</v>
      </c>
      <c r="G118" s="10" t="b">
        <v>1</v>
      </c>
      <c r="H118" s="9"/>
      <c r="I118" s="9" t="str">
        <f t="array" ref="I118">IF(H118="","",VLOOKUP(H118,_xludf.HSTACK(#REF!,#REF!),2,FALSE))</f>
        <v/>
      </c>
      <c r="J118" s="9"/>
    </row>
    <row r="119" spans="1:10" x14ac:dyDescent="0.25">
      <c r="A119" s="9" t="s">
        <v>652</v>
      </c>
      <c r="B119" s="9" t="s">
        <v>3825</v>
      </c>
      <c r="C119" s="7" t="s">
        <v>208</v>
      </c>
      <c r="D119" s="9"/>
      <c r="E119" s="7" t="s">
        <v>3826</v>
      </c>
      <c r="F119" s="10" t="b">
        <v>0</v>
      </c>
      <c r="G119" s="10" t="b">
        <v>0</v>
      </c>
      <c r="H119" s="9"/>
      <c r="I119" s="9" t="str">
        <f t="array" ref="I119">IF(H119="","",VLOOKUP(H119,_xludf.HSTACK(#REF!,#REF!),2,FALSE))</f>
        <v/>
      </c>
      <c r="J119" s="9"/>
    </row>
    <row r="120" spans="1:10" x14ac:dyDescent="0.25">
      <c r="A120" s="9" t="s">
        <v>652</v>
      </c>
      <c r="B120" s="9" t="s">
        <v>3827</v>
      </c>
      <c r="C120" s="7" t="s">
        <v>208</v>
      </c>
      <c r="D120" s="9"/>
      <c r="E120" s="7" t="s">
        <v>3828</v>
      </c>
      <c r="F120" s="10" t="b">
        <v>0</v>
      </c>
      <c r="G120" s="10" t="b">
        <v>0</v>
      </c>
      <c r="H120" s="9"/>
      <c r="I120" s="9" t="str">
        <f t="array" ref="I120">IF(H120="","",VLOOKUP(H120,_xludf.HSTACK(#REF!,#REF!),2,FALSE))</f>
        <v/>
      </c>
      <c r="J120" s="9"/>
    </row>
    <row r="121" spans="1:10" x14ac:dyDescent="0.25">
      <c r="A121" s="9" t="s">
        <v>652</v>
      </c>
      <c r="B121" s="9" t="s">
        <v>3829</v>
      </c>
      <c r="C121" s="7" t="s">
        <v>125</v>
      </c>
      <c r="D121" s="9"/>
      <c r="E121" s="7" t="s">
        <v>3830</v>
      </c>
      <c r="F121" s="10" t="b">
        <v>0</v>
      </c>
      <c r="G121" s="10" t="b">
        <v>0</v>
      </c>
      <c r="H121" s="9"/>
      <c r="I121" s="9" t="str">
        <f t="array" ref="I121">IF(H121="","",VLOOKUP(H121,_xludf.HSTACK(#REF!,#REF!),2,FALSE))</f>
        <v/>
      </c>
      <c r="J121" s="9"/>
    </row>
    <row r="122" spans="1:10" x14ac:dyDescent="0.25">
      <c r="A122" s="9" t="s">
        <v>652</v>
      </c>
      <c r="B122" s="9" t="s">
        <v>3831</v>
      </c>
      <c r="C122" s="7" t="s">
        <v>125</v>
      </c>
      <c r="D122" s="9"/>
      <c r="E122" s="7" t="s">
        <v>3832</v>
      </c>
      <c r="F122" s="10" t="b">
        <v>1</v>
      </c>
      <c r="G122" s="10" t="b">
        <v>0</v>
      </c>
      <c r="H122" s="9" t="s">
        <v>29</v>
      </c>
      <c r="I122" s="9" t="e">
        <f t="array" aca="1" ref="I122" ca="1">IF(H122="","",VLOOKUP(H122,_xludf.HSTACK(#REF!,#REF!),2,FALSE))</f>
        <v>#NAME?</v>
      </c>
      <c r="J122" s="9" t="s">
        <v>3812</v>
      </c>
    </row>
    <row r="123" spans="1:10" x14ac:dyDescent="0.25">
      <c r="A123" s="9" t="s">
        <v>652</v>
      </c>
      <c r="B123" s="9" t="s">
        <v>3833</v>
      </c>
      <c r="C123" s="7" t="s">
        <v>172</v>
      </c>
      <c r="D123" s="9"/>
      <c r="E123" s="7" t="s">
        <v>3834</v>
      </c>
      <c r="F123" s="10" t="b">
        <v>1</v>
      </c>
      <c r="G123" s="10" t="b">
        <v>1</v>
      </c>
      <c r="H123" s="9" t="s">
        <v>69</v>
      </c>
      <c r="I123" s="9" t="e">
        <f t="array" aca="1" ref="I123" ca="1">IF(H123="","",VLOOKUP(H123,_xludf.HSTACK(#REF!,#REF!),2,FALSE))</f>
        <v>#NAME?</v>
      </c>
      <c r="J123" s="9" t="s">
        <v>3792</v>
      </c>
    </row>
    <row r="124" spans="1:10" x14ac:dyDescent="0.25">
      <c r="A124" s="9" t="s">
        <v>652</v>
      </c>
      <c r="B124" s="9" t="s">
        <v>3835</v>
      </c>
      <c r="C124" s="7" t="s">
        <v>125</v>
      </c>
      <c r="D124" s="9"/>
      <c r="E124" s="7" t="s">
        <v>3836</v>
      </c>
      <c r="F124" s="10" t="b">
        <v>0</v>
      </c>
      <c r="G124" s="10" t="b">
        <v>0</v>
      </c>
      <c r="H124" s="9"/>
      <c r="I124" s="9" t="str">
        <f t="array" ref="I124">IF(H124="","",VLOOKUP(H124,_xludf.HSTACK(#REF!,#REF!),2,FALSE))</f>
        <v/>
      </c>
      <c r="J124" s="9"/>
    </row>
    <row r="125" spans="1:10" x14ac:dyDescent="0.25">
      <c r="A125" s="9" t="s">
        <v>652</v>
      </c>
      <c r="B125" s="9" t="s">
        <v>3837</v>
      </c>
      <c r="C125" s="7" t="s">
        <v>125</v>
      </c>
      <c r="D125" s="7" t="s">
        <v>3838</v>
      </c>
      <c r="E125" s="7" t="s">
        <v>3839</v>
      </c>
      <c r="F125" s="10" t="b">
        <v>1</v>
      </c>
      <c r="G125" s="10" t="b">
        <v>1</v>
      </c>
      <c r="H125" s="9" t="s">
        <v>32</v>
      </c>
      <c r="I125" s="9" t="e">
        <f t="array" aca="1" ref="I125" ca="1">IF(H125="","",VLOOKUP(H125,_xludf.HSTACK(#REF!,#REF!),2,FALSE))</f>
        <v>#NAME?</v>
      </c>
      <c r="J125" s="9" t="s">
        <v>3812</v>
      </c>
    </row>
    <row r="126" spans="1:10" x14ac:dyDescent="0.25">
      <c r="A126" s="9" t="s">
        <v>652</v>
      </c>
      <c r="B126" s="9" t="s">
        <v>3840</v>
      </c>
      <c r="C126" s="7" t="s">
        <v>172</v>
      </c>
      <c r="D126" s="9"/>
      <c r="E126" s="7" t="s">
        <v>3841</v>
      </c>
      <c r="F126" s="10" t="b">
        <v>0</v>
      </c>
      <c r="G126" s="10" t="b">
        <v>1</v>
      </c>
      <c r="H126" s="9"/>
      <c r="I126" s="9" t="str">
        <f t="array" ref="I126">IF(H126="","",VLOOKUP(H126,_xludf.HSTACK(#REF!,#REF!),2,FALSE))</f>
        <v/>
      </c>
      <c r="J126" s="9"/>
    </row>
    <row r="127" spans="1:10" x14ac:dyDescent="0.25">
      <c r="A127" s="9" t="s">
        <v>652</v>
      </c>
      <c r="B127" s="9" t="s">
        <v>3842</v>
      </c>
      <c r="C127" s="7" t="s">
        <v>125</v>
      </c>
      <c r="D127" s="9"/>
      <c r="E127" s="7" t="s">
        <v>3843</v>
      </c>
      <c r="F127" s="10" t="b">
        <v>0</v>
      </c>
      <c r="G127" s="10" t="b">
        <v>0</v>
      </c>
      <c r="H127" s="9"/>
      <c r="I127" s="9" t="str">
        <f t="array" ref="I127">IF(H127="","",VLOOKUP(H127,_xludf.HSTACK(#REF!,#REF!),2,FALSE))</f>
        <v/>
      </c>
      <c r="J127" s="9"/>
    </row>
    <row r="128" spans="1:10" x14ac:dyDescent="0.25">
      <c r="A128" s="9" t="s">
        <v>652</v>
      </c>
      <c r="B128" s="9" t="s">
        <v>3844</v>
      </c>
      <c r="C128" s="7" t="s">
        <v>125</v>
      </c>
      <c r="D128" s="7" t="s">
        <v>3845</v>
      </c>
      <c r="E128" s="7" t="s">
        <v>3846</v>
      </c>
      <c r="F128" s="10" t="b">
        <v>0</v>
      </c>
      <c r="G128" s="10" t="b">
        <v>1</v>
      </c>
      <c r="H128" s="9"/>
      <c r="I128" s="9" t="str">
        <f t="array" ref="I128">IF(H128="","",VLOOKUP(H128,_xludf.HSTACK(#REF!,#REF!),2,FALSE))</f>
        <v/>
      </c>
      <c r="J128" s="9"/>
    </row>
    <row r="129" spans="1:10" x14ac:dyDescent="0.25">
      <c r="A129" s="9" t="s">
        <v>652</v>
      </c>
      <c r="B129" s="9" t="s">
        <v>3847</v>
      </c>
      <c r="C129" s="7" t="s">
        <v>172</v>
      </c>
      <c r="D129" s="9"/>
      <c r="E129" s="7" t="s">
        <v>3848</v>
      </c>
      <c r="F129" s="10" t="b">
        <v>0</v>
      </c>
      <c r="G129" s="10" t="b">
        <v>1</v>
      </c>
      <c r="H129" s="9"/>
      <c r="I129" s="9" t="str">
        <f t="array" ref="I129">IF(H129="","",VLOOKUP(H129,_xludf.HSTACK(#REF!,#REF!),2,FALSE))</f>
        <v/>
      </c>
      <c r="J129" s="9"/>
    </row>
    <row r="130" spans="1:10" x14ac:dyDescent="0.25">
      <c r="A130" s="9" t="s">
        <v>652</v>
      </c>
      <c r="B130" s="9" t="s">
        <v>3849</v>
      </c>
      <c r="C130" s="7" t="s">
        <v>125</v>
      </c>
      <c r="D130" s="7" t="s">
        <v>3850</v>
      </c>
      <c r="E130" s="7" t="s">
        <v>3851</v>
      </c>
      <c r="F130" s="10" t="b">
        <v>0</v>
      </c>
      <c r="G130" s="10" t="b">
        <v>1</v>
      </c>
      <c r="H130" s="9" t="s">
        <v>31</v>
      </c>
      <c r="I130" s="9" t="e">
        <f t="array" aca="1" ref="I130" ca="1">IF(H130="","",VLOOKUP(H130,_xludf.HSTACK(#REF!,#REF!),2,FALSE))</f>
        <v>#NAME?</v>
      </c>
      <c r="J130" s="9"/>
    </row>
    <row r="131" spans="1:10" x14ac:dyDescent="0.25">
      <c r="A131" s="9" t="s">
        <v>652</v>
      </c>
      <c r="B131" s="9" t="s">
        <v>3852</v>
      </c>
      <c r="C131" s="7" t="s">
        <v>208</v>
      </c>
      <c r="D131" s="9"/>
      <c r="E131" s="7" t="s">
        <v>3853</v>
      </c>
      <c r="F131" s="10" t="b">
        <v>1</v>
      </c>
      <c r="G131" s="10" t="b">
        <v>0</v>
      </c>
      <c r="H131" s="9" t="s">
        <v>54</v>
      </c>
      <c r="I131" s="9" t="e">
        <f t="array" aca="1" ref="I131" ca="1">IF(H131="","",VLOOKUP(H131,_xludf.HSTACK(#REF!,#REF!),2,FALSE))</f>
        <v>#NAME?</v>
      </c>
      <c r="J131" s="9" t="s">
        <v>3792</v>
      </c>
    </row>
    <row r="132" spans="1:10" x14ac:dyDescent="0.25">
      <c r="A132" s="9" t="s">
        <v>652</v>
      </c>
      <c r="B132" s="9" t="s">
        <v>3854</v>
      </c>
      <c r="C132" s="7" t="s">
        <v>208</v>
      </c>
      <c r="D132" s="9"/>
      <c r="E132" s="7" t="s">
        <v>3855</v>
      </c>
      <c r="F132" s="10" t="b">
        <v>1</v>
      </c>
      <c r="G132" s="10" t="b">
        <v>0</v>
      </c>
      <c r="H132" s="9" t="s">
        <v>51</v>
      </c>
      <c r="I132" s="9" t="e">
        <f t="array" aca="1" ref="I132" ca="1">IF(H132="","",VLOOKUP(H132,_xludf.HSTACK(#REF!,#REF!),2,FALSE))</f>
        <v>#NAME?</v>
      </c>
      <c r="J132" s="9" t="s">
        <v>3792</v>
      </c>
    </row>
    <row r="133" spans="1:10" x14ac:dyDescent="0.25">
      <c r="A133" s="9" t="s">
        <v>652</v>
      </c>
      <c r="B133" s="9" t="s">
        <v>3856</v>
      </c>
      <c r="C133" s="7" t="s">
        <v>208</v>
      </c>
      <c r="D133" s="9"/>
      <c r="E133" s="7" t="s">
        <v>3857</v>
      </c>
      <c r="F133" s="10" t="b">
        <v>0</v>
      </c>
      <c r="G133" s="10" t="b">
        <v>0</v>
      </c>
      <c r="H133" s="9"/>
      <c r="I133" s="9" t="str">
        <f t="array" ref="I133">IF(H133="","",VLOOKUP(H133,_xludf.HSTACK(#REF!,#REF!),2,FALSE))</f>
        <v/>
      </c>
      <c r="J133" s="9"/>
    </row>
    <row r="134" spans="1:10" x14ac:dyDescent="0.25">
      <c r="A134" s="9" t="s">
        <v>652</v>
      </c>
      <c r="B134" s="9" t="s">
        <v>3858</v>
      </c>
      <c r="C134" s="7" t="s">
        <v>125</v>
      </c>
      <c r="D134" s="7" t="s">
        <v>3859</v>
      </c>
      <c r="E134" s="7" t="s">
        <v>3860</v>
      </c>
      <c r="F134" s="10" t="b">
        <v>0</v>
      </c>
      <c r="G134" s="10" t="b">
        <v>1</v>
      </c>
      <c r="H134" s="9"/>
      <c r="I134" s="9" t="str">
        <f t="array" ref="I134">IF(H134="","",VLOOKUP(H134,_xludf.HSTACK(#REF!,#REF!),2,FALSE))</f>
        <v/>
      </c>
      <c r="J134" s="9"/>
    </row>
    <row r="135" spans="1:10" x14ac:dyDescent="0.25">
      <c r="A135" s="9" t="s">
        <v>652</v>
      </c>
      <c r="B135" s="9" t="s">
        <v>3861</v>
      </c>
      <c r="C135" s="7" t="s">
        <v>172</v>
      </c>
      <c r="D135" s="9"/>
      <c r="E135" s="7" t="s">
        <v>3862</v>
      </c>
      <c r="F135" s="10" t="b">
        <v>0</v>
      </c>
      <c r="G135" s="10" t="b">
        <v>1</v>
      </c>
      <c r="H135" s="9"/>
      <c r="I135" s="9" t="str">
        <f t="array" ref="I135">IF(H135="","",VLOOKUP(H135,_xludf.HSTACK(#REF!,#REF!),2,FALSE))</f>
        <v/>
      </c>
      <c r="J135" s="9"/>
    </row>
    <row r="136" spans="1:10" x14ac:dyDescent="0.25">
      <c r="A136" s="9" t="s">
        <v>652</v>
      </c>
      <c r="B136" s="9" t="s">
        <v>3863</v>
      </c>
      <c r="C136" s="7" t="s">
        <v>125</v>
      </c>
      <c r="D136" s="9"/>
      <c r="E136" s="7" t="s">
        <v>3864</v>
      </c>
      <c r="F136" s="10" t="b">
        <v>0</v>
      </c>
      <c r="G136" s="10" t="b">
        <v>0</v>
      </c>
      <c r="H136" s="9"/>
      <c r="I136" s="9" t="str">
        <f t="array" ref="I136">IF(H136="","",VLOOKUP(H136,_xludf.HSTACK(#REF!,#REF!),2,FALSE))</f>
        <v/>
      </c>
      <c r="J136" s="9"/>
    </row>
    <row r="137" spans="1:10" x14ac:dyDescent="0.25">
      <c r="A137" s="9" t="s">
        <v>652</v>
      </c>
      <c r="B137" s="9" t="s">
        <v>3865</v>
      </c>
      <c r="C137" s="7" t="s">
        <v>125</v>
      </c>
      <c r="D137" s="7" t="s">
        <v>3866</v>
      </c>
      <c r="E137" s="7" t="s">
        <v>3867</v>
      </c>
      <c r="F137" s="10" t="b">
        <v>0</v>
      </c>
      <c r="G137" s="10" t="b">
        <v>1</v>
      </c>
      <c r="H137" s="9" t="s">
        <v>29</v>
      </c>
      <c r="I137" s="9" t="e">
        <f t="array" aca="1" ref="I137" ca="1">IF(H137="","",VLOOKUP(H137,_xludf.HSTACK(#REF!,#REF!),2,FALSE))</f>
        <v>#NAME?</v>
      </c>
      <c r="J137" s="9"/>
    </row>
    <row r="138" spans="1:10" x14ac:dyDescent="0.25">
      <c r="A138" s="9" t="s">
        <v>652</v>
      </c>
      <c r="B138" s="9" t="s">
        <v>3868</v>
      </c>
      <c r="C138" s="7" t="s">
        <v>172</v>
      </c>
      <c r="D138" s="9"/>
      <c r="E138" s="7" t="s">
        <v>3869</v>
      </c>
      <c r="F138" s="10" t="b">
        <v>1</v>
      </c>
      <c r="G138" s="10" t="b">
        <v>1</v>
      </c>
      <c r="H138" s="9" t="s">
        <v>69</v>
      </c>
      <c r="I138" s="9" t="e">
        <f t="array" aca="1" ref="I138" ca="1">IF(H138="","",VLOOKUP(H138,_xludf.HSTACK(#REF!,#REF!),2,FALSE))</f>
        <v>#NAME?</v>
      </c>
      <c r="J138" s="9" t="s">
        <v>3792</v>
      </c>
    </row>
    <row r="139" spans="1:10" x14ac:dyDescent="0.25">
      <c r="A139" s="9" t="s">
        <v>652</v>
      </c>
      <c r="B139" s="9" t="s">
        <v>3870</v>
      </c>
      <c r="C139" s="7" t="s">
        <v>125</v>
      </c>
      <c r="D139" s="7" t="s">
        <v>3871</v>
      </c>
      <c r="E139" s="7" t="s">
        <v>3872</v>
      </c>
      <c r="F139" s="10" t="b">
        <v>0</v>
      </c>
      <c r="G139" s="10" t="b">
        <v>1</v>
      </c>
      <c r="H139" s="9" t="s">
        <v>26</v>
      </c>
      <c r="I139" s="9" t="e">
        <f t="array" aca="1" ref="I139" ca="1">IF(H139="","",VLOOKUP(H139,_xludf.HSTACK(#REF!,#REF!),2,FALSE))</f>
        <v>#NAME?</v>
      </c>
      <c r="J139" s="9"/>
    </row>
    <row r="140" spans="1:10" x14ac:dyDescent="0.25">
      <c r="A140" s="9" t="s">
        <v>652</v>
      </c>
      <c r="B140" s="9" t="s">
        <v>3873</v>
      </c>
      <c r="C140" s="7" t="s">
        <v>172</v>
      </c>
      <c r="D140" s="9"/>
      <c r="E140" s="7" t="s">
        <v>3874</v>
      </c>
      <c r="F140" s="10" t="b">
        <v>1</v>
      </c>
      <c r="G140" s="10" t="b">
        <v>1</v>
      </c>
      <c r="H140" s="9" t="s">
        <v>65</v>
      </c>
      <c r="I140" s="9" t="e">
        <f t="array" aca="1" ref="I140" ca="1">IF(H140="","",VLOOKUP(H140,_xludf.HSTACK(#REF!,#REF!),2,FALSE))</f>
        <v>#NAME?</v>
      </c>
      <c r="J140" s="9" t="s">
        <v>3792</v>
      </c>
    </row>
    <row r="141" spans="1:10" x14ac:dyDescent="0.25">
      <c r="A141" s="9" t="s">
        <v>652</v>
      </c>
      <c r="B141" s="9" t="s">
        <v>3875</v>
      </c>
      <c r="C141" s="7" t="s">
        <v>125</v>
      </c>
      <c r="D141" s="9"/>
      <c r="E141" s="7" t="s">
        <v>3876</v>
      </c>
      <c r="F141" s="10" t="b">
        <v>0</v>
      </c>
      <c r="G141" s="10" t="b">
        <v>0</v>
      </c>
      <c r="H141" s="9" t="s">
        <v>28</v>
      </c>
      <c r="I141" s="9" t="e">
        <f t="array" aca="1" ref="I141" ca="1">IF(H141="","",VLOOKUP(H141,_xludf.HSTACK(#REF!,#REF!),2,FALSE))</f>
        <v>#NAME?</v>
      </c>
      <c r="J141" s="9"/>
    </row>
    <row r="142" spans="1:10" x14ac:dyDescent="0.25">
      <c r="A142" s="9" t="s">
        <v>652</v>
      </c>
      <c r="B142" s="9" t="s">
        <v>3877</v>
      </c>
      <c r="C142" s="7" t="s">
        <v>125</v>
      </c>
      <c r="D142" s="7" t="s">
        <v>3878</v>
      </c>
      <c r="E142" s="7" t="s">
        <v>3879</v>
      </c>
      <c r="F142" s="10" t="b">
        <v>0</v>
      </c>
      <c r="G142" s="10" t="b">
        <v>1</v>
      </c>
      <c r="H142" s="9" t="s">
        <v>30</v>
      </c>
      <c r="I142" s="9" t="e">
        <f t="array" aca="1" ref="I142" ca="1">IF(H142="","",VLOOKUP(H142,_xludf.HSTACK(#REF!,#REF!),2,FALSE))</f>
        <v>#NAME?</v>
      </c>
      <c r="J142" s="9"/>
    </row>
    <row r="143" spans="1:10" x14ac:dyDescent="0.25">
      <c r="A143" s="9" t="s">
        <v>652</v>
      </c>
      <c r="B143" s="9" t="s">
        <v>3880</v>
      </c>
      <c r="C143" s="7" t="s">
        <v>172</v>
      </c>
      <c r="D143" s="9"/>
      <c r="E143" s="7" t="s">
        <v>3881</v>
      </c>
      <c r="F143" s="10" t="b">
        <v>1</v>
      </c>
      <c r="G143" s="10" t="b">
        <v>1</v>
      </c>
      <c r="H143" s="9" t="s">
        <v>70</v>
      </c>
      <c r="I143" s="9" t="e">
        <f t="array" aca="1" ref="I143" ca="1">IF(H143="","",VLOOKUP(H143,_xludf.HSTACK(#REF!,#REF!),2,FALSE))</f>
        <v>#NAME?</v>
      </c>
      <c r="J143" s="9" t="s">
        <v>3792</v>
      </c>
    </row>
    <row r="144" spans="1:10" x14ac:dyDescent="0.25">
      <c r="A144" s="9" t="s">
        <v>652</v>
      </c>
      <c r="B144" s="9" t="s">
        <v>3882</v>
      </c>
      <c r="C144" s="7" t="s">
        <v>125</v>
      </c>
      <c r="D144" s="7" t="s">
        <v>3883</v>
      </c>
      <c r="E144" s="7" t="s">
        <v>3884</v>
      </c>
      <c r="F144" s="10" t="b">
        <v>0</v>
      </c>
      <c r="G144" s="10" t="b">
        <v>1</v>
      </c>
      <c r="H144" s="9" t="s">
        <v>32</v>
      </c>
      <c r="I144" s="9" t="e">
        <f t="array" aca="1" ref="I144" ca="1">IF(H144="","",VLOOKUP(H144,_xludf.HSTACK(#REF!,#REF!),2,FALSE))</f>
        <v>#NAME?</v>
      </c>
      <c r="J144" s="9"/>
    </row>
    <row r="145" spans="1:10" x14ac:dyDescent="0.25">
      <c r="A145" s="9" t="s">
        <v>652</v>
      </c>
      <c r="B145" s="9" t="s">
        <v>3885</v>
      </c>
      <c r="C145" s="7" t="s">
        <v>172</v>
      </c>
      <c r="D145" s="9"/>
      <c r="E145" s="7" t="s">
        <v>3886</v>
      </c>
      <c r="F145" s="10" t="b">
        <v>0</v>
      </c>
      <c r="G145" s="10" t="b">
        <v>1</v>
      </c>
      <c r="H145" s="9" t="s">
        <v>67</v>
      </c>
      <c r="I145" s="9" t="e">
        <f t="array" aca="1" ref="I145" ca="1">IF(H145="","",VLOOKUP(H145,_xludf.HSTACK(#REF!,#REF!),2,FALSE))</f>
        <v>#NAME?</v>
      </c>
      <c r="J145" s="9" t="s">
        <v>3792</v>
      </c>
    </row>
    <row r="146" spans="1:10" x14ac:dyDescent="0.25">
      <c r="A146" s="9" t="s">
        <v>652</v>
      </c>
      <c r="B146" s="9" t="s">
        <v>3887</v>
      </c>
      <c r="C146" s="7" t="s">
        <v>172</v>
      </c>
      <c r="D146" s="9"/>
      <c r="E146" s="7" t="s">
        <v>3888</v>
      </c>
      <c r="F146" s="10" t="b">
        <v>1</v>
      </c>
      <c r="G146" s="10" t="b">
        <v>1</v>
      </c>
      <c r="H146" s="9" t="s">
        <v>67</v>
      </c>
      <c r="I146" s="9" t="e">
        <f t="array" aca="1" ref="I146" ca="1">IF(H146="","",VLOOKUP(H146,_xludf.HSTACK(#REF!,#REF!),2,FALSE))</f>
        <v>#NAME?</v>
      </c>
      <c r="J146" s="9" t="s">
        <v>3792</v>
      </c>
    </row>
    <row r="147" spans="1:10" x14ac:dyDescent="0.25">
      <c r="A147" s="9" t="s">
        <v>652</v>
      </c>
      <c r="B147" s="9" t="s">
        <v>3889</v>
      </c>
      <c r="C147" s="7" t="s">
        <v>208</v>
      </c>
      <c r="D147" s="9"/>
      <c r="E147" s="7" t="s">
        <v>3890</v>
      </c>
      <c r="F147" s="10" t="b">
        <v>1</v>
      </c>
      <c r="G147" s="10" t="b">
        <v>0</v>
      </c>
      <c r="H147" s="9" t="s">
        <v>58</v>
      </c>
      <c r="I147" s="9" t="e">
        <f t="array" aca="1" ref="I147" ca="1">IF(H147="","",VLOOKUP(H147,_xludf.HSTACK(#REF!,#REF!),2,FALSE))</f>
        <v>#NAME?</v>
      </c>
      <c r="J147" s="9" t="s">
        <v>3792</v>
      </c>
    </row>
    <row r="148" spans="1:10" x14ac:dyDescent="0.25">
      <c r="A148" s="9" t="s">
        <v>652</v>
      </c>
      <c r="B148" s="9" t="s">
        <v>3891</v>
      </c>
      <c r="C148" s="7" t="s">
        <v>208</v>
      </c>
      <c r="D148" s="9"/>
      <c r="E148" s="7" t="s">
        <v>3892</v>
      </c>
      <c r="F148" s="10" t="b">
        <v>0</v>
      </c>
      <c r="G148" s="10" t="b">
        <v>0</v>
      </c>
      <c r="H148" s="9"/>
      <c r="I148" s="9" t="str">
        <f t="array" ref="I148">IF(H148="","",VLOOKUP(H148,_xludf.HSTACK(#REF!,#REF!),2,FALSE))</f>
        <v/>
      </c>
      <c r="J148" s="9"/>
    </row>
    <row r="149" spans="1:10" x14ac:dyDescent="0.25">
      <c r="A149" s="9" t="s">
        <v>652</v>
      </c>
      <c r="B149" s="9" t="s">
        <v>3893</v>
      </c>
      <c r="C149" s="7" t="s">
        <v>208</v>
      </c>
      <c r="D149" s="9"/>
      <c r="E149" s="7" t="s">
        <v>3894</v>
      </c>
      <c r="F149" s="10" t="b">
        <v>1</v>
      </c>
      <c r="G149" s="10" t="b">
        <v>0</v>
      </c>
      <c r="H149" s="9" t="s">
        <v>55</v>
      </c>
      <c r="I149" s="9" t="e">
        <f t="array" aca="1" ref="I149" ca="1">IF(H149="","",VLOOKUP(H149,_xludf.HSTACK(#REF!,#REF!),2,FALSE))</f>
        <v>#NAME?</v>
      </c>
      <c r="J149" s="9" t="s">
        <v>3792</v>
      </c>
    </row>
    <row r="150" spans="1:10" x14ac:dyDescent="0.25">
      <c r="A150" s="9" t="s">
        <v>652</v>
      </c>
      <c r="B150" s="9" t="s">
        <v>3895</v>
      </c>
      <c r="C150" s="7" t="s">
        <v>208</v>
      </c>
      <c r="D150" s="9"/>
      <c r="E150" s="7" t="s">
        <v>3896</v>
      </c>
      <c r="F150" s="10" t="b">
        <v>0</v>
      </c>
      <c r="G150" s="10" t="b">
        <v>0</v>
      </c>
      <c r="H150" s="9"/>
      <c r="I150" s="9" t="str">
        <f t="array" ref="I150">IF(H150="","",VLOOKUP(H150,_xludf.HSTACK(#REF!,#REF!),2,FALSE))</f>
        <v/>
      </c>
      <c r="J150" s="9"/>
    </row>
    <row r="151" spans="1:10" x14ac:dyDescent="0.25">
      <c r="A151" s="9" t="s">
        <v>652</v>
      </c>
      <c r="B151" s="9" t="s">
        <v>3897</v>
      </c>
      <c r="C151" s="7" t="s">
        <v>208</v>
      </c>
      <c r="D151" s="9"/>
      <c r="E151" s="7" t="s">
        <v>3898</v>
      </c>
      <c r="F151" s="10" t="b">
        <v>1</v>
      </c>
      <c r="G151" s="10" t="b">
        <v>0</v>
      </c>
      <c r="H151" s="9" t="s">
        <v>55</v>
      </c>
      <c r="I151" s="9" t="e">
        <f t="array" aca="1" ref="I151" ca="1">IF(H151="","",VLOOKUP(H151,_xludf.HSTACK(#REF!,#REF!),2,FALSE))</f>
        <v>#NAME?</v>
      </c>
      <c r="J151" s="9" t="s">
        <v>3792</v>
      </c>
    </row>
    <row r="152" spans="1:10" x14ac:dyDescent="0.25">
      <c r="A152" s="9" t="s">
        <v>652</v>
      </c>
      <c r="B152" s="9" t="s">
        <v>3899</v>
      </c>
      <c r="C152" s="7" t="s">
        <v>208</v>
      </c>
      <c r="D152" s="9"/>
      <c r="E152" s="7" t="s">
        <v>3900</v>
      </c>
      <c r="F152" s="10" t="b">
        <v>0</v>
      </c>
      <c r="G152" s="10" t="b">
        <v>0</v>
      </c>
      <c r="H152" s="9"/>
      <c r="I152" s="9" t="str">
        <f t="array" ref="I152">IF(H152="","",VLOOKUP(H152,_xludf.HSTACK(#REF!,#REF!),2,FALSE))</f>
        <v/>
      </c>
      <c r="J152" s="9"/>
    </row>
    <row r="153" spans="1:10" x14ac:dyDescent="0.25">
      <c r="A153" s="9" t="s">
        <v>652</v>
      </c>
      <c r="B153" s="9" t="s">
        <v>3901</v>
      </c>
      <c r="C153" s="7" t="s">
        <v>208</v>
      </c>
      <c r="D153" s="9"/>
      <c r="E153" s="7" t="s">
        <v>3902</v>
      </c>
      <c r="F153" s="10" t="b">
        <v>1</v>
      </c>
      <c r="G153" s="10" t="b">
        <v>0</v>
      </c>
      <c r="H153" s="9" t="s">
        <v>56</v>
      </c>
      <c r="I153" s="9" t="e">
        <f t="array" aca="1" ref="I153" ca="1">IF(H153="","",VLOOKUP(H153,_xludf.HSTACK(#REF!,#REF!),2,FALSE))</f>
        <v>#NAME?</v>
      </c>
      <c r="J153" s="9" t="s">
        <v>3792</v>
      </c>
    </row>
    <row r="154" spans="1:10" x14ac:dyDescent="0.25">
      <c r="A154" s="9" t="s">
        <v>652</v>
      </c>
      <c r="B154" s="9" t="s">
        <v>3903</v>
      </c>
      <c r="C154" s="7" t="s">
        <v>208</v>
      </c>
      <c r="D154" s="9"/>
      <c r="E154" s="7" t="s">
        <v>3904</v>
      </c>
      <c r="F154" s="10" t="b">
        <v>0</v>
      </c>
      <c r="G154" s="10" t="b">
        <v>0</v>
      </c>
      <c r="H154" s="9"/>
      <c r="I154" s="9" t="str">
        <f t="array" ref="I154">IF(H154="","",VLOOKUP(H154,_xludf.HSTACK(#REF!,#REF!),2,FALSE))</f>
        <v/>
      </c>
      <c r="J154" s="9"/>
    </row>
    <row r="155" spans="1:10" x14ac:dyDescent="0.25">
      <c r="A155" s="9" t="s">
        <v>652</v>
      </c>
      <c r="B155" s="9" t="s">
        <v>3905</v>
      </c>
      <c r="C155" s="7" t="s">
        <v>208</v>
      </c>
      <c r="D155" s="9"/>
      <c r="E155" s="7" t="s">
        <v>3906</v>
      </c>
      <c r="F155" s="10" t="b">
        <v>0</v>
      </c>
      <c r="G155" s="10" t="b">
        <v>0</v>
      </c>
      <c r="H155" s="9"/>
      <c r="I155" s="9" t="str">
        <f t="array" ref="I155">IF(H155="","",VLOOKUP(H155,_xludf.HSTACK(#REF!,#REF!),2,FALSE))</f>
        <v/>
      </c>
      <c r="J155" s="9"/>
    </row>
    <row r="156" spans="1:10" x14ac:dyDescent="0.25">
      <c r="A156" s="9" t="s">
        <v>652</v>
      </c>
      <c r="B156" s="9" t="s">
        <v>3907</v>
      </c>
      <c r="C156" s="7" t="s">
        <v>208</v>
      </c>
      <c r="D156" s="9"/>
      <c r="E156" s="7" t="s">
        <v>3908</v>
      </c>
      <c r="F156" s="10" t="b">
        <v>0</v>
      </c>
      <c r="G156" s="10" t="b">
        <v>0</v>
      </c>
      <c r="H156" s="9"/>
      <c r="I156" s="9" t="str">
        <f t="array" ref="I156">IF(H156="","",VLOOKUP(H156,_xludf.HSTACK(#REF!,#REF!),2,FALSE))</f>
        <v/>
      </c>
      <c r="J156" s="9"/>
    </row>
    <row r="157" spans="1:10" x14ac:dyDescent="0.25">
      <c r="A157" s="9" t="s">
        <v>652</v>
      </c>
      <c r="B157" s="9" t="s">
        <v>3909</v>
      </c>
      <c r="C157" s="7" t="s">
        <v>208</v>
      </c>
      <c r="D157" s="9"/>
      <c r="E157" s="7" t="s">
        <v>3910</v>
      </c>
      <c r="F157" s="10" t="b">
        <v>0</v>
      </c>
      <c r="G157" s="10" t="b">
        <v>0</v>
      </c>
      <c r="H157" s="9"/>
      <c r="I157" s="9" t="str">
        <f t="array" ref="I157">IF(H157="","",VLOOKUP(H157,_xludf.HSTACK(#REF!,#REF!),2,FALSE))</f>
        <v/>
      </c>
      <c r="J157" s="9"/>
    </row>
    <row r="158" spans="1:10" x14ac:dyDescent="0.25">
      <c r="A158" s="9" t="s">
        <v>652</v>
      </c>
      <c r="B158" s="9" t="s">
        <v>3911</v>
      </c>
      <c r="C158" s="7" t="s">
        <v>208</v>
      </c>
      <c r="D158" s="9"/>
      <c r="E158" s="7" t="s">
        <v>3912</v>
      </c>
      <c r="F158" s="10" t="b">
        <v>0</v>
      </c>
      <c r="G158" s="10" t="b">
        <v>0</v>
      </c>
      <c r="H158" s="9"/>
      <c r="I158" s="9" t="str">
        <f t="array" ref="I158">IF(H158="","",VLOOKUP(H158,_xludf.HSTACK(#REF!,#REF!),2,FALSE))</f>
        <v/>
      </c>
      <c r="J158" s="9"/>
    </row>
    <row r="159" spans="1:10" x14ac:dyDescent="0.25">
      <c r="A159" s="9" t="s">
        <v>652</v>
      </c>
      <c r="B159" s="9" t="s">
        <v>3913</v>
      </c>
      <c r="C159" s="7" t="s">
        <v>208</v>
      </c>
      <c r="D159" s="9"/>
      <c r="E159" s="7" t="s">
        <v>3914</v>
      </c>
      <c r="F159" s="10" t="b">
        <v>0</v>
      </c>
      <c r="G159" s="10" t="b">
        <v>0</v>
      </c>
      <c r="H159" s="9" t="s">
        <v>38</v>
      </c>
      <c r="I159" s="9" t="e">
        <f t="array" aca="1" ref="I159" ca="1">IF(H159="","",VLOOKUP(H159,_xludf.HSTACK(#REF!,#REF!),2,FALSE))</f>
        <v>#NAME?</v>
      </c>
      <c r="J159" s="9"/>
    </row>
    <row r="160" spans="1:10" x14ac:dyDescent="0.25">
      <c r="A160" s="9" t="s">
        <v>652</v>
      </c>
      <c r="B160" s="9" t="s">
        <v>3915</v>
      </c>
      <c r="C160" s="7" t="s">
        <v>208</v>
      </c>
      <c r="D160" s="9"/>
      <c r="E160" s="7" t="s">
        <v>3916</v>
      </c>
      <c r="F160" s="10" t="b">
        <v>0</v>
      </c>
      <c r="G160" s="10" t="b">
        <v>0</v>
      </c>
      <c r="H160" s="9"/>
      <c r="I160" s="9" t="str">
        <f t="array" ref="I160">IF(H160="","",VLOOKUP(H160,_xludf.HSTACK(#REF!,#REF!),2,FALSE))</f>
        <v/>
      </c>
      <c r="J160" s="9"/>
    </row>
    <row r="161" spans="1:10" x14ac:dyDescent="0.25">
      <c r="A161" s="9" t="s">
        <v>652</v>
      </c>
      <c r="B161" s="9" t="s">
        <v>3917</v>
      </c>
      <c r="C161" s="7" t="s">
        <v>208</v>
      </c>
      <c r="D161" s="9"/>
      <c r="E161" s="7" t="s">
        <v>3918</v>
      </c>
      <c r="F161" s="10" t="b">
        <v>0</v>
      </c>
      <c r="G161" s="10" t="b">
        <v>0</v>
      </c>
      <c r="H161" s="9"/>
      <c r="I161" s="9" t="str">
        <f t="array" ref="I161">IF(H161="","",VLOOKUP(H161,_xludf.HSTACK(#REF!,#REF!),2,FALSE))</f>
        <v/>
      </c>
      <c r="J161" s="9"/>
    </row>
    <row r="162" spans="1:10" x14ac:dyDescent="0.25">
      <c r="A162" s="9" t="s">
        <v>652</v>
      </c>
      <c r="B162" s="9" t="s">
        <v>3919</v>
      </c>
      <c r="C162" s="7" t="s">
        <v>208</v>
      </c>
      <c r="D162" s="9"/>
      <c r="E162" s="7" t="s">
        <v>3920</v>
      </c>
      <c r="F162" s="10" t="b">
        <v>1</v>
      </c>
      <c r="G162" s="10" t="b">
        <v>0</v>
      </c>
      <c r="H162" s="9" t="s">
        <v>58</v>
      </c>
      <c r="I162" s="9" t="e">
        <f t="array" aca="1" ref="I162" ca="1">IF(H162="","",VLOOKUP(H162,_xludf.HSTACK(#REF!,#REF!),2,FALSE))</f>
        <v>#NAME?</v>
      </c>
      <c r="J162" s="9" t="s">
        <v>3792</v>
      </c>
    </row>
    <row r="163" spans="1:10" x14ac:dyDescent="0.25">
      <c r="A163" s="9" t="s">
        <v>652</v>
      </c>
      <c r="B163" s="9" t="s">
        <v>3626</v>
      </c>
      <c r="C163" s="7" t="s">
        <v>208</v>
      </c>
      <c r="D163" s="9"/>
      <c r="E163" s="7" t="s">
        <v>3921</v>
      </c>
      <c r="F163" s="10" t="b">
        <v>1</v>
      </c>
      <c r="G163" s="10" t="b">
        <v>0</v>
      </c>
      <c r="H163" s="9" t="s">
        <v>47</v>
      </c>
      <c r="I163" s="9" t="e">
        <f t="array" aca="1" ref="I163" ca="1">IF(H163="","",VLOOKUP(H163,_xludf.HSTACK(#REF!,#REF!),2,FALSE))</f>
        <v>#NAME?</v>
      </c>
      <c r="J163" s="9" t="s">
        <v>3628</v>
      </c>
    </row>
    <row r="164" spans="1:10" x14ac:dyDescent="0.25">
      <c r="A164" s="9" t="s">
        <v>652</v>
      </c>
      <c r="B164" s="9" t="s">
        <v>3629</v>
      </c>
      <c r="C164" s="7" t="s">
        <v>208</v>
      </c>
      <c r="D164" s="9"/>
      <c r="E164" s="7" t="s">
        <v>3922</v>
      </c>
      <c r="F164" s="10" t="b">
        <v>0</v>
      </c>
      <c r="G164" s="10" t="b">
        <v>0</v>
      </c>
      <c r="H164" s="9" t="s">
        <v>46</v>
      </c>
      <c r="I164" s="9" t="e">
        <f t="array" aca="1" ref="I164" ca="1">IF(H164="","",VLOOKUP(H164,_xludf.HSTACK(#REF!,#REF!),2,FALSE))</f>
        <v>#NAME?</v>
      </c>
      <c r="J164" s="9"/>
    </row>
    <row r="165" spans="1:10" x14ac:dyDescent="0.25">
      <c r="A165" s="9" t="s">
        <v>652</v>
      </c>
      <c r="B165" s="9" t="s">
        <v>3923</v>
      </c>
      <c r="C165" s="7" t="s">
        <v>172</v>
      </c>
      <c r="D165" s="9"/>
      <c r="E165" s="7" t="s">
        <v>3924</v>
      </c>
      <c r="F165" s="10" t="b">
        <v>0</v>
      </c>
      <c r="G165" s="10" t="b">
        <v>1</v>
      </c>
      <c r="H165" s="9" t="s">
        <v>20</v>
      </c>
      <c r="I165" s="9" t="e">
        <f t="array" aca="1" ref="I165" ca="1">IF(H165="","",VLOOKUP(H165,_xludf.HSTACK(#REF!,#REF!),2,FALSE))</f>
        <v>#NAME?</v>
      </c>
      <c r="J165" s="9"/>
    </row>
    <row r="166" spans="1:10" x14ac:dyDescent="0.25">
      <c r="A166" s="9" t="s">
        <v>652</v>
      </c>
      <c r="B166" s="9" t="s">
        <v>3925</v>
      </c>
      <c r="C166" s="7" t="s">
        <v>172</v>
      </c>
      <c r="D166" s="9"/>
      <c r="E166" s="7" t="s">
        <v>3926</v>
      </c>
      <c r="F166" s="10" t="b">
        <v>0</v>
      </c>
      <c r="G166" s="10" t="b">
        <v>1</v>
      </c>
      <c r="H166" s="9" t="s">
        <v>20</v>
      </c>
      <c r="I166" s="9" t="e">
        <f t="array" aca="1" ref="I166" ca="1">IF(H166="","",VLOOKUP(H166,_xludf.HSTACK(#REF!,#REF!),2,FALSE))</f>
        <v>#NAME?</v>
      </c>
      <c r="J166" s="9"/>
    </row>
    <row r="167" spans="1:10" x14ac:dyDescent="0.25">
      <c r="A167" s="9" t="s">
        <v>652</v>
      </c>
      <c r="B167" s="9" t="s">
        <v>3927</v>
      </c>
      <c r="C167" s="7" t="s">
        <v>665</v>
      </c>
      <c r="D167" s="7" t="s">
        <v>3928</v>
      </c>
      <c r="E167" s="7" t="s">
        <v>3929</v>
      </c>
      <c r="F167" s="10" t="b">
        <v>0</v>
      </c>
      <c r="G167" s="10" t="b">
        <v>1</v>
      </c>
      <c r="H167" s="9"/>
      <c r="I167" s="9" t="str">
        <f t="array" ref="I167">IF(H167="","",VLOOKUP(H167,_xludf.HSTACK(#REF!,#REF!),2,FALSE))</f>
        <v/>
      </c>
      <c r="J167" s="9"/>
    </row>
    <row r="168" spans="1:10" x14ac:dyDescent="0.25">
      <c r="A168" s="9" t="s">
        <v>652</v>
      </c>
      <c r="B168" s="9" t="s">
        <v>3930</v>
      </c>
      <c r="C168" s="7" t="s">
        <v>172</v>
      </c>
      <c r="D168" s="9"/>
      <c r="E168" s="7" t="s">
        <v>3931</v>
      </c>
      <c r="F168" s="10" t="b">
        <v>0</v>
      </c>
      <c r="G168" s="10" t="b">
        <v>1</v>
      </c>
      <c r="H168" s="9"/>
      <c r="I168" s="9" t="str">
        <f t="array" ref="I168">IF(H168="","",VLOOKUP(H168,_xludf.HSTACK(#REF!,#REF!),2,FALSE))</f>
        <v/>
      </c>
      <c r="J168" s="9"/>
    </row>
    <row r="169" spans="1:10" x14ac:dyDescent="0.25">
      <c r="A169" s="9" t="s">
        <v>652</v>
      </c>
      <c r="B169" s="9" t="s">
        <v>3932</v>
      </c>
      <c r="C169" s="7" t="s">
        <v>665</v>
      </c>
      <c r="D169" s="7" t="s">
        <v>3933</v>
      </c>
      <c r="E169" s="7" t="s">
        <v>3934</v>
      </c>
      <c r="F169" s="10" t="b">
        <v>0</v>
      </c>
      <c r="G169" s="10" t="b">
        <v>1</v>
      </c>
      <c r="H169" s="9"/>
      <c r="I169" s="9" t="str">
        <f t="array" ref="I169">IF(H169="","",VLOOKUP(H169,_xludf.HSTACK(#REF!,#REF!),2,FALSE))</f>
        <v/>
      </c>
      <c r="J169" s="9"/>
    </row>
    <row r="170" spans="1:10" x14ac:dyDescent="0.25">
      <c r="A170" s="9" t="s">
        <v>652</v>
      </c>
      <c r="B170" s="9" t="s">
        <v>3935</v>
      </c>
      <c r="C170" s="7" t="s">
        <v>172</v>
      </c>
      <c r="D170" s="9"/>
      <c r="E170" s="7" t="s">
        <v>3936</v>
      </c>
      <c r="F170" s="10" t="b">
        <v>0</v>
      </c>
      <c r="G170" s="10" t="b">
        <v>1</v>
      </c>
      <c r="H170" s="9" t="s">
        <v>20</v>
      </c>
      <c r="I170" s="9" t="e">
        <f t="array" aca="1" ref="I170" ca="1">IF(H170="","",VLOOKUP(H170,_xludf.HSTACK(#REF!,#REF!),2,FALSE))</f>
        <v>#NAME?</v>
      </c>
      <c r="J170" s="9"/>
    </row>
    <row r="171" spans="1:10" x14ac:dyDescent="0.25">
      <c r="A171" s="9" t="s">
        <v>652</v>
      </c>
      <c r="B171" s="9" t="s">
        <v>3937</v>
      </c>
      <c r="C171" s="7" t="s">
        <v>742</v>
      </c>
      <c r="D171" s="9"/>
      <c r="E171" s="7" t="s">
        <v>3938</v>
      </c>
      <c r="F171" s="10" t="b">
        <v>0</v>
      </c>
      <c r="G171" s="10" t="b">
        <v>1</v>
      </c>
      <c r="H171" s="9"/>
      <c r="I171" s="9" t="str">
        <f t="array" ref="I171">IF(H171="","",VLOOKUP(H171,_xludf.HSTACK(#REF!,#REF!),2,FALSE))</f>
        <v/>
      </c>
      <c r="J171" s="9"/>
    </row>
    <row r="172" spans="1:10" x14ac:dyDescent="0.25">
      <c r="A172" s="9" t="s">
        <v>652</v>
      </c>
      <c r="B172" s="9" t="s">
        <v>3939</v>
      </c>
      <c r="C172" s="9"/>
      <c r="D172" s="7" t="s">
        <v>3940</v>
      </c>
      <c r="E172" s="9"/>
      <c r="F172" s="10" t="b">
        <v>0</v>
      </c>
      <c r="G172" s="10" t="b">
        <v>1</v>
      </c>
      <c r="H172" s="9"/>
      <c r="I172" s="9" t="str">
        <f t="array" ref="I172">IF(H172="","",VLOOKUP(H172,_xludf.HSTACK(#REF!,#REF!),2,FALSE))</f>
        <v/>
      </c>
      <c r="J172" s="9"/>
    </row>
    <row r="173" spans="1:10" x14ac:dyDescent="0.25">
      <c r="A173" s="9" t="s">
        <v>652</v>
      </c>
      <c r="B173" s="9" t="s">
        <v>3941</v>
      </c>
      <c r="C173" s="7" t="s">
        <v>172</v>
      </c>
      <c r="D173" s="9"/>
      <c r="E173" s="7" t="s">
        <v>3942</v>
      </c>
      <c r="F173" s="10" t="b">
        <v>0</v>
      </c>
      <c r="G173" s="10" t="b">
        <v>1</v>
      </c>
      <c r="H173" s="9" t="s">
        <v>20</v>
      </c>
      <c r="I173" s="9" t="e">
        <f t="array" aca="1" ref="I173" ca="1">IF(H173="","",VLOOKUP(H173,_xludf.HSTACK(#REF!,#REF!),2,FALSE))</f>
        <v>#NAME?</v>
      </c>
      <c r="J173" s="9"/>
    </row>
    <row r="174" spans="1:10" x14ac:dyDescent="0.25">
      <c r="A174" s="9" t="s">
        <v>652</v>
      </c>
      <c r="B174" s="9" t="s">
        <v>3943</v>
      </c>
      <c r="C174" s="7" t="s">
        <v>742</v>
      </c>
      <c r="D174" s="9"/>
      <c r="E174" s="7" t="s">
        <v>3944</v>
      </c>
      <c r="F174" s="10" t="b">
        <v>0</v>
      </c>
      <c r="G174" s="10" t="b">
        <v>1</v>
      </c>
      <c r="H174" s="9"/>
      <c r="I174" s="9" t="str">
        <f t="array" ref="I174">IF(H174="","",VLOOKUP(H174,_xludf.HSTACK(#REF!,#REF!),2,FALSE))</f>
        <v/>
      </c>
      <c r="J174" s="9"/>
    </row>
    <row r="175" spans="1:10" x14ac:dyDescent="0.25">
      <c r="A175" s="9" t="s">
        <v>652</v>
      </c>
      <c r="B175" s="9" t="s">
        <v>3945</v>
      </c>
      <c r="C175" s="7" t="s">
        <v>742</v>
      </c>
      <c r="D175" s="9"/>
      <c r="E175" s="7" t="s">
        <v>3946</v>
      </c>
      <c r="F175" s="10" t="b">
        <v>0</v>
      </c>
      <c r="G175" s="10" t="b">
        <v>1</v>
      </c>
      <c r="H175" s="9"/>
      <c r="I175" s="9" t="str">
        <f t="array" ref="I175">IF(H175="","",VLOOKUP(H175,_xludf.HSTACK(#REF!,#REF!),2,FALSE))</f>
        <v/>
      </c>
      <c r="J175" s="9"/>
    </row>
    <row r="176" spans="1:10" x14ac:dyDescent="0.25">
      <c r="A176" s="9" t="s">
        <v>652</v>
      </c>
      <c r="B176" s="9" t="s">
        <v>3947</v>
      </c>
      <c r="C176" s="7" t="s">
        <v>742</v>
      </c>
      <c r="D176" s="7" t="s">
        <v>3948</v>
      </c>
      <c r="E176" s="7" t="s">
        <v>3949</v>
      </c>
      <c r="F176" s="10" t="b">
        <v>0</v>
      </c>
      <c r="G176" s="10" t="b">
        <v>1</v>
      </c>
      <c r="H176" s="9"/>
      <c r="I176" s="9" t="str">
        <f t="array" ref="I176">IF(H176="","",VLOOKUP(H176,_xludf.HSTACK(#REF!,#REF!),2,FALSE))</f>
        <v/>
      </c>
      <c r="J176" s="9"/>
    </row>
    <row r="177" spans="1:10" x14ac:dyDescent="0.25">
      <c r="A177" s="9" t="s">
        <v>652</v>
      </c>
      <c r="B177" s="9" t="s">
        <v>3950</v>
      </c>
      <c r="C177" s="7" t="s">
        <v>172</v>
      </c>
      <c r="D177" s="9"/>
      <c r="E177" s="7" t="s">
        <v>3951</v>
      </c>
      <c r="F177" s="10" t="b">
        <v>0</v>
      </c>
      <c r="G177" s="10" t="b">
        <v>1</v>
      </c>
      <c r="H177" s="9"/>
      <c r="I177" s="9" t="str">
        <f t="array" ref="I177">IF(H177="","",VLOOKUP(H177,_xludf.HSTACK(#REF!,#REF!),2,FALSE))</f>
        <v/>
      </c>
      <c r="J177" s="9"/>
    </row>
    <row r="178" spans="1:10" x14ac:dyDescent="0.25">
      <c r="A178" s="9" t="s">
        <v>652</v>
      </c>
      <c r="B178" s="9" t="s">
        <v>3952</v>
      </c>
      <c r="C178" s="7" t="s">
        <v>827</v>
      </c>
      <c r="D178" s="9"/>
      <c r="E178" s="7" t="s">
        <v>3953</v>
      </c>
      <c r="F178" s="10" t="b">
        <v>0</v>
      </c>
      <c r="G178" s="10" t="b">
        <v>1</v>
      </c>
      <c r="H178" s="9"/>
      <c r="I178" s="9" t="str">
        <f t="array" ref="I178">IF(H178="","",VLOOKUP(H178,_xludf.HSTACK(#REF!,#REF!),2,FALSE))</f>
        <v/>
      </c>
      <c r="J178" s="9"/>
    </row>
    <row r="179" spans="1:10" x14ac:dyDescent="0.25">
      <c r="A179" s="9" t="s">
        <v>652</v>
      </c>
      <c r="B179" s="9" t="s">
        <v>3954</v>
      </c>
      <c r="C179" s="7" t="s">
        <v>827</v>
      </c>
      <c r="D179" s="9"/>
      <c r="E179" s="7" t="s">
        <v>3955</v>
      </c>
      <c r="F179" s="10" t="b">
        <v>0</v>
      </c>
      <c r="G179" s="10" t="b">
        <v>1</v>
      </c>
      <c r="H179" s="9"/>
      <c r="I179" s="9" t="str">
        <f t="array" ref="I179">IF(H179="","",VLOOKUP(H179,_xludf.HSTACK(#REF!,#REF!),2,FALSE))</f>
        <v/>
      </c>
      <c r="J179" s="9"/>
    </row>
    <row r="180" spans="1:10" x14ac:dyDescent="0.25">
      <c r="A180" s="9" t="s">
        <v>652</v>
      </c>
      <c r="B180" s="9" t="s">
        <v>3956</v>
      </c>
      <c r="C180" s="7" t="s">
        <v>827</v>
      </c>
      <c r="D180" s="9"/>
      <c r="E180" s="7" t="s">
        <v>3957</v>
      </c>
      <c r="F180" s="10" t="b">
        <v>0</v>
      </c>
      <c r="G180" s="10" t="b">
        <v>1</v>
      </c>
      <c r="H180" s="9"/>
      <c r="I180" s="9" t="str">
        <f t="array" ref="I180">IF(H180="","",VLOOKUP(H180,_xludf.HSTACK(#REF!,#REF!),2,FALSE))</f>
        <v/>
      </c>
      <c r="J180" s="9"/>
    </row>
    <row r="181" spans="1:10" x14ac:dyDescent="0.25">
      <c r="A181" s="9" t="s">
        <v>652</v>
      </c>
      <c r="B181" s="9" t="s">
        <v>3958</v>
      </c>
      <c r="C181" s="7" t="s">
        <v>115</v>
      </c>
      <c r="D181" s="7" t="s">
        <v>3959</v>
      </c>
      <c r="E181" s="7" t="s">
        <v>3960</v>
      </c>
      <c r="F181" s="10" t="b">
        <v>0</v>
      </c>
      <c r="G181" s="10" t="b">
        <v>1</v>
      </c>
      <c r="H181" s="9"/>
      <c r="I181" s="9" t="str">
        <f t="array" ref="I181">IF(H181="","",VLOOKUP(H181,_xludf.HSTACK(#REF!,#REF!),2,FALSE))</f>
        <v/>
      </c>
      <c r="J181" s="9"/>
    </row>
    <row r="182" spans="1:10" x14ac:dyDescent="0.25">
      <c r="A182" s="9" t="s">
        <v>652</v>
      </c>
      <c r="B182" s="9" t="s">
        <v>3961</v>
      </c>
      <c r="C182" s="7" t="s">
        <v>115</v>
      </c>
      <c r="D182" s="7" t="s">
        <v>3962</v>
      </c>
      <c r="E182" s="7" t="s">
        <v>3963</v>
      </c>
      <c r="F182" s="10" t="b">
        <v>1</v>
      </c>
      <c r="G182" s="10" t="b">
        <v>1</v>
      </c>
      <c r="H182" s="9" t="s">
        <v>62</v>
      </c>
      <c r="I182" s="9" t="e">
        <f t="array" aca="1" ref="I182" ca="1">IF(H182="","",VLOOKUP(H182,_xludf.HSTACK(#REF!,#REF!),2,FALSE))</f>
        <v>#NAME?</v>
      </c>
      <c r="J182" s="9" t="s">
        <v>3792</v>
      </c>
    </row>
    <row r="183" spans="1:10" x14ac:dyDescent="0.25">
      <c r="A183" s="9" t="s">
        <v>652</v>
      </c>
      <c r="B183" s="9" t="s">
        <v>3964</v>
      </c>
      <c r="C183" s="7" t="s">
        <v>838</v>
      </c>
      <c r="D183" s="9"/>
      <c r="E183" s="7" t="s">
        <v>3965</v>
      </c>
      <c r="F183" s="10" t="b">
        <v>1</v>
      </c>
      <c r="G183" s="10" t="b">
        <v>1</v>
      </c>
      <c r="H183" s="9" t="s">
        <v>45</v>
      </c>
      <c r="I183" s="9" t="e">
        <f t="array" aca="1" ref="I183" ca="1">IF(H183="","",VLOOKUP(H183,_xludf.HSTACK(#REF!,#REF!),2,FALSE))</f>
        <v>#NAME?</v>
      </c>
      <c r="J183" s="9" t="s">
        <v>3966</v>
      </c>
    </row>
    <row r="184" spans="1:10" x14ac:dyDescent="0.25">
      <c r="A184" s="9" t="s">
        <v>652</v>
      </c>
      <c r="B184" s="9" t="s">
        <v>3967</v>
      </c>
      <c r="C184" s="7" t="s">
        <v>838</v>
      </c>
      <c r="D184" s="9"/>
      <c r="E184" s="7" t="s">
        <v>3968</v>
      </c>
      <c r="F184" s="10" t="b">
        <v>0</v>
      </c>
      <c r="G184" s="10" t="b">
        <v>1</v>
      </c>
      <c r="H184" s="9" t="s">
        <v>62</v>
      </c>
      <c r="I184" s="9" t="e">
        <f t="array" aca="1" ref="I184" ca="1">IF(H184="","",VLOOKUP(H184,_xludf.HSTACK(#REF!,#REF!),2,FALSE))</f>
        <v>#NAME?</v>
      </c>
      <c r="J184" s="9"/>
    </row>
    <row r="185" spans="1:10" x14ac:dyDescent="0.25">
      <c r="A185" s="9" t="s">
        <v>652</v>
      </c>
      <c r="B185" s="9" t="s">
        <v>3969</v>
      </c>
      <c r="C185" s="7" t="s">
        <v>838</v>
      </c>
      <c r="D185" s="9"/>
      <c r="E185" s="7" t="s">
        <v>3970</v>
      </c>
      <c r="F185" s="10" t="b">
        <v>0</v>
      </c>
      <c r="G185" s="10" t="b">
        <v>1</v>
      </c>
      <c r="H185" s="9" t="s">
        <v>62</v>
      </c>
      <c r="I185" s="9" t="e">
        <f t="array" aca="1" ref="I185" ca="1">IF(H185="","",VLOOKUP(H185,_xludf.HSTACK(#REF!,#REF!),2,FALSE))</f>
        <v>#NAME?</v>
      </c>
      <c r="J185" s="9"/>
    </row>
    <row r="186" spans="1:10" x14ac:dyDescent="0.25">
      <c r="A186" s="11" t="s">
        <v>379</v>
      </c>
      <c r="B186" s="11" t="s">
        <v>3971</v>
      </c>
      <c r="C186" s="12" t="s">
        <v>36</v>
      </c>
      <c r="D186" s="12" t="s">
        <v>3972</v>
      </c>
      <c r="E186" s="12" t="s">
        <v>3973</v>
      </c>
      <c r="F186" s="13" t="b">
        <v>1</v>
      </c>
      <c r="G186" s="13" t="b">
        <v>0</v>
      </c>
      <c r="H186" s="11" t="s">
        <v>35</v>
      </c>
      <c r="I186" s="11" t="e">
        <f t="array" aca="1" ref="I186" ca="1">IF(H186="","",VLOOKUP(H186,_xludf.HSTACK(#REF!,#REF!),2,FALSE))</f>
        <v>#NAME?</v>
      </c>
      <c r="J186" s="11" t="s">
        <v>3636</v>
      </c>
    </row>
    <row r="187" spans="1:10" x14ac:dyDescent="0.25">
      <c r="A187" s="11" t="s">
        <v>379</v>
      </c>
      <c r="B187" s="11" t="s">
        <v>3974</v>
      </c>
      <c r="C187" s="11"/>
      <c r="D187" s="11"/>
      <c r="E187" s="11"/>
      <c r="F187" s="13" t="b">
        <v>0</v>
      </c>
      <c r="G187" s="13" t="b">
        <v>1</v>
      </c>
      <c r="H187" s="11"/>
      <c r="I187" s="11" t="str">
        <f t="array" ref="I187">IF(H187="","",VLOOKUP(H187,_xludf.HSTACK(#REF!,#REF!),2,FALSE))</f>
        <v/>
      </c>
      <c r="J187" s="11"/>
    </row>
    <row r="188" spans="1:10" x14ac:dyDescent="0.25">
      <c r="A188" s="11" t="s">
        <v>379</v>
      </c>
      <c r="B188" s="11" t="s">
        <v>3975</v>
      </c>
      <c r="C188" s="11"/>
      <c r="D188" s="11"/>
      <c r="E188" s="11"/>
      <c r="F188" s="13" t="b">
        <v>0</v>
      </c>
      <c r="G188" s="13" t="b">
        <v>1</v>
      </c>
      <c r="H188" s="11"/>
      <c r="I188" s="11" t="str">
        <f t="array" ref="I188">IF(H188="","",VLOOKUP(H188,_xludf.HSTACK(#REF!,#REF!),2,FALSE))</f>
        <v/>
      </c>
      <c r="J188" s="11"/>
    </row>
    <row r="189" spans="1:10" x14ac:dyDescent="0.25">
      <c r="A189" s="11" t="s">
        <v>379</v>
      </c>
      <c r="B189" s="11" t="s">
        <v>3976</v>
      </c>
      <c r="C189" s="12" t="s">
        <v>442</v>
      </c>
      <c r="D189" s="12" t="s">
        <v>3977</v>
      </c>
      <c r="E189" s="12" t="s">
        <v>3978</v>
      </c>
      <c r="F189" s="13" t="b">
        <v>1</v>
      </c>
      <c r="G189" s="13" t="b">
        <v>1</v>
      </c>
      <c r="H189" s="11" t="s">
        <v>60</v>
      </c>
      <c r="I189" s="11" t="e">
        <f t="array" aca="1" ref="I189" ca="1">IF(H189="","",VLOOKUP(H189,_xludf.HSTACK(#REF!,#REF!),2,FALSE))</f>
        <v>#NAME?</v>
      </c>
      <c r="J189" s="11" t="s">
        <v>3979</v>
      </c>
    </row>
    <row r="190" spans="1:10" x14ac:dyDescent="0.25">
      <c r="A190" s="11" t="s">
        <v>379</v>
      </c>
      <c r="B190" s="11" t="s">
        <v>3980</v>
      </c>
      <c r="C190" s="12" t="s">
        <v>442</v>
      </c>
      <c r="D190" s="12" t="s">
        <v>3981</v>
      </c>
      <c r="E190" s="12" t="s">
        <v>3982</v>
      </c>
      <c r="F190" s="13" t="b">
        <v>0</v>
      </c>
      <c r="G190" s="13" t="b">
        <v>1</v>
      </c>
      <c r="H190" s="11" t="s">
        <v>60</v>
      </c>
      <c r="I190" s="11" t="e">
        <f t="array" aca="1" ref="I190" ca="1">IF(H190="","",VLOOKUP(H190,_xludf.HSTACK(#REF!,#REF!),2,FALSE))</f>
        <v>#NAME?</v>
      </c>
      <c r="J190" s="11"/>
    </row>
    <row r="191" spans="1:10" x14ac:dyDescent="0.25">
      <c r="A191" s="11" t="s">
        <v>379</v>
      </c>
      <c r="B191" s="11" t="s">
        <v>3983</v>
      </c>
      <c r="C191" s="12" t="s">
        <v>442</v>
      </c>
      <c r="D191" s="12" t="s">
        <v>3977</v>
      </c>
      <c r="E191" s="12" t="s">
        <v>3984</v>
      </c>
      <c r="F191" s="13" t="b">
        <v>0</v>
      </c>
      <c r="G191" s="13" t="b">
        <v>1</v>
      </c>
      <c r="H191" s="11" t="s">
        <v>60</v>
      </c>
      <c r="I191" s="11" t="e">
        <f t="array" aca="1" ref="I191" ca="1">IF(H191="","",VLOOKUP(H191,_xludf.HSTACK(#REF!,#REF!),2,FALSE))</f>
        <v>#NAME?</v>
      </c>
      <c r="J191" s="11"/>
    </row>
    <row r="192" spans="1:10" x14ac:dyDescent="0.25">
      <c r="A192" s="11" t="s">
        <v>379</v>
      </c>
      <c r="B192" s="11" t="s">
        <v>3985</v>
      </c>
      <c r="C192" s="12" t="s">
        <v>442</v>
      </c>
      <c r="D192" s="12" t="s">
        <v>3986</v>
      </c>
      <c r="E192" s="12" t="s">
        <v>3987</v>
      </c>
      <c r="F192" s="13" t="b">
        <v>0</v>
      </c>
      <c r="G192" s="13" t="b">
        <v>1</v>
      </c>
      <c r="H192" s="11" t="s">
        <v>60</v>
      </c>
      <c r="I192" s="11" t="e">
        <f t="array" aca="1" ref="I192" ca="1">IF(H192="","",VLOOKUP(H192,_xludf.HSTACK(#REF!,#REF!),2,FALSE))</f>
        <v>#NAME?</v>
      </c>
      <c r="J192" s="11"/>
    </row>
    <row r="193" spans="1:10" x14ac:dyDescent="0.25">
      <c r="A193" s="11" t="s">
        <v>379</v>
      </c>
      <c r="B193" s="11" t="s">
        <v>3988</v>
      </c>
      <c r="C193" s="12" t="s">
        <v>442</v>
      </c>
      <c r="D193" s="12" t="s">
        <v>3989</v>
      </c>
      <c r="E193" s="12" t="s">
        <v>3990</v>
      </c>
      <c r="F193" s="13" t="b">
        <v>1</v>
      </c>
      <c r="G193" s="13" t="b">
        <v>1</v>
      </c>
      <c r="H193" s="11" t="s">
        <v>60</v>
      </c>
      <c r="I193" s="11" t="e">
        <f t="array" aca="1" ref="I193" ca="1">IF(H193="","",VLOOKUP(H193,_xludf.HSTACK(#REF!,#REF!),2,FALSE))</f>
        <v>#NAME?</v>
      </c>
      <c r="J193" s="11" t="s">
        <v>3979</v>
      </c>
    </row>
    <row r="194" spans="1:10" x14ac:dyDescent="0.25">
      <c r="A194" s="11" t="s">
        <v>379</v>
      </c>
      <c r="B194" s="11" t="s">
        <v>3991</v>
      </c>
      <c r="C194" s="12" t="s">
        <v>442</v>
      </c>
      <c r="D194" s="12" t="s">
        <v>3981</v>
      </c>
      <c r="E194" s="12" t="s">
        <v>3992</v>
      </c>
      <c r="F194" s="13" t="b">
        <v>0</v>
      </c>
      <c r="G194" s="13" t="b">
        <v>1</v>
      </c>
      <c r="H194" s="11" t="s">
        <v>60</v>
      </c>
      <c r="I194" s="11" t="e">
        <f t="array" aca="1" ref="I194" ca="1">IF(H194="","",VLOOKUP(H194,_xludf.HSTACK(#REF!,#REF!),2,FALSE))</f>
        <v>#NAME?</v>
      </c>
      <c r="J194" s="11"/>
    </row>
    <row r="195" spans="1:10" x14ac:dyDescent="0.25">
      <c r="A195" s="11" t="s">
        <v>379</v>
      </c>
      <c r="B195" s="11" t="s">
        <v>3993</v>
      </c>
      <c r="C195" s="12" t="s">
        <v>605</v>
      </c>
      <c r="D195" s="12" t="s">
        <v>3994</v>
      </c>
      <c r="E195" s="12" t="s">
        <v>3995</v>
      </c>
      <c r="F195" s="13" t="b">
        <v>0</v>
      </c>
      <c r="G195" s="13" t="b">
        <v>1</v>
      </c>
      <c r="H195" s="11" t="s">
        <v>62</v>
      </c>
      <c r="I195" s="11" t="e">
        <f t="array" aca="1" ref="I195" ca="1">IF(H195="","",VLOOKUP(H195,_xludf.HSTACK(#REF!,#REF!),2,FALSE))</f>
        <v>#NAME?</v>
      </c>
      <c r="J195" s="11" t="s">
        <v>3996</v>
      </c>
    </row>
    <row r="196" spans="1:10" x14ac:dyDescent="0.25">
      <c r="A196" s="11" t="s">
        <v>379</v>
      </c>
      <c r="B196" s="11" t="s">
        <v>3997</v>
      </c>
      <c r="C196" s="12" t="s">
        <v>605</v>
      </c>
      <c r="D196" s="12" t="s">
        <v>3998</v>
      </c>
      <c r="E196" s="12" t="s">
        <v>3999</v>
      </c>
      <c r="F196" s="13" t="b">
        <v>0</v>
      </c>
      <c r="G196" s="13" t="b">
        <v>1</v>
      </c>
      <c r="H196" s="11" t="s">
        <v>62</v>
      </c>
      <c r="I196" s="11" t="e">
        <f t="array" aca="1" ref="I196" ca="1">IF(H196="","",VLOOKUP(H196,_xludf.HSTACK(#REF!,#REF!),2,FALSE))</f>
        <v>#NAME?</v>
      </c>
      <c r="J196" s="11" t="s">
        <v>3996</v>
      </c>
    </row>
    <row r="197" spans="1:10" x14ac:dyDescent="0.25">
      <c r="A197" s="11" t="s">
        <v>379</v>
      </c>
      <c r="B197" s="11" t="s">
        <v>4000</v>
      </c>
      <c r="C197" s="12" t="s">
        <v>605</v>
      </c>
      <c r="D197" s="12" t="s">
        <v>4001</v>
      </c>
      <c r="E197" s="12" t="s">
        <v>4002</v>
      </c>
      <c r="F197" s="13" t="b">
        <v>0</v>
      </c>
      <c r="G197" s="13" t="b">
        <v>1</v>
      </c>
      <c r="H197" s="11" t="s">
        <v>62</v>
      </c>
      <c r="I197" s="11" t="e">
        <f t="array" aca="1" ref="I197" ca="1">IF(H197="","",VLOOKUP(H197,_xludf.HSTACK(#REF!,#REF!),2,FALSE))</f>
        <v>#NAME?</v>
      </c>
      <c r="J197" s="11" t="s">
        <v>3996</v>
      </c>
    </row>
    <row r="198" spans="1:10" x14ac:dyDescent="0.25">
      <c r="A198" s="11" t="s">
        <v>379</v>
      </c>
      <c r="B198" s="11" t="s">
        <v>4003</v>
      </c>
      <c r="C198" s="12" t="s">
        <v>590</v>
      </c>
      <c r="D198" s="12" t="s">
        <v>4004</v>
      </c>
      <c r="E198" s="12" t="s">
        <v>4005</v>
      </c>
      <c r="F198" s="13" t="b">
        <v>0</v>
      </c>
      <c r="G198" s="13" t="b">
        <v>1</v>
      </c>
      <c r="H198" s="11" t="s">
        <v>62</v>
      </c>
      <c r="I198" s="11" t="e">
        <f t="array" aca="1" ref="I198" ca="1">IF(H198="","",VLOOKUP(H198,_xludf.HSTACK(#REF!,#REF!),2,FALSE))</f>
        <v>#NAME?</v>
      </c>
      <c r="J198" s="11" t="s">
        <v>3996</v>
      </c>
    </row>
    <row r="199" spans="1:10" x14ac:dyDescent="0.25">
      <c r="A199" s="11" t="s">
        <v>379</v>
      </c>
      <c r="B199" s="11" t="s">
        <v>4006</v>
      </c>
      <c r="C199" s="12" t="s">
        <v>425</v>
      </c>
      <c r="D199" s="12" t="s">
        <v>4007</v>
      </c>
      <c r="E199" s="12" t="s">
        <v>4008</v>
      </c>
      <c r="F199" s="13" t="b">
        <v>0</v>
      </c>
      <c r="G199" s="13" t="b">
        <v>1</v>
      </c>
      <c r="H199" s="11" t="s">
        <v>42</v>
      </c>
      <c r="I199" s="11" t="e">
        <f t="array" aca="1" ref="I199" ca="1">IF(H199="","",VLOOKUP(H199,_xludf.HSTACK(#REF!,#REF!),2,FALSE))</f>
        <v>#NAME?</v>
      </c>
      <c r="J199" s="11" t="s">
        <v>3996</v>
      </c>
    </row>
    <row r="200" spans="1:10" x14ac:dyDescent="0.25">
      <c r="A200" s="11" t="s">
        <v>379</v>
      </c>
      <c r="B200" s="11" t="s">
        <v>4009</v>
      </c>
      <c r="C200" s="12" t="s">
        <v>425</v>
      </c>
      <c r="D200" s="12" t="s">
        <v>4007</v>
      </c>
      <c r="E200" s="12" t="s">
        <v>4010</v>
      </c>
      <c r="F200" s="13" t="b">
        <v>0</v>
      </c>
      <c r="G200" s="13" t="b">
        <v>1</v>
      </c>
      <c r="H200" s="11" t="s">
        <v>42</v>
      </c>
      <c r="I200" s="11" t="e">
        <f t="array" aca="1" ref="I200" ca="1">IF(H200="","",VLOOKUP(H200,_xludf.HSTACK(#REF!,#REF!),2,FALSE))</f>
        <v>#NAME?</v>
      </c>
      <c r="J200" s="11" t="s">
        <v>3996</v>
      </c>
    </row>
    <row r="201" spans="1:10" x14ac:dyDescent="0.25">
      <c r="A201" s="11" t="s">
        <v>379</v>
      </c>
      <c r="B201" s="11" t="s">
        <v>4011</v>
      </c>
      <c r="C201" s="12" t="s">
        <v>590</v>
      </c>
      <c r="D201" s="12" t="s">
        <v>4004</v>
      </c>
      <c r="E201" s="12" t="s">
        <v>4012</v>
      </c>
      <c r="F201" s="13" t="b">
        <v>0</v>
      </c>
      <c r="G201" s="13" t="b">
        <v>1</v>
      </c>
      <c r="H201" s="11" t="s">
        <v>62</v>
      </c>
      <c r="I201" s="11" t="e">
        <f t="array" aca="1" ref="I201" ca="1">IF(H201="","",VLOOKUP(H201,_xludf.HSTACK(#REF!,#REF!),2,FALSE))</f>
        <v>#NAME?</v>
      </c>
      <c r="J201" s="11"/>
    </row>
    <row r="202" spans="1:10" x14ac:dyDescent="0.25">
      <c r="A202" s="11" t="s">
        <v>379</v>
      </c>
      <c r="B202" s="11" t="s">
        <v>4013</v>
      </c>
      <c r="C202" s="12" t="s">
        <v>25</v>
      </c>
      <c r="D202" s="12" t="s">
        <v>4007</v>
      </c>
      <c r="E202" s="12" t="s">
        <v>4014</v>
      </c>
      <c r="F202" s="13" t="b">
        <v>0</v>
      </c>
      <c r="G202" s="13" t="b">
        <v>1</v>
      </c>
      <c r="H202" s="11" t="s">
        <v>24</v>
      </c>
      <c r="I202" s="11" t="e">
        <f t="array" aca="1" ref="I202" ca="1">IF(H202="","",VLOOKUP(H202,_xludf.HSTACK(#REF!,#REF!),2,FALSE))</f>
        <v>#NAME?</v>
      </c>
      <c r="J202" s="11"/>
    </row>
    <row r="203" spans="1:10" x14ac:dyDescent="0.25">
      <c r="A203" s="11" t="s">
        <v>379</v>
      </c>
      <c r="B203" s="11" t="s">
        <v>4015</v>
      </c>
      <c r="C203" s="12" t="s">
        <v>590</v>
      </c>
      <c r="D203" s="12" t="s">
        <v>4016</v>
      </c>
      <c r="E203" s="12" t="s">
        <v>4017</v>
      </c>
      <c r="F203" s="13" t="b">
        <v>0</v>
      </c>
      <c r="G203" s="13" t="b">
        <v>1</v>
      </c>
      <c r="H203" s="11" t="s">
        <v>62</v>
      </c>
      <c r="I203" s="11" t="e">
        <f t="array" aca="1" ref="I203" ca="1">IF(H203="","",VLOOKUP(H203,_xludf.HSTACK(#REF!,#REF!),2,FALSE))</f>
        <v>#NAME?</v>
      </c>
      <c r="J203" s="11" t="s">
        <v>3996</v>
      </c>
    </row>
    <row r="204" spans="1:10" x14ac:dyDescent="0.25">
      <c r="A204" s="11" t="s">
        <v>379</v>
      </c>
      <c r="B204" s="11" t="s">
        <v>4018</v>
      </c>
      <c r="C204" s="12" t="s">
        <v>192</v>
      </c>
      <c r="D204" s="11"/>
      <c r="E204" s="12" t="s">
        <v>4019</v>
      </c>
      <c r="F204" s="13" t="b">
        <v>0</v>
      </c>
      <c r="G204" s="13" t="b">
        <v>0</v>
      </c>
      <c r="H204" s="11"/>
      <c r="I204" s="11" t="str">
        <f t="array" ref="I204">IF(H204="","",VLOOKUP(H204,_xludf.HSTACK(#REF!,#REF!),2,FALSE))</f>
        <v/>
      </c>
      <c r="J204" s="11"/>
    </row>
    <row r="205" spans="1:10" x14ac:dyDescent="0.25">
      <c r="A205" s="11" t="s">
        <v>379</v>
      </c>
      <c r="B205" s="11" t="s">
        <v>4020</v>
      </c>
      <c r="C205" s="12" t="s">
        <v>461</v>
      </c>
      <c r="D205" s="12" t="s">
        <v>4021</v>
      </c>
      <c r="E205" s="12" t="s">
        <v>4022</v>
      </c>
      <c r="F205" s="13" t="b">
        <v>0</v>
      </c>
      <c r="G205" s="13" t="b">
        <v>1</v>
      </c>
      <c r="H205" s="11"/>
      <c r="I205" s="11" t="str">
        <f t="array" ref="I205">IF(H205="","",VLOOKUP(H205,_xludf.HSTACK(#REF!,#REF!),2,FALSE))</f>
        <v/>
      </c>
      <c r="J205" s="11"/>
    </row>
    <row r="206" spans="1:10" x14ac:dyDescent="0.25">
      <c r="A206" s="11" t="s">
        <v>379</v>
      </c>
      <c r="B206" s="11" t="s">
        <v>4023</v>
      </c>
      <c r="C206" s="12" t="s">
        <v>522</v>
      </c>
      <c r="D206" s="12" t="s">
        <v>4021</v>
      </c>
      <c r="E206" s="12" t="s">
        <v>4024</v>
      </c>
      <c r="F206" s="13" t="b">
        <v>0</v>
      </c>
      <c r="G206" s="13" t="b">
        <v>1</v>
      </c>
      <c r="H206" s="11"/>
      <c r="I206" s="11" t="str">
        <f t="array" ref="I206">IF(H206="","",VLOOKUP(H206,_xludf.HSTACK(#REF!,#REF!),2,FALSE))</f>
        <v/>
      </c>
      <c r="J206" s="11"/>
    </row>
    <row r="207" spans="1:10" x14ac:dyDescent="0.25">
      <c r="A207" s="11" t="s">
        <v>379</v>
      </c>
      <c r="B207" s="11" t="s">
        <v>4025</v>
      </c>
      <c r="C207" s="12" t="s">
        <v>172</v>
      </c>
      <c r="D207" s="12" t="s">
        <v>4021</v>
      </c>
      <c r="E207" s="12" t="s">
        <v>4026</v>
      </c>
      <c r="F207" s="13" t="b">
        <v>0</v>
      </c>
      <c r="G207" s="13" t="b">
        <v>1</v>
      </c>
      <c r="H207" s="11"/>
      <c r="I207" s="11" t="str">
        <f t="array" ref="I207">IF(H207="","",VLOOKUP(H207,_xludf.HSTACK(#REF!,#REF!),2,FALSE))</f>
        <v/>
      </c>
      <c r="J207" s="11"/>
    </row>
    <row r="208" spans="1:10" x14ac:dyDescent="0.25">
      <c r="A208" s="11" t="s">
        <v>379</v>
      </c>
      <c r="B208" s="11" t="s">
        <v>4027</v>
      </c>
      <c r="C208" s="12" t="s">
        <v>192</v>
      </c>
      <c r="D208" s="11"/>
      <c r="E208" s="12" t="s">
        <v>4028</v>
      </c>
      <c r="F208" s="13" t="b">
        <v>0</v>
      </c>
      <c r="G208" s="13" t="b">
        <v>0</v>
      </c>
      <c r="H208" s="11"/>
      <c r="I208" s="11" t="str">
        <f t="array" ref="I208">IF(H208="","",VLOOKUP(H208,_xludf.HSTACK(#REF!,#REF!),2,FALSE))</f>
        <v/>
      </c>
      <c r="J208" s="11"/>
    </row>
    <row r="209" spans="1:10" x14ac:dyDescent="0.25">
      <c r="A209" s="11" t="s">
        <v>379</v>
      </c>
      <c r="B209" s="11" t="s">
        <v>4029</v>
      </c>
      <c r="C209" s="12" t="s">
        <v>461</v>
      </c>
      <c r="D209" s="12" t="s">
        <v>4030</v>
      </c>
      <c r="E209" s="12" t="s">
        <v>4031</v>
      </c>
      <c r="F209" s="13" t="b">
        <v>0</v>
      </c>
      <c r="G209" s="13" t="b">
        <v>1</v>
      </c>
      <c r="H209" s="11"/>
      <c r="I209" s="11" t="str">
        <f t="array" ref="I209">IF(H209="","",VLOOKUP(H209,_xludf.HSTACK(#REF!,#REF!),2,FALSE))</f>
        <v/>
      </c>
      <c r="J209" s="11"/>
    </row>
    <row r="210" spans="1:10" x14ac:dyDescent="0.25">
      <c r="A210" s="11" t="s">
        <v>379</v>
      </c>
      <c r="B210" s="11" t="s">
        <v>4032</v>
      </c>
      <c r="C210" s="12" t="s">
        <v>522</v>
      </c>
      <c r="D210" s="12" t="s">
        <v>4030</v>
      </c>
      <c r="E210" s="12" t="s">
        <v>4033</v>
      </c>
      <c r="F210" s="13" t="b">
        <v>0</v>
      </c>
      <c r="G210" s="13" t="b">
        <v>1</v>
      </c>
      <c r="H210" s="11"/>
      <c r="I210" s="11" t="str">
        <f t="array" ref="I210">IF(H210="","",VLOOKUP(H210,_xludf.HSTACK(#REF!,#REF!),2,FALSE))</f>
        <v/>
      </c>
      <c r="J210" s="11"/>
    </row>
    <row r="211" spans="1:10" x14ac:dyDescent="0.25">
      <c r="A211" s="11" t="s">
        <v>379</v>
      </c>
      <c r="B211" s="11" t="s">
        <v>4034</v>
      </c>
      <c r="C211" s="12" t="s">
        <v>172</v>
      </c>
      <c r="D211" s="12" t="s">
        <v>4030</v>
      </c>
      <c r="E211" s="12" t="s">
        <v>4035</v>
      </c>
      <c r="F211" s="13" t="b">
        <v>0</v>
      </c>
      <c r="G211" s="13" t="b">
        <v>1</v>
      </c>
      <c r="H211" s="11"/>
      <c r="I211" s="11" t="str">
        <f t="array" ref="I211">IF(H211="","",VLOOKUP(H211,_xludf.HSTACK(#REF!,#REF!),2,FALSE))</f>
        <v/>
      </c>
      <c r="J211" s="11"/>
    </row>
    <row r="212" spans="1:10" x14ac:dyDescent="0.25">
      <c r="A212" s="11" t="s">
        <v>379</v>
      </c>
      <c r="B212" s="11" t="s">
        <v>4036</v>
      </c>
      <c r="C212" s="12" t="s">
        <v>27</v>
      </c>
      <c r="D212" s="11"/>
      <c r="E212" s="12" t="s">
        <v>4037</v>
      </c>
      <c r="F212" s="13" t="b">
        <v>0</v>
      </c>
      <c r="G212" s="13" t="b">
        <v>0</v>
      </c>
      <c r="H212" s="11" t="s">
        <v>29</v>
      </c>
      <c r="I212" s="11" t="e">
        <f t="array" aca="1" ref="I212" ca="1">IF(H212="","",VLOOKUP(H212,_xludf.HSTACK(#REF!,#REF!),2,FALSE))</f>
        <v>#NAME?</v>
      </c>
      <c r="J212" s="11"/>
    </row>
    <row r="213" spans="1:10" x14ac:dyDescent="0.25">
      <c r="A213" s="11" t="s">
        <v>379</v>
      </c>
      <c r="B213" s="11" t="s">
        <v>4038</v>
      </c>
      <c r="C213" s="12" t="s">
        <v>192</v>
      </c>
      <c r="D213" s="11"/>
      <c r="E213" s="12" t="s">
        <v>4039</v>
      </c>
      <c r="F213" s="13" t="b">
        <v>0</v>
      </c>
      <c r="G213" s="13" t="b">
        <v>0</v>
      </c>
      <c r="H213" s="11"/>
      <c r="I213" s="11" t="str">
        <f t="array" ref="I213">IF(H213="","",VLOOKUP(H213,_xludf.HSTACK(#REF!,#REF!),2,FALSE))</f>
        <v/>
      </c>
      <c r="J213" s="11"/>
    </row>
    <row r="214" spans="1:10" x14ac:dyDescent="0.25">
      <c r="A214" s="11" t="s">
        <v>379</v>
      </c>
      <c r="B214" s="11" t="s">
        <v>4040</v>
      </c>
      <c r="C214" s="12" t="s">
        <v>192</v>
      </c>
      <c r="D214" s="11"/>
      <c r="E214" s="12" t="s">
        <v>4041</v>
      </c>
      <c r="F214" s="13" t="b">
        <v>0</v>
      </c>
      <c r="G214" s="13" t="b">
        <v>0</v>
      </c>
      <c r="H214" s="11"/>
      <c r="I214" s="11" t="str">
        <f t="array" ref="I214">IF(H214="","",VLOOKUP(H214,_xludf.HSTACK(#REF!,#REF!),2,FALSE))</f>
        <v/>
      </c>
      <c r="J214" s="11"/>
    </row>
    <row r="215" spans="1:10" x14ac:dyDescent="0.25">
      <c r="A215" s="11" t="s">
        <v>379</v>
      </c>
      <c r="B215" s="11" t="s">
        <v>4042</v>
      </c>
      <c r="C215" s="12" t="s">
        <v>461</v>
      </c>
      <c r="D215" s="12" t="s">
        <v>4043</v>
      </c>
      <c r="E215" s="12" t="s">
        <v>4044</v>
      </c>
      <c r="F215" s="13" t="b">
        <v>0</v>
      </c>
      <c r="G215" s="13" t="b">
        <v>1</v>
      </c>
      <c r="H215" s="11"/>
      <c r="I215" s="11" t="str">
        <f t="array" ref="I215">IF(H215="","",VLOOKUP(H215,_xludf.HSTACK(#REF!,#REF!),2,FALSE))</f>
        <v/>
      </c>
      <c r="J215" s="11"/>
    </row>
    <row r="216" spans="1:10" x14ac:dyDescent="0.25">
      <c r="A216" s="11" t="s">
        <v>379</v>
      </c>
      <c r="B216" s="11" t="s">
        <v>4045</v>
      </c>
      <c r="C216" s="12" t="s">
        <v>522</v>
      </c>
      <c r="D216" s="12" t="s">
        <v>4043</v>
      </c>
      <c r="E216" s="12" t="s">
        <v>4046</v>
      </c>
      <c r="F216" s="13" t="b">
        <v>0</v>
      </c>
      <c r="G216" s="13" t="b">
        <v>1</v>
      </c>
      <c r="H216" s="11"/>
      <c r="I216" s="11" t="str">
        <f t="array" ref="I216">IF(H216="","",VLOOKUP(H216,_xludf.HSTACK(#REF!,#REF!),2,FALSE))</f>
        <v/>
      </c>
      <c r="J216" s="11"/>
    </row>
    <row r="217" spans="1:10" x14ac:dyDescent="0.25">
      <c r="A217" s="11" t="s">
        <v>379</v>
      </c>
      <c r="B217" s="11" t="s">
        <v>4047</v>
      </c>
      <c r="C217" s="12" t="s">
        <v>172</v>
      </c>
      <c r="D217" s="12" t="s">
        <v>4043</v>
      </c>
      <c r="E217" s="12" t="s">
        <v>4048</v>
      </c>
      <c r="F217" s="13" t="b">
        <v>0</v>
      </c>
      <c r="G217" s="13" t="b">
        <v>1</v>
      </c>
      <c r="H217" s="11"/>
      <c r="I217" s="11" t="str">
        <f t="array" ref="I217">IF(H217="","",VLOOKUP(H217,_xludf.HSTACK(#REF!,#REF!),2,FALSE))</f>
        <v/>
      </c>
      <c r="J217" s="11"/>
    </row>
    <row r="218" spans="1:10" x14ac:dyDescent="0.25">
      <c r="A218" s="11" t="s">
        <v>379</v>
      </c>
      <c r="B218" s="11" t="s">
        <v>4049</v>
      </c>
      <c r="C218" s="12" t="s">
        <v>192</v>
      </c>
      <c r="D218" s="11"/>
      <c r="E218" s="12" t="s">
        <v>4050</v>
      </c>
      <c r="F218" s="13" t="b">
        <v>0</v>
      </c>
      <c r="G218" s="13" t="b">
        <v>0</v>
      </c>
      <c r="H218" s="11"/>
      <c r="I218" s="11" t="str">
        <f t="array" ref="I218">IF(H218="","",VLOOKUP(H218,_xludf.HSTACK(#REF!,#REF!),2,FALSE))</f>
        <v/>
      </c>
      <c r="J218" s="11"/>
    </row>
    <row r="219" spans="1:10" x14ac:dyDescent="0.25">
      <c r="A219" s="11" t="s">
        <v>379</v>
      </c>
      <c r="B219" s="11" t="s">
        <v>4051</v>
      </c>
      <c r="C219" s="12" t="s">
        <v>192</v>
      </c>
      <c r="D219" s="11"/>
      <c r="E219" s="12" t="s">
        <v>4052</v>
      </c>
      <c r="F219" s="13" t="b">
        <v>0</v>
      </c>
      <c r="G219" s="13" t="b">
        <v>0</v>
      </c>
      <c r="H219" s="11"/>
      <c r="I219" s="11" t="str">
        <f t="array" ref="I219">IF(H219="","",VLOOKUP(H219,_xludf.HSTACK(#REF!,#REF!),2,FALSE))</f>
        <v/>
      </c>
      <c r="J219" s="11"/>
    </row>
    <row r="220" spans="1:10" x14ac:dyDescent="0.25">
      <c r="A220" s="11" t="s">
        <v>379</v>
      </c>
      <c r="B220" s="11" t="s">
        <v>4053</v>
      </c>
      <c r="C220" s="12" t="s">
        <v>27</v>
      </c>
      <c r="D220" s="11"/>
      <c r="E220" s="12" t="s">
        <v>4054</v>
      </c>
      <c r="F220" s="13" t="b">
        <v>0</v>
      </c>
      <c r="G220" s="13" t="b">
        <v>0</v>
      </c>
      <c r="H220" s="11" t="s">
        <v>29</v>
      </c>
      <c r="I220" s="11" t="e">
        <f t="array" aca="1" ref="I220" ca="1">IF(H220="","",VLOOKUP(H220,_xludf.HSTACK(#REF!,#REF!),2,FALSE))</f>
        <v>#NAME?</v>
      </c>
      <c r="J220" s="11"/>
    </row>
    <row r="221" spans="1:10" x14ac:dyDescent="0.25">
      <c r="A221" s="11" t="s">
        <v>379</v>
      </c>
      <c r="B221" s="11" t="s">
        <v>4055</v>
      </c>
      <c r="C221" s="12" t="s">
        <v>461</v>
      </c>
      <c r="D221" s="12" t="s">
        <v>4056</v>
      </c>
      <c r="E221" s="12" t="s">
        <v>4057</v>
      </c>
      <c r="F221" s="13" t="b">
        <v>0</v>
      </c>
      <c r="G221" s="13" t="b">
        <v>1</v>
      </c>
      <c r="H221" s="11" t="s">
        <v>54</v>
      </c>
      <c r="I221" s="11" t="e">
        <f t="array" aca="1" ref="I221" ca="1">IF(H221="","",VLOOKUP(H221,_xludf.HSTACK(#REF!,#REF!),2,FALSE))</f>
        <v>#NAME?</v>
      </c>
      <c r="J221" s="11"/>
    </row>
    <row r="222" spans="1:10" x14ac:dyDescent="0.25">
      <c r="A222" s="11" t="s">
        <v>379</v>
      </c>
      <c r="B222" s="11" t="s">
        <v>4058</v>
      </c>
      <c r="C222" s="12" t="s">
        <v>522</v>
      </c>
      <c r="D222" s="12" t="s">
        <v>4056</v>
      </c>
      <c r="E222" s="12" t="s">
        <v>4059</v>
      </c>
      <c r="F222" s="13" t="b">
        <v>0</v>
      </c>
      <c r="G222" s="13" t="b">
        <v>1</v>
      </c>
      <c r="H222" s="11" t="s">
        <v>54</v>
      </c>
      <c r="I222" s="11" t="e">
        <f t="array" aca="1" ref="I222" ca="1">IF(H222="","",VLOOKUP(H222,_xludf.HSTACK(#REF!,#REF!),2,FALSE))</f>
        <v>#NAME?</v>
      </c>
      <c r="J222" s="11"/>
    </row>
    <row r="223" spans="1:10" x14ac:dyDescent="0.25">
      <c r="A223" s="11" t="s">
        <v>379</v>
      </c>
      <c r="B223" s="11" t="s">
        <v>4060</v>
      </c>
      <c r="C223" s="12" t="s">
        <v>172</v>
      </c>
      <c r="D223" s="12" t="s">
        <v>4056</v>
      </c>
      <c r="E223" s="12" t="s">
        <v>4061</v>
      </c>
      <c r="F223" s="13" t="b">
        <v>1</v>
      </c>
      <c r="G223" s="13" t="b">
        <v>1</v>
      </c>
      <c r="H223" s="11" t="s">
        <v>69</v>
      </c>
      <c r="I223" s="11" t="e">
        <f t="array" aca="1" ref="I223" ca="1">IF(H223="","",VLOOKUP(H223,_xludf.HSTACK(#REF!,#REF!),2,FALSE))</f>
        <v>#NAME?</v>
      </c>
      <c r="J223" s="11" t="s">
        <v>3692</v>
      </c>
    </row>
    <row r="224" spans="1:10" x14ac:dyDescent="0.25">
      <c r="A224" s="11" t="s">
        <v>379</v>
      </c>
      <c r="B224" s="11" t="s">
        <v>4062</v>
      </c>
      <c r="C224" s="12" t="s">
        <v>192</v>
      </c>
      <c r="D224" s="11"/>
      <c r="E224" s="12" t="s">
        <v>4063</v>
      </c>
      <c r="F224" s="13" t="b">
        <v>0</v>
      </c>
      <c r="G224" s="13" t="b">
        <v>0</v>
      </c>
      <c r="H224" s="11"/>
      <c r="I224" s="11" t="str">
        <f t="array" ref="I224">IF(H224="","",VLOOKUP(H224,_xludf.HSTACK(#REF!,#REF!),2,FALSE))</f>
        <v/>
      </c>
      <c r="J224" s="11"/>
    </row>
    <row r="225" spans="1:10" x14ac:dyDescent="0.25">
      <c r="A225" s="11" t="s">
        <v>379</v>
      </c>
      <c r="B225" s="11" t="s">
        <v>4064</v>
      </c>
      <c r="C225" s="12" t="s">
        <v>461</v>
      </c>
      <c r="D225" s="12" t="s">
        <v>4065</v>
      </c>
      <c r="E225" s="12" t="s">
        <v>4066</v>
      </c>
      <c r="F225" s="13" t="b">
        <v>0</v>
      </c>
      <c r="G225" s="13" t="b">
        <v>1</v>
      </c>
      <c r="H225" s="11"/>
      <c r="I225" s="11" t="str">
        <f t="array" ref="I225">IF(H225="","",VLOOKUP(H225,_xludf.HSTACK(#REF!,#REF!),2,FALSE))</f>
        <v/>
      </c>
      <c r="J225" s="11"/>
    </row>
    <row r="226" spans="1:10" x14ac:dyDescent="0.25">
      <c r="A226" s="11" t="s">
        <v>379</v>
      </c>
      <c r="B226" s="11" t="s">
        <v>4067</v>
      </c>
      <c r="C226" s="12" t="s">
        <v>522</v>
      </c>
      <c r="D226" s="12" t="s">
        <v>4065</v>
      </c>
      <c r="E226" s="12" t="s">
        <v>4068</v>
      </c>
      <c r="F226" s="13" t="b">
        <v>0</v>
      </c>
      <c r="G226" s="13" t="b">
        <v>1</v>
      </c>
      <c r="H226" s="11"/>
      <c r="I226" s="11" t="str">
        <f t="array" ref="I226">IF(H226="","",VLOOKUP(H226,_xludf.HSTACK(#REF!,#REF!),2,FALSE))</f>
        <v/>
      </c>
      <c r="J226" s="11"/>
    </row>
    <row r="227" spans="1:10" x14ac:dyDescent="0.25">
      <c r="A227" s="11" t="s">
        <v>379</v>
      </c>
      <c r="B227" s="11" t="s">
        <v>4069</v>
      </c>
      <c r="C227" s="12" t="s">
        <v>172</v>
      </c>
      <c r="D227" s="12" t="s">
        <v>4065</v>
      </c>
      <c r="E227" s="12" t="s">
        <v>4070</v>
      </c>
      <c r="F227" s="13" t="b">
        <v>0</v>
      </c>
      <c r="G227" s="13" t="b">
        <v>1</v>
      </c>
      <c r="H227" s="11"/>
      <c r="I227" s="11" t="str">
        <f t="array" ref="I227">IF(H227="","",VLOOKUP(H227,_xludf.HSTACK(#REF!,#REF!),2,FALSE))</f>
        <v/>
      </c>
      <c r="J227" s="11"/>
    </row>
    <row r="228" spans="1:10" x14ac:dyDescent="0.25">
      <c r="A228" s="11" t="s">
        <v>379</v>
      </c>
      <c r="B228" s="11" t="s">
        <v>4071</v>
      </c>
      <c r="C228" s="12" t="s">
        <v>192</v>
      </c>
      <c r="D228" s="11"/>
      <c r="E228" s="12" t="s">
        <v>4072</v>
      </c>
      <c r="F228" s="13" t="b">
        <v>0</v>
      </c>
      <c r="G228" s="13" t="b">
        <v>0</v>
      </c>
      <c r="H228" s="11" t="s">
        <v>28</v>
      </c>
      <c r="I228" s="11" t="e">
        <f t="array" aca="1" ref="I228" ca="1">IF(H228="","",VLOOKUP(H228,_xludf.HSTACK(#REF!,#REF!),2,FALSE))</f>
        <v>#NAME?</v>
      </c>
      <c r="J228" s="11"/>
    </row>
    <row r="229" spans="1:10" x14ac:dyDescent="0.25">
      <c r="A229" s="11" t="s">
        <v>379</v>
      </c>
      <c r="B229" s="11" t="s">
        <v>4073</v>
      </c>
      <c r="C229" s="12" t="s">
        <v>461</v>
      </c>
      <c r="D229" s="12" t="s">
        <v>4074</v>
      </c>
      <c r="E229" s="12" t="s">
        <v>4075</v>
      </c>
      <c r="F229" s="13" t="b">
        <v>1</v>
      </c>
      <c r="G229" s="13" t="b">
        <v>1</v>
      </c>
      <c r="H229" s="11" t="s">
        <v>51</v>
      </c>
      <c r="I229" s="11" t="e">
        <f t="array" aca="1" ref="I229" ca="1">IF(H229="","",VLOOKUP(H229,_xludf.HSTACK(#REF!,#REF!),2,FALSE))</f>
        <v>#NAME?</v>
      </c>
      <c r="J229" s="11" t="s">
        <v>3792</v>
      </c>
    </row>
    <row r="230" spans="1:10" x14ac:dyDescent="0.25">
      <c r="A230" s="11" t="s">
        <v>379</v>
      </c>
      <c r="B230" s="11" t="s">
        <v>4076</v>
      </c>
      <c r="C230" s="12" t="s">
        <v>522</v>
      </c>
      <c r="D230" s="12" t="s">
        <v>4074</v>
      </c>
      <c r="E230" s="12" t="s">
        <v>4077</v>
      </c>
      <c r="F230" s="13" t="b">
        <v>0</v>
      </c>
      <c r="G230" s="13" t="b">
        <v>1</v>
      </c>
      <c r="H230" s="11" t="s">
        <v>51</v>
      </c>
      <c r="I230" s="11" t="e">
        <f t="array" aca="1" ref="I230" ca="1">IF(H230="","",VLOOKUP(H230,_xludf.HSTACK(#REF!,#REF!),2,FALSE))</f>
        <v>#NAME?</v>
      </c>
      <c r="J230" s="11"/>
    </row>
    <row r="231" spans="1:10" x14ac:dyDescent="0.25">
      <c r="A231" s="11" t="s">
        <v>379</v>
      </c>
      <c r="B231" s="11" t="s">
        <v>4078</v>
      </c>
      <c r="C231" s="12" t="s">
        <v>172</v>
      </c>
      <c r="D231" s="12" t="s">
        <v>4074</v>
      </c>
      <c r="E231" s="12" t="s">
        <v>4079</v>
      </c>
      <c r="F231" s="13" t="b">
        <v>1</v>
      </c>
      <c r="G231" s="13" t="b">
        <v>1</v>
      </c>
      <c r="H231" s="11" t="s">
        <v>66</v>
      </c>
      <c r="I231" s="11" t="e">
        <f t="array" aca="1" ref="I231" ca="1">IF(H231="","",VLOOKUP(H231,_xludf.HSTACK(#REF!,#REF!),2,FALSE))</f>
        <v>#NAME?</v>
      </c>
      <c r="J231" s="11" t="s">
        <v>3692</v>
      </c>
    </row>
    <row r="232" spans="1:10" x14ac:dyDescent="0.25">
      <c r="A232" s="11" t="s">
        <v>379</v>
      </c>
      <c r="B232" s="11" t="s">
        <v>4080</v>
      </c>
      <c r="C232" s="12" t="s">
        <v>27</v>
      </c>
      <c r="D232" s="11"/>
      <c r="E232" s="12" t="s">
        <v>4081</v>
      </c>
      <c r="F232" s="13" t="b">
        <v>0</v>
      </c>
      <c r="G232" s="13" t="b">
        <v>0</v>
      </c>
      <c r="H232" s="11" t="s">
        <v>29</v>
      </c>
      <c r="I232" s="11" t="e">
        <f t="array" aca="1" ref="I232" ca="1">IF(H232="","",VLOOKUP(H232,_xludf.HSTACK(#REF!,#REF!),2,FALSE))</f>
        <v>#NAME?</v>
      </c>
      <c r="J232" s="11"/>
    </row>
    <row r="233" spans="1:10" x14ac:dyDescent="0.25">
      <c r="A233" s="11" t="s">
        <v>379</v>
      </c>
      <c r="B233" s="11" t="s">
        <v>4082</v>
      </c>
      <c r="C233" s="12" t="s">
        <v>461</v>
      </c>
      <c r="D233" s="12" t="s">
        <v>4083</v>
      </c>
      <c r="E233" s="12" t="s">
        <v>4084</v>
      </c>
      <c r="F233" s="13" t="b">
        <v>0</v>
      </c>
      <c r="G233" s="13" t="b">
        <v>1</v>
      </c>
      <c r="H233" s="11" t="s">
        <v>54</v>
      </c>
      <c r="I233" s="11" t="e">
        <f t="array" aca="1" ref="I233" ca="1">IF(H233="","",VLOOKUP(H233,_xludf.HSTACK(#REF!,#REF!),2,FALSE))</f>
        <v>#NAME?</v>
      </c>
      <c r="J233" s="11"/>
    </row>
    <row r="234" spans="1:10" x14ac:dyDescent="0.25">
      <c r="A234" s="11" t="s">
        <v>379</v>
      </c>
      <c r="B234" s="11" t="s">
        <v>4085</v>
      </c>
      <c r="C234" s="12" t="s">
        <v>522</v>
      </c>
      <c r="D234" s="12" t="s">
        <v>4083</v>
      </c>
      <c r="E234" s="12" t="s">
        <v>4086</v>
      </c>
      <c r="F234" s="13" t="b">
        <v>0</v>
      </c>
      <c r="G234" s="13" t="b">
        <v>1</v>
      </c>
      <c r="H234" s="11" t="s">
        <v>54</v>
      </c>
      <c r="I234" s="11" t="e">
        <f t="array" aca="1" ref="I234" ca="1">IF(H234="","",VLOOKUP(H234,_xludf.HSTACK(#REF!,#REF!),2,FALSE))</f>
        <v>#NAME?</v>
      </c>
      <c r="J234" s="11"/>
    </row>
    <row r="235" spans="1:10" x14ac:dyDescent="0.25">
      <c r="A235" s="11" t="s">
        <v>379</v>
      </c>
      <c r="B235" s="11" t="s">
        <v>4087</v>
      </c>
      <c r="C235" s="12" t="s">
        <v>172</v>
      </c>
      <c r="D235" s="12" t="s">
        <v>4083</v>
      </c>
      <c r="E235" s="12" t="s">
        <v>4088</v>
      </c>
      <c r="F235" s="13" t="b">
        <v>1</v>
      </c>
      <c r="G235" s="13" t="b">
        <v>1</v>
      </c>
      <c r="H235" s="11" t="s">
        <v>69</v>
      </c>
      <c r="I235" s="11" t="e">
        <f t="array" aca="1" ref="I235" ca="1">IF(H235="","",VLOOKUP(H235,_xludf.HSTACK(#REF!,#REF!),2,FALSE))</f>
        <v>#NAME?</v>
      </c>
      <c r="J235" s="11" t="s">
        <v>3692</v>
      </c>
    </row>
    <row r="236" spans="1:10" x14ac:dyDescent="0.25">
      <c r="A236" s="11" t="s">
        <v>379</v>
      </c>
      <c r="B236" s="11" t="s">
        <v>4089</v>
      </c>
      <c r="C236" s="12" t="s">
        <v>27</v>
      </c>
      <c r="D236" s="11"/>
      <c r="E236" s="12" t="s">
        <v>4090</v>
      </c>
      <c r="F236" s="13" t="b">
        <v>0</v>
      </c>
      <c r="G236" s="13" t="b">
        <v>0</v>
      </c>
      <c r="H236" s="11"/>
      <c r="I236" s="11" t="str">
        <f t="array" ref="I236">IF(H236="","",VLOOKUP(H236,_xludf.HSTACK(#REF!,#REF!),2,FALSE))</f>
        <v/>
      </c>
      <c r="J236" s="11"/>
    </row>
    <row r="237" spans="1:10" x14ac:dyDescent="0.25">
      <c r="A237" s="11" t="s">
        <v>379</v>
      </c>
      <c r="B237" s="11" t="s">
        <v>4091</v>
      </c>
      <c r="C237" s="12" t="s">
        <v>461</v>
      </c>
      <c r="D237" s="12" t="s">
        <v>4092</v>
      </c>
      <c r="E237" s="12" t="s">
        <v>4093</v>
      </c>
      <c r="F237" s="13" t="b">
        <v>0</v>
      </c>
      <c r="G237" s="13" t="b">
        <v>1</v>
      </c>
      <c r="H237" s="11"/>
      <c r="I237" s="11" t="str">
        <f t="array" ref="I237">IF(H237="","",VLOOKUP(H237,_xludf.HSTACK(#REF!,#REF!),2,FALSE))</f>
        <v/>
      </c>
      <c r="J237" s="11"/>
    </row>
    <row r="238" spans="1:10" x14ac:dyDescent="0.25">
      <c r="A238" s="11" t="s">
        <v>379</v>
      </c>
      <c r="B238" s="11" t="s">
        <v>4094</v>
      </c>
      <c r="C238" s="12" t="s">
        <v>522</v>
      </c>
      <c r="D238" s="12" t="s">
        <v>4092</v>
      </c>
      <c r="E238" s="12" t="s">
        <v>4095</v>
      </c>
      <c r="F238" s="13" t="b">
        <v>0</v>
      </c>
      <c r="G238" s="13" t="b">
        <v>1</v>
      </c>
      <c r="H238" s="11"/>
      <c r="I238" s="11" t="str">
        <f t="array" ref="I238">IF(H238="","",VLOOKUP(H238,_xludf.HSTACK(#REF!,#REF!),2,FALSE))</f>
        <v/>
      </c>
      <c r="J238" s="11"/>
    </row>
    <row r="239" spans="1:10" x14ac:dyDescent="0.25">
      <c r="A239" s="11" t="s">
        <v>379</v>
      </c>
      <c r="B239" s="11" t="s">
        <v>4096</v>
      </c>
      <c r="C239" s="12" t="s">
        <v>172</v>
      </c>
      <c r="D239" s="12" t="s">
        <v>4092</v>
      </c>
      <c r="E239" s="12" t="s">
        <v>4097</v>
      </c>
      <c r="F239" s="13" t="b">
        <v>0</v>
      </c>
      <c r="G239" s="13" t="b">
        <v>1</v>
      </c>
      <c r="H239" s="11"/>
      <c r="I239" s="11" t="str">
        <f t="array" ref="I239">IF(H239="","",VLOOKUP(H239,_xludf.HSTACK(#REF!,#REF!),2,FALSE))</f>
        <v/>
      </c>
      <c r="J239" s="11"/>
    </row>
    <row r="240" spans="1:10" x14ac:dyDescent="0.25">
      <c r="A240" s="11" t="s">
        <v>379</v>
      </c>
      <c r="B240" s="11" t="s">
        <v>4098</v>
      </c>
      <c r="C240" s="12" t="s">
        <v>192</v>
      </c>
      <c r="D240" s="11"/>
      <c r="E240" s="12" t="s">
        <v>4099</v>
      </c>
      <c r="F240" s="13" t="b">
        <v>0</v>
      </c>
      <c r="G240" s="13" t="b">
        <v>0</v>
      </c>
      <c r="H240" s="11"/>
      <c r="I240" s="11" t="str">
        <f t="array" ref="I240">IF(H240="","",VLOOKUP(H240,_xludf.HSTACK(#REF!,#REF!),2,FALSE))</f>
        <v/>
      </c>
      <c r="J240" s="11"/>
    </row>
    <row r="241" spans="1:10" x14ac:dyDescent="0.25">
      <c r="A241" s="11" t="s">
        <v>379</v>
      </c>
      <c r="B241" s="11" t="s">
        <v>4100</v>
      </c>
      <c r="C241" s="12" t="s">
        <v>461</v>
      </c>
      <c r="D241" s="12" t="s">
        <v>4101</v>
      </c>
      <c r="E241" s="12" t="s">
        <v>4102</v>
      </c>
      <c r="F241" s="13" t="b">
        <v>0</v>
      </c>
      <c r="G241" s="13" t="b">
        <v>1</v>
      </c>
      <c r="H241" s="11"/>
      <c r="I241" s="11" t="str">
        <f t="array" ref="I241">IF(H241="","",VLOOKUP(H241,_xludf.HSTACK(#REF!,#REF!),2,FALSE))</f>
        <v/>
      </c>
      <c r="J241" s="11"/>
    </row>
    <row r="242" spans="1:10" x14ac:dyDescent="0.25">
      <c r="A242" s="11" t="s">
        <v>379</v>
      </c>
      <c r="B242" s="11" t="s">
        <v>4103</v>
      </c>
      <c r="C242" s="12" t="s">
        <v>522</v>
      </c>
      <c r="D242" s="12" t="s">
        <v>4101</v>
      </c>
      <c r="E242" s="12" t="s">
        <v>4104</v>
      </c>
      <c r="F242" s="13" t="b">
        <v>0</v>
      </c>
      <c r="G242" s="13" t="b">
        <v>1</v>
      </c>
      <c r="H242" s="11"/>
      <c r="I242" s="11" t="str">
        <f t="array" ref="I242">IF(H242="","",VLOOKUP(H242,_xludf.HSTACK(#REF!,#REF!),2,FALSE))</f>
        <v/>
      </c>
      <c r="J242" s="11"/>
    </row>
    <row r="243" spans="1:10" x14ac:dyDescent="0.25">
      <c r="A243" s="11" t="s">
        <v>379</v>
      </c>
      <c r="B243" s="11" t="s">
        <v>4105</v>
      </c>
      <c r="C243" s="12" t="s">
        <v>172</v>
      </c>
      <c r="D243" s="12" t="s">
        <v>4101</v>
      </c>
      <c r="E243" s="12" t="s">
        <v>4106</v>
      </c>
      <c r="F243" s="13" t="b">
        <v>0</v>
      </c>
      <c r="G243" s="13" t="b">
        <v>1</v>
      </c>
      <c r="H243" s="11"/>
      <c r="I243" s="11" t="str">
        <f t="array" ref="I243">IF(H243="","",VLOOKUP(H243,_xludf.HSTACK(#REF!,#REF!),2,FALSE))</f>
        <v/>
      </c>
      <c r="J243" s="11"/>
    </row>
    <row r="244" spans="1:10" x14ac:dyDescent="0.25">
      <c r="A244" s="11" t="s">
        <v>379</v>
      </c>
      <c r="B244" s="11" t="s">
        <v>4107</v>
      </c>
      <c r="C244" s="12" t="s">
        <v>27</v>
      </c>
      <c r="D244" s="11"/>
      <c r="E244" s="12" t="s">
        <v>4108</v>
      </c>
      <c r="F244" s="13" t="b">
        <v>0</v>
      </c>
      <c r="G244" s="13" t="b">
        <v>0</v>
      </c>
      <c r="H244" s="11"/>
      <c r="I244" s="11" t="str">
        <f t="array" ref="I244">IF(H244="","",VLOOKUP(H244,_xludf.HSTACK(#REF!,#REF!),2,FALSE))</f>
        <v/>
      </c>
      <c r="J244" s="11"/>
    </row>
    <row r="245" spans="1:10" x14ac:dyDescent="0.25">
      <c r="A245" s="11" t="s">
        <v>379</v>
      </c>
      <c r="B245" s="11" t="s">
        <v>4109</v>
      </c>
      <c r="C245" s="12" t="s">
        <v>461</v>
      </c>
      <c r="D245" s="12" t="s">
        <v>4110</v>
      </c>
      <c r="E245" s="12" t="s">
        <v>4111</v>
      </c>
      <c r="F245" s="13" t="b">
        <v>0</v>
      </c>
      <c r="G245" s="13" t="b">
        <v>1</v>
      </c>
      <c r="H245" s="11"/>
      <c r="I245" s="11" t="str">
        <f t="array" ref="I245">IF(H245="","",VLOOKUP(H245,_xludf.HSTACK(#REF!,#REF!),2,FALSE))</f>
        <v/>
      </c>
      <c r="J245" s="11"/>
    </row>
    <row r="246" spans="1:10" x14ac:dyDescent="0.25">
      <c r="A246" s="11" t="s">
        <v>379</v>
      </c>
      <c r="B246" s="11" t="s">
        <v>4112</v>
      </c>
      <c r="C246" s="12" t="s">
        <v>522</v>
      </c>
      <c r="D246" s="12" t="s">
        <v>4110</v>
      </c>
      <c r="E246" s="12" t="s">
        <v>4113</v>
      </c>
      <c r="F246" s="13" t="b">
        <v>0</v>
      </c>
      <c r="G246" s="13" t="b">
        <v>1</v>
      </c>
      <c r="H246" s="11"/>
      <c r="I246" s="11" t="str">
        <f t="array" ref="I246">IF(H246="","",VLOOKUP(H246,_xludf.HSTACK(#REF!,#REF!),2,FALSE))</f>
        <v/>
      </c>
      <c r="J246" s="11"/>
    </row>
    <row r="247" spans="1:10" x14ac:dyDescent="0.25">
      <c r="A247" s="11" t="s">
        <v>379</v>
      </c>
      <c r="B247" s="11" t="s">
        <v>4114</v>
      </c>
      <c r="C247" s="12" t="s">
        <v>172</v>
      </c>
      <c r="D247" s="12" t="s">
        <v>4110</v>
      </c>
      <c r="E247" s="12" t="s">
        <v>4115</v>
      </c>
      <c r="F247" s="13" t="b">
        <v>0</v>
      </c>
      <c r="G247" s="13" t="b">
        <v>1</v>
      </c>
      <c r="H247" s="11"/>
      <c r="I247" s="11" t="str">
        <f t="array" ref="I247">IF(H247="","",VLOOKUP(H247,_xludf.HSTACK(#REF!,#REF!),2,FALSE))</f>
        <v/>
      </c>
      <c r="J247" s="11"/>
    </row>
    <row r="248" spans="1:10" x14ac:dyDescent="0.25">
      <c r="A248" s="11" t="s">
        <v>379</v>
      </c>
      <c r="B248" s="11" t="s">
        <v>4116</v>
      </c>
      <c r="C248" s="12" t="s">
        <v>27</v>
      </c>
      <c r="D248" s="11"/>
      <c r="E248" s="12" t="s">
        <v>4117</v>
      </c>
      <c r="F248" s="13" t="b">
        <v>0</v>
      </c>
      <c r="G248" s="13" t="b">
        <v>0</v>
      </c>
      <c r="H248" s="11" t="s">
        <v>32</v>
      </c>
      <c r="I248" s="11" t="e">
        <f t="array" aca="1" ref="I248" ca="1">IF(H248="","",VLOOKUP(H248,_xludf.HSTACK(#REF!,#REF!),2,FALSE))</f>
        <v>#NAME?</v>
      </c>
      <c r="J248" s="11"/>
    </row>
    <row r="249" spans="1:10" x14ac:dyDescent="0.25">
      <c r="A249" s="11" t="s">
        <v>379</v>
      </c>
      <c r="B249" s="11" t="s">
        <v>4118</v>
      </c>
      <c r="C249" s="12" t="s">
        <v>461</v>
      </c>
      <c r="D249" s="12" t="s">
        <v>4119</v>
      </c>
      <c r="E249" s="12" t="s">
        <v>4120</v>
      </c>
      <c r="F249" s="13" t="b">
        <v>1</v>
      </c>
      <c r="G249" s="13" t="b">
        <v>1</v>
      </c>
      <c r="H249" s="11" t="s">
        <v>58</v>
      </c>
      <c r="I249" s="11" t="e">
        <f t="array" aca="1" ref="I249" ca="1">IF(H249="","",VLOOKUP(H249,_xludf.HSTACK(#REF!,#REF!),2,FALSE))</f>
        <v>#NAME?</v>
      </c>
      <c r="J249" s="11" t="s">
        <v>3605</v>
      </c>
    </row>
    <row r="250" spans="1:10" x14ac:dyDescent="0.25">
      <c r="A250" s="11" t="s">
        <v>379</v>
      </c>
      <c r="B250" s="11" t="s">
        <v>4121</v>
      </c>
      <c r="C250" s="12" t="s">
        <v>522</v>
      </c>
      <c r="D250" s="12" t="s">
        <v>4119</v>
      </c>
      <c r="E250" s="12" t="s">
        <v>4122</v>
      </c>
      <c r="F250" s="13" t="b">
        <v>0</v>
      </c>
      <c r="G250" s="13" t="b">
        <v>1</v>
      </c>
      <c r="H250" s="11" t="s">
        <v>58</v>
      </c>
      <c r="I250" s="11" t="e">
        <f t="array" aca="1" ref="I250" ca="1">IF(H250="","",VLOOKUP(H250,_xludf.HSTACK(#REF!,#REF!),2,FALSE))</f>
        <v>#NAME?</v>
      </c>
      <c r="J250" s="11"/>
    </row>
    <row r="251" spans="1:10" x14ac:dyDescent="0.25">
      <c r="A251" s="11" t="s">
        <v>379</v>
      </c>
      <c r="B251" s="11" t="s">
        <v>4123</v>
      </c>
      <c r="C251" s="12" t="s">
        <v>172</v>
      </c>
      <c r="D251" s="12" t="s">
        <v>4119</v>
      </c>
      <c r="E251" s="12" t="s">
        <v>4124</v>
      </c>
      <c r="F251" s="13" t="b">
        <v>1</v>
      </c>
      <c r="G251" s="13" t="b">
        <v>1</v>
      </c>
      <c r="H251" s="11" t="s">
        <v>67</v>
      </c>
      <c r="I251" s="11" t="e">
        <f t="array" aca="1" ref="I251" ca="1">IF(H251="","",VLOOKUP(H251,_xludf.HSTACK(#REF!,#REF!),2,FALSE))</f>
        <v>#NAME?</v>
      </c>
      <c r="J251" s="11" t="s">
        <v>3692</v>
      </c>
    </row>
    <row r="252" spans="1:10" x14ac:dyDescent="0.25">
      <c r="A252" s="11" t="s">
        <v>379</v>
      </c>
      <c r="B252" s="11" t="s">
        <v>4125</v>
      </c>
      <c r="C252" s="12" t="s">
        <v>192</v>
      </c>
      <c r="D252" s="11"/>
      <c r="E252" s="12" t="s">
        <v>4126</v>
      </c>
      <c r="F252" s="13" t="b">
        <v>0</v>
      </c>
      <c r="G252" s="13" t="b">
        <v>0</v>
      </c>
      <c r="H252" s="11" t="s">
        <v>30</v>
      </c>
      <c r="I252" s="11" t="e">
        <f t="array" aca="1" ref="I252" ca="1">IF(H252="","",VLOOKUP(H252,_xludf.HSTACK(#REF!,#REF!),2,FALSE))</f>
        <v>#NAME?</v>
      </c>
      <c r="J252" s="11"/>
    </row>
    <row r="253" spans="1:10" x14ac:dyDescent="0.25">
      <c r="A253" s="11" t="s">
        <v>379</v>
      </c>
      <c r="B253" s="11" t="s">
        <v>4127</v>
      </c>
      <c r="C253" s="12" t="s">
        <v>461</v>
      </c>
      <c r="D253" s="12" t="s">
        <v>4128</v>
      </c>
      <c r="E253" s="12" t="s">
        <v>4129</v>
      </c>
      <c r="F253" s="13" t="b">
        <v>1</v>
      </c>
      <c r="G253" s="13" t="b">
        <v>1</v>
      </c>
      <c r="H253" s="11" t="s">
        <v>55</v>
      </c>
      <c r="I253" s="11" t="e">
        <f t="array" aca="1" ref="I253" ca="1">IF(H253="","",VLOOKUP(H253,_xludf.HSTACK(#REF!,#REF!),2,FALSE))</f>
        <v>#NAME?</v>
      </c>
      <c r="J253" s="11" t="s">
        <v>3792</v>
      </c>
    </row>
    <row r="254" spans="1:10" x14ac:dyDescent="0.25">
      <c r="A254" s="11" t="s">
        <v>379</v>
      </c>
      <c r="B254" s="11" t="s">
        <v>4130</v>
      </c>
      <c r="C254" s="12" t="s">
        <v>522</v>
      </c>
      <c r="D254" s="12" t="s">
        <v>4128</v>
      </c>
      <c r="E254" s="12" t="s">
        <v>4131</v>
      </c>
      <c r="F254" s="13" t="b">
        <v>0</v>
      </c>
      <c r="G254" s="13" t="b">
        <v>1</v>
      </c>
      <c r="H254" s="11" t="s">
        <v>55</v>
      </c>
      <c r="I254" s="11" t="e">
        <f t="array" aca="1" ref="I254" ca="1">IF(H254="","",VLOOKUP(H254,_xludf.HSTACK(#REF!,#REF!),2,FALSE))</f>
        <v>#NAME?</v>
      </c>
      <c r="J254" s="11"/>
    </row>
    <row r="255" spans="1:10" x14ac:dyDescent="0.25">
      <c r="A255" s="11" t="s">
        <v>379</v>
      </c>
      <c r="B255" s="11" t="s">
        <v>4132</v>
      </c>
      <c r="C255" s="12" t="s">
        <v>172</v>
      </c>
      <c r="D255" s="12" t="s">
        <v>4128</v>
      </c>
      <c r="E255" s="12" t="s">
        <v>4133</v>
      </c>
      <c r="F255" s="13" t="b">
        <v>1</v>
      </c>
      <c r="G255" s="13" t="b">
        <v>1</v>
      </c>
      <c r="H255" s="11" t="s">
        <v>70</v>
      </c>
      <c r="I255" s="11" t="e">
        <f t="array" aca="1" ref="I255" ca="1">IF(H255="","",VLOOKUP(H255,_xludf.HSTACK(#REF!,#REF!),2,FALSE))</f>
        <v>#NAME?</v>
      </c>
      <c r="J255" s="11" t="s">
        <v>3692</v>
      </c>
    </row>
    <row r="256" spans="1:10" x14ac:dyDescent="0.25">
      <c r="A256" s="11" t="s">
        <v>379</v>
      </c>
      <c r="B256" s="11" t="s">
        <v>4134</v>
      </c>
      <c r="C256" s="12" t="s">
        <v>27</v>
      </c>
      <c r="D256" s="11"/>
      <c r="E256" s="12" t="s">
        <v>4135</v>
      </c>
      <c r="F256" s="13" t="b">
        <v>0</v>
      </c>
      <c r="G256" s="13" t="b">
        <v>0</v>
      </c>
      <c r="H256" s="11" t="s">
        <v>26</v>
      </c>
      <c r="I256" s="11" t="e">
        <f t="array" aca="1" ref="I256" ca="1">IF(H256="","",VLOOKUP(H256,_xludf.HSTACK(#REF!,#REF!),2,FALSE))</f>
        <v>#NAME?</v>
      </c>
      <c r="J256" s="11"/>
    </row>
    <row r="257" spans="1:10" x14ac:dyDescent="0.25">
      <c r="A257" s="11" t="s">
        <v>379</v>
      </c>
      <c r="B257" s="11" t="s">
        <v>4136</v>
      </c>
      <c r="C257" s="12" t="s">
        <v>461</v>
      </c>
      <c r="D257" s="12" t="s">
        <v>4137</v>
      </c>
      <c r="E257" s="12" t="s">
        <v>4138</v>
      </c>
      <c r="F257" s="13" t="b">
        <v>0</v>
      </c>
      <c r="G257" s="13" t="b">
        <v>1</v>
      </c>
      <c r="H257" s="11" t="s">
        <v>50</v>
      </c>
      <c r="I257" s="11" t="e">
        <f t="array" aca="1" ref="I257" ca="1">IF(H257="","",VLOOKUP(H257,_xludf.HSTACK(#REF!,#REF!),2,FALSE))</f>
        <v>#NAME?</v>
      </c>
      <c r="J257" s="11"/>
    </row>
    <row r="258" spans="1:10" x14ac:dyDescent="0.25">
      <c r="A258" s="11" t="s">
        <v>379</v>
      </c>
      <c r="B258" s="11" t="s">
        <v>4139</v>
      </c>
      <c r="C258" s="12" t="s">
        <v>522</v>
      </c>
      <c r="D258" s="12" t="s">
        <v>4137</v>
      </c>
      <c r="E258" s="12" t="s">
        <v>4140</v>
      </c>
      <c r="F258" s="13" t="b">
        <v>0</v>
      </c>
      <c r="G258" s="13" t="b">
        <v>1</v>
      </c>
      <c r="H258" s="11" t="s">
        <v>50</v>
      </c>
      <c r="I258" s="11" t="e">
        <f t="array" aca="1" ref="I258" ca="1">IF(H258="","",VLOOKUP(H258,_xludf.HSTACK(#REF!,#REF!),2,FALSE))</f>
        <v>#NAME?</v>
      </c>
      <c r="J258" s="11"/>
    </row>
    <row r="259" spans="1:10" x14ac:dyDescent="0.25">
      <c r="A259" s="11" t="s">
        <v>379</v>
      </c>
      <c r="B259" s="11" t="s">
        <v>4141</v>
      </c>
      <c r="C259" s="12" t="s">
        <v>172</v>
      </c>
      <c r="D259" s="12" t="s">
        <v>4137</v>
      </c>
      <c r="E259" s="12" t="s">
        <v>4142</v>
      </c>
      <c r="F259" s="13" t="b">
        <v>1</v>
      </c>
      <c r="G259" s="13" t="b">
        <v>1</v>
      </c>
      <c r="H259" s="11" t="s">
        <v>65</v>
      </c>
      <c r="I259" s="11" t="e">
        <f t="array" aca="1" ref="I259" ca="1">IF(H259="","",VLOOKUP(H259,_xludf.HSTACK(#REF!,#REF!),2,FALSE))</f>
        <v>#NAME?</v>
      </c>
      <c r="J259" s="11" t="s">
        <v>3692</v>
      </c>
    </row>
    <row r="260" spans="1:10" x14ac:dyDescent="0.25">
      <c r="A260" s="11" t="s">
        <v>379</v>
      </c>
      <c r="B260" s="11" t="s">
        <v>4143</v>
      </c>
      <c r="C260" s="12" t="s">
        <v>192</v>
      </c>
      <c r="D260" s="11"/>
      <c r="E260" s="12" t="s">
        <v>4144</v>
      </c>
      <c r="F260" s="13" t="b">
        <v>0</v>
      </c>
      <c r="G260" s="13" t="b">
        <v>0</v>
      </c>
      <c r="H260" s="11" t="s">
        <v>31</v>
      </c>
      <c r="I260" s="11" t="e">
        <f t="array" aca="1" ref="I260" ca="1">IF(H260="","",VLOOKUP(H260,_xludf.HSTACK(#REF!,#REF!),2,FALSE))</f>
        <v>#NAME?</v>
      </c>
      <c r="J260" s="11"/>
    </row>
    <row r="261" spans="1:10" x14ac:dyDescent="0.25">
      <c r="A261" s="11" t="s">
        <v>379</v>
      </c>
      <c r="B261" s="11" t="s">
        <v>4145</v>
      </c>
      <c r="C261" s="12" t="s">
        <v>461</v>
      </c>
      <c r="D261" s="12" t="s">
        <v>4146</v>
      </c>
      <c r="E261" s="12" t="s">
        <v>4147</v>
      </c>
      <c r="F261" s="13" t="b">
        <v>0</v>
      </c>
      <c r="G261" s="13" t="b">
        <v>1</v>
      </c>
      <c r="H261" s="11" t="s">
        <v>56</v>
      </c>
      <c r="I261" s="11" t="e">
        <f t="array" aca="1" ref="I261" ca="1">IF(H261="","",VLOOKUP(H261,_xludf.HSTACK(#REF!,#REF!),2,FALSE))</f>
        <v>#NAME?</v>
      </c>
      <c r="J261" s="11"/>
    </row>
    <row r="262" spans="1:10" x14ac:dyDescent="0.25">
      <c r="A262" s="11" t="s">
        <v>379</v>
      </c>
      <c r="B262" s="11" t="s">
        <v>4148</v>
      </c>
      <c r="C262" s="12" t="s">
        <v>522</v>
      </c>
      <c r="D262" s="12" t="s">
        <v>4146</v>
      </c>
      <c r="E262" s="12" t="s">
        <v>4046</v>
      </c>
      <c r="F262" s="13" t="b">
        <v>0</v>
      </c>
      <c r="G262" s="13" t="b">
        <v>1</v>
      </c>
      <c r="H262" s="11" t="s">
        <v>56</v>
      </c>
      <c r="I262" s="11" t="e">
        <f t="array" aca="1" ref="I262" ca="1">IF(H262="","",VLOOKUP(H262,_xludf.HSTACK(#REF!,#REF!),2,FALSE))</f>
        <v>#NAME?</v>
      </c>
      <c r="J262" s="11"/>
    </row>
    <row r="263" spans="1:10" x14ac:dyDescent="0.25">
      <c r="A263" s="11" t="s">
        <v>379</v>
      </c>
      <c r="B263" s="11" t="s">
        <v>4149</v>
      </c>
      <c r="C263" s="12" t="s">
        <v>172</v>
      </c>
      <c r="D263" s="12" t="s">
        <v>4146</v>
      </c>
      <c r="E263" s="12" t="s">
        <v>4150</v>
      </c>
      <c r="F263" s="13" t="b">
        <v>1</v>
      </c>
      <c r="G263" s="13" t="b">
        <v>1</v>
      </c>
      <c r="H263" s="11" t="s">
        <v>68</v>
      </c>
      <c r="I263" s="11" t="e">
        <f t="array" aca="1" ref="I263" ca="1">IF(H263="","",VLOOKUP(H263,_xludf.HSTACK(#REF!,#REF!),2,FALSE))</f>
        <v>#NAME?</v>
      </c>
      <c r="J263" s="11" t="s">
        <v>3692</v>
      </c>
    </row>
    <row r="264" spans="1:10" x14ac:dyDescent="0.25">
      <c r="A264" s="11" t="s">
        <v>379</v>
      </c>
      <c r="B264" s="11" t="s">
        <v>4151</v>
      </c>
      <c r="C264" s="12" t="s">
        <v>27</v>
      </c>
      <c r="D264" s="11"/>
      <c r="E264" s="12" t="s">
        <v>4152</v>
      </c>
      <c r="F264" s="13" t="b">
        <v>0</v>
      </c>
      <c r="G264" s="13" t="b">
        <v>0</v>
      </c>
      <c r="H264" s="11"/>
      <c r="I264" s="11" t="str">
        <f t="array" ref="I264">IF(H264="","",VLOOKUP(H264,_xludf.HSTACK(#REF!,#REF!),2,FALSE))</f>
        <v/>
      </c>
      <c r="J264" s="11"/>
    </row>
    <row r="265" spans="1:10" x14ac:dyDescent="0.25">
      <c r="A265" s="11" t="s">
        <v>379</v>
      </c>
      <c r="B265" s="11" t="s">
        <v>4153</v>
      </c>
      <c r="C265" s="12" t="s">
        <v>461</v>
      </c>
      <c r="D265" s="12" t="s">
        <v>4154</v>
      </c>
      <c r="E265" s="12" t="s">
        <v>4155</v>
      </c>
      <c r="F265" s="13" t="b">
        <v>0</v>
      </c>
      <c r="G265" s="13" t="b">
        <v>1</v>
      </c>
      <c r="H265" s="11"/>
      <c r="I265" s="11" t="str">
        <f t="array" ref="I265">IF(H265="","",VLOOKUP(H265,_xludf.HSTACK(#REF!,#REF!),2,FALSE))</f>
        <v/>
      </c>
      <c r="J265" s="11"/>
    </row>
    <row r="266" spans="1:10" x14ac:dyDescent="0.25">
      <c r="A266" s="11" t="s">
        <v>379</v>
      </c>
      <c r="B266" s="11" t="s">
        <v>4156</v>
      </c>
      <c r="C266" s="12" t="s">
        <v>522</v>
      </c>
      <c r="D266" s="12" t="s">
        <v>4154</v>
      </c>
      <c r="E266" s="12" t="s">
        <v>4157</v>
      </c>
      <c r="F266" s="13" t="b">
        <v>0</v>
      </c>
      <c r="G266" s="13" t="b">
        <v>1</v>
      </c>
      <c r="H266" s="11"/>
      <c r="I266" s="11" t="str">
        <f t="array" ref="I266">IF(H266="","",VLOOKUP(H266,_xludf.HSTACK(#REF!,#REF!),2,FALSE))</f>
        <v/>
      </c>
      <c r="J266" s="11"/>
    </row>
    <row r="267" spans="1:10" x14ac:dyDescent="0.25">
      <c r="A267" s="11" t="s">
        <v>379</v>
      </c>
      <c r="B267" s="11" t="s">
        <v>4158</v>
      </c>
      <c r="C267" s="12" t="s">
        <v>172</v>
      </c>
      <c r="D267" s="12" t="s">
        <v>4154</v>
      </c>
      <c r="E267" s="12" t="s">
        <v>4159</v>
      </c>
      <c r="F267" s="13" t="b">
        <v>0</v>
      </c>
      <c r="G267" s="13" t="b">
        <v>1</v>
      </c>
      <c r="H267" s="11"/>
      <c r="I267" s="11" t="str">
        <f t="array" ref="I267">IF(H267="","",VLOOKUP(H267,_xludf.HSTACK(#REF!,#REF!),2,FALSE))</f>
        <v/>
      </c>
      <c r="J267" s="11"/>
    </row>
    <row r="268" spans="1:10" x14ac:dyDescent="0.25">
      <c r="A268" s="11" t="s">
        <v>379</v>
      </c>
      <c r="B268" s="11" t="s">
        <v>4160</v>
      </c>
      <c r="C268" s="12" t="s">
        <v>27</v>
      </c>
      <c r="D268" s="11"/>
      <c r="E268" s="12" t="s">
        <v>4161</v>
      </c>
      <c r="F268" s="13" t="b">
        <v>0</v>
      </c>
      <c r="G268" s="13" t="b">
        <v>0</v>
      </c>
      <c r="H268" s="11" t="s">
        <v>32</v>
      </c>
      <c r="I268" s="11" t="e">
        <f t="array" aca="1" ref="I268" ca="1">IF(H268="","",VLOOKUP(H268,_xludf.HSTACK(#REF!,#REF!),2,FALSE))</f>
        <v>#NAME?</v>
      </c>
      <c r="J268" s="11"/>
    </row>
    <row r="269" spans="1:10" x14ac:dyDescent="0.25">
      <c r="A269" s="11" t="s">
        <v>379</v>
      </c>
      <c r="B269" s="11" t="s">
        <v>4162</v>
      </c>
      <c r="C269" s="12" t="s">
        <v>461</v>
      </c>
      <c r="D269" s="12" t="s">
        <v>4163</v>
      </c>
      <c r="E269" s="12" t="s">
        <v>4164</v>
      </c>
      <c r="F269" s="13" t="b">
        <v>1</v>
      </c>
      <c r="G269" s="13" t="b">
        <v>1</v>
      </c>
      <c r="H269" s="11" t="s">
        <v>58</v>
      </c>
      <c r="I269" s="11" t="e">
        <f t="array" aca="1" ref="I269" ca="1">IF(H269="","",VLOOKUP(H269,_xludf.HSTACK(#REF!,#REF!),2,FALSE))</f>
        <v>#NAME?</v>
      </c>
      <c r="J269" s="11" t="s">
        <v>3605</v>
      </c>
    </row>
    <row r="270" spans="1:10" x14ac:dyDescent="0.25">
      <c r="A270" s="11" t="s">
        <v>379</v>
      </c>
      <c r="B270" s="11" t="s">
        <v>4165</v>
      </c>
      <c r="C270" s="12" t="s">
        <v>522</v>
      </c>
      <c r="D270" s="12" t="s">
        <v>4163</v>
      </c>
      <c r="E270" s="12" t="s">
        <v>4166</v>
      </c>
      <c r="F270" s="13" t="b">
        <v>1</v>
      </c>
      <c r="G270" s="13" t="b">
        <v>1</v>
      </c>
      <c r="H270" s="11" t="s">
        <v>58</v>
      </c>
      <c r="I270" s="11" t="e">
        <f t="array" aca="1" ref="I270" ca="1">IF(H270="","",VLOOKUP(H270,_xludf.HSTACK(#REF!,#REF!),2,FALSE))</f>
        <v>#NAME?</v>
      </c>
      <c r="J270" s="11" t="s">
        <v>3605</v>
      </c>
    </row>
    <row r="271" spans="1:10" x14ac:dyDescent="0.25">
      <c r="A271" s="11" t="s">
        <v>379</v>
      </c>
      <c r="B271" s="11" t="s">
        <v>4167</v>
      </c>
      <c r="C271" s="12" t="s">
        <v>172</v>
      </c>
      <c r="D271" s="12" t="s">
        <v>4163</v>
      </c>
      <c r="E271" s="12" t="s">
        <v>4168</v>
      </c>
      <c r="F271" s="13" t="b">
        <v>1</v>
      </c>
      <c r="G271" s="13" t="b">
        <v>1</v>
      </c>
      <c r="H271" s="11" t="s">
        <v>67</v>
      </c>
      <c r="I271" s="11" t="e">
        <f t="array" aca="1" ref="I271" ca="1">IF(H271="","",VLOOKUP(H271,_xludf.HSTACK(#REF!,#REF!),2,FALSE))</f>
        <v>#NAME?</v>
      </c>
      <c r="J271" s="11" t="s">
        <v>3692</v>
      </c>
    </row>
    <row r="272" spans="1:10" x14ac:dyDescent="0.25">
      <c r="A272" s="11" t="s">
        <v>379</v>
      </c>
      <c r="B272" s="11" t="s">
        <v>4169</v>
      </c>
      <c r="C272" s="12" t="s">
        <v>192</v>
      </c>
      <c r="D272" s="11"/>
      <c r="E272" s="12" t="s">
        <v>4170</v>
      </c>
      <c r="F272" s="13" t="b">
        <v>0</v>
      </c>
      <c r="G272" s="13" t="b">
        <v>0</v>
      </c>
      <c r="H272" s="11"/>
      <c r="I272" s="11" t="str">
        <f t="array" ref="I272">IF(H272="","",VLOOKUP(H272,_xludf.HSTACK(#REF!,#REF!),2,FALSE))</f>
        <v/>
      </c>
      <c r="J272" s="11"/>
    </row>
    <row r="273" spans="1:10" x14ac:dyDescent="0.25">
      <c r="A273" s="11" t="s">
        <v>379</v>
      </c>
      <c r="B273" s="11" t="s">
        <v>4171</v>
      </c>
      <c r="C273" s="12" t="s">
        <v>27</v>
      </c>
      <c r="D273" s="11"/>
      <c r="E273" s="12" t="s">
        <v>4172</v>
      </c>
      <c r="F273" s="13" t="b">
        <v>0</v>
      </c>
      <c r="G273" s="13" t="b">
        <v>0</v>
      </c>
      <c r="H273" s="11"/>
      <c r="I273" s="11" t="str">
        <f t="array" ref="I273">IF(H273="","",VLOOKUP(H273,_xludf.HSTACK(#REF!,#REF!),2,FALSE))</f>
        <v/>
      </c>
      <c r="J273" s="11"/>
    </row>
    <row r="274" spans="1:10" x14ac:dyDescent="0.25">
      <c r="A274" s="11" t="s">
        <v>379</v>
      </c>
      <c r="B274" s="11" t="s">
        <v>4173</v>
      </c>
      <c r="C274" s="12" t="s">
        <v>581</v>
      </c>
      <c r="D274" s="11"/>
      <c r="E274" s="12" t="s">
        <v>4174</v>
      </c>
      <c r="F274" s="13" t="b">
        <v>0</v>
      </c>
      <c r="G274" s="13" t="b">
        <v>0</v>
      </c>
      <c r="H274" s="11"/>
      <c r="I274" s="11" t="str">
        <f t="array" ref="I274">IF(H274="","",VLOOKUP(H274,_xludf.HSTACK(#REF!,#REF!),2,FALSE))</f>
        <v/>
      </c>
      <c r="J274" s="11"/>
    </row>
    <row r="275" spans="1:10" x14ac:dyDescent="0.25">
      <c r="A275" s="11" t="s">
        <v>379</v>
      </c>
      <c r="B275" s="11" t="s">
        <v>4175</v>
      </c>
      <c r="C275" s="12" t="s">
        <v>208</v>
      </c>
      <c r="D275" s="12" t="s">
        <v>4176</v>
      </c>
      <c r="E275" s="12" t="s">
        <v>4177</v>
      </c>
      <c r="F275" s="13" t="b">
        <v>0</v>
      </c>
      <c r="G275" s="13" t="b">
        <v>1</v>
      </c>
      <c r="H275" s="11" t="s">
        <v>38</v>
      </c>
      <c r="I275" s="11" t="e">
        <f t="array" aca="1" ref="I275" ca="1">IF(H275="","",VLOOKUP(H275,_xludf.HSTACK(#REF!,#REF!),2,FALSE))</f>
        <v>#NAME?</v>
      </c>
      <c r="J275" s="11"/>
    </row>
    <row r="276" spans="1:10" x14ac:dyDescent="0.25">
      <c r="A276" s="11" t="s">
        <v>379</v>
      </c>
      <c r="B276" s="11" t="s">
        <v>4178</v>
      </c>
      <c r="C276" s="12" t="s">
        <v>581</v>
      </c>
      <c r="D276" s="12" t="s">
        <v>4179</v>
      </c>
      <c r="E276" s="12" t="s">
        <v>4180</v>
      </c>
      <c r="F276" s="13" t="b">
        <v>0</v>
      </c>
      <c r="G276" s="13" t="b">
        <v>0</v>
      </c>
      <c r="H276" s="11"/>
      <c r="I276" s="11" t="str">
        <f t="array" ref="I276">IF(H276="","",VLOOKUP(H276,_xludf.HSTACK(#REF!,#REF!),2,FALSE))</f>
        <v/>
      </c>
      <c r="J276" s="11"/>
    </row>
    <row r="277" spans="1:10" x14ac:dyDescent="0.25">
      <c r="A277" s="11" t="s">
        <v>379</v>
      </c>
      <c r="B277" s="11" t="s">
        <v>4181</v>
      </c>
      <c r="C277" s="12" t="s">
        <v>208</v>
      </c>
      <c r="D277" s="12" t="s">
        <v>4182</v>
      </c>
      <c r="E277" s="12" t="s">
        <v>4183</v>
      </c>
      <c r="F277" s="13" t="b">
        <v>1</v>
      </c>
      <c r="G277" s="13" t="b">
        <v>1</v>
      </c>
      <c r="H277" s="11"/>
      <c r="I277" s="11" t="str">
        <f t="array" ref="I277">IF(H277="","",VLOOKUP(H277,_xludf.HSTACK(#REF!,#REF!),2,FALSE))</f>
        <v/>
      </c>
      <c r="J277" s="11"/>
    </row>
    <row r="278" spans="1:10" x14ac:dyDescent="0.25">
      <c r="A278" s="11" t="s">
        <v>379</v>
      </c>
      <c r="B278" s="11" t="s">
        <v>4184</v>
      </c>
      <c r="C278" s="12" t="s">
        <v>581</v>
      </c>
      <c r="D278" s="12" t="s">
        <v>4185</v>
      </c>
      <c r="E278" s="12" t="s">
        <v>4186</v>
      </c>
      <c r="F278" s="13" t="b">
        <v>0</v>
      </c>
      <c r="G278" s="13" t="b">
        <v>0</v>
      </c>
      <c r="H278" s="11"/>
      <c r="I278" s="11" t="str">
        <f t="array" ref="I278">IF(H278="","",VLOOKUP(H278,_xludf.HSTACK(#REF!,#REF!),2,FALSE))</f>
        <v/>
      </c>
      <c r="J278" s="11"/>
    </row>
    <row r="279" spans="1:10" x14ac:dyDescent="0.25">
      <c r="A279" s="11" t="s">
        <v>379</v>
      </c>
      <c r="B279" s="11" t="s">
        <v>4187</v>
      </c>
      <c r="C279" s="12" t="s">
        <v>208</v>
      </c>
      <c r="D279" s="12" t="s">
        <v>4188</v>
      </c>
      <c r="E279" s="12" t="s">
        <v>4189</v>
      </c>
      <c r="F279" s="13" t="b">
        <v>1</v>
      </c>
      <c r="G279" s="13" t="b">
        <v>1</v>
      </c>
      <c r="H279" s="11"/>
      <c r="I279" s="11" t="str">
        <f t="array" ref="I279">IF(H279="","",VLOOKUP(H279,_xludf.HSTACK(#REF!,#REF!),2,FALSE))</f>
        <v/>
      </c>
      <c r="J279" s="11"/>
    </row>
    <row r="280" spans="1:10" x14ac:dyDescent="0.25">
      <c r="A280" s="11" t="s">
        <v>379</v>
      </c>
      <c r="B280" s="11" t="s">
        <v>4190</v>
      </c>
      <c r="C280" s="12" t="s">
        <v>512</v>
      </c>
      <c r="D280" s="12" t="s">
        <v>3986</v>
      </c>
      <c r="E280" s="12" t="s">
        <v>4191</v>
      </c>
      <c r="F280" s="13" t="b">
        <v>0</v>
      </c>
      <c r="G280" s="13" t="b">
        <v>1</v>
      </c>
      <c r="H280" s="11" t="s">
        <v>62</v>
      </c>
      <c r="I280" s="11" t="e">
        <f t="array" aca="1" ref="I280" ca="1">IF(H280="","",VLOOKUP(H280,_xludf.HSTACK(#REF!,#REF!),2,FALSE))</f>
        <v>#NAME?</v>
      </c>
      <c r="J280" s="11"/>
    </row>
    <row r="281" spans="1:10" x14ac:dyDescent="0.25">
      <c r="A281" s="11" t="s">
        <v>379</v>
      </c>
      <c r="B281" s="11" t="s">
        <v>4192</v>
      </c>
      <c r="C281" s="12" t="s">
        <v>512</v>
      </c>
      <c r="D281" s="12" t="s">
        <v>3986</v>
      </c>
      <c r="E281" s="12" t="s">
        <v>4193</v>
      </c>
      <c r="F281" s="13" t="b">
        <v>0</v>
      </c>
      <c r="G281" s="13" t="b">
        <v>1</v>
      </c>
      <c r="H281" s="11" t="s">
        <v>62</v>
      </c>
      <c r="I281" s="11" t="e">
        <f t="array" aca="1" ref="I281" ca="1">IF(H281="","",VLOOKUP(H281,_xludf.HSTACK(#REF!,#REF!),2,FALSE))</f>
        <v>#NAME?</v>
      </c>
      <c r="J281" s="11"/>
    </row>
    <row r="282" spans="1:10" x14ac:dyDescent="0.25">
      <c r="A282" s="11" t="s">
        <v>379</v>
      </c>
      <c r="B282" s="11" t="s">
        <v>4194</v>
      </c>
      <c r="C282" s="12" t="s">
        <v>512</v>
      </c>
      <c r="D282" s="12" t="s">
        <v>3989</v>
      </c>
      <c r="E282" s="12" t="s">
        <v>4195</v>
      </c>
      <c r="F282" s="13" t="b">
        <v>0</v>
      </c>
      <c r="G282" s="13" t="b">
        <v>1</v>
      </c>
      <c r="H282" s="11" t="s">
        <v>62</v>
      </c>
      <c r="I282" s="11" t="e">
        <f t="array" aca="1" ref="I282" ca="1">IF(H282="","",VLOOKUP(H282,_xludf.HSTACK(#REF!,#REF!),2,FALSE))</f>
        <v>#NAME?</v>
      </c>
      <c r="J282" s="11"/>
    </row>
    <row r="283" spans="1:10" x14ac:dyDescent="0.25">
      <c r="A283" s="11" t="s">
        <v>379</v>
      </c>
      <c r="B283" s="11" t="s">
        <v>4196</v>
      </c>
      <c r="C283" s="12" t="s">
        <v>512</v>
      </c>
      <c r="D283" s="12" t="s">
        <v>3989</v>
      </c>
      <c r="E283" s="12" t="s">
        <v>4197</v>
      </c>
      <c r="F283" s="13" t="b">
        <v>0</v>
      </c>
      <c r="G283" s="13" t="b">
        <v>1</v>
      </c>
      <c r="H283" s="11" t="s">
        <v>62</v>
      </c>
      <c r="I283" s="11" t="e">
        <f t="array" aca="1" ref="I283" ca="1">IF(H283="","",VLOOKUP(H283,_xludf.HSTACK(#REF!,#REF!),2,FALSE))</f>
        <v>#NAME?</v>
      </c>
      <c r="J283" s="11"/>
    </row>
    <row r="284" spans="1:10" x14ac:dyDescent="0.25">
      <c r="A284" s="11" t="s">
        <v>379</v>
      </c>
      <c r="B284" s="11" t="s">
        <v>4198</v>
      </c>
      <c r="C284" s="12" t="s">
        <v>600</v>
      </c>
      <c r="D284" s="12" t="s">
        <v>4199</v>
      </c>
      <c r="E284" s="12" t="s">
        <v>4200</v>
      </c>
      <c r="F284" s="13" t="b">
        <v>0</v>
      </c>
      <c r="G284" s="13" t="b">
        <v>1</v>
      </c>
      <c r="H284" s="11" t="s">
        <v>62</v>
      </c>
      <c r="I284" s="11" t="e">
        <f t="array" aca="1" ref="I284" ca="1">IF(H284="","",VLOOKUP(H284,_xludf.HSTACK(#REF!,#REF!),2,FALSE))</f>
        <v>#NAME?</v>
      </c>
      <c r="J284" s="11"/>
    </row>
    <row r="285" spans="1:10" x14ac:dyDescent="0.25">
      <c r="A285" s="11" t="s">
        <v>379</v>
      </c>
      <c r="B285" s="11" t="s">
        <v>4201</v>
      </c>
      <c r="C285" s="12" t="s">
        <v>522</v>
      </c>
      <c r="D285" s="12" t="s">
        <v>4021</v>
      </c>
      <c r="E285" s="12" t="s">
        <v>4202</v>
      </c>
      <c r="F285" s="13" t="b">
        <v>0</v>
      </c>
      <c r="G285" s="13" t="b">
        <v>1</v>
      </c>
      <c r="H285" s="11"/>
      <c r="I285" s="11" t="str">
        <f t="array" ref="I285">IF(H285="","",VLOOKUP(H285,_xludf.HSTACK(#REF!,#REF!),2,FALSE))</f>
        <v/>
      </c>
      <c r="J285" s="11"/>
    </row>
    <row r="286" spans="1:10" x14ac:dyDescent="0.25">
      <c r="A286" s="11" t="s">
        <v>379</v>
      </c>
      <c r="B286" s="11" t="s">
        <v>4203</v>
      </c>
      <c r="C286" s="12" t="s">
        <v>522</v>
      </c>
      <c r="D286" s="12" t="s">
        <v>4030</v>
      </c>
      <c r="E286" s="12" t="s">
        <v>4204</v>
      </c>
      <c r="F286" s="13" t="b">
        <v>0</v>
      </c>
      <c r="G286" s="13" t="b">
        <v>1</v>
      </c>
      <c r="H286" s="11"/>
      <c r="I286" s="11" t="str">
        <f t="array" ref="I286">IF(H286="","",VLOOKUP(H286,_xludf.HSTACK(#REF!,#REF!),2,FALSE))</f>
        <v/>
      </c>
      <c r="J286" s="11"/>
    </row>
    <row r="287" spans="1:10" x14ac:dyDescent="0.25">
      <c r="A287" s="11" t="s">
        <v>379</v>
      </c>
      <c r="B287" s="11" t="s">
        <v>4205</v>
      </c>
      <c r="C287" s="12" t="s">
        <v>522</v>
      </c>
      <c r="D287" s="12" t="s">
        <v>4043</v>
      </c>
      <c r="E287" s="12" t="s">
        <v>4204</v>
      </c>
      <c r="F287" s="13" t="b">
        <v>0</v>
      </c>
      <c r="G287" s="13" t="b">
        <v>1</v>
      </c>
      <c r="H287" s="11"/>
      <c r="I287" s="11" t="str">
        <f t="array" ref="I287">IF(H287="","",VLOOKUP(H287,_xludf.HSTACK(#REF!,#REF!),2,FALSE))</f>
        <v/>
      </c>
      <c r="J287" s="11"/>
    </row>
    <row r="288" spans="1:10" x14ac:dyDescent="0.25">
      <c r="A288" s="11" t="s">
        <v>379</v>
      </c>
      <c r="B288" s="11" t="s">
        <v>4206</v>
      </c>
      <c r="C288" s="12" t="s">
        <v>522</v>
      </c>
      <c r="D288" s="12" t="s">
        <v>4056</v>
      </c>
      <c r="E288" s="12" t="s">
        <v>4204</v>
      </c>
      <c r="F288" s="13" t="b">
        <v>0</v>
      </c>
      <c r="G288" s="13" t="b">
        <v>1</v>
      </c>
      <c r="H288" s="11" t="s">
        <v>54</v>
      </c>
      <c r="I288" s="11" t="e">
        <f t="array" aca="1" ref="I288" ca="1">IF(H288="","",VLOOKUP(H288,_xludf.HSTACK(#REF!,#REF!),2,FALSE))</f>
        <v>#NAME?</v>
      </c>
      <c r="J288" s="11"/>
    </row>
    <row r="289" spans="1:10" x14ac:dyDescent="0.25">
      <c r="A289" s="11" t="s">
        <v>379</v>
      </c>
      <c r="B289" s="11" t="s">
        <v>4207</v>
      </c>
      <c r="C289" s="12" t="s">
        <v>522</v>
      </c>
      <c r="D289" s="12" t="s">
        <v>4065</v>
      </c>
      <c r="E289" s="12" t="s">
        <v>4204</v>
      </c>
      <c r="F289" s="13" t="b">
        <v>0</v>
      </c>
      <c r="G289" s="13" t="b">
        <v>1</v>
      </c>
      <c r="H289" s="11"/>
      <c r="I289" s="11" t="str">
        <f t="array" ref="I289">IF(H289="","",VLOOKUP(H289,_xludf.HSTACK(#REF!,#REF!),2,FALSE))</f>
        <v/>
      </c>
      <c r="J289" s="11"/>
    </row>
    <row r="290" spans="1:10" x14ac:dyDescent="0.25">
      <c r="A290" s="11" t="s">
        <v>379</v>
      </c>
      <c r="B290" s="11" t="s">
        <v>4208</v>
      </c>
      <c r="C290" s="12" t="s">
        <v>522</v>
      </c>
      <c r="D290" s="12" t="s">
        <v>4074</v>
      </c>
      <c r="E290" s="12" t="s">
        <v>4202</v>
      </c>
      <c r="F290" s="13" t="b">
        <v>0</v>
      </c>
      <c r="G290" s="13" t="b">
        <v>1</v>
      </c>
      <c r="H290" s="11" t="s">
        <v>51</v>
      </c>
      <c r="I290" s="11" t="e">
        <f t="array" aca="1" ref="I290" ca="1">IF(H290="","",VLOOKUP(H290,_xludf.HSTACK(#REF!,#REF!),2,FALSE))</f>
        <v>#NAME?</v>
      </c>
      <c r="J290" s="11"/>
    </row>
    <row r="291" spans="1:10" x14ac:dyDescent="0.25">
      <c r="A291" s="11" t="s">
        <v>379</v>
      </c>
      <c r="B291" s="11" t="s">
        <v>4209</v>
      </c>
      <c r="C291" s="12" t="s">
        <v>522</v>
      </c>
      <c r="D291" s="12" t="s">
        <v>4083</v>
      </c>
      <c r="E291" s="12" t="s">
        <v>4202</v>
      </c>
      <c r="F291" s="13" t="b">
        <v>0</v>
      </c>
      <c r="G291" s="13" t="b">
        <v>1</v>
      </c>
      <c r="H291" s="11" t="s">
        <v>54</v>
      </c>
      <c r="I291" s="11" t="e">
        <f t="array" aca="1" ref="I291" ca="1">IF(H291="","",VLOOKUP(H291,_xludf.HSTACK(#REF!,#REF!),2,FALSE))</f>
        <v>#NAME?</v>
      </c>
      <c r="J291" s="11"/>
    </row>
    <row r="292" spans="1:10" x14ac:dyDescent="0.25">
      <c r="A292" s="11" t="s">
        <v>379</v>
      </c>
      <c r="B292" s="11" t="s">
        <v>4210</v>
      </c>
      <c r="C292" s="12" t="s">
        <v>522</v>
      </c>
      <c r="D292" s="12" t="s">
        <v>4092</v>
      </c>
      <c r="E292" s="12" t="s">
        <v>4202</v>
      </c>
      <c r="F292" s="13" t="b">
        <v>0</v>
      </c>
      <c r="G292" s="13" t="b">
        <v>1</v>
      </c>
      <c r="H292" s="11"/>
      <c r="I292" s="11" t="str">
        <f t="array" ref="I292">IF(H292="","",VLOOKUP(H292,_xludf.HSTACK(#REF!,#REF!),2,FALSE))</f>
        <v/>
      </c>
      <c r="J292" s="11"/>
    </row>
    <row r="293" spans="1:10" x14ac:dyDescent="0.25">
      <c r="A293" s="11" t="s">
        <v>379</v>
      </c>
      <c r="B293" s="11" t="s">
        <v>4211</v>
      </c>
      <c r="C293" s="12" t="s">
        <v>522</v>
      </c>
      <c r="D293" s="12" t="s">
        <v>4101</v>
      </c>
      <c r="E293" s="12" t="s">
        <v>4202</v>
      </c>
      <c r="F293" s="13" t="b">
        <v>0</v>
      </c>
      <c r="G293" s="13" t="b">
        <v>1</v>
      </c>
      <c r="H293" s="11"/>
      <c r="I293" s="11" t="str">
        <f t="array" ref="I293">IF(H293="","",VLOOKUP(H293,_xludf.HSTACK(#REF!,#REF!),2,FALSE))</f>
        <v/>
      </c>
      <c r="J293" s="11"/>
    </row>
    <row r="294" spans="1:10" x14ac:dyDescent="0.25">
      <c r="A294" s="11" t="s">
        <v>379</v>
      </c>
      <c r="B294" s="11" t="s">
        <v>4212</v>
      </c>
      <c r="C294" s="12" t="s">
        <v>522</v>
      </c>
      <c r="D294" s="12" t="s">
        <v>4110</v>
      </c>
      <c r="E294" s="12" t="s">
        <v>4202</v>
      </c>
      <c r="F294" s="13" t="b">
        <v>0</v>
      </c>
      <c r="G294" s="13" t="b">
        <v>1</v>
      </c>
      <c r="H294" s="11"/>
      <c r="I294" s="11" t="str">
        <f t="array" ref="I294">IF(H294="","",VLOOKUP(H294,_xludf.HSTACK(#REF!,#REF!),2,FALSE))</f>
        <v/>
      </c>
      <c r="J294" s="11"/>
    </row>
    <row r="295" spans="1:10" x14ac:dyDescent="0.25">
      <c r="A295" s="11" t="s">
        <v>379</v>
      </c>
      <c r="B295" s="11" t="s">
        <v>4213</v>
      </c>
      <c r="C295" s="12" t="s">
        <v>522</v>
      </c>
      <c r="D295" s="12" t="s">
        <v>4119</v>
      </c>
      <c r="E295" s="12" t="s">
        <v>4202</v>
      </c>
      <c r="F295" s="13" t="b">
        <v>0</v>
      </c>
      <c r="G295" s="13" t="b">
        <v>1</v>
      </c>
      <c r="H295" s="11"/>
      <c r="I295" s="11" t="str">
        <f t="array" ref="I295">IF(H295="","",VLOOKUP(H295,_xludf.HSTACK(#REF!,#REF!),2,FALSE))</f>
        <v/>
      </c>
      <c r="J295" s="11"/>
    </row>
    <row r="296" spans="1:10" x14ac:dyDescent="0.25">
      <c r="A296" s="11" t="s">
        <v>379</v>
      </c>
      <c r="B296" s="11" t="s">
        <v>4214</v>
      </c>
      <c r="C296" s="12" t="s">
        <v>522</v>
      </c>
      <c r="D296" s="12" t="s">
        <v>4128</v>
      </c>
      <c r="E296" s="12" t="s">
        <v>4215</v>
      </c>
      <c r="F296" s="13" t="b">
        <v>0</v>
      </c>
      <c r="G296" s="13" t="b">
        <v>1</v>
      </c>
      <c r="H296" s="11"/>
      <c r="I296" s="11" t="str">
        <f t="array" ref="I296">IF(H296="","",VLOOKUP(H296,_xludf.HSTACK(#REF!,#REF!),2,FALSE))</f>
        <v/>
      </c>
      <c r="J296" s="11"/>
    </row>
    <row r="297" spans="1:10" x14ac:dyDescent="0.25">
      <c r="A297" s="11" t="s">
        <v>379</v>
      </c>
      <c r="B297" s="11" t="s">
        <v>4216</v>
      </c>
      <c r="C297" s="12" t="s">
        <v>522</v>
      </c>
      <c r="D297" s="12" t="s">
        <v>4137</v>
      </c>
      <c r="E297" s="12" t="s">
        <v>4202</v>
      </c>
      <c r="F297" s="13" t="b">
        <v>0</v>
      </c>
      <c r="G297" s="13" t="b">
        <v>1</v>
      </c>
      <c r="H297" s="11"/>
      <c r="I297" s="11" t="str">
        <f t="array" ref="I297">IF(H297="","",VLOOKUP(H297,_xludf.HSTACK(#REF!,#REF!),2,FALSE))</f>
        <v/>
      </c>
      <c r="J297" s="11"/>
    </row>
    <row r="298" spans="1:10" x14ac:dyDescent="0.25">
      <c r="A298" s="11" t="s">
        <v>379</v>
      </c>
      <c r="B298" s="11" t="s">
        <v>4217</v>
      </c>
      <c r="C298" s="12" t="s">
        <v>522</v>
      </c>
      <c r="D298" s="12" t="s">
        <v>4146</v>
      </c>
      <c r="E298" s="12" t="s">
        <v>4202</v>
      </c>
      <c r="F298" s="13" t="b">
        <v>0</v>
      </c>
      <c r="G298" s="13" t="b">
        <v>1</v>
      </c>
      <c r="H298" s="11"/>
      <c r="I298" s="11" t="str">
        <f t="array" ref="I298">IF(H298="","",VLOOKUP(H298,_xludf.HSTACK(#REF!,#REF!),2,FALSE))</f>
        <v/>
      </c>
      <c r="J298" s="11"/>
    </row>
    <row r="299" spans="1:10" x14ac:dyDescent="0.25">
      <c r="A299" s="11" t="s">
        <v>379</v>
      </c>
      <c r="B299" s="11" t="s">
        <v>4218</v>
      </c>
      <c r="C299" s="12" t="s">
        <v>522</v>
      </c>
      <c r="D299" s="12" t="s">
        <v>4154</v>
      </c>
      <c r="E299" s="12" t="s">
        <v>4204</v>
      </c>
      <c r="F299" s="13" t="b">
        <v>0</v>
      </c>
      <c r="G299" s="13" t="b">
        <v>1</v>
      </c>
      <c r="H299" s="11"/>
      <c r="I299" s="11" t="str">
        <f t="array" ref="I299">IF(H299="","",VLOOKUP(H299,_xludf.HSTACK(#REF!,#REF!),2,FALSE))</f>
        <v/>
      </c>
      <c r="J299" s="11"/>
    </row>
    <row r="300" spans="1:10" x14ac:dyDescent="0.25">
      <c r="A300" s="11" t="s">
        <v>379</v>
      </c>
      <c r="B300" s="11" t="s">
        <v>4219</v>
      </c>
      <c r="C300" s="12" t="s">
        <v>522</v>
      </c>
      <c r="D300" s="12" t="s">
        <v>4163</v>
      </c>
      <c r="E300" s="12" t="s">
        <v>4202</v>
      </c>
      <c r="F300" s="13" t="b">
        <v>0</v>
      </c>
      <c r="G300" s="13" t="b">
        <v>1</v>
      </c>
      <c r="H300" s="11"/>
      <c r="I300" s="11" t="str">
        <f t="array" ref="I300">IF(H300="","",VLOOKUP(H300,_xludf.HSTACK(#REF!,#REF!),2,FALSE))</f>
        <v/>
      </c>
      <c r="J300" s="11"/>
    </row>
    <row r="301" spans="1:10" x14ac:dyDescent="0.25">
      <c r="A301" s="9" t="s">
        <v>883</v>
      </c>
      <c r="B301" s="9" t="s">
        <v>4220</v>
      </c>
      <c r="C301" s="7" t="s">
        <v>1009</v>
      </c>
      <c r="D301" s="9"/>
      <c r="E301" s="7" t="s">
        <v>4221</v>
      </c>
      <c r="F301" s="10" t="b">
        <v>0</v>
      </c>
      <c r="G301" s="10" t="b">
        <v>1</v>
      </c>
      <c r="H301" s="9" t="s">
        <v>62</v>
      </c>
      <c r="I301" s="9" t="e">
        <f t="array" aca="1" ref="I301" ca="1">IF(H301="","",VLOOKUP(H301,_xludf.HSTACK(#REF!,#REF!),2,FALSE))</f>
        <v>#NAME?</v>
      </c>
      <c r="J301" s="9"/>
    </row>
    <row r="302" spans="1:10" x14ac:dyDescent="0.25">
      <c r="A302" s="9" t="s">
        <v>883</v>
      </c>
      <c r="B302" s="9" t="s">
        <v>4222</v>
      </c>
      <c r="C302" s="7" t="s">
        <v>4</v>
      </c>
      <c r="D302" s="7" t="s">
        <v>4223</v>
      </c>
      <c r="E302" s="7" t="s">
        <v>4224</v>
      </c>
      <c r="F302" s="10" t="b">
        <v>0</v>
      </c>
      <c r="G302" s="10" t="b">
        <v>0</v>
      </c>
      <c r="H302" s="9"/>
      <c r="I302" s="9" t="str">
        <f t="array" ref="I302">IF(H302="","",VLOOKUP(H302,_xludf.HSTACK(#REF!,#REF!),2,FALSE))</f>
        <v/>
      </c>
      <c r="J302" s="9"/>
    </row>
    <row r="303" spans="1:10" x14ac:dyDescent="0.25">
      <c r="A303" s="9" t="s">
        <v>883</v>
      </c>
      <c r="B303" s="9" t="s">
        <v>4225</v>
      </c>
      <c r="C303" s="7" t="s">
        <v>3</v>
      </c>
      <c r="D303" s="7" t="s">
        <v>4226</v>
      </c>
      <c r="E303" s="7" t="s">
        <v>4227</v>
      </c>
      <c r="F303" s="10" t="b">
        <v>0</v>
      </c>
      <c r="G303" s="10" t="b">
        <v>0</v>
      </c>
      <c r="H303" s="9"/>
      <c r="I303" s="9" t="str">
        <f t="array" ref="I303">IF(H303="","",VLOOKUP(H303,_xludf.HSTACK(#REF!,#REF!),2,FALSE))</f>
        <v/>
      </c>
      <c r="J303" s="9"/>
    </row>
    <row r="304" spans="1:10" x14ac:dyDescent="0.25">
      <c r="A304" s="9" t="s">
        <v>883</v>
      </c>
      <c r="B304" s="9" t="s">
        <v>4228</v>
      </c>
      <c r="C304" s="7" t="s">
        <v>4</v>
      </c>
      <c r="D304" s="7" t="s">
        <v>4229</v>
      </c>
      <c r="E304" s="7" t="s">
        <v>4230</v>
      </c>
      <c r="F304" s="10" t="b">
        <v>0</v>
      </c>
      <c r="G304" s="10" t="b">
        <v>0</v>
      </c>
      <c r="H304" s="9"/>
      <c r="I304" s="9" t="str">
        <f t="array" ref="I304">IF(H304="","",VLOOKUP(H304,_xludf.HSTACK(#REF!,#REF!),2,FALSE))</f>
        <v/>
      </c>
      <c r="J304" s="9"/>
    </row>
    <row r="305" spans="1:10" x14ac:dyDescent="0.25">
      <c r="A305" s="9" t="s">
        <v>883</v>
      </c>
      <c r="B305" s="9" t="s">
        <v>4231</v>
      </c>
      <c r="C305" s="7" t="s">
        <v>4</v>
      </c>
      <c r="D305" s="7" t="s">
        <v>4232</v>
      </c>
      <c r="E305" s="7" t="s">
        <v>4233</v>
      </c>
      <c r="F305" s="10" t="b">
        <v>0</v>
      </c>
      <c r="G305" s="10" t="b">
        <v>0</v>
      </c>
      <c r="H305" s="9"/>
      <c r="I305" s="9" t="str">
        <f t="array" ref="I305">IF(H305="","",VLOOKUP(H305,_xludf.HSTACK(#REF!,#REF!),2,FALSE))</f>
        <v/>
      </c>
      <c r="J305" s="9"/>
    </row>
    <row r="306" spans="1:10" x14ac:dyDescent="0.25">
      <c r="A306" s="9" t="s">
        <v>883</v>
      </c>
      <c r="B306" s="9" t="s">
        <v>4234</v>
      </c>
      <c r="C306" s="7" t="s">
        <v>4</v>
      </c>
      <c r="D306" s="7" t="s">
        <v>4235</v>
      </c>
      <c r="E306" s="7" t="s">
        <v>4236</v>
      </c>
      <c r="F306" s="10" t="b">
        <v>0</v>
      </c>
      <c r="G306" s="10" t="b">
        <v>0</v>
      </c>
      <c r="H306" s="9"/>
      <c r="I306" s="9" t="str">
        <f t="array" ref="I306">IF(H306="","",VLOOKUP(H306,_xludf.HSTACK(#REF!,#REF!),2,FALSE))</f>
        <v/>
      </c>
      <c r="J306" s="9"/>
    </row>
    <row r="307" spans="1:10" x14ac:dyDescent="0.25">
      <c r="A307" s="9" t="s">
        <v>883</v>
      </c>
      <c r="B307" s="9" t="s">
        <v>4237</v>
      </c>
      <c r="C307" s="7" t="s">
        <v>3</v>
      </c>
      <c r="D307" s="7" t="s">
        <v>4238</v>
      </c>
      <c r="E307" s="7" t="s">
        <v>4239</v>
      </c>
      <c r="F307" s="10" t="b">
        <v>0</v>
      </c>
      <c r="G307" s="10" t="b">
        <v>0</v>
      </c>
      <c r="H307" s="9"/>
      <c r="I307" s="9" t="str">
        <f t="array" ref="I307">IF(H307="","",VLOOKUP(H307,_xludf.HSTACK(#REF!,#REF!),2,FALSE))</f>
        <v/>
      </c>
      <c r="J307" s="9"/>
    </row>
    <row r="308" spans="1:10" x14ac:dyDescent="0.25">
      <c r="A308" s="9" t="s">
        <v>883</v>
      </c>
      <c r="B308" s="9" t="s">
        <v>4240</v>
      </c>
      <c r="C308" s="7" t="s">
        <v>3</v>
      </c>
      <c r="D308" s="7" t="s">
        <v>4241</v>
      </c>
      <c r="E308" s="7" t="s">
        <v>4242</v>
      </c>
      <c r="F308" s="10" t="b">
        <v>0</v>
      </c>
      <c r="G308" s="10" t="b">
        <v>0</v>
      </c>
      <c r="H308" s="9"/>
      <c r="I308" s="9" t="str">
        <f t="array" ref="I308">IF(H308="","",VLOOKUP(H308,_xludf.HSTACK(#REF!,#REF!),2,FALSE))</f>
        <v/>
      </c>
      <c r="J308" s="9"/>
    </row>
    <row r="309" spans="1:10" x14ac:dyDescent="0.25">
      <c r="A309" s="9" t="s">
        <v>883</v>
      </c>
      <c r="B309" s="9" t="s">
        <v>4243</v>
      </c>
      <c r="C309" s="7" t="s">
        <v>4</v>
      </c>
      <c r="D309" s="7" t="s">
        <v>4244</v>
      </c>
      <c r="E309" s="7" t="s">
        <v>4245</v>
      </c>
      <c r="F309" s="10" t="b">
        <v>0</v>
      </c>
      <c r="G309" s="10" t="b">
        <v>0</v>
      </c>
      <c r="H309" s="9"/>
      <c r="I309" s="9" t="str">
        <f t="array" ref="I309">IF(H309="","",VLOOKUP(H309,_xludf.HSTACK(#REF!,#REF!),2,FALSE))</f>
        <v/>
      </c>
      <c r="J309" s="9"/>
    </row>
    <row r="310" spans="1:10" x14ac:dyDescent="0.25">
      <c r="A310" s="9" t="s">
        <v>883</v>
      </c>
      <c r="B310" s="9" t="s">
        <v>4246</v>
      </c>
      <c r="C310" s="7" t="s">
        <v>192</v>
      </c>
      <c r="D310" s="9"/>
      <c r="E310" s="7" t="s">
        <v>4247</v>
      </c>
      <c r="F310" s="10" t="b">
        <v>0</v>
      </c>
      <c r="G310" s="10" t="b">
        <v>0</v>
      </c>
      <c r="H310" s="9"/>
      <c r="I310" s="9" t="str">
        <f t="array" ref="I310">IF(H310="","",VLOOKUP(H310,_xludf.HSTACK(#REF!,#REF!),2,FALSE))</f>
        <v/>
      </c>
      <c r="J310" s="9"/>
    </row>
    <row r="311" spans="1:10" x14ac:dyDescent="0.25">
      <c r="A311" s="9" t="s">
        <v>883</v>
      </c>
      <c r="B311" s="9" t="s">
        <v>4248</v>
      </c>
      <c r="C311" s="7" t="s">
        <v>192</v>
      </c>
      <c r="D311" s="9"/>
      <c r="E311" s="7" t="s">
        <v>4249</v>
      </c>
      <c r="F311" s="10" t="b">
        <v>0</v>
      </c>
      <c r="G311" s="10" t="b">
        <v>0</v>
      </c>
      <c r="H311" s="9"/>
      <c r="I311" s="9" t="str">
        <f t="array" ref="I311">IF(H311="","",VLOOKUP(H311,_xludf.HSTACK(#REF!,#REF!),2,FALSE))</f>
        <v/>
      </c>
      <c r="J311" s="9"/>
    </row>
    <row r="312" spans="1:10" x14ac:dyDescent="0.25">
      <c r="A312" s="9" t="s">
        <v>883</v>
      </c>
      <c r="B312" s="9" t="s">
        <v>4250</v>
      </c>
      <c r="C312" s="7" t="s">
        <v>192</v>
      </c>
      <c r="D312" s="9"/>
      <c r="E312" s="7" t="s">
        <v>4251</v>
      </c>
      <c r="F312" s="10" t="b">
        <v>0</v>
      </c>
      <c r="G312" s="10" t="b">
        <v>0</v>
      </c>
      <c r="H312" s="9" t="s">
        <v>31</v>
      </c>
      <c r="I312" s="9" t="e">
        <f t="array" aca="1" ref="I312" ca="1">IF(H312="","",VLOOKUP(H312,_xludf.HSTACK(#REF!,#REF!),2,FALSE))</f>
        <v>#NAME?</v>
      </c>
      <c r="J312" s="9"/>
    </row>
    <row r="313" spans="1:10" x14ac:dyDescent="0.25">
      <c r="A313" s="9" t="s">
        <v>883</v>
      </c>
      <c r="B313" s="9" t="s">
        <v>4252</v>
      </c>
      <c r="C313" s="7" t="s">
        <v>192</v>
      </c>
      <c r="D313" s="9"/>
      <c r="E313" s="7" t="s">
        <v>4253</v>
      </c>
      <c r="F313" s="10" t="b">
        <v>0</v>
      </c>
      <c r="G313" s="10" t="b">
        <v>0</v>
      </c>
      <c r="H313" s="9" t="s">
        <v>28</v>
      </c>
      <c r="I313" s="9" t="e">
        <f t="array" aca="1" ref="I313" ca="1">IF(H313="","",VLOOKUP(H313,_xludf.HSTACK(#REF!,#REF!),2,FALSE))</f>
        <v>#NAME?</v>
      </c>
      <c r="J313" s="9"/>
    </row>
    <row r="314" spans="1:10" x14ac:dyDescent="0.25">
      <c r="A314" s="9" t="s">
        <v>883</v>
      </c>
      <c r="B314" s="9" t="s">
        <v>4254</v>
      </c>
      <c r="C314" s="7" t="s">
        <v>192</v>
      </c>
      <c r="D314" s="9"/>
      <c r="E314" s="7" t="s">
        <v>4255</v>
      </c>
      <c r="F314" s="10" t="b">
        <v>0</v>
      </c>
      <c r="G314" s="10" t="b">
        <v>0</v>
      </c>
      <c r="H314" s="9"/>
      <c r="I314" s="9" t="str">
        <f t="array" ref="I314">IF(H314="","",VLOOKUP(H314,_xludf.HSTACK(#REF!,#REF!),2,FALSE))</f>
        <v/>
      </c>
      <c r="J314" s="9"/>
    </row>
    <row r="315" spans="1:10" x14ac:dyDescent="0.25">
      <c r="A315" s="9" t="s">
        <v>883</v>
      </c>
      <c r="B315" s="9" t="s">
        <v>4256</v>
      </c>
      <c r="C315" s="7" t="s">
        <v>192</v>
      </c>
      <c r="D315" s="9"/>
      <c r="E315" s="7" t="s">
        <v>4257</v>
      </c>
      <c r="F315" s="10" t="b">
        <v>0</v>
      </c>
      <c r="G315" s="10" t="b">
        <v>0</v>
      </c>
      <c r="H315" s="9" t="s">
        <v>30</v>
      </c>
      <c r="I315" s="9" t="e">
        <f t="array" aca="1" ref="I315" ca="1">IF(H315="","",VLOOKUP(H315,_xludf.HSTACK(#REF!,#REF!),2,FALSE))</f>
        <v>#NAME?</v>
      </c>
      <c r="J315" s="9"/>
    </row>
    <row r="316" spans="1:10" x14ac:dyDescent="0.25">
      <c r="A316" s="9" t="s">
        <v>883</v>
      </c>
      <c r="B316" s="9" t="s">
        <v>4258</v>
      </c>
      <c r="C316" s="7" t="s">
        <v>4259</v>
      </c>
      <c r="D316" s="7" t="s">
        <v>4260</v>
      </c>
      <c r="E316" s="7" t="s">
        <v>4261</v>
      </c>
      <c r="F316" s="10" t="b">
        <v>0</v>
      </c>
      <c r="G316" s="10" t="b">
        <v>1</v>
      </c>
      <c r="H316" s="9"/>
      <c r="I316" s="9" t="str">
        <f t="array" ref="I316">IF(H316="","",VLOOKUP(H316,_xludf.HSTACK(#REF!,#REF!),2,FALSE))</f>
        <v/>
      </c>
      <c r="J316" s="9"/>
    </row>
    <row r="317" spans="1:10" x14ac:dyDescent="0.25">
      <c r="A317" s="9" t="s">
        <v>883</v>
      </c>
      <c r="B317" s="9" t="s">
        <v>4262</v>
      </c>
      <c r="C317" s="7" t="s">
        <v>4263</v>
      </c>
      <c r="D317" s="7" t="s">
        <v>4264</v>
      </c>
      <c r="E317" s="7" t="s">
        <v>4265</v>
      </c>
      <c r="F317" s="10" t="b">
        <v>0</v>
      </c>
      <c r="G317" s="10" t="b">
        <v>1</v>
      </c>
      <c r="H317" s="9"/>
      <c r="I317" s="9" t="str">
        <f t="array" ref="I317">IF(H317="","",VLOOKUP(H317,_xludf.HSTACK(#REF!,#REF!),2,FALSE))</f>
        <v/>
      </c>
      <c r="J317" s="9"/>
    </row>
    <row r="318" spans="1:10" x14ac:dyDescent="0.25">
      <c r="A318" s="9" t="s">
        <v>883</v>
      </c>
      <c r="B318" s="9" t="s">
        <v>4266</v>
      </c>
      <c r="C318" s="7" t="s">
        <v>4267</v>
      </c>
      <c r="D318" s="7" t="s">
        <v>4268</v>
      </c>
      <c r="E318" s="7" t="s">
        <v>4269</v>
      </c>
      <c r="F318" s="10" t="b">
        <v>0</v>
      </c>
      <c r="G318" s="10" t="b">
        <v>0</v>
      </c>
      <c r="H318" s="9" t="s">
        <v>38</v>
      </c>
      <c r="I318" s="9" t="e">
        <f t="array" aca="1" ref="I318" ca="1">IF(H318="","",VLOOKUP(H318,_xludf.HSTACK(#REF!,#REF!),2,FALSE))</f>
        <v>#NAME?</v>
      </c>
      <c r="J318" s="9"/>
    </row>
    <row r="319" spans="1:10" x14ac:dyDescent="0.25">
      <c r="A319" s="9" t="s">
        <v>883</v>
      </c>
      <c r="B319" s="9" t="s">
        <v>4270</v>
      </c>
      <c r="C319" s="7" t="s">
        <v>4259</v>
      </c>
      <c r="D319" s="7" t="s">
        <v>4271</v>
      </c>
      <c r="E319" s="7" t="s">
        <v>4272</v>
      </c>
      <c r="F319" s="10" t="b">
        <v>0</v>
      </c>
      <c r="G319" s="10" t="b">
        <v>1</v>
      </c>
      <c r="H319" s="9"/>
      <c r="I319" s="9" t="str">
        <f t="array" ref="I319">IF(H319="","",VLOOKUP(H319,_xludf.HSTACK(#REF!,#REF!),2,FALSE))</f>
        <v/>
      </c>
      <c r="J319" s="9"/>
    </row>
    <row r="320" spans="1:10" x14ac:dyDescent="0.25">
      <c r="A320" s="9" t="s">
        <v>883</v>
      </c>
      <c r="B320" s="9" t="s">
        <v>4273</v>
      </c>
      <c r="C320" s="7" t="s">
        <v>27</v>
      </c>
      <c r="D320" s="9"/>
      <c r="E320" s="7" t="s">
        <v>4274</v>
      </c>
      <c r="F320" s="10" t="b">
        <v>0</v>
      </c>
      <c r="G320" s="10" t="b">
        <v>0</v>
      </c>
      <c r="H320" s="9"/>
      <c r="I320" s="9" t="str">
        <f t="array" ref="I320">IF(H320="","",VLOOKUP(H320,_xludf.HSTACK(#REF!,#REF!),2,FALSE))</f>
        <v/>
      </c>
      <c r="J320" s="9"/>
    </row>
    <row r="321" spans="1:10" x14ac:dyDescent="0.25">
      <c r="A321" s="9" t="s">
        <v>883</v>
      </c>
      <c r="B321" s="9" t="s">
        <v>4275</v>
      </c>
      <c r="C321" s="7" t="s">
        <v>27</v>
      </c>
      <c r="D321" s="9"/>
      <c r="E321" s="7" t="s">
        <v>4276</v>
      </c>
      <c r="F321" s="10" t="b">
        <v>0</v>
      </c>
      <c r="G321" s="10" t="b">
        <v>0</v>
      </c>
      <c r="H321" s="9" t="s">
        <v>29</v>
      </c>
      <c r="I321" s="9" t="e">
        <f t="array" aca="1" ref="I321" ca="1">IF(H321="","",VLOOKUP(H321,_xludf.HSTACK(#REF!,#REF!),2,FALSE))</f>
        <v>#NAME?</v>
      </c>
      <c r="J321" s="9"/>
    </row>
    <row r="322" spans="1:10" x14ac:dyDescent="0.25">
      <c r="A322" s="9" t="s">
        <v>883</v>
      </c>
      <c r="B322" s="9" t="s">
        <v>4277</v>
      </c>
      <c r="C322" s="7" t="s">
        <v>27</v>
      </c>
      <c r="D322" s="9"/>
      <c r="E322" s="7" t="s">
        <v>4278</v>
      </c>
      <c r="F322" s="10" t="b">
        <v>0</v>
      </c>
      <c r="G322" s="10" t="b">
        <v>0</v>
      </c>
      <c r="H322" s="9"/>
      <c r="I322" s="9" t="str">
        <f t="array" ref="I322">IF(H322="","",VLOOKUP(H322,_xludf.HSTACK(#REF!,#REF!),2,FALSE))</f>
        <v/>
      </c>
      <c r="J322" s="9"/>
    </row>
    <row r="323" spans="1:10" x14ac:dyDescent="0.25">
      <c r="A323" s="9" t="s">
        <v>883</v>
      </c>
      <c r="B323" s="9" t="s">
        <v>4279</v>
      </c>
      <c r="C323" s="7" t="s">
        <v>27</v>
      </c>
      <c r="D323" s="9"/>
      <c r="E323" s="7" t="s">
        <v>4280</v>
      </c>
      <c r="F323" s="10" t="b">
        <v>0</v>
      </c>
      <c r="G323" s="10" t="b">
        <v>0</v>
      </c>
      <c r="H323" s="9" t="s">
        <v>26</v>
      </c>
      <c r="I323" s="9" t="e">
        <f t="array" aca="1" ref="I323" ca="1">IF(H323="","",VLOOKUP(H323,_xludf.HSTACK(#REF!,#REF!),2,FALSE))</f>
        <v>#NAME?</v>
      </c>
      <c r="J323" s="9"/>
    </row>
    <row r="324" spans="1:10" x14ac:dyDescent="0.25">
      <c r="A324" s="9" t="s">
        <v>883</v>
      </c>
      <c r="B324" s="9" t="s">
        <v>4281</v>
      </c>
      <c r="C324" s="7" t="s">
        <v>27</v>
      </c>
      <c r="D324" s="9"/>
      <c r="E324" s="7" t="s">
        <v>4282</v>
      </c>
      <c r="F324" s="10" t="b">
        <v>0</v>
      </c>
      <c r="G324" s="10" t="b">
        <v>0</v>
      </c>
      <c r="H324" s="9" t="s">
        <v>31</v>
      </c>
      <c r="I324" s="9" t="e">
        <f t="array" aca="1" ref="I324" ca="1">IF(H324="","",VLOOKUP(H324,_xludf.HSTACK(#REF!,#REF!),2,FALSE))</f>
        <v>#NAME?</v>
      </c>
      <c r="J324" s="9"/>
    </row>
    <row r="325" spans="1:10" x14ac:dyDescent="0.25">
      <c r="A325" s="9" t="s">
        <v>883</v>
      </c>
      <c r="B325" s="9" t="s">
        <v>4283</v>
      </c>
      <c r="C325" s="7" t="s">
        <v>27</v>
      </c>
      <c r="D325" s="9"/>
      <c r="E325" s="7" t="s">
        <v>4284</v>
      </c>
      <c r="F325" s="10" t="b">
        <v>0</v>
      </c>
      <c r="G325" s="10" t="b">
        <v>0</v>
      </c>
      <c r="H325" s="9"/>
      <c r="I325" s="9" t="str">
        <f t="array" ref="I325">IF(H325="","",VLOOKUP(H325,_xludf.HSTACK(#REF!,#REF!),2,FALSE))</f>
        <v/>
      </c>
      <c r="J325" s="9"/>
    </row>
    <row r="326" spans="1:10" x14ac:dyDescent="0.25">
      <c r="A326" s="9" t="s">
        <v>883</v>
      </c>
      <c r="B326" s="9" t="s">
        <v>4285</v>
      </c>
      <c r="C326" s="7" t="s">
        <v>27</v>
      </c>
      <c r="D326" s="9"/>
      <c r="E326" s="7" t="s">
        <v>4286</v>
      </c>
      <c r="F326" s="10" t="b">
        <v>0</v>
      </c>
      <c r="G326" s="10" t="b">
        <v>0</v>
      </c>
      <c r="H326" s="9" t="s">
        <v>32</v>
      </c>
      <c r="I326" s="9" t="e">
        <f t="array" aca="1" ref="I326" ca="1">IF(H326="","",VLOOKUP(H326,_xludf.HSTACK(#REF!,#REF!),2,FALSE))</f>
        <v>#NAME?</v>
      </c>
      <c r="J326" s="9"/>
    </row>
    <row r="327" spans="1:10" x14ac:dyDescent="0.25">
      <c r="A327" s="9" t="s">
        <v>883</v>
      </c>
      <c r="B327" s="9" t="s">
        <v>4287</v>
      </c>
      <c r="C327" s="7" t="s">
        <v>1005</v>
      </c>
      <c r="D327" s="9"/>
      <c r="E327" s="7" t="s">
        <v>4288</v>
      </c>
      <c r="F327" s="10" t="b">
        <v>0</v>
      </c>
      <c r="G327" s="10" t="b">
        <v>1</v>
      </c>
      <c r="H327" s="9" t="s">
        <v>22</v>
      </c>
      <c r="I327" s="9" t="e">
        <f t="array" aca="1" ref="I327" ca="1">IF(H327="","",VLOOKUP(H327,_xludf.HSTACK(#REF!,#REF!),2,FALSE))</f>
        <v>#NAME?</v>
      </c>
      <c r="J327" s="9"/>
    </row>
    <row r="328" spans="1:10" x14ac:dyDescent="0.25">
      <c r="A328" s="9" t="s">
        <v>883</v>
      </c>
      <c r="B328" s="9" t="s">
        <v>4289</v>
      </c>
      <c r="C328" s="7" t="s">
        <v>4263</v>
      </c>
      <c r="D328" s="7" t="s">
        <v>4290</v>
      </c>
      <c r="E328" s="7" t="s">
        <v>4291</v>
      </c>
      <c r="F328" s="10" t="b">
        <v>1</v>
      </c>
      <c r="G328" s="10" t="b">
        <v>1</v>
      </c>
      <c r="H328" s="9" t="s">
        <v>68</v>
      </c>
      <c r="I328" s="9" t="e">
        <f t="array" aca="1" ref="I328" ca="1">IF(H328="","",VLOOKUP(H328,_xludf.HSTACK(#REF!,#REF!),2,FALSE))</f>
        <v>#NAME?</v>
      </c>
      <c r="J328" s="9" t="s">
        <v>3792</v>
      </c>
    </row>
    <row r="329" spans="1:10" x14ac:dyDescent="0.25">
      <c r="A329" s="9" t="s">
        <v>883</v>
      </c>
      <c r="B329" s="9" t="s">
        <v>4292</v>
      </c>
      <c r="C329" s="7" t="s">
        <v>4259</v>
      </c>
      <c r="D329" s="7" t="s">
        <v>4293</v>
      </c>
      <c r="E329" s="7" t="s">
        <v>4294</v>
      </c>
      <c r="F329" s="10" t="b">
        <v>1</v>
      </c>
      <c r="G329" s="10" t="b">
        <v>1</v>
      </c>
      <c r="H329" s="9" t="s">
        <v>69</v>
      </c>
      <c r="I329" s="9" t="e">
        <f t="array" aca="1" ref="I329" ca="1">IF(H329="","",VLOOKUP(H329,_xludf.HSTACK(#REF!,#REF!),2,FALSE))</f>
        <v>#NAME?</v>
      </c>
      <c r="J329" s="9" t="s">
        <v>3792</v>
      </c>
    </row>
    <row r="330" spans="1:10" x14ac:dyDescent="0.25">
      <c r="A330" s="9" t="s">
        <v>883</v>
      </c>
      <c r="B330" s="9" t="s">
        <v>4295</v>
      </c>
      <c r="C330" s="7" t="s">
        <v>36</v>
      </c>
      <c r="D330" s="7" t="s">
        <v>4296</v>
      </c>
      <c r="E330" s="7" t="s">
        <v>4297</v>
      </c>
      <c r="F330" s="10" t="b">
        <v>1</v>
      </c>
      <c r="G330" s="10" t="b">
        <v>0</v>
      </c>
      <c r="H330" s="9" t="s">
        <v>35</v>
      </c>
      <c r="I330" s="9" t="e">
        <f t="array" aca="1" ref="I330" ca="1">IF(H330="","",VLOOKUP(H330,_xludf.HSTACK(#REF!,#REF!),2,FALSE))</f>
        <v>#NAME?</v>
      </c>
      <c r="J330" s="9" t="s">
        <v>3636</v>
      </c>
    </row>
    <row r="331" spans="1:10" x14ac:dyDescent="0.25">
      <c r="A331" s="9" t="s">
        <v>883</v>
      </c>
      <c r="B331" s="9" t="s">
        <v>4298</v>
      </c>
      <c r="C331" s="7" t="s">
        <v>4259</v>
      </c>
      <c r="D331" s="7" t="s">
        <v>4299</v>
      </c>
      <c r="E331" s="7" t="s">
        <v>4300</v>
      </c>
      <c r="F331" s="10" t="b">
        <v>0</v>
      </c>
      <c r="G331" s="10" t="b">
        <v>1</v>
      </c>
      <c r="H331" s="9"/>
      <c r="I331" s="9" t="str">
        <f t="array" ref="I331">IF(H331="","",VLOOKUP(H331,_xludf.HSTACK(#REF!,#REF!),2,FALSE))</f>
        <v/>
      </c>
      <c r="J331" s="9"/>
    </row>
    <row r="332" spans="1:10" x14ac:dyDescent="0.25">
      <c r="A332" s="9" t="s">
        <v>883</v>
      </c>
      <c r="B332" s="9" t="s">
        <v>4301</v>
      </c>
      <c r="C332" s="7" t="s">
        <v>1013</v>
      </c>
      <c r="D332" s="9"/>
      <c r="E332" s="7" t="s">
        <v>4302</v>
      </c>
      <c r="F332" s="10" t="b">
        <v>1</v>
      </c>
      <c r="G332" s="10" t="b">
        <v>1</v>
      </c>
      <c r="H332" s="9" t="s">
        <v>60</v>
      </c>
      <c r="I332" s="9" t="e">
        <f t="array" aca="1" ref="I332" ca="1">IF(H332="","",VLOOKUP(H332,_xludf.HSTACK(#REF!,#REF!),2,FALSE))</f>
        <v>#NAME?</v>
      </c>
      <c r="J332" s="9" t="s">
        <v>4303</v>
      </c>
    </row>
    <row r="333" spans="1:10" x14ac:dyDescent="0.25">
      <c r="A333" s="9" t="s">
        <v>883</v>
      </c>
      <c r="B333" s="9" t="s">
        <v>4304</v>
      </c>
      <c r="C333" s="7" t="s">
        <v>1013</v>
      </c>
      <c r="D333" s="9"/>
      <c r="E333" s="7" t="s">
        <v>4305</v>
      </c>
      <c r="F333" s="10" t="b">
        <v>1</v>
      </c>
      <c r="G333" s="10" t="b">
        <v>1</v>
      </c>
      <c r="H333" s="9" t="s">
        <v>60</v>
      </c>
      <c r="I333" s="9" t="e">
        <f t="array" aca="1" ref="I333" ca="1">IF(H333="","",VLOOKUP(H333,_xludf.HSTACK(#REF!,#REF!),2,FALSE))</f>
        <v>#NAME?</v>
      </c>
      <c r="J333" s="9" t="s">
        <v>4303</v>
      </c>
    </row>
    <row r="334" spans="1:10" x14ac:dyDescent="0.25">
      <c r="A334" s="9" t="s">
        <v>883</v>
      </c>
      <c r="B334" s="9" t="s">
        <v>4306</v>
      </c>
      <c r="C334" s="7" t="s">
        <v>4263</v>
      </c>
      <c r="D334" s="7" t="s">
        <v>4307</v>
      </c>
      <c r="E334" s="7" t="s">
        <v>4308</v>
      </c>
      <c r="F334" s="10" t="b">
        <v>1</v>
      </c>
      <c r="G334" s="10" t="b">
        <v>1</v>
      </c>
      <c r="H334" s="9" t="s">
        <v>65</v>
      </c>
      <c r="I334" s="9" t="e">
        <f t="array" aca="1" ref="I334" ca="1">IF(H334="","",VLOOKUP(H334,_xludf.HSTACK(#REF!,#REF!),2,FALSE))</f>
        <v>#NAME?</v>
      </c>
      <c r="J334" s="9" t="s">
        <v>3792</v>
      </c>
    </row>
    <row r="335" spans="1:10" x14ac:dyDescent="0.25">
      <c r="A335" s="9" t="s">
        <v>883</v>
      </c>
      <c r="B335" s="9" t="s">
        <v>4309</v>
      </c>
      <c r="C335" s="7" t="s">
        <v>4263</v>
      </c>
      <c r="D335" s="7" t="s">
        <v>4310</v>
      </c>
      <c r="E335" s="7" t="s">
        <v>4311</v>
      </c>
      <c r="F335" s="10" t="b">
        <v>1</v>
      </c>
      <c r="G335" s="10" t="b">
        <v>1</v>
      </c>
      <c r="H335" s="9" t="s">
        <v>66</v>
      </c>
      <c r="I335" s="9" t="e">
        <f t="array" aca="1" ref="I335" ca="1">IF(H335="","",VLOOKUP(H335,_xludf.HSTACK(#REF!,#REF!),2,FALSE))</f>
        <v>#NAME?</v>
      </c>
      <c r="J335" s="9" t="s">
        <v>3792</v>
      </c>
    </row>
    <row r="336" spans="1:10" x14ac:dyDescent="0.25">
      <c r="A336" s="9" t="s">
        <v>883</v>
      </c>
      <c r="B336" s="9" t="s">
        <v>4312</v>
      </c>
      <c r="C336" s="7" t="s">
        <v>27</v>
      </c>
      <c r="D336" s="9"/>
      <c r="E336" s="7" t="s">
        <v>4313</v>
      </c>
      <c r="F336" s="10" t="b">
        <v>0</v>
      </c>
      <c r="G336" s="10" t="b">
        <v>0</v>
      </c>
      <c r="H336" s="9"/>
      <c r="I336" s="9" t="str">
        <f t="array" ref="I336">IF(H336="","",VLOOKUP(H336,_xludf.HSTACK(#REF!,#REF!),2,FALSE))</f>
        <v/>
      </c>
      <c r="J336" s="9"/>
    </row>
    <row r="337" spans="1:10" x14ac:dyDescent="0.25">
      <c r="A337" s="9" t="s">
        <v>883</v>
      </c>
      <c r="B337" s="9" t="s">
        <v>4314</v>
      </c>
      <c r="C337" s="7" t="s">
        <v>27</v>
      </c>
      <c r="D337" s="9"/>
      <c r="E337" s="7" t="s">
        <v>4315</v>
      </c>
      <c r="F337" s="10" t="b">
        <v>0</v>
      </c>
      <c r="G337" s="10" t="b">
        <v>0</v>
      </c>
      <c r="H337" s="9"/>
      <c r="I337" s="9" t="str">
        <f t="array" ref="I337">IF(H337="","",VLOOKUP(H337,_xludf.HSTACK(#REF!,#REF!),2,FALSE))</f>
        <v/>
      </c>
      <c r="J337" s="9"/>
    </row>
    <row r="338" spans="1:10" x14ac:dyDescent="0.25">
      <c r="A338" s="9" t="s">
        <v>883</v>
      </c>
      <c r="B338" s="9" t="s">
        <v>4316</v>
      </c>
      <c r="C338" s="7" t="s">
        <v>27</v>
      </c>
      <c r="D338" s="9"/>
      <c r="E338" s="7" t="s">
        <v>4317</v>
      </c>
      <c r="F338" s="10" t="b">
        <v>0</v>
      </c>
      <c r="G338" s="10" t="b">
        <v>0</v>
      </c>
      <c r="H338" s="9" t="s">
        <v>29</v>
      </c>
      <c r="I338" s="9" t="e">
        <f t="array" aca="1" ref="I338" ca="1">IF(H338="","",VLOOKUP(H338,_xludf.HSTACK(#REF!,#REF!),2,FALSE))</f>
        <v>#NAME?</v>
      </c>
      <c r="J338" s="9"/>
    </row>
    <row r="339" spans="1:10" x14ac:dyDescent="0.25">
      <c r="A339" s="9" t="s">
        <v>883</v>
      </c>
      <c r="B339" s="9" t="s">
        <v>4318</v>
      </c>
      <c r="C339" s="7" t="s">
        <v>27</v>
      </c>
      <c r="D339" s="9"/>
      <c r="E339" s="7" t="s">
        <v>4319</v>
      </c>
      <c r="F339" s="10" t="b">
        <v>0</v>
      </c>
      <c r="G339" s="10" t="b">
        <v>0</v>
      </c>
      <c r="H339" s="9" t="s">
        <v>26</v>
      </c>
      <c r="I339" s="9" t="e">
        <f t="array" aca="1" ref="I339" ca="1">IF(H339="","",VLOOKUP(H339,_xludf.HSTACK(#REF!,#REF!),2,FALSE))</f>
        <v>#NAME?</v>
      </c>
      <c r="J339" s="9"/>
    </row>
    <row r="340" spans="1:10" x14ac:dyDescent="0.25">
      <c r="A340" s="9" t="s">
        <v>883</v>
      </c>
      <c r="B340" s="9" t="s">
        <v>4320</v>
      </c>
      <c r="C340" s="7" t="s">
        <v>27</v>
      </c>
      <c r="D340" s="9"/>
      <c r="E340" s="7" t="s">
        <v>4321</v>
      </c>
      <c r="F340" s="10" t="b">
        <v>0</v>
      </c>
      <c r="G340" s="10" t="b">
        <v>0</v>
      </c>
      <c r="H340" s="9" t="s">
        <v>28</v>
      </c>
      <c r="I340" s="9" t="e">
        <f t="array" aca="1" ref="I340" ca="1">IF(H340="","",VLOOKUP(H340,_xludf.HSTACK(#REF!,#REF!),2,FALSE))</f>
        <v>#NAME?</v>
      </c>
      <c r="J340" s="9"/>
    </row>
    <row r="341" spans="1:10" x14ac:dyDescent="0.25">
      <c r="A341" s="9" t="s">
        <v>883</v>
      </c>
      <c r="B341" s="9" t="s">
        <v>4322</v>
      </c>
      <c r="C341" s="7" t="s">
        <v>27</v>
      </c>
      <c r="D341" s="9"/>
      <c r="E341" s="7" t="s">
        <v>4323</v>
      </c>
      <c r="F341" s="10" t="b">
        <v>0</v>
      </c>
      <c r="G341" s="10" t="b">
        <v>0</v>
      </c>
      <c r="H341" s="9"/>
      <c r="I341" s="9" t="str">
        <f t="array" ref="I341">IF(H341="","",VLOOKUP(H341,_xludf.HSTACK(#REF!,#REF!),2,FALSE))</f>
        <v/>
      </c>
      <c r="J341" s="9"/>
    </row>
    <row r="342" spans="1:10" x14ac:dyDescent="0.25">
      <c r="A342" s="9" t="s">
        <v>883</v>
      </c>
      <c r="B342" s="9" t="s">
        <v>4324</v>
      </c>
      <c r="C342" s="7" t="s">
        <v>27</v>
      </c>
      <c r="D342" s="9"/>
      <c r="E342" s="7" t="s">
        <v>4325</v>
      </c>
      <c r="F342" s="10" t="b">
        <v>0</v>
      </c>
      <c r="G342" s="10" t="b">
        <v>0</v>
      </c>
      <c r="H342" s="9" t="s">
        <v>30</v>
      </c>
      <c r="I342" s="9" t="e">
        <f t="array" aca="1" ref="I342" ca="1">IF(H342="","",VLOOKUP(H342,_xludf.HSTACK(#REF!,#REF!),2,FALSE))</f>
        <v>#NAME?</v>
      </c>
      <c r="J342" s="9"/>
    </row>
    <row r="343" spans="1:10" x14ac:dyDescent="0.25">
      <c r="A343" s="9" t="s">
        <v>883</v>
      </c>
      <c r="B343" s="9" t="s">
        <v>4326</v>
      </c>
      <c r="C343" s="7" t="s">
        <v>27</v>
      </c>
      <c r="D343" s="9"/>
      <c r="E343" s="7" t="s">
        <v>4327</v>
      </c>
      <c r="F343" s="10" t="b">
        <v>0</v>
      </c>
      <c r="G343" s="10" t="b">
        <v>0</v>
      </c>
      <c r="H343" s="9" t="s">
        <v>31</v>
      </c>
      <c r="I343" s="9" t="e">
        <f t="array" aca="1" ref="I343" ca="1">IF(H343="","",VLOOKUP(H343,_xludf.HSTACK(#REF!,#REF!),2,FALSE))</f>
        <v>#NAME?</v>
      </c>
      <c r="J343" s="9"/>
    </row>
    <row r="344" spans="1:10" x14ac:dyDescent="0.25">
      <c r="A344" s="9" t="s">
        <v>883</v>
      </c>
      <c r="B344" s="9" t="s">
        <v>4328</v>
      </c>
      <c r="C344" s="7" t="s">
        <v>27</v>
      </c>
      <c r="D344" s="9"/>
      <c r="E344" s="7" t="s">
        <v>4329</v>
      </c>
      <c r="F344" s="10" t="b">
        <v>0</v>
      </c>
      <c r="G344" s="10" t="b">
        <v>0</v>
      </c>
      <c r="H344" s="9" t="s">
        <v>32</v>
      </c>
      <c r="I344" s="9" t="e">
        <f t="array" aca="1" ref="I344" ca="1">IF(H344="","",VLOOKUP(H344,_xludf.HSTACK(#REF!,#REF!),2,FALSE))</f>
        <v>#NAME?</v>
      </c>
      <c r="J344" s="9"/>
    </row>
    <row r="345" spans="1:10" x14ac:dyDescent="0.25">
      <c r="A345" s="9" t="s">
        <v>883</v>
      </c>
      <c r="B345" s="9" t="s">
        <v>4330</v>
      </c>
      <c r="C345" s="7" t="s">
        <v>4263</v>
      </c>
      <c r="D345" s="7" t="s">
        <v>4331</v>
      </c>
      <c r="E345" s="7" t="s">
        <v>4332</v>
      </c>
      <c r="F345" s="10" t="b">
        <v>0</v>
      </c>
      <c r="G345" s="10" t="b">
        <v>1</v>
      </c>
      <c r="H345" s="9"/>
      <c r="I345" s="9" t="str">
        <f t="array" ref="I345">IF(H345="","",VLOOKUP(H345,_xludf.HSTACK(#REF!,#REF!),2,FALSE))</f>
        <v/>
      </c>
      <c r="J345" s="9"/>
    </row>
    <row r="346" spans="1:10" x14ac:dyDescent="0.25">
      <c r="A346" s="9" t="s">
        <v>883</v>
      </c>
      <c r="B346" s="9" t="s">
        <v>4333</v>
      </c>
      <c r="C346" s="7" t="s">
        <v>3</v>
      </c>
      <c r="D346" s="7" t="s">
        <v>4334</v>
      </c>
      <c r="E346" s="7" t="s">
        <v>4335</v>
      </c>
      <c r="F346" s="10" t="b">
        <v>0</v>
      </c>
      <c r="G346" s="10" t="b">
        <v>0</v>
      </c>
      <c r="H346" s="9"/>
      <c r="I346" s="9" t="str">
        <f t="array" ref="I346">IF(H346="","",VLOOKUP(H346,_xludf.HSTACK(#REF!,#REF!),2,FALSE))</f>
        <v/>
      </c>
      <c r="J346" s="9"/>
    </row>
    <row r="347" spans="1:10" x14ac:dyDescent="0.25">
      <c r="A347" s="9" t="s">
        <v>883</v>
      </c>
      <c r="B347" s="9" t="s">
        <v>4336</v>
      </c>
      <c r="C347" s="7" t="s">
        <v>4</v>
      </c>
      <c r="D347" s="7" t="s">
        <v>4337</v>
      </c>
      <c r="E347" s="7" t="s">
        <v>4338</v>
      </c>
      <c r="F347" s="10" t="b">
        <v>0</v>
      </c>
      <c r="G347" s="10" t="b">
        <v>0</v>
      </c>
      <c r="H347" s="9"/>
      <c r="I347" s="9" t="str">
        <f t="array" ref="I347">IF(H347="","",VLOOKUP(H347,_xludf.HSTACK(#REF!,#REF!),2,FALSE))</f>
        <v/>
      </c>
      <c r="J347" s="9"/>
    </row>
    <row r="348" spans="1:10" x14ac:dyDescent="0.25">
      <c r="A348" s="9" t="s">
        <v>883</v>
      </c>
      <c r="B348" s="9" t="s">
        <v>4339</v>
      </c>
      <c r="C348" s="7" t="s">
        <v>4</v>
      </c>
      <c r="D348" s="7" t="s">
        <v>4340</v>
      </c>
      <c r="E348" s="7" t="s">
        <v>4341</v>
      </c>
      <c r="F348" s="10" t="b">
        <v>0</v>
      </c>
      <c r="G348" s="10" t="b">
        <v>0</v>
      </c>
      <c r="H348" s="9"/>
      <c r="I348" s="9" t="str">
        <f t="array" ref="I348">IF(H348="","",VLOOKUP(H348,_xludf.HSTACK(#REF!,#REF!),2,FALSE))</f>
        <v/>
      </c>
      <c r="J348" s="9"/>
    </row>
    <row r="349" spans="1:10" x14ac:dyDescent="0.25">
      <c r="A349" s="9" t="s">
        <v>883</v>
      </c>
      <c r="B349" s="9" t="s">
        <v>4342</v>
      </c>
      <c r="C349" s="7" t="s">
        <v>4</v>
      </c>
      <c r="D349" s="7" t="s">
        <v>4343</v>
      </c>
      <c r="E349" s="7" t="s">
        <v>4344</v>
      </c>
      <c r="F349" s="10" t="b">
        <v>1</v>
      </c>
      <c r="G349" s="10" t="b">
        <v>0</v>
      </c>
      <c r="H349" s="9" t="s">
        <v>56</v>
      </c>
      <c r="I349" s="9" t="e">
        <f t="array" aca="1" ref="I349" ca="1">IF(H349="","",VLOOKUP(H349,_xludf.HSTACK(#REF!,#REF!),2,FALSE))</f>
        <v>#NAME?</v>
      </c>
      <c r="J349" s="9" t="s">
        <v>3792</v>
      </c>
    </row>
    <row r="350" spans="1:10" x14ac:dyDescent="0.25">
      <c r="A350" s="9" t="s">
        <v>883</v>
      </c>
      <c r="B350" s="9" t="s">
        <v>4345</v>
      </c>
      <c r="C350" s="7" t="s">
        <v>3</v>
      </c>
      <c r="D350" s="7" t="s">
        <v>4346</v>
      </c>
      <c r="E350" s="7" t="s">
        <v>4347</v>
      </c>
      <c r="F350" s="10" t="b">
        <v>1</v>
      </c>
      <c r="G350" s="10" t="b">
        <v>0</v>
      </c>
      <c r="H350" s="9" t="s">
        <v>54</v>
      </c>
      <c r="I350" s="9" t="e">
        <f t="array" aca="1" ref="I350" ca="1">IF(H350="","",VLOOKUP(H350,_xludf.HSTACK(#REF!,#REF!),2,FALSE))</f>
        <v>#NAME?</v>
      </c>
      <c r="J350" s="9" t="s">
        <v>3792</v>
      </c>
    </row>
    <row r="351" spans="1:10" x14ac:dyDescent="0.25">
      <c r="A351" s="9" t="s">
        <v>883</v>
      </c>
      <c r="B351" s="9" t="s">
        <v>4348</v>
      </c>
      <c r="C351" s="7" t="s">
        <v>3</v>
      </c>
      <c r="D351" s="7" t="s">
        <v>4349</v>
      </c>
      <c r="E351" s="7" t="s">
        <v>4350</v>
      </c>
      <c r="F351" s="10" t="b">
        <v>1</v>
      </c>
      <c r="G351" s="10" t="b">
        <v>0</v>
      </c>
      <c r="H351" s="9" t="s">
        <v>50</v>
      </c>
      <c r="I351" s="9" t="e">
        <f t="array" aca="1" ref="I351" ca="1">IF(H351="","",VLOOKUP(H351,_xludf.HSTACK(#REF!,#REF!),2,FALSE))</f>
        <v>#NAME?</v>
      </c>
      <c r="J351" s="9" t="s">
        <v>3792</v>
      </c>
    </row>
    <row r="352" spans="1:10" x14ac:dyDescent="0.25">
      <c r="A352" s="9" t="s">
        <v>883</v>
      </c>
      <c r="B352" s="9" t="s">
        <v>4351</v>
      </c>
      <c r="C352" s="7" t="s">
        <v>4</v>
      </c>
      <c r="D352" s="7" t="s">
        <v>4352</v>
      </c>
      <c r="E352" s="7" t="s">
        <v>4353</v>
      </c>
      <c r="F352" s="10" t="b">
        <v>1</v>
      </c>
      <c r="G352" s="10" t="b">
        <v>0</v>
      </c>
      <c r="H352" s="9" t="s">
        <v>51</v>
      </c>
      <c r="I352" s="9" t="e">
        <f t="array" aca="1" ref="I352" ca="1">IF(H352="","",VLOOKUP(H352,_xludf.HSTACK(#REF!,#REF!),2,FALSE))</f>
        <v>#NAME?</v>
      </c>
      <c r="J352" s="9" t="s">
        <v>3792</v>
      </c>
    </row>
    <row r="353" spans="1:10" x14ac:dyDescent="0.25">
      <c r="A353" s="9" t="s">
        <v>883</v>
      </c>
      <c r="B353" s="9" t="s">
        <v>4354</v>
      </c>
      <c r="C353" s="7" t="s">
        <v>4</v>
      </c>
      <c r="D353" s="7" t="s">
        <v>4355</v>
      </c>
      <c r="E353" s="7" t="s">
        <v>4356</v>
      </c>
      <c r="F353" s="10" t="b">
        <v>0</v>
      </c>
      <c r="G353" s="10" t="b">
        <v>0</v>
      </c>
      <c r="H353" s="9"/>
      <c r="I353" s="9" t="str">
        <f t="array" ref="I353">IF(H353="","",VLOOKUP(H353,_xludf.HSTACK(#REF!,#REF!),2,FALSE))</f>
        <v/>
      </c>
      <c r="J353" s="9"/>
    </row>
    <row r="354" spans="1:10" x14ac:dyDescent="0.25">
      <c r="A354" s="9" t="s">
        <v>883</v>
      </c>
      <c r="B354" s="9" t="s">
        <v>4357</v>
      </c>
      <c r="C354" s="7" t="s">
        <v>4</v>
      </c>
      <c r="D354" s="7" t="s">
        <v>4358</v>
      </c>
      <c r="E354" s="7" t="s">
        <v>4359</v>
      </c>
      <c r="F354" s="10" t="b">
        <v>1</v>
      </c>
      <c r="G354" s="10" t="b">
        <v>0</v>
      </c>
      <c r="H354" s="9" t="s">
        <v>55</v>
      </c>
      <c r="I354" s="9" t="e">
        <f t="array" aca="1" ref="I354" ca="1">IF(H354="","",VLOOKUP(H354,_xludf.HSTACK(#REF!,#REF!),2,FALSE))</f>
        <v>#NAME?</v>
      </c>
      <c r="J354" s="9" t="s">
        <v>3792</v>
      </c>
    </row>
    <row r="355" spans="1:10" x14ac:dyDescent="0.25">
      <c r="A355" s="9" t="s">
        <v>883</v>
      </c>
      <c r="B355" s="9" t="s">
        <v>4360</v>
      </c>
      <c r="C355" s="7" t="s">
        <v>4</v>
      </c>
      <c r="D355" s="7" t="s">
        <v>4361</v>
      </c>
      <c r="E355" s="7" t="s">
        <v>4362</v>
      </c>
      <c r="F355" s="10" t="b">
        <v>0</v>
      </c>
      <c r="G355" s="10" t="b">
        <v>0</v>
      </c>
      <c r="H355" s="9" t="s">
        <v>58</v>
      </c>
      <c r="I355" s="9" t="e">
        <f t="array" aca="1" ref="I355" ca="1">IF(H355="","",VLOOKUP(H355,_xludf.HSTACK(#REF!,#REF!),2,FALSE))</f>
        <v>#NAME?</v>
      </c>
      <c r="J355" s="9" t="s">
        <v>4363</v>
      </c>
    </row>
    <row r="356" spans="1:10" x14ac:dyDescent="0.25">
      <c r="A356" s="9" t="s">
        <v>883</v>
      </c>
      <c r="B356" s="9" t="s">
        <v>4364</v>
      </c>
      <c r="C356" s="7" t="s">
        <v>3</v>
      </c>
      <c r="D356" s="7" t="s">
        <v>4223</v>
      </c>
      <c r="E356" s="7" t="s">
        <v>4365</v>
      </c>
      <c r="F356" s="10" t="b">
        <v>0</v>
      </c>
      <c r="G356" s="10" t="b">
        <v>0</v>
      </c>
      <c r="H356" s="9"/>
      <c r="I356" s="9" t="str">
        <f t="array" ref="I356">IF(H356="","",VLOOKUP(H356,_xludf.HSTACK(#REF!,#REF!),2,FALSE))</f>
        <v/>
      </c>
      <c r="J356" s="9"/>
    </row>
    <row r="357" spans="1:10" x14ac:dyDescent="0.25">
      <c r="A357" s="9" t="s">
        <v>883</v>
      </c>
      <c r="B357" s="9" t="s">
        <v>4366</v>
      </c>
      <c r="C357" s="7" t="s">
        <v>4</v>
      </c>
      <c r="D357" s="7" t="s">
        <v>4367</v>
      </c>
      <c r="E357" s="7" t="s">
        <v>4368</v>
      </c>
      <c r="F357" s="10" t="b">
        <v>0</v>
      </c>
      <c r="G357" s="10" t="b">
        <v>0</v>
      </c>
      <c r="H357" s="9"/>
      <c r="I357" s="9" t="str">
        <f t="array" ref="I357">IF(H357="","",VLOOKUP(H357,_xludf.HSTACK(#REF!,#REF!),2,FALSE))</f>
        <v/>
      </c>
      <c r="J357" s="9"/>
    </row>
    <row r="358" spans="1:10" x14ac:dyDescent="0.25">
      <c r="A358" s="9" t="s">
        <v>883</v>
      </c>
      <c r="B358" s="9" t="s">
        <v>4369</v>
      </c>
      <c r="C358" s="7" t="s">
        <v>3</v>
      </c>
      <c r="D358" s="7" t="s">
        <v>4229</v>
      </c>
      <c r="E358" s="7" t="s">
        <v>4370</v>
      </c>
      <c r="F358" s="10" t="b">
        <v>1</v>
      </c>
      <c r="G358" s="10" t="b">
        <v>0</v>
      </c>
      <c r="H358" s="9" t="s">
        <v>56</v>
      </c>
      <c r="I358" s="9" t="e">
        <f t="array" aca="1" ref="I358" ca="1">IF(H358="","",VLOOKUP(H358,_xludf.HSTACK(#REF!,#REF!),2,FALSE))</f>
        <v>#NAME?</v>
      </c>
      <c r="J358" s="9" t="s">
        <v>4303</v>
      </c>
    </row>
    <row r="359" spans="1:10" x14ac:dyDescent="0.25">
      <c r="A359" s="9" t="s">
        <v>883</v>
      </c>
      <c r="B359" s="9" t="s">
        <v>4371</v>
      </c>
      <c r="C359" s="7" t="s">
        <v>4</v>
      </c>
      <c r="D359" s="7" t="s">
        <v>4372</v>
      </c>
      <c r="E359" s="7" t="s">
        <v>4373</v>
      </c>
      <c r="F359" s="10" t="b">
        <v>1</v>
      </c>
      <c r="G359" s="10" t="b">
        <v>0</v>
      </c>
      <c r="H359" s="9" t="s">
        <v>54</v>
      </c>
      <c r="I359" s="9" t="e">
        <f t="array" aca="1" ref="I359" ca="1">IF(H359="","",VLOOKUP(H359,_xludf.HSTACK(#REF!,#REF!),2,FALSE))</f>
        <v>#NAME?</v>
      </c>
      <c r="J359" s="9" t="s">
        <v>4303</v>
      </c>
    </row>
    <row r="360" spans="1:10" x14ac:dyDescent="0.25">
      <c r="A360" s="9" t="s">
        <v>883</v>
      </c>
      <c r="B360" s="9" t="s">
        <v>4374</v>
      </c>
      <c r="C360" s="7" t="s">
        <v>4</v>
      </c>
      <c r="D360" s="7" t="s">
        <v>4375</v>
      </c>
      <c r="E360" s="7" t="s">
        <v>4376</v>
      </c>
      <c r="F360" s="10" t="b">
        <v>1</v>
      </c>
      <c r="G360" s="10" t="b">
        <v>0</v>
      </c>
      <c r="H360" s="9" t="s">
        <v>50</v>
      </c>
      <c r="I360" s="9" t="e">
        <f t="array" aca="1" ref="I360" ca="1">IF(H360="","",VLOOKUP(H360,_xludf.HSTACK(#REF!,#REF!),2,FALSE))</f>
        <v>#NAME?</v>
      </c>
      <c r="J360" s="9" t="s">
        <v>4303</v>
      </c>
    </row>
    <row r="361" spans="1:10" x14ac:dyDescent="0.25">
      <c r="A361" s="9" t="s">
        <v>883</v>
      </c>
      <c r="B361" s="9" t="s">
        <v>4377</v>
      </c>
      <c r="C361" s="7" t="s">
        <v>4</v>
      </c>
      <c r="D361" s="7" t="s">
        <v>4378</v>
      </c>
      <c r="E361" s="7" t="s">
        <v>4379</v>
      </c>
      <c r="F361" s="10" t="b">
        <v>1</v>
      </c>
      <c r="G361" s="10" t="b">
        <v>0</v>
      </c>
      <c r="H361" s="9" t="s">
        <v>51</v>
      </c>
      <c r="I361" s="9" t="e">
        <f t="array" aca="1" ref="I361" ca="1">IF(H361="","",VLOOKUP(H361,_xludf.HSTACK(#REF!,#REF!),2,FALSE))</f>
        <v>#NAME?</v>
      </c>
      <c r="J361" s="9" t="s">
        <v>4303</v>
      </c>
    </row>
    <row r="362" spans="1:10" x14ac:dyDescent="0.25">
      <c r="A362" s="9" t="s">
        <v>883</v>
      </c>
      <c r="B362" s="9" t="s">
        <v>4380</v>
      </c>
      <c r="C362" s="7" t="s">
        <v>3</v>
      </c>
      <c r="D362" s="7" t="s">
        <v>4381</v>
      </c>
      <c r="E362" s="7" t="s">
        <v>4382</v>
      </c>
      <c r="F362" s="10" t="b">
        <v>0</v>
      </c>
      <c r="G362" s="10" t="b">
        <v>0</v>
      </c>
      <c r="H362" s="9"/>
      <c r="I362" s="9" t="str">
        <f t="array" ref="I362">IF(H362="","",VLOOKUP(H362,_xludf.HSTACK(#REF!,#REF!),2,FALSE))</f>
        <v/>
      </c>
      <c r="J362" s="9"/>
    </row>
    <row r="363" spans="1:10" x14ac:dyDescent="0.25">
      <c r="A363" s="9" t="s">
        <v>883</v>
      </c>
      <c r="B363" s="9" t="s">
        <v>4383</v>
      </c>
      <c r="C363" s="7" t="s">
        <v>4</v>
      </c>
      <c r="D363" s="7" t="s">
        <v>4244</v>
      </c>
      <c r="E363" s="7" t="s">
        <v>4384</v>
      </c>
      <c r="F363" s="10" t="b">
        <v>1</v>
      </c>
      <c r="G363" s="10" t="b">
        <v>0</v>
      </c>
      <c r="H363" s="9" t="s">
        <v>55</v>
      </c>
      <c r="I363" s="9" t="e">
        <f t="array" aca="1" ref="I363" ca="1">IF(H363="","",VLOOKUP(H363,_xludf.HSTACK(#REF!,#REF!),2,FALSE))</f>
        <v>#NAME?</v>
      </c>
      <c r="J363" s="9" t="s">
        <v>4303</v>
      </c>
    </row>
    <row r="364" spans="1:10" x14ac:dyDescent="0.25">
      <c r="A364" s="9" t="s">
        <v>883</v>
      </c>
      <c r="B364" s="9" t="s">
        <v>4385</v>
      </c>
      <c r="C364" s="7" t="s">
        <v>1019</v>
      </c>
      <c r="D364" s="9"/>
      <c r="E364" s="7" t="s">
        <v>4386</v>
      </c>
      <c r="F364" s="10" t="b">
        <v>0</v>
      </c>
      <c r="G364" s="10" t="b">
        <v>1</v>
      </c>
      <c r="H364" s="9" t="s">
        <v>24</v>
      </c>
      <c r="I364" s="9" t="e">
        <f t="array" aca="1" ref="I364" ca="1">IF(H364="","",VLOOKUP(H364,_xludf.HSTACK(#REF!,#REF!),2,FALSE))</f>
        <v>#NAME?</v>
      </c>
      <c r="J364" s="9"/>
    </row>
    <row r="365" spans="1:10" x14ac:dyDescent="0.25">
      <c r="A365" s="9" t="s">
        <v>883</v>
      </c>
      <c r="B365" s="9" t="s">
        <v>4387</v>
      </c>
      <c r="C365" s="7" t="s">
        <v>4259</v>
      </c>
      <c r="D365" s="7" t="s">
        <v>4388</v>
      </c>
      <c r="E365" s="7" t="s">
        <v>4389</v>
      </c>
      <c r="F365" s="10" t="b">
        <v>1</v>
      </c>
      <c r="G365" s="10" t="b">
        <v>1</v>
      </c>
      <c r="H365" s="9" t="s">
        <v>70</v>
      </c>
      <c r="I365" s="9" t="e">
        <f t="array" aca="1" ref="I365" ca="1">IF(H365="","",VLOOKUP(H365,_xludf.HSTACK(#REF!,#REF!),2,FALSE))</f>
        <v>#NAME?</v>
      </c>
      <c r="J365" s="9" t="s">
        <v>3792</v>
      </c>
    </row>
    <row r="366" spans="1:10" x14ac:dyDescent="0.25">
      <c r="A366" s="9" t="s">
        <v>883</v>
      </c>
      <c r="B366" s="9" t="s">
        <v>4390</v>
      </c>
      <c r="C366" s="7" t="s">
        <v>4263</v>
      </c>
      <c r="D366" s="7" t="s">
        <v>4391</v>
      </c>
      <c r="E366" s="7" t="s">
        <v>4392</v>
      </c>
      <c r="F366" s="10" t="b">
        <v>1</v>
      </c>
      <c r="G366" s="10" t="b">
        <v>1</v>
      </c>
      <c r="H366" s="9" t="s">
        <v>68</v>
      </c>
      <c r="I366" s="9" t="e">
        <f t="array" aca="1" ref="I366" ca="1">IF(H366="","",VLOOKUP(H366,_xludf.HSTACK(#REF!,#REF!),2,FALSE))</f>
        <v>#NAME?</v>
      </c>
      <c r="J366" s="9" t="s">
        <v>3792</v>
      </c>
    </row>
    <row r="367" spans="1:10" x14ac:dyDescent="0.25">
      <c r="A367" s="9" t="s">
        <v>883</v>
      </c>
      <c r="B367" s="9" t="s">
        <v>4393</v>
      </c>
      <c r="C367" s="7" t="s">
        <v>4259</v>
      </c>
      <c r="D367" s="7" t="s">
        <v>4394</v>
      </c>
      <c r="E367" s="7" t="s">
        <v>4395</v>
      </c>
      <c r="F367" s="10" t="b">
        <v>0</v>
      </c>
      <c r="G367" s="10" t="b">
        <v>1</v>
      </c>
      <c r="H367" s="9"/>
      <c r="I367" s="9" t="str">
        <f t="array" ref="I367">IF(H367="","",VLOOKUP(H367,_xludf.HSTACK(#REF!,#REF!),2,FALSE))</f>
        <v/>
      </c>
      <c r="J367" s="9"/>
    </row>
    <row r="368" spans="1:10" x14ac:dyDescent="0.25">
      <c r="A368" s="9" t="s">
        <v>883</v>
      </c>
      <c r="B368" s="9" t="s">
        <v>4396</v>
      </c>
      <c r="C368" s="7" t="s">
        <v>581</v>
      </c>
      <c r="D368" s="9"/>
      <c r="E368" s="7" t="s">
        <v>4397</v>
      </c>
      <c r="F368" s="10" t="b">
        <v>0</v>
      </c>
      <c r="G368" s="10" t="b">
        <v>0</v>
      </c>
      <c r="H368" s="9"/>
      <c r="I368" s="9" t="str">
        <f t="array" ref="I368">IF(H368="","",VLOOKUP(H368,_xludf.HSTACK(#REF!,#REF!),2,FALSE))</f>
        <v/>
      </c>
      <c r="J368" s="9"/>
    </row>
    <row r="369" spans="1:10" x14ac:dyDescent="0.25">
      <c r="A369" s="9" t="s">
        <v>883</v>
      </c>
      <c r="B369" s="9" t="s">
        <v>4398</v>
      </c>
      <c r="C369" s="7" t="s">
        <v>4267</v>
      </c>
      <c r="D369" s="7" t="s">
        <v>4399</v>
      </c>
      <c r="E369" s="7" t="s">
        <v>4400</v>
      </c>
      <c r="F369" s="10" t="b">
        <v>0</v>
      </c>
      <c r="G369" s="10" t="b">
        <v>0</v>
      </c>
      <c r="H369" s="9" t="s">
        <v>38</v>
      </c>
      <c r="I369" s="9" t="e">
        <f t="array" aca="1" ref="I369" ca="1">IF(H369="","",VLOOKUP(H369,_xludf.HSTACK(#REF!,#REF!),2,FALSE))</f>
        <v>#NAME?</v>
      </c>
      <c r="J369" s="9"/>
    </row>
    <row r="370" spans="1:10" x14ac:dyDescent="0.25">
      <c r="A370" s="9" t="s">
        <v>883</v>
      </c>
      <c r="B370" s="9" t="s">
        <v>4401</v>
      </c>
      <c r="C370" s="7" t="s">
        <v>581</v>
      </c>
      <c r="D370" s="7" t="s">
        <v>4402</v>
      </c>
      <c r="E370" s="7" t="s">
        <v>4403</v>
      </c>
      <c r="F370" s="10" t="b">
        <v>0</v>
      </c>
      <c r="G370" s="10" t="b">
        <v>0</v>
      </c>
      <c r="H370" s="9"/>
      <c r="I370" s="9" t="str">
        <f t="array" ref="I370">IF(H370="","",VLOOKUP(H370,_xludf.HSTACK(#REF!,#REF!),2,FALSE))</f>
        <v/>
      </c>
      <c r="J370" s="9"/>
    </row>
    <row r="371" spans="1:10" x14ac:dyDescent="0.25">
      <c r="A371" s="9" t="s">
        <v>883</v>
      </c>
      <c r="B371" s="9" t="s">
        <v>4404</v>
      </c>
      <c r="C371" s="7" t="s">
        <v>4267</v>
      </c>
      <c r="D371" s="7" t="s">
        <v>4405</v>
      </c>
      <c r="E371" s="7" t="s">
        <v>4406</v>
      </c>
      <c r="F371" s="10" t="b">
        <v>1</v>
      </c>
      <c r="G371" s="10" t="b">
        <v>0</v>
      </c>
      <c r="H371" s="9"/>
      <c r="I371" s="9" t="str">
        <f t="array" ref="I371">IF(H371="","",VLOOKUP(H371,_xludf.HSTACK(#REF!,#REF!),2,FALSE))</f>
        <v/>
      </c>
      <c r="J371" s="9"/>
    </row>
    <row r="372" spans="1:10" x14ac:dyDescent="0.25">
      <c r="A372" s="9" t="s">
        <v>883</v>
      </c>
      <c r="B372" s="9" t="s">
        <v>4407</v>
      </c>
      <c r="C372" s="7" t="s">
        <v>581</v>
      </c>
      <c r="D372" s="7" t="s">
        <v>4408</v>
      </c>
      <c r="E372" s="7" t="s">
        <v>4409</v>
      </c>
      <c r="F372" s="10" t="b">
        <v>0</v>
      </c>
      <c r="G372" s="10" t="b">
        <v>0</v>
      </c>
      <c r="H372" s="9"/>
      <c r="I372" s="9" t="str">
        <f t="array" ref="I372">IF(H372="","",VLOOKUP(H372,_xludf.HSTACK(#REF!,#REF!),2,FALSE))</f>
        <v/>
      </c>
      <c r="J372" s="9"/>
    </row>
    <row r="373" spans="1:10" x14ac:dyDescent="0.25">
      <c r="A373" s="9" t="s">
        <v>883</v>
      </c>
      <c r="B373" s="9" t="s">
        <v>4410</v>
      </c>
      <c r="C373" s="7" t="s">
        <v>4411</v>
      </c>
      <c r="D373" s="7" t="s">
        <v>4412</v>
      </c>
      <c r="E373" s="7" t="s">
        <v>4413</v>
      </c>
      <c r="F373" s="10" t="b">
        <v>1</v>
      </c>
      <c r="G373" s="10" t="b">
        <v>0</v>
      </c>
      <c r="H373" s="9"/>
      <c r="I373" s="9" t="str">
        <f t="array" ref="I373">IF(H373="","",VLOOKUP(H373,_xludf.HSTACK(#REF!,#REF!),2,FALSE))</f>
        <v/>
      </c>
      <c r="J373" s="9"/>
    </row>
    <row r="374" spans="1:10" x14ac:dyDescent="0.25">
      <c r="A374" s="9" t="s">
        <v>883</v>
      </c>
      <c r="B374" s="9" t="s">
        <v>4414</v>
      </c>
      <c r="C374" s="7" t="s">
        <v>1023</v>
      </c>
      <c r="D374" s="7" t="s">
        <v>4415</v>
      </c>
      <c r="E374" s="7" t="s">
        <v>4416</v>
      </c>
      <c r="F374" s="10" t="b">
        <v>0</v>
      </c>
      <c r="G374" s="10" t="b">
        <v>1</v>
      </c>
      <c r="H374" s="9" t="s">
        <v>62</v>
      </c>
      <c r="I374" s="9" t="e">
        <f t="array" aca="1" ref="I374" ca="1">IF(H374="","",VLOOKUP(H374,_xludf.HSTACK(#REF!,#REF!),2,FALSE))</f>
        <v>#NAME?</v>
      </c>
      <c r="J374" s="9" t="s">
        <v>4417</v>
      </c>
    </row>
    <row r="375" spans="1:10" x14ac:dyDescent="0.25">
      <c r="A375" s="9" t="s">
        <v>883</v>
      </c>
      <c r="B375" s="9" t="s">
        <v>4418</v>
      </c>
      <c r="C375" s="7" t="s">
        <v>1028</v>
      </c>
      <c r="D375" s="7" t="s">
        <v>4415</v>
      </c>
      <c r="E375" s="7" t="s">
        <v>4419</v>
      </c>
      <c r="F375" s="10" t="b">
        <v>0</v>
      </c>
      <c r="G375" s="10" t="b">
        <v>1</v>
      </c>
      <c r="H375" s="9" t="s">
        <v>62</v>
      </c>
      <c r="I375" s="9" t="e">
        <f t="array" aca="1" ref="I375" ca="1">IF(H375="","",VLOOKUP(H375,_xludf.HSTACK(#REF!,#REF!),2,FALSE))</f>
        <v>#NAME?</v>
      </c>
      <c r="J375" s="9" t="s">
        <v>4417</v>
      </c>
    </row>
    <row r="376" spans="1:10" x14ac:dyDescent="0.25">
      <c r="A376" s="9" t="s">
        <v>883</v>
      </c>
      <c r="B376" s="9" t="s">
        <v>4420</v>
      </c>
      <c r="C376" s="7" t="s">
        <v>1028</v>
      </c>
      <c r="D376" s="7" t="s">
        <v>4415</v>
      </c>
      <c r="E376" s="7" t="s">
        <v>4421</v>
      </c>
      <c r="F376" s="10" t="b">
        <v>0</v>
      </c>
      <c r="G376" s="10" t="b">
        <v>1</v>
      </c>
      <c r="H376" s="9" t="s">
        <v>62</v>
      </c>
      <c r="I376" s="9" t="e">
        <f t="array" aca="1" ref="I376" ca="1">IF(H376="","",VLOOKUP(H376,_xludf.HSTACK(#REF!,#REF!),2,FALSE))</f>
        <v>#NAME?</v>
      </c>
      <c r="J376" s="9" t="s">
        <v>4417</v>
      </c>
    </row>
    <row r="377" spans="1:10" x14ac:dyDescent="0.25">
      <c r="A377" s="11" t="s">
        <v>4422</v>
      </c>
      <c r="B377" s="11" t="s">
        <v>4423</v>
      </c>
      <c r="C377" s="12" t="s">
        <v>208</v>
      </c>
      <c r="D377" s="11"/>
      <c r="E377" s="12" t="s">
        <v>4424</v>
      </c>
      <c r="F377" s="13" t="b">
        <v>1</v>
      </c>
      <c r="G377" s="13" t="b">
        <v>0</v>
      </c>
      <c r="H377" s="11" t="s">
        <v>38</v>
      </c>
      <c r="I377" s="11" t="e">
        <f t="array" aca="1" ref="I377" ca="1">IF(H377="","",VLOOKUP(H377,_xludf.HSTACK(#REF!,#REF!),2,FALSE))</f>
        <v>#NAME?</v>
      </c>
      <c r="J377" s="11" t="s">
        <v>4425</v>
      </c>
    </row>
    <row r="378" spans="1:10" x14ac:dyDescent="0.25">
      <c r="A378" s="11" t="s">
        <v>4422</v>
      </c>
      <c r="B378" s="11" t="s">
        <v>4426</v>
      </c>
      <c r="C378" s="12" t="s">
        <v>208</v>
      </c>
      <c r="D378" s="11"/>
      <c r="E378" s="12" t="s">
        <v>4427</v>
      </c>
      <c r="F378" s="13" t="b">
        <v>0</v>
      </c>
      <c r="G378" s="13" t="b">
        <v>0</v>
      </c>
      <c r="H378" s="11" t="s">
        <v>50</v>
      </c>
      <c r="I378" s="11" t="e">
        <f t="array" aca="1" ref="I378" ca="1">IF(H378="","",VLOOKUP(H378,_xludf.HSTACK(#REF!,#REF!),2,FALSE))</f>
        <v>#NAME?</v>
      </c>
      <c r="J378" s="11" t="s">
        <v>4428</v>
      </c>
    </row>
    <row r="379" spans="1:10" x14ac:dyDescent="0.25">
      <c r="A379" s="11" t="s">
        <v>4422</v>
      </c>
      <c r="B379" s="11" t="s">
        <v>4429</v>
      </c>
      <c r="C379" s="12" t="s">
        <v>201</v>
      </c>
      <c r="D379" s="11"/>
      <c r="E379" s="12" t="s">
        <v>4430</v>
      </c>
      <c r="F379" s="13" t="b">
        <v>0</v>
      </c>
      <c r="G379" s="13" t="b">
        <v>0</v>
      </c>
      <c r="H379" s="11" t="s">
        <v>50</v>
      </c>
      <c r="I379" s="11" t="e">
        <f t="array" aca="1" ref="I379" ca="1">IF(H379="","",VLOOKUP(H379,_xludf.HSTACK(#REF!,#REF!),2,FALSE))</f>
        <v>#NAME?</v>
      </c>
      <c r="J379" s="11" t="s">
        <v>4431</v>
      </c>
    </row>
    <row r="380" spans="1:10" x14ac:dyDescent="0.25">
      <c r="A380" s="11" t="s">
        <v>4422</v>
      </c>
      <c r="B380" s="11" t="s">
        <v>4432</v>
      </c>
      <c r="C380" s="12" t="s">
        <v>219</v>
      </c>
      <c r="D380" s="11"/>
      <c r="E380" s="12" t="s">
        <v>4433</v>
      </c>
      <c r="F380" s="13" t="b">
        <v>1</v>
      </c>
      <c r="G380" s="13" t="b">
        <v>0</v>
      </c>
      <c r="H380" s="11" t="s">
        <v>65</v>
      </c>
      <c r="I380" s="11" t="e">
        <f t="array" aca="1" ref="I380" ca="1">IF(H380="","",VLOOKUP(H380,_xludf.HSTACK(#REF!,#REF!),2,FALSE))</f>
        <v>#NAME?</v>
      </c>
      <c r="J380" s="11" t="s">
        <v>4434</v>
      </c>
    </row>
    <row r="381" spans="1:10" x14ac:dyDescent="0.25">
      <c r="A381" s="11" t="s">
        <v>4422</v>
      </c>
      <c r="B381" s="11" t="s">
        <v>4435</v>
      </c>
      <c r="C381" s="12" t="s">
        <v>208</v>
      </c>
      <c r="D381" s="11"/>
      <c r="E381" s="12" t="s">
        <v>4436</v>
      </c>
      <c r="F381" s="13" t="b">
        <v>0</v>
      </c>
      <c r="G381" s="13" t="b">
        <v>0</v>
      </c>
      <c r="H381" s="11" t="s">
        <v>51</v>
      </c>
      <c r="I381" s="11" t="e">
        <f t="array" aca="1" ref="I381" ca="1">IF(H381="","",VLOOKUP(H381,_xludf.HSTACK(#REF!,#REF!),2,FALSE))</f>
        <v>#NAME?</v>
      </c>
      <c r="J381" s="11"/>
    </row>
    <row r="382" spans="1:10" x14ac:dyDescent="0.25">
      <c r="A382" s="11" t="s">
        <v>4422</v>
      </c>
      <c r="B382" s="11" t="s">
        <v>4437</v>
      </c>
      <c r="C382" s="12" t="s">
        <v>219</v>
      </c>
      <c r="D382" s="11"/>
      <c r="E382" s="12" t="s">
        <v>4438</v>
      </c>
      <c r="F382" s="13" t="b">
        <v>1</v>
      </c>
      <c r="G382" s="13" t="b">
        <v>0</v>
      </c>
      <c r="H382" s="11" t="s">
        <v>66</v>
      </c>
      <c r="I382" s="11" t="e">
        <f t="array" aca="1" ref="I382" ca="1">IF(H382="","",VLOOKUP(H382,_xludf.HSTACK(#REF!,#REF!),2,FALSE))</f>
        <v>#NAME?</v>
      </c>
      <c r="J382" s="11" t="s">
        <v>3692</v>
      </c>
    </row>
    <row r="383" spans="1:10" x14ac:dyDescent="0.25">
      <c r="A383" s="11" t="s">
        <v>4422</v>
      </c>
      <c r="B383" s="11" t="s">
        <v>4439</v>
      </c>
      <c r="C383" s="12" t="s">
        <v>2282</v>
      </c>
      <c r="D383" s="11"/>
      <c r="E383" s="12" t="s">
        <v>4440</v>
      </c>
      <c r="F383" s="13" t="b">
        <v>0</v>
      </c>
      <c r="G383" s="13" t="b">
        <v>0</v>
      </c>
      <c r="H383" s="11" t="s">
        <v>54</v>
      </c>
      <c r="I383" s="11" t="e">
        <f t="array" aca="1" ref="I383" ca="1">IF(H383="","",VLOOKUP(H383,_xludf.HSTACK(#REF!,#REF!),2,FALSE))</f>
        <v>#NAME?</v>
      </c>
      <c r="J383" s="11"/>
    </row>
    <row r="384" spans="1:10" x14ac:dyDescent="0.25">
      <c r="A384" s="11" t="s">
        <v>4422</v>
      </c>
      <c r="B384" s="11" t="s">
        <v>4441</v>
      </c>
      <c r="C384" s="12" t="s">
        <v>219</v>
      </c>
      <c r="D384" s="11"/>
      <c r="E384" s="12" t="s">
        <v>4442</v>
      </c>
      <c r="F384" s="13" t="b">
        <v>1</v>
      </c>
      <c r="G384" s="13" t="b">
        <v>0</v>
      </c>
      <c r="H384" s="11" t="s">
        <v>69</v>
      </c>
      <c r="I384" s="11" t="e">
        <f t="array" aca="1" ref="I384" ca="1">IF(H384="","",VLOOKUP(H384,_xludf.HSTACK(#REF!,#REF!),2,FALSE))</f>
        <v>#NAME?</v>
      </c>
      <c r="J384" s="11" t="s">
        <v>3692</v>
      </c>
    </row>
    <row r="385" spans="1:10" x14ac:dyDescent="0.25">
      <c r="A385" s="11" t="s">
        <v>4422</v>
      </c>
      <c r="B385" s="11" t="s">
        <v>4443</v>
      </c>
      <c r="C385" s="12" t="s">
        <v>208</v>
      </c>
      <c r="D385" s="11"/>
      <c r="E385" s="12" t="s">
        <v>4444</v>
      </c>
      <c r="F385" s="13" t="b">
        <v>0</v>
      </c>
      <c r="G385" s="13" t="b">
        <v>0</v>
      </c>
      <c r="H385" s="11" t="s">
        <v>55</v>
      </c>
      <c r="I385" s="11" t="e">
        <f t="array" aca="1" ref="I385" ca="1">IF(H385="","",VLOOKUP(H385,_xludf.HSTACK(#REF!,#REF!),2,FALSE))</f>
        <v>#NAME?</v>
      </c>
      <c r="J385" s="11"/>
    </row>
    <row r="386" spans="1:10" x14ac:dyDescent="0.25">
      <c r="A386" s="11" t="s">
        <v>4422</v>
      </c>
      <c r="B386" s="11" t="s">
        <v>4445</v>
      </c>
      <c r="C386" s="12" t="s">
        <v>201</v>
      </c>
      <c r="D386" s="11"/>
      <c r="E386" s="12" t="s">
        <v>4446</v>
      </c>
      <c r="F386" s="13" t="b">
        <v>0</v>
      </c>
      <c r="G386" s="13" t="b">
        <v>0</v>
      </c>
      <c r="H386" s="11" t="s">
        <v>55</v>
      </c>
      <c r="I386" s="11" t="e">
        <f t="array" aca="1" ref="I386" ca="1">IF(H386="","",VLOOKUP(H386,_xludf.HSTACK(#REF!,#REF!),2,FALSE))</f>
        <v>#NAME?</v>
      </c>
      <c r="J386" s="11"/>
    </row>
    <row r="387" spans="1:10" x14ac:dyDescent="0.25">
      <c r="A387" s="11" t="s">
        <v>4422</v>
      </c>
      <c r="B387" s="11" t="s">
        <v>4447</v>
      </c>
      <c r="C387" s="12" t="s">
        <v>219</v>
      </c>
      <c r="D387" s="11"/>
      <c r="E387" s="12" t="s">
        <v>4448</v>
      </c>
      <c r="F387" s="13" t="b">
        <v>1</v>
      </c>
      <c r="G387" s="13" t="b">
        <v>0</v>
      </c>
      <c r="H387" s="11" t="s">
        <v>70</v>
      </c>
      <c r="I387" s="11" t="e">
        <f t="array" aca="1" ref="I387" ca="1">IF(H387="","",VLOOKUP(H387,_xludf.HSTACK(#REF!,#REF!),2,FALSE))</f>
        <v>#NAME?</v>
      </c>
      <c r="J387" s="11" t="s">
        <v>3692</v>
      </c>
    </row>
    <row r="388" spans="1:10" x14ac:dyDescent="0.25">
      <c r="A388" s="11" t="s">
        <v>4422</v>
      </c>
      <c r="B388" s="11" t="s">
        <v>4449</v>
      </c>
      <c r="C388" s="12" t="s">
        <v>208</v>
      </c>
      <c r="D388" s="11"/>
      <c r="E388" s="12" t="s">
        <v>4450</v>
      </c>
      <c r="F388" s="13" t="b">
        <v>0</v>
      </c>
      <c r="G388" s="13" t="b">
        <v>0</v>
      </c>
      <c r="H388" s="11" t="s">
        <v>56</v>
      </c>
      <c r="I388" s="11" t="e">
        <f t="array" aca="1" ref="I388" ca="1">IF(H388="","",VLOOKUP(H388,_xludf.HSTACK(#REF!,#REF!),2,FALSE))</f>
        <v>#NAME?</v>
      </c>
      <c r="J388" s="11"/>
    </row>
    <row r="389" spans="1:10" x14ac:dyDescent="0.25">
      <c r="A389" s="11" t="s">
        <v>4422</v>
      </c>
      <c r="B389" s="11" t="s">
        <v>4451</v>
      </c>
      <c r="C389" s="12" t="s">
        <v>201</v>
      </c>
      <c r="D389" s="11"/>
      <c r="E389" s="12" t="s">
        <v>4452</v>
      </c>
      <c r="F389" s="13" t="b">
        <v>0</v>
      </c>
      <c r="G389" s="13" t="b">
        <v>0</v>
      </c>
      <c r="H389" s="11" t="s">
        <v>56</v>
      </c>
      <c r="I389" s="11" t="e">
        <f t="array" aca="1" ref="I389" ca="1">IF(H389="","",VLOOKUP(H389,_xludf.HSTACK(#REF!,#REF!),2,FALSE))</f>
        <v>#NAME?</v>
      </c>
      <c r="J389" s="11" t="s">
        <v>4431</v>
      </c>
    </row>
    <row r="390" spans="1:10" x14ac:dyDescent="0.25">
      <c r="A390" s="11" t="s">
        <v>4422</v>
      </c>
      <c r="B390" s="11" t="s">
        <v>4453</v>
      </c>
      <c r="C390" s="12" t="s">
        <v>219</v>
      </c>
      <c r="D390" s="11"/>
      <c r="E390" s="12" t="s">
        <v>4454</v>
      </c>
      <c r="F390" s="13" t="b">
        <v>1</v>
      </c>
      <c r="G390" s="13" t="b">
        <v>0</v>
      </c>
      <c r="H390" s="11" t="s">
        <v>68</v>
      </c>
      <c r="I390" s="11" t="e">
        <f t="array" aca="1" ref="I390" ca="1">IF(H390="","",VLOOKUP(H390,_xludf.HSTACK(#REF!,#REF!),2,FALSE))</f>
        <v>#NAME?</v>
      </c>
      <c r="J390" s="11" t="s">
        <v>3692</v>
      </c>
    </row>
    <row r="391" spans="1:10" x14ac:dyDescent="0.25">
      <c r="A391" s="11" t="s">
        <v>4422</v>
      </c>
      <c r="B391" s="11" t="s">
        <v>4455</v>
      </c>
      <c r="C391" s="12" t="s">
        <v>208</v>
      </c>
      <c r="D391" s="11"/>
      <c r="E391" s="12" t="s">
        <v>4456</v>
      </c>
      <c r="F391" s="13" t="b">
        <v>0</v>
      </c>
      <c r="G391" s="13" t="b">
        <v>0</v>
      </c>
      <c r="H391" s="11" t="s">
        <v>58</v>
      </c>
      <c r="I391" s="11" t="e">
        <f t="array" aca="1" ref="I391" ca="1">IF(H391="","",VLOOKUP(H391,_xludf.HSTACK(#REF!,#REF!),2,FALSE))</f>
        <v>#NAME?</v>
      </c>
      <c r="J391" s="11"/>
    </row>
    <row r="392" spans="1:10" x14ac:dyDescent="0.25">
      <c r="A392" s="11" t="s">
        <v>4422</v>
      </c>
      <c r="B392" s="11" t="s">
        <v>4457</v>
      </c>
      <c r="C392" s="12" t="s">
        <v>201</v>
      </c>
      <c r="D392" s="11"/>
      <c r="E392" s="12" t="s">
        <v>4458</v>
      </c>
      <c r="F392" s="13" t="b">
        <v>0</v>
      </c>
      <c r="G392" s="13" t="b">
        <v>0</v>
      </c>
      <c r="H392" s="11" t="s">
        <v>58</v>
      </c>
      <c r="I392" s="11" t="e">
        <f t="array" aca="1" ref="I392" ca="1">IF(H392="","",VLOOKUP(H392,_xludf.HSTACK(#REF!,#REF!),2,FALSE))</f>
        <v>#NAME?</v>
      </c>
      <c r="J392" s="11" t="s">
        <v>4431</v>
      </c>
    </row>
    <row r="393" spans="1:10" x14ac:dyDescent="0.25">
      <c r="A393" s="11" t="s">
        <v>4422</v>
      </c>
      <c r="B393" s="11" t="s">
        <v>4459</v>
      </c>
      <c r="C393" s="12" t="s">
        <v>219</v>
      </c>
      <c r="D393" s="11"/>
      <c r="E393" s="12" t="s">
        <v>4460</v>
      </c>
      <c r="F393" s="13" t="b">
        <v>1</v>
      </c>
      <c r="G393" s="13" t="b">
        <v>0</v>
      </c>
      <c r="H393" s="11" t="s">
        <v>67</v>
      </c>
      <c r="I393" s="11" t="e">
        <f t="array" aca="1" ref="I393" ca="1">IF(H393="","",VLOOKUP(H393,_xludf.HSTACK(#REF!,#REF!),2,FALSE))</f>
        <v>#NAME?</v>
      </c>
      <c r="J393" s="11" t="s">
        <v>3692</v>
      </c>
    </row>
    <row r="394" spans="1:10" x14ac:dyDescent="0.25">
      <c r="A394" s="9" t="s">
        <v>4461</v>
      </c>
      <c r="B394" s="9" t="s">
        <v>4462</v>
      </c>
      <c r="C394" s="7" t="s">
        <v>172</v>
      </c>
      <c r="D394" s="9"/>
      <c r="E394" s="7" t="s">
        <v>4463</v>
      </c>
      <c r="F394" s="10" t="b">
        <v>0</v>
      </c>
      <c r="G394" s="10" t="b">
        <v>1</v>
      </c>
      <c r="H394" s="9" t="s">
        <v>20</v>
      </c>
      <c r="I394" s="9" t="e">
        <f t="array" aca="1" ref="I394" ca="1">IF(H394="","",VLOOKUP(H394,_xludf.HSTACK(#REF!,#REF!),2,FALSE))</f>
        <v>#NAME?</v>
      </c>
      <c r="J394" s="9"/>
    </row>
    <row r="395" spans="1:10" x14ac:dyDescent="0.25">
      <c r="A395" s="9" t="s">
        <v>4461</v>
      </c>
      <c r="B395" s="9" t="s">
        <v>4464</v>
      </c>
      <c r="C395" s="7" t="s">
        <v>57</v>
      </c>
      <c r="D395" s="9"/>
      <c r="E395" s="7" t="s">
        <v>4465</v>
      </c>
      <c r="F395" s="10" t="b">
        <v>0</v>
      </c>
      <c r="G395" s="10" t="b">
        <v>0</v>
      </c>
      <c r="H395" s="9" t="s">
        <v>45</v>
      </c>
      <c r="I395" s="9" t="e">
        <f t="array" aca="1" ref="I395" ca="1">IF(H395="","",VLOOKUP(H395,_xludf.HSTACK(#REF!,#REF!),2,FALSE))</f>
        <v>#NAME?</v>
      </c>
      <c r="J395" s="9"/>
    </row>
    <row r="396" spans="1:10" x14ac:dyDescent="0.25">
      <c r="A396" s="9" t="s">
        <v>4461</v>
      </c>
      <c r="B396" s="9" t="s">
        <v>4426</v>
      </c>
      <c r="C396" s="7" t="s">
        <v>39</v>
      </c>
      <c r="D396" s="9"/>
      <c r="E396" s="7" t="s">
        <v>4466</v>
      </c>
      <c r="F396" s="10" t="b">
        <v>1</v>
      </c>
      <c r="G396" s="10" t="b">
        <v>0</v>
      </c>
      <c r="H396" s="9" t="s">
        <v>50</v>
      </c>
      <c r="I396" s="9" t="e">
        <f t="array" aca="1" ref="I396" ca="1">IF(H396="","",VLOOKUP(H396,_xludf.HSTACK(#REF!,#REF!),2,FALSE))</f>
        <v>#NAME?</v>
      </c>
      <c r="J396" s="9" t="s">
        <v>3605</v>
      </c>
    </row>
    <row r="397" spans="1:10" x14ac:dyDescent="0.25">
      <c r="A397" s="9" t="s">
        <v>4461</v>
      </c>
      <c r="B397" s="9" t="s">
        <v>4467</v>
      </c>
      <c r="C397" s="7" t="s">
        <v>4267</v>
      </c>
      <c r="D397" s="9"/>
      <c r="E397" s="7" t="s">
        <v>4468</v>
      </c>
      <c r="F397" s="10" t="b">
        <v>1</v>
      </c>
      <c r="G397" s="10" t="b">
        <v>0</v>
      </c>
      <c r="H397" s="9" t="s">
        <v>50</v>
      </c>
      <c r="I397" s="9" t="e">
        <f t="array" aca="1" ref="I397" ca="1">IF(H397="","",VLOOKUP(H397,_xludf.HSTACK(#REF!,#REF!),2,FALSE))</f>
        <v>#NAME?</v>
      </c>
      <c r="J397" s="9" t="s">
        <v>3605</v>
      </c>
    </row>
    <row r="398" spans="1:10" x14ac:dyDescent="0.25">
      <c r="A398" s="9" t="s">
        <v>4461</v>
      </c>
      <c r="B398" s="9" t="s">
        <v>4469</v>
      </c>
      <c r="C398" s="7" t="s">
        <v>4267</v>
      </c>
      <c r="D398" s="9"/>
      <c r="E398" s="7" t="s">
        <v>4470</v>
      </c>
      <c r="F398" s="10" t="b">
        <v>1</v>
      </c>
      <c r="G398" s="10" t="b">
        <v>0</v>
      </c>
      <c r="H398" s="9" t="s">
        <v>50</v>
      </c>
      <c r="I398" s="9" t="e">
        <f t="array" aca="1" ref="I398" ca="1">IF(H398="","",VLOOKUP(H398,_xludf.HSTACK(#REF!,#REF!),2,FALSE))</f>
        <v>#NAME?</v>
      </c>
      <c r="J398" s="9" t="s">
        <v>3605</v>
      </c>
    </row>
    <row r="399" spans="1:10" x14ac:dyDescent="0.25">
      <c r="A399" s="9" t="s">
        <v>4461</v>
      </c>
      <c r="B399" s="9" t="s">
        <v>4471</v>
      </c>
      <c r="C399" s="7" t="s">
        <v>172</v>
      </c>
      <c r="D399" s="9"/>
      <c r="E399" s="7" t="s">
        <v>4472</v>
      </c>
      <c r="F399" s="10" t="b">
        <v>1</v>
      </c>
      <c r="G399" s="10" t="b">
        <v>1</v>
      </c>
      <c r="H399" s="9" t="s">
        <v>65</v>
      </c>
      <c r="I399" s="9" t="e">
        <f t="array" aca="1" ref="I399" ca="1">IF(H399="","",VLOOKUP(H399,_xludf.HSTACK(#REF!,#REF!),2,FALSE))</f>
        <v>#NAME?</v>
      </c>
      <c r="J399" s="9" t="s">
        <v>3692</v>
      </c>
    </row>
    <row r="400" spans="1:10" x14ac:dyDescent="0.25">
      <c r="A400" s="9" t="s">
        <v>4461</v>
      </c>
      <c r="B400" s="9" t="s">
        <v>4435</v>
      </c>
      <c r="C400" s="7" t="s">
        <v>57</v>
      </c>
      <c r="D400" s="9"/>
      <c r="E400" s="7" t="s">
        <v>4473</v>
      </c>
      <c r="F400" s="10" t="b">
        <v>0</v>
      </c>
      <c r="G400" s="10" t="b">
        <v>0</v>
      </c>
      <c r="H400" s="9" t="s">
        <v>51</v>
      </c>
      <c r="I400" s="9" t="e">
        <f t="array" aca="1" ref="I400" ca="1">IF(H400="","",VLOOKUP(H400,_xludf.HSTACK(#REF!,#REF!),2,FALSE))</f>
        <v>#NAME?</v>
      </c>
      <c r="J400" s="9"/>
    </row>
    <row r="401" spans="1:10" x14ac:dyDescent="0.25">
      <c r="A401" s="9" t="s">
        <v>4461</v>
      </c>
      <c r="B401" s="9" t="s">
        <v>4474</v>
      </c>
      <c r="C401" s="7" t="s">
        <v>172</v>
      </c>
      <c r="D401" s="9"/>
      <c r="E401" s="7" t="s">
        <v>4475</v>
      </c>
      <c r="F401" s="10" t="b">
        <v>1</v>
      </c>
      <c r="G401" s="10" t="b">
        <v>1</v>
      </c>
      <c r="H401" s="9" t="s">
        <v>66</v>
      </c>
      <c r="I401" s="9" t="e">
        <f t="array" aca="1" ref="I401" ca="1">IF(H401="","",VLOOKUP(H401,_xludf.HSTACK(#REF!,#REF!),2,FALSE))</f>
        <v>#NAME?</v>
      </c>
      <c r="J401" s="9" t="s">
        <v>3692</v>
      </c>
    </row>
    <row r="402" spans="1:10" x14ac:dyDescent="0.25">
      <c r="A402" s="9" t="s">
        <v>4461</v>
      </c>
      <c r="B402" s="9" t="s">
        <v>4439</v>
      </c>
      <c r="C402" s="7" t="s">
        <v>39</v>
      </c>
      <c r="D402" s="9"/>
      <c r="E402" s="7" t="s">
        <v>4476</v>
      </c>
      <c r="F402" s="10" t="b">
        <v>1</v>
      </c>
      <c r="G402" s="10" t="b">
        <v>0</v>
      </c>
      <c r="H402" s="9" t="s">
        <v>54</v>
      </c>
      <c r="I402" s="9" t="e">
        <f t="array" aca="1" ref="I402" ca="1">IF(H402="","",VLOOKUP(H402,_xludf.HSTACK(#REF!,#REF!),2,FALSE))</f>
        <v>#NAME?</v>
      </c>
      <c r="J402" s="9" t="s">
        <v>3605</v>
      </c>
    </row>
    <row r="403" spans="1:10" x14ac:dyDescent="0.25">
      <c r="A403" s="9" t="s">
        <v>4461</v>
      </c>
      <c r="B403" s="9" t="s">
        <v>4477</v>
      </c>
      <c r="C403" s="7" t="s">
        <v>172</v>
      </c>
      <c r="D403" s="9"/>
      <c r="E403" s="7" t="s">
        <v>4478</v>
      </c>
      <c r="F403" s="10" t="b">
        <v>1</v>
      </c>
      <c r="G403" s="10" t="b">
        <v>1</v>
      </c>
      <c r="H403" s="9" t="s">
        <v>69</v>
      </c>
      <c r="I403" s="9" t="e">
        <f t="array" aca="1" ref="I403" ca="1">IF(H403="","",VLOOKUP(H403,_xludf.HSTACK(#REF!,#REF!),2,FALSE))</f>
        <v>#NAME?</v>
      </c>
      <c r="J403" s="9" t="s">
        <v>3692</v>
      </c>
    </row>
    <row r="404" spans="1:10" x14ac:dyDescent="0.25">
      <c r="A404" s="9" t="s">
        <v>4461</v>
      </c>
      <c r="B404" s="9" t="s">
        <v>4443</v>
      </c>
      <c r="C404" s="7" t="s">
        <v>39</v>
      </c>
      <c r="D404" s="9"/>
      <c r="E404" s="7" t="s">
        <v>4479</v>
      </c>
      <c r="F404" s="10" t="b">
        <v>0</v>
      </c>
      <c r="G404" s="10" t="b">
        <v>0</v>
      </c>
      <c r="H404" s="9" t="s">
        <v>55</v>
      </c>
      <c r="I404" s="9" t="e">
        <f t="array" aca="1" ref="I404" ca="1">IF(H404="","",VLOOKUP(H404,_xludf.HSTACK(#REF!,#REF!),2,FALSE))</f>
        <v>#NAME?</v>
      </c>
      <c r="J404" s="9"/>
    </row>
    <row r="405" spans="1:10" x14ac:dyDescent="0.25">
      <c r="A405" s="9" t="s">
        <v>4461</v>
      </c>
      <c r="B405" s="9" t="s">
        <v>4480</v>
      </c>
      <c r="C405" s="7" t="s">
        <v>172</v>
      </c>
      <c r="D405" s="9"/>
      <c r="E405" s="7" t="s">
        <v>4481</v>
      </c>
      <c r="F405" s="10" t="b">
        <v>1</v>
      </c>
      <c r="G405" s="10" t="b">
        <v>1</v>
      </c>
      <c r="H405" s="9" t="s">
        <v>70</v>
      </c>
      <c r="I405" s="9" t="e">
        <f t="array" aca="1" ref="I405" ca="1">IF(H405="","",VLOOKUP(H405,_xludf.HSTACK(#REF!,#REF!),2,FALSE))</f>
        <v>#NAME?</v>
      </c>
      <c r="J405" s="9" t="s">
        <v>3692</v>
      </c>
    </row>
    <row r="406" spans="1:10" x14ac:dyDescent="0.25">
      <c r="A406" s="9" t="s">
        <v>4461</v>
      </c>
      <c r="B406" s="9" t="s">
        <v>4449</v>
      </c>
      <c r="C406" s="7" t="s">
        <v>39</v>
      </c>
      <c r="D406" s="9"/>
      <c r="E406" s="7" t="s">
        <v>4482</v>
      </c>
      <c r="F406" s="10" t="b">
        <v>1</v>
      </c>
      <c r="G406" s="10" t="b">
        <v>0</v>
      </c>
      <c r="H406" s="9" t="s">
        <v>56</v>
      </c>
      <c r="I406" s="9" t="e">
        <f t="array" aca="1" ref="I406" ca="1">IF(H406="","",VLOOKUP(H406,_xludf.HSTACK(#REF!,#REF!),2,FALSE))</f>
        <v>#NAME?</v>
      </c>
      <c r="J406" s="9" t="s">
        <v>3792</v>
      </c>
    </row>
    <row r="407" spans="1:10" x14ac:dyDescent="0.25">
      <c r="A407" s="9" t="s">
        <v>4461</v>
      </c>
      <c r="B407" s="9" t="s">
        <v>4483</v>
      </c>
      <c r="C407" s="7" t="s">
        <v>172</v>
      </c>
      <c r="D407" s="9"/>
      <c r="E407" s="7" t="s">
        <v>4484</v>
      </c>
      <c r="F407" s="10" t="b">
        <v>1</v>
      </c>
      <c r="G407" s="10" t="b">
        <v>1</v>
      </c>
      <c r="H407" s="9" t="s">
        <v>68</v>
      </c>
      <c r="I407" s="9" t="e">
        <f t="array" aca="1" ref="I407" ca="1">IF(H407="","",VLOOKUP(H407,_xludf.HSTACK(#REF!,#REF!),2,FALSE))</f>
        <v>#NAME?</v>
      </c>
      <c r="J407" s="9" t="s">
        <v>3692</v>
      </c>
    </row>
    <row r="408" spans="1:10" x14ac:dyDescent="0.25">
      <c r="A408" s="9" t="s">
        <v>4461</v>
      </c>
      <c r="B408" s="9" t="s">
        <v>4455</v>
      </c>
      <c r="C408" s="7" t="s">
        <v>39</v>
      </c>
      <c r="D408" s="9"/>
      <c r="E408" s="7" t="s">
        <v>4485</v>
      </c>
      <c r="F408" s="10" t="b">
        <v>0</v>
      </c>
      <c r="G408" s="10" t="b">
        <v>0</v>
      </c>
      <c r="H408" s="9" t="s">
        <v>58</v>
      </c>
      <c r="I408" s="9" t="e">
        <f t="array" aca="1" ref="I408" ca="1">IF(H408="","",VLOOKUP(H408,_xludf.HSTACK(#REF!,#REF!),2,FALSE))</f>
        <v>#NAME?</v>
      </c>
      <c r="J408" s="9"/>
    </row>
    <row r="409" spans="1:10" x14ac:dyDescent="0.25">
      <c r="A409" s="9" t="s">
        <v>4461</v>
      </c>
      <c r="B409" s="9" t="s">
        <v>4486</v>
      </c>
      <c r="C409" s="7" t="s">
        <v>4411</v>
      </c>
      <c r="D409" s="9"/>
      <c r="E409" s="7" t="s">
        <v>4487</v>
      </c>
      <c r="F409" s="10" t="b">
        <v>0</v>
      </c>
      <c r="G409" s="10" t="b">
        <v>0</v>
      </c>
      <c r="H409" s="9" t="s">
        <v>58</v>
      </c>
      <c r="I409" s="9" t="e">
        <f t="array" aca="1" ref="I409" ca="1">IF(H409="","",VLOOKUP(H409,_xludf.HSTACK(#REF!,#REF!),2,FALSE))</f>
        <v>#NAME?</v>
      </c>
      <c r="J409" s="9"/>
    </row>
    <row r="410" spans="1:10" x14ac:dyDescent="0.25">
      <c r="A410" s="9" t="s">
        <v>4461</v>
      </c>
      <c r="B410" s="9" t="s">
        <v>4488</v>
      </c>
      <c r="C410" s="7" t="s">
        <v>4267</v>
      </c>
      <c r="D410" s="9"/>
      <c r="E410" s="7" t="s">
        <v>4489</v>
      </c>
      <c r="F410" s="10" t="b">
        <v>0</v>
      </c>
      <c r="G410" s="10" t="b">
        <v>0</v>
      </c>
      <c r="H410" s="9" t="s">
        <v>58</v>
      </c>
      <c r="I410" s="9" t="e">
        <f t="array" aca="1" ref="I410" ca="1">IF(H410="","",VLOOKUP(H410,_xludf.HSTACK(#REF!,#REF!),2,FALSE))</f>
        <v>#NAME?</v>
      </c>
      <c r="J410" s="9"/>
    </row>
    <row r="411" spans="1:10" x14ac:dyDescent="0.25">
      <c r="A411" s="9" t="s">
        <v>4461</v>
      </c>
      <c r="B411" s="9" t="s">
        <v>4490</v>
      </c>
      <c r="C411" s="7" t="s">
        <v>172</v>
      </c>
      <c r="D411" s="9"/>
      <c r="E411" s="7" t="s">
        <v>4491</v>
      </c>
      <c r="F411" s="10" t="b">
        <v>1</v>
      </c>
      <c r="G411" s="10" t="b">
        <v>1</v>
      </c>
      <c r="H411" s="9" t="s">
        <v>67</v>
      </c>
      <c r="I411" s="9" t="e">
        <f t="array" aca="1" ref="I411" ca="1">IF(H411="","",VLOOKUP(H411,_xludf.HSTACK(#REF!,#REF!),2,FALSE))</f>
        <v>#NAME?</v>
      </c>
      <c r="J411" s="9" t="s">
        <v>3692</v>
      </c>
    </row>
    <row r="412" spans="1:10" x14ac:dyDescent="0.25">
      <c r="A412" s="9" t="s">
        <v>4461</v>
      </c>
      <c r="B412" s="9" t="s">
        <v>4492</v>
      </c>
      <c r="C412" s="7" t="s">
        <v>2344</v>
      </c>
      <c r="D412" s="9"/>
      <c r="E412" s="7" t="s">
        <v>4493</v>
      </c>
      <c r="F412" s="10" t="b">
        <v>0</v>
      </c>
      <c r="G412" s="10" t="b">
        <v>1</v>
      </c>
      <c r="H412" s="9"/>
      <c r="I412" s="9" t="str">
        <f t="array" ref="I412">IF(H412="","",VLOOKUP(H412,_xludf.HSTACK(#REF!,#REF!),2,FALSE))</f>
        <v/>
      </c>
      <c r="J412" s="9" t="s">
        <v>4494</v>
      </c>
    </row>
    <row r="413" spans="1:10" x14ac:dyDescent="0.25">
      <c r="A413" s="9" t="s">
        <v>4461</v>
      </c>
      <c r="B413" s="9" t="s">
        <v>4495</v>
      </c>
      <c r="C413" s="7" t="s">
        <v>2339</v>
      </c>
      <c r="D413" s="9"/>
      <c r="E413" s="7" t="s">
        <v>4496</v>
      </c>
      <c r="F413" s="10" t="b">
        <v>0</v>
      </c>
      <c r="G413" s="10" t="b">
        <v>1</v>
      </c>
      <c r="H413" s="9"/>
      <c r="I413" s="9" t="str">
        <f t="array" ref="I413">IF(H413="","",VLOOKUP(H413,_xludf.HSTACK(#REF!,#REF!),2,FALSE))</f>
        <v/>
      </c>
      <c r="J413" s="9" t="s">
        <v>4494</v>
      </c>
    </row>
    <row r="414" spans="1:10" x14ac:dyDescent="0.25">
      <c r="A414" s="11" t="s">
        <v>4497</v>
      </c>
      <c r="B414" s="11" t="s">
        <v>4498</v>
      </c>
      <c r="C414" s="12" t="s">
        <v>138</v>
      </c>
      <c r="D414" s="11"/>
      <c r="E414" s="12" t="s">
        <v>4499</v>
      </c>
      <c r="F414" s="13" t="b">
        <v>1</v>
      </c>
      <c r="G414" s="13" t="b">
        <v>0</v>
      </c>
      <c r="H414" s="11" t="s">
        <v>50</v>
      </c>
      <c r="I414" s="11" t="e">
        <f t="array" aca="1" ref="I414" ca="1">IF(H414="","",VLOOKUP(H414,_xludf.HSTACK(#REF!,#REF!),2,FALSE))</f>
        <v>#NAME?</v>
      </c>
      <c r="J414" s="11" t="s">
        <v>3605</v>
      </c>
    </row>
    <row r="415" spans="1:10" x14ac:dyDescent="0.25">
      <c r="A415" s="11" t="s">
        <v>4497</v>
      </c>
      <c r="B415" s="11" t="s">
        <v>4500</v>
      </c>
      <c r="C415" s="12" t="s">
        <v>138</v>
      </c>
      <c r="D415" s="11"/>
      <c r="E415" s="12" t="s">
        <v>4501</v>
      </c>
      <c r="F415" s="13" t="b">
        <v>0</v>
      </c>
      <c r="G415" s="13" t="b">
        <v>0</v>
      </c>
      <c r="H415" s="11" t="s">
        <v>65</v>
      </c>
      <c r="I415" s="11" t="e">
        <f t="array" aca="1" ref="I415" ca="1">IF(H415="","",VLOOKUP(H415,_xludf.HSTACK(#REF!,#REF!),2,FALSE))</f>
        <v>#NAME?</v>
      </c>
      <c r="J415" s="11" t="s">
        <v>4502</v>
      </c>
    </row>
    <row r="416" spans="1:10" x14ac:dyDescent="0.25">
      <c r="A416" s="11" t="s">
        <v>4497</v>
      </c>
      <c r="B416" s="11" t="s">
        <v>4503</v>
      </c>
      <c r="C416" s="12" t="s">
        <v>138</v>
      </c>
      <c r="D416" s="11"/>
      <c r="E416" s="12" t="s">
        <v>4504</v>
      </c>
      <c r="F416" s="13" t="b">
        <v>1</v>
      </c>
      <c r="G416" s="13" t="b">
        <v>0</v>
      </c>
      <c r="H416" s="11" t="s">
        <v>51</v>
      </c>
      <c r="I416" s="11" t="e">
        <f t="array" aca="1" ref="I416" ca="1">IF(H416="","",VLOOKUP(H416,_xludf.HSTACK(#REF!,#REF!),2,FALSE))</f>
        <v>#NAME?</v>
      </c>
      <c r="J416" s="11" t="s">
        <v>3605</v>
      </c>
    </row>
    <row r="417" spans="1:10" x14ac:dyDescent="0.25">
      <c r="A417" s="11" t="s">
        <v>4497</v>
      </c>
      <c r="B417" s="11" t="s">
        <v>4505</v>
      </c>
      <c r="C417" s="12" t="s">
        <v>138</v>
      </c>
      <c r="D417" s="11"/>
      <c r="E417" s="12" t="s">
        <v>4506</v>
      </c>
      <c r="F417" s="13" t="b">
        <v>0</v>
      </c>
      <c r="G417" s="13" t="b">
        <v>0</v>
      </c>
      <c r="H417" s="11" t="s">
        <v>66</v>
      </c>
      <c r="I417" s="11" t="e">
        <f t="array" aca="1" ref="I417" ca="1">IF(H417="","",VLOOKUP(H417,_xludf.HSTACK(#REF!,#REF!),2,FALSE))</f>
        <v>#NAME?</v>
      </c>
      <c r="J417" s="11" t="s">
        <v>4502</v>
      </c>
    </row>
    <row r="418" spans="1:10" x14ac:dyDescent="0.25">
      <c r="A418" s="11" t="s">
        <v>4497</v>
      </c>
      <c r="B418" s="11" t="s">
        <v>4507</v>
      </c>
      <c r="C418" s="12" t="s">
        <v>138</v>
      </c>
      <c r="D418" s="11"/>
      <c r="E418" s="12" t="s">
        <v>4508</v>
      </c>
      <c r="F418" s="13" t="b">
        <v>1</v>
      </c>
      <c r="G418" s="13" t="b">
        <v>0</v>
      </c>
      <c r="H418" s="11" t="s">
        <v>54</v>
      </c>
      <c r="I418" s="11" t="e">
        <f t="array" aca="1" ref="I418" ca="1">IF(H418="","",VLOOKUP(H418,_xludf.HSTACK(#REF!,#REF!),2,FALSE))</f>
        <v>#NAME?</v>
      </c>
      <c r="J418" s="11" t="s">
        <v>3605</v>
      </c>
    </row>
    <row r="419" spans="1:10" x14ac:dyDescent="0.25">
      <c r="A419" s="11" t="s">
        <v>4497</v>
      </c>
      <c r="B419" s="11" t="s">
        <v>4509</v>
      </c>
      <c r="C419" s="12" t="s">
        <v>138</v>
      </c>
      <c r="D419" s="11"/>
      <c r="E419" s="12" t="s">
        <v>4510</v>
      </c>
      <c r="F419" s="13" t="b">
        <v>0</v>
      </c>
      <c r="G419" s="13" t="b">
        <v>0</v>
      </c>
      <c r="H419" s="11" t="s">
        <v>69</v>
      </c>
      <c r="I419" s="11" t="e">
        <f t="array" aca="1" ref="I419" ca="1">IF(H419="","",VLOOKUP(H419,_xludf.HSTACK(#REF!,#REF!),2,FALSE))</f>
        <v>#NAME?</v>
      </c>
      <c r="J419" s="11" t="s">
        <v>4502</v>
      </c>
    </row>
    <row r="420" spans="1:10" x14ac:dyDescent="0.25">
      <c r="A420" s="11" t="s">
        <v>4497</v>
      </c>
      <c r="B420" s="11" t="s">
        <v>4511</v>
      </c>
      <c r="C420" s="12" t="s">
        <v>138</v>
      </c>
      <c r="D420" s="11"/>
      <c r="E420" s="12" t="s">
        <v>4512</v>
      </c>
      <c r="F420" s="13" t="b">
        <v>1</v>
      </c>
      <c r="G420" s="13" t="b">
        <v>0</v>
      </c>
      <c r="H420" s="11" t="s">
        <v>55</v>
      </c>
      <c r="I420" s="11" t="e">
        <f t="array" aca="1" ref="I420" ca="1">IF(H420="","",VLOOKUP(H420,_xludf.HSTACK(#REF!,#REF!),2,FALSE))</f>
        <v>#NAME?</v>
      </c>
      <c r="J420" s="11" t="s">
        <v>3605</v>
      </c>
    </row>
    <row r="421" spans="1:10" x14ac:dyDescent="0.25">
      <c r="A421" s="11" t="s">
        <v>4497</v>
      </c>
      <c r="B421" s="11" t="s">
        <v>4513</v>
      </c>
      <c r="C421" s="12" t="s">
        <v>138</v>
      </c>
      <c r="D421" s="11"/>
      <c r="E421" s="12" t="s">
        <v>4514</v>
      </c>
      <c r="F421" s="13" t="b">
        <v>0</v>
      </c>
      <c r="G421" s="13" t="b">
        <v>0</v>
      </c>
      <c r="H421" s="11" t="s">
        <v>70</v>
      </c>
      <c r="I421" s="11" t="e">
        <f t="array" aca="1" ref="I421" ca="1">IF(H421="","",VLOOKUP(H421,_xludf.HSTACK(#REF!,#REF!),2,FALSE))</f>
        <v>#NAME?</v>
      </c>
      <c r="J421" s="11" t="s">
        <v>4502</v>
      </c>
    </row>
    <row r="422" spans="1:10" x14ac:dyDescent="0.25">
      <c r="A422" s="11" t="s">
        <v>4497</v>
      </c>
      <c r="B422" s="11" t="s">
        <v>4515</v>
      </c>
      <c r="C422" s="12" t="s">
        <v>138</v>
      </c>
      <c r="D422" s="11"/>
      <c r="E422" s="12" t="s">
        <v>4516</v>
      </c>
      <c r="F422" s="13" t="b">
        <v>1</v>
      </c>
      <c r="G422" s="13" t="b">
        <v>0</v>
      </c>
      <c r="H422" s="11" t="s">
        <v>56</v>
      </c>
      <c r="I422" s="11" t="e">
        <f t="array" aca="1" ref="I422" ca="1">IF(H422="","",VLOOKUP(H422,_xludf.HSTACK(#REF!,#REF!),2,FALSE))</f>
        <v>#NAME?</v>
      </c>
      <c r="J422" s="11" t="s">
        <v>3605</v>
      </c>
    </row>
    <row r="423" spans="1:10" x14ac:dyDescent="0.25">
      <c r="A423" s="11" t="s">
        <v>4497</v>
      </c>
      <c r="B423" s="11" t="s">
        <v>4517</v>
      </c>
      <c r="C423" s="12" t="s">
        <v>138</v>
      </c>
      <c r="D423" s="11"/>
      <c r="E423" s="12" t="s">
        <v>4518</v>
      </c>
      <c r="F423" s="13" t="b">
        <v>0</v>
      </c>
      <c r="G423" s="13" t="b">
        <v>0</v>
      </c>
      <c r="H423" s="11" t="s">
        <v>68</v>
      </c>
      <c r="I423" s="11" t="e">
        <f t="array" aca="1" ref="I423" ca="1">IF(H423="","",VLOOKUP(H423,_xludf.HSTACK(#REF!,#REF!),2,FALSE))</f>
        <v>#NAME?</v>
      </c>
      <c r="J423" s="11" t="s">
        <v>4502</v>
      </c>
    </row>
    <row r="424" spans="1:10" x14ac:dyDescent="0.25">
      <c r="A424" s="11" t="s">
        <v>4497</v>
      </c>
      <c r="B424" s="11" t="s">
        <v>4519</v>
      </c>
      <c r="C424" s="12" t="s">
        <v>138</v>
      </c>
      <c r="D424" s="11"/>
      <c r="E424" s="12" t="s">
        <v>4520</v>
      </c>
      <c r="F424" s="13" t="b">
        <v>1</v>
      </c>
      <c r="G424" s="13" t="b">
        <v>0</v>
      </c>
      <c r="H424" s="11" t="s">
        <v>58</v>
      </c>
      <c r="I424" s="11" t="e">
        <f t="array" aca="1" ref="I424" ca="1">IF(H424="","",VLOOKUP(H424,_xludf.HSTACK(#REF!,#REF!),2,FALSE))</f>
        <v>#NAME?</v>
      </c>
      <c r="J424" s="11" t="s">
        <v>3605</v>
      </c>
    </row>
    <row r="425" spans="1:10" x14ac:dyDescent="0.25">
      <c r="A425" s="11" t="s">
        <v>4497</v>
      </c>
      <c r="B425" s="11" t="s">
        <v>4521</v>
      </c>
      <c r="C425" s="12" t="s">
        <v>138</v>
      </c>
      <c r="D425" s="11"/>
      <c r="E425" s="12" t="s">
        <v>4522</v>
      </c>
      <c r="F425" s="13" t="b">
        <v>0</v>
      </c>
      <c r="G425" s="13" t="b">
        <v>0</v>
      </c>
      <c r="H425" s="11" t="s">
        <v>67</v>
      </c>
      <c r="I425" s="11" t="e">
        <f t="array" aca="1" ref="I425" ca="1">IF(H425="","",VLOOKUP(H425,_xludf.HSTACK(#REF!,#REF!),2,FALSE))</f>
        <v>#NAME?</v>
      </c>
      <c r="J425" s="11" t="s">
        <v>4502</v>
      </c>
    </row>
    <row r="426" spans="1:10" x14ac:dyDescent="0.25">
      <c r="A426" s="9" t="s">
        <v>4523</v>
      </c>
      <c r="B426" s="9" t="s">
        <v>4524</v>
      </c>
      <c r="C426" s="7" t="s">
        <v>4525</v>
      </c>
      <c r="D426" s="9"/>
      <c r="E426" s="7" t="s">
        <v>4526</v>
      </c>
      <c r="F426" s="10" t="b">
        <v>1</v>
      </c>
      <c r="G426" s="10" t="b">
        <v>0</v>
      </c>
      <c r="H426" s="9" t="s">
        <v>50</v>
      </c>
      <c r="I426" s="9" t="e">
        <f t="array" aca="1" ref="I426" ca="1">IF(H426="","",VLOOKUP(H426,_xludf.HSTACK(#REF!,#REF!),2,FALSE))</f>
        <v>#NAME?</v>
      </c>
      <c r="J426" s="9" t="s">
        <v>3605</v>
      </c>
    </row>
    <row r="427" spans="1:10" x14ac:dyDescent="0.25">
      <c r="A427" s="9" t="s">
        <v>4523</v>
      </c>
      <c r="B427" s="9" t="s">
        <v>4471</v>
      </c>
      <c r="C427" s="7" t="s">
        <v>4527</v>
      </c>
      <c r="D427" s="9"/>
      <c r="E427" s="7" t="s">
        <v>4528</v>
      </c>
      <c r="F427" s="10" t="b">
        <v>0</v>
      </c>
      <c r="G427" s="10" t="b">
        <v>1</v>
      </c>
      <c r="H427" s="9" t="s">
        <v>65</v>
      </c>
      <c r="I427" s="9" t="e">
        <f t="array" aca="1" ref="I427" ca="1">IF(H427="","",VLOOKUP(H427,_xludf.HSTACK(#REF!,#REF!),2,FALSE))</f>
        <v>#NAME?</v>
      </c>
      <c r="J427" s="9" t="s">
        <v>4502</v>
      </c>
    </row>
    <row r="428" spans="1:10" x14ac:dyDescent="0.25">
      <c r="A428" s="9" t="s">
        <v>4523</v>
      </c>
      <c r="B428" s="9" t="s">
        <v>4529</v>
      </c>
      <c r="C428" s="7" t="s">
        <v>4530</v>
      </c>
      <c r="D428" s="9"/>
      <c r="E428" s="7" t="s">
        <v>4531</v>
      </c>
      <c r="F428" s="10" t="b">
        <v>1</v>
      </c>
      <c r="G428" s="10" t="b">
        <v>0</v>
      </c>
      <c r="H428" s="9" t="s">
        <v>51</v>
      </c>
      <c r="I428" s="9" t="e">
        <f t="array" aca="1" ref="I428" ca="1">IF(H428="","",VLOOKUP(H428,_xludf.HSTACK(#REF!,#REF!),2,FALSE))</f>
        <v>#NAME?</v>
      </c>
      <c r="J428" s="9" t="s">
        <v>3605</v>
      </c>
    </row>
    <row r="429" spans="1:10" x14ac:dyDescent="0.25">
      <c r="A429" s="9" t="s">
        <v>4523</v>
      </c>
      <c r="B429" s="9" t="s">
        <v>4474</v>
      </c>
      <c r="C429" s="7" t="s">
        <v>4532</v>
      </c>
      <c r="D429" s="9"/>
      <c r="E429" s="7" t="s">
        <v>4533</v>
      </c>
      <c r="F429" s="10" t="b">
        <v>0</v>
      </c>
      <c r="G429" s="10" t="b">
        <v>1</v>
      </c>
      <c r="H429" s="9" t="s">
        <v>66</v>
      </c>
      <c r="I429" s="9" t="e">
        <f t="array" aca="1" ref="I429" ca="1">IF(H429="","",VLOOKUP(H429,_xludf.HSTACK(#REF!,#REF!),2,FALSE))</f>
        <v>#NAME?</v>
      </c>
      <c r="J429" s="9" t="s">
        <v>4502</v>
      </c>
    </row>
    <row r="430" spans="1:10" x14ac:dyDescent="0.25">
      <c r="A430" s="9" t="s">
        <v>4523</v>
      </c>
      <c r="B430" s="9" t="s">
        <v>4534</v>
      </c>
      <c r="C430" s="7" t="s">
        <v>4525</v>
      </c>
      <c r="D430" s="9"/>
      <c r="E430" s="7" t="s">
        <v>4535</v>
      </c>
      <c r="F430" s="10" t="b">
        <v>1</v>
      </c>
      <c r="G430" s="10" t="b">
        <v>0</v>
      </c>
      <c r="H430" s="9" t="s">
        <v>54</v>
      </c>
      <c r="I430" s="9" t="e">
        <f t="array" aca="1" ref="I430" ca="1">IF(H430="","",VLOOKUP(H430,_xludf.HSTACK(#REF!,#REF!),2,FALSE))</f>
        <v>#NAME?</v>
      </c>
      <c r="J430" s="9" t="s">
        <v>3605</v>
      </c>
    </row>
    <row r="431" spans="1:10" x14ac:dyDescent="0.25">
      <c r="A431" s="9" t="s">
        <v>4523</v>
      </c>
      <c r="B431" s="9" t="s">
        <v>4477</v>
      </c>
      <c r="C431" s="7" t="s">
        <v>4532</v>
      </c>
      <c r="D431" s="9"/>
      <c r="E431" s="7" t="s">
        <v>4536</v>
      </c>
      <c r="F431" s="10" t="b">
        <v>0</v>
      </c>
      <c r="G431" s="10" t="b">
        <v>1</v>
      </c>
      <c r="H431" s="9" t="s">
        <v>69</v>
      </c>
      <c r="I431" s="9" t="e">
        <f t="array" aca="1" ref="I431" ca="1">IF(H431="","",VLOOKUP(H431,_xludf.HSTACK(#REF!,#REF!),2,FALSE))</f>
        <v>#NAME?</v>
      </c>
      <c r="J431" s="9" t="s">
        <v>4502</v>
      </c>
    </row>
    <row r="432" spans="1:10" x14ac:dyDescent="0.25">
      <c r="A432" s="9" t="s">
        <v>4523</v>
      </c>
      <c r="B432" s="9" t="s">
        <v>4537</v>
      </c>
      <c r="C432" s="7" t="s">
        <v>4530</v>
      </c>
      <c r="D432" s="9"/>
      <c r="E432" s="7" t="s">
        <v>4538</v>
      </c>
      <c r="F432" s="10" t="b">
        <v>1</v>
      </c>
      <c r="G432" s="10" t="b">
        <v>0</v>
      </c>
      <c r="H432" s="9" t="s">
        <v>55</v>
      </c>
      <c r="I432" s="9" t="e">
        <f t="array" aca="1" ref="I432" ca="1">IF(H432="","",VLOOKUP(H432,_xludf.HSTACK(#REF!,#REF!),2,FALSE))</f>
        <v>#NAME?</v>
      </c>
      <c r="J432" s="9" t="s">
        <v>3605</v>
      </c>
    </row>
    <row r="433" spans="1:10" x14ac:dyDescent="0.25">
      <c r="A433" s="9" t="s">
        <v>4523</v>
      </c>
      <c r="B433" s="9" t="s">
        <v>4480</v>
      </c>
      <c r="C433" s="7" t="s">
        <v>4527</v>
      </c>
      <c r="D433" s="9"/>
      <c r="E433" s="7" t="s">
        <v>4539</v>
      </c>
      <c r="F433" s="10" t="b">
        <v>0</v>
      </c>
      <c r="G433" s="10" t="b">
        <v>1</v>
      </c>
      <c r="H433" s="9" t="s">
        <v>70</v>
      </c>
      <c r="I433" s="9" t="e">
        <f t="array" aca="1" ref="I433" ca="1">IF(H433="","",VLOOKUP(H433,_xludf.HSTACK(#REF!,#REF!),2,FALSE))</f>
        <v>#NAME?</v>
      </c>
      <c r="J433" s="9" t="s">
        <v>4502</v>
      </c>
    </row>
    <row r="434" spans="1:10" x14ac:dyDescent="0.25">
      <c r="A434" s="9" t="s">
        <v>4523</v>
      </c>
      <c r="B434" s="9" t="s">
        <v>4540</v>
      </c>
      <c r="C434" s="7" t="s">
        <v>4530</v>
      </c>
      <c r="D434" s="9"/>
      <c r="E434" s="7" t="s">
        <v>4541</v>
      </c>
      <c r="F434" s="10" t="b">
        <v>1</v>
      </c>
      <c r="G434" s="10" t="b">
        <v>0</v>
      </c>
      <c r="H434" s="9" t="s">
        <v>56</v>
      </c>
      <c r="I434" s="9" t="e">
        <f t="array" aca="1" ref="I434" ca="1">IF(H434="","",VLOOKUP(H434,_xludf.HSTACK(#REF!,#REF!),2,FALSE))</f>
        <v>#NAME?</v>
      </c>
      <c r="J434" s="9" t="s">
        <v>3605</v>
      </c>
    </row>
    <row r="435" spans="1:10" x14ac:dyDescent="0.25">
      <c r="A435" s="9" t="s">
        <v>4523</v>
      </c>
      <c r="B435" s="9" t="s">
        <v>4483</v>
      </c>
      <c r="C435" s="7" t="s">
        <v>4527</v>
      </c>
      <c r="D435" s="9"/>
      <c r="E435" s="7" t="s">
        <v>4542</v>
      </c>
      <c r="F435" s="10" t="b">
        <v>0</v>
      </c>
      <c r="G435" s="10" t="b">
        <v>1</v>
      </c>
      <c r="H435" s="9" t="s">
        <v>68</v>
      </c>
      <c r="I435" s="9" t="e">
        <f t="array" aca="1" ref="I435" ca="1">IF(H435="","",VLOOKUP(H435,_xludf.HSTACK(#REF!,#REF!),2,FALSE))</f>
        <v>#NAME?</v>
      </c>
      <c r="J435" s="9" t="s">
        <v>4502</v>
      </c>
    </row>
    <row r="436" spans="1:10" x14ac:dyDescent="0.25">
      <c r="A436" s="9" t="s">
        <v>4523</v>
      </c>
      <c r="B436" s="9" t="s">
        <v>4543</v>
      </c>
      <c r="C436" s="7" t="s">
        <v>4530</v>
      </c>
      <c r="D436" s="9"/>
      <c r="E436" s="7" t="s">
        <v>4544</v>
      </c>
      <c r="F436" s="10" t="b">
        <v>1</v>
      </c>
      <c r="G436" s="10" t="b">
        <v>0</v>
      </c>
      <c r="H436" s="9" t="s">
        <v>58</v>
      </c>
      <c r="I436" s="9" t="e">
        <f t="array" aca="1" ref="I436" ca="1">IF(H436="","",VLOOKUP(H436,_xludf.HSTACK(#REF!,#REF!),2,FALSE))</f>
        <v>#NAME?</v>
      </c>
      <c r="J436" s="9" t="s">
        <v>3605</v>
      </c>
    </row>
    <row r="437" spans="1:10" x14ac:dyDescent="0.25">
      <c r="A437" s="9" t="s">
        <v>4523</v>
      </c>
      <c r="B437" s="9" t="s">
        <v>4490</v>
      </c>
      <c r="C437" s="7" t="s">
        <v>4527</v>
      </c>
      <c r="D437" s="9"/>
      <c r="E437" s="7" t="s">
        <v>4545</v>
      </c>
      <c r="F437" s="10" t="b">
        <v>0</v>
      </c>
      <c r="G437" s="10" t="b">
        <v>1</v>
      </c>
      <c r="H437" s="9" t="s">
        <v>67</v>
      </c>
      <c r="I437" s="9" t="e">
        <f t="array" aca="1" ref="I437" ca="1">IF(H437="","",VLOOKUP(H437,_xludf.HSTACK(#REF!,#REF!),2,FALSE))</f>
        <v>#NAME?</v>
      </c>
      <c r="J437" s="9" t="s">
        <v>4502</v>
      </c>
    </row>
    <row r="438" spans="1:10" x14ac:dyDescent="0.25">
      <c r="A438" s="11" t="s">
        <v>4546</v>
      </c>
      <c r="B438" s="11" t="s">
        <v>4547</v>
      </c>
      <c r="C438" s="11"/>
      <c r="D438" s="11"/>
      <c r="E438" s="12" t="s">
        <v>4548</v>
      </c>
      <c r="F438" s="13" t="b">
        <v>0</v>
      </c>
      <c r="G438" s="13" t="b">
        <v>1</v>
      </c>
      <c r="H438" s="11" t="s">
        <v>70</v>
      </c>
      <c r="I438" s="11" t="e">
        <f t="array" aca="1" ref="I438" ca="1">IF(H438="","",VLOOKUP(H438,_xludf.HSTACK(#REF!,#REF!),2,FALSE))</f>
        <v>#NAME?</v>
      </c>
      <c r="J438" s="11"/>
    </row>
    <row r="439" spans="1:10" x14ac:dyDescent="0.25">
      <c r="A439" s="11" t="s">
        <v>4546</v>
      </c>
      <c r="B439" s="11" t="s">
        <v>4549</v>
      </c>
      <c r="C439" s="12" t="s">
        <v>25</v>
      </c>
      <c r="D439" s="11"/>
      <c r="E439" s="12" t="s">
        <v>4550</v>
      </c>
      <c r="F439" s="13" t="b">
        <v>0</v>
      </c>
      <c r="G439" s="13" t="b">
        <v>0</v>
      </c>
      <c r="H439" s="11" t="s">
        <v>24</v>
      </c>
      <c r="I439" s="11" t="e">
        <f t="array" aca="1" ref="I439" ca="1">IF(H439="","",VLOOKUP(H439,_xludf.HSTACK(#REF!,#REF!),2,FALSE))</f>
        <v>#NAME?</v>
      </c>
      <c r="J439" s="11"/>
    </row>
    <row r="440" spans="1:10" x14ac:dyDescent="0.25">
      <c r="A440" s="11" t="s">
        <v>4546</v>
      </c>
      <c r="B440" s="11" t="s">
        <v>4551</v>
      </c>
      <c r="C440" s="12" t="s">
        <v>581</v>
      </c>
      <c r="D440" s="11"/>
      <c r="E440" s="11"/>
      <c r="F440" s="13" t="b">
        <v>0</v>
      </c>
      <c r="G440" s="13" t="b">
        <v>0</v>
      </c>
      <c r="H440" s="11"/>
      <c r="I440" s="11" t="str">
        <f t="array" ref="I440">IF(H440="","",VLOOKUP(H440,_xludf.HSTACK(#REF!,#REF!),2,FALSE))</f>
        <v/>
      </c>
      <c r="J440" s="11" t="s">
        <v>4552</v>
      </c>
    </row>
    <row r="441" spans="1:10" x14ac:dyDescent="0.25">
      <c r="A441" s="11" t="s">
        <v>4546</v>
      </c>
      <c r="B441" s="11" t="s">
        <v>4553</v>
      </c>
      <c r="C441" s="12" t="s">
        <v>138</v>
      </c>
      <c r="D441" s="11"/>
      <c r="E441" s="12" t="s">
        <v>4554</v>
      </c>
      <c r="F441" s="13" t="b">
        <v>0</v>
      </c>
      <c r="G441" s="13" t="b">
        <v>0</v>
      </c>
      <c r="H441" s="11" t="s">
        <v>55</v>
      </c>
      <c r="I441" s="11" t="e">
        <f t="array" aca="1" ref="I441" ca="1">IF(H441="","",VLOOKUP(H441,_xludf.HSTACK(#REF!,#REF!),2,FALSE))</f>
        <v>#NAME?</v>
      </c>
      <c r="J441" s="11" t="s">
        <v>4555</v>
      </c>
    </row>
    <row r="442" spans="1:10" x14ac:dyDescent="0.25">
      <c r="A442" s="11" t="s">
        <v>4546</v>
      </c>
      <c r="B442" s="11" t="s">
        <v>4556</v>
      </c>
      <c r="C442" s="12" t="s">
        <v>192</v>
      </c>
      <c r="D442" s="11"/>
      <c r="E442" s="12" t="s">
        <v>4557</v>
      </c>
      <c r="F442" s="13" t="b">
        <v>0</v>
      </c>
      <c r="G442" s="13" t="b">
        <v>0</v>
      </c>
      <c r="H442" s="11" t="s">
        <v>30</v>
      </c>
      <c r="I442" s="11" t="e">
        <f t="array" aca="1" ref="I442" ca="1">IF(H442="","",VLOOKUP(H442,_xludf.HSTACK(#REF!,#REF!),2,FALSE))</f>
        <v>#NAME?</v>
      </c>
      <c r="J442" s="11" t="s">
        <v>4558</v>
      </c>
    </row>
    <row r="443" spans="1:10" x14ac:dyDescent="0.25">
      <c r="A443" s="11" t="s">
        <v>4546</v>
      </c>
      <c r="B443" s="11" t="s">
        <v>4559</v>
      </c>
      <c r="C443" s="11"/>
      <c r="D443" s="11"/>
      <c r="E443" s="12" t="s">
        <v>4560</v>
      </c>
      <c r="F443" s="13" t="b">
        <v>0</v>
      </c>
      <c r="G443" s="13" t="b">
        <v>1</v>
      </c>
      <c r="H443" s="11" t="s">
        <v>13</v>
      </c>
      <c r="I443" s="11" t="e">
        <f t="array" aca="1" ref="I443" ca="1">IF(H443="","",VLOOKUP(H443,_xludf.HSTACK(#REF!,#REF!),2,FALSE))</f>
        <v>#NAME?</v>
      </c>
      <c r="J443" s="11" t="s">
        <v>4561</v>
      </c>
    </row>
    <row r="444" spans="1:10" x14ac:dyDescent="0.25">
      <c r="A444" s="11" t="s">
        <v>4546</v>
      </c>
      <c r="B444" s="11" t="s">
        <v>4562</v>
      </c>
      <c r="C444" s="12" t="s">
        <v>581</v>
      </c>
      <c r="D444" s="12" t="s">
        <v>4563</v>
      </c>
      <c r="E444" s="11"/>
      <c r="F444" s="13" t="b">
        <v>0</v>
      </c>
      <c r="G444" s="13" t="b">
        <v>0</v>
      </c>
      <c r="H444" s="11"/>
      <c r="I444" s="11" t="str">
        <f t="array" ref="I444">IF(H444="","",VLOOKUP(H444,_xludf.HSTACK(#REF!,#REF!),2,FALSE))</f>
        <v/>
      </c>
      <c r="J444" s="11" t="s">
        <v>4564</v>
      </c>
    </row>
    <row r="445" spans="1:10" x14ac:dyDescent="0.25">
      <c r="A445" s="9" t="s">
        <v>4565</v>
      </c>
      <c r="B445" s="9" t="s">
        <v>4566</v>
      </c>
      <c r="C445" s="7" t="s">
        <v>4567</v>
      </c>
      <c r="D445" s="9"/>
      <c r="E445" s="7" t="s">
        <v>4568</v>
      </c>
      <c r="F445" s="10" t="b">
        <v>1</v>
      </c>
      <c r="G445" s="10" t="b">
        <v>1</v>
      </c>
      <c r="H445" s="9"/>
      <c r="I445" s="9" t="str">
        <f t="array" ref="I445">IF(H445="","",VLOOKUP(H445,_xludf.HSTACK(#REF!,#REF!),2,FALSE))</f>
        <v/>
      </c>
      <c r="J445" s="9" t="s">
        <v>4569</v>
      </c>
    </row>
    <row r="446" spans="1:10" x14ac:dyDescent="0.25">
      <c r="A446" s="9" t="s">
        <v>4565</v>
      </c>
      <c r="B446" s="9" t="s">
        <v>4570</v>
      </c>
      <c r="C446" s="7" t="s">
        <v>365</v>
      </c>
      <c r="D446" s="9"/>
      <c r="E446" s="7" t="s">
        <v>3668</v>
      </c>
      <c r="F446" s="10" t="b">
        <v>0</v>
      </c>
      <c r="G446" s="10" t="b">
        <v>1</v>
      </c>
      <c r="H446" s="9"/>
      <c r="I446" s="9" t="str">
        <f t="array" ref="I446">IF(H446="","",VLOOKUP(H446,_xludf.HSTACK(#REF!,#REF!),2,FALSE))</f>
        <v/>
      </c>
      <c r="J446" s="9"/>
    </row>
    <row r="447" spans="1:10" x14ac:dyDescent="0.25">
      <c r="A447" s="9" t="s">
        <v>4565</v>
      </c>
      <c r="B447" s="9" t="s">
        <v>4571</v>
      </c>
      <c r="C447" s="7" t="s">
        <v>365</v>
      </c>
      <c r="D447" s="9"/>
      <c r="E447" s="7" t="s">
        <v>4572</v>
      </c>
      <c r="F447" s="10" t="b">
        <v>0</v>
      </c>
      <c r="G447" s="10" t="b">
        <v>1</v>
      </c>
      <c r="H447" s="9"/>
      <c r="I447" s="9" t="str">
        <f t="array" ref="I447">IF(H447="","",VLOOKUP(H447,_xludf.HSTACK(#REF!,#REF!),2,FALSE))</f>
        <v/>
      </c>
      <c r="J447" s="9"/>
    </row>
    <row r="448" spans="1:10" x14ac:dyDescent="0.25">
      <c r="A448" s="9" t="s">
        <v>4565</v>
      </c>
      <c r="B448" s="9" t="s">
        <v>4573</v>
      </c>
      <c r="C448" s="7" t="s">
        <v>4574</v>
      </c>
      <c r="D448" s="9"/>
      <c r="E448" s="7" t="s">
        <v>4575</v>
      </c>
      <c r="F448" s="10" t="b">
        <v>0</v>
      </c>
      <c r="G448" s="10" t="b">
        <v>1</v>
      </c>
      <c r="H448" s="9"/>
      <c r="I448" s="9" t="str">
        <f t="array" ref="I448">IF(H448="","",VLOOKUP(H448,_xludf.HSTACK(#REF!,#REF!),2,FALSE))</f>
        <v/>
      </c>
      <c r="J448" s="9"/>
    </row>
    <row r="449" spans="1:10" x14ac:dyDescent="0.25">
      <c r="A449" s="9" t="s">
        <v>4565</v>
      </c>
      <c r="B449" s="9" t="s">
        <v>4576</v>
      </c>
      <c r="C449" s="7" t="s">
        <v>27</v>
      </c>
      <c r="D449" s="9"/>
      <c r="E449" s="9"/>
      <c r="F449" s="10" t="b">
        <v>0</v>
      </c>
      <c r="G449" s="10" t="b">
        <v>0</v>
      </c>
      <c r="H449" s="9" t="s">
        <v>26</v>
      </c>
      <c r="I449" s="9" t="e">
        <f t="array" aca="1" ref="I449" ca="1">IF(H449="","",VLOOKUP(H449,_xludf.HSTACK(#REF!,#REF!),2,FALSE))</f>
        <v>#NAME?</v>
      </c>
      <c r="J449" s="9"/>
    </row>
    <row r="450" spans="1:10" x14ac:dyDescent="0.25">
      <c r="A450" s="9" t="s">
        <v>4565</v>
      </c>
      <c r="B450" s="9" t="s">
        <v>4577</v>
      </c>
      <c r="C450" s="7" t="s">
        <v>138</v>
      </c>
      <c r="D450" s="9"/>
      <c r="E450" s="7" t="s">
        <v>4578</v>
      </c>
      <c r="F450" s="10" t="b">
        <v>0</v>
      </c>
      <c r="G450" s="10" t="b">
        <v>0</v>
      </c>
      <c r="H450" s="9" t="s">
        <v>50</v>
      </c>
      <c r="I450" s="9" t="e">
        <f t="array" aca="1" ref="I450" ca="1">IF(H450="","",VLOOKUP(H450,_xludf.HSTACK(#REF!,#REF!),2,FALSE))</f>
        <v>#NAME?</v>
      </c>
      <c r="J450" s="9"/>
    </row>
    <row r="451" spans="1:10" x14ac:dyDescent="0.25">
      <c r="A451" s="9" t="s">
        <v>4565</v>
      </c>
      <c r="B451" s="9" t="s">
        <v>4579</v>
      </c>
      <c r="C451" s="7" t="s">
        <v>138</v>
      </c>
      <c r="D451" s="9"/>
      <c r="E451" s="7" t="s">
        <v>4578</v>
      </c>
      <c r="F451" s="10" t="b">
        <v>0</v>
      </c>
      <c r="G451" s="10" t="b">
        <v>0</v>
      </c>
      <c r="H451" s="9" t="s">
        <v>50</v>
      </c>
      <c r="I451" s="9" t="e">
        <f t="array" aca="1" ref="I451" ca="1">IF(H451="","",VLOOKUP(H451,_xludf.HSTACK(#REF!,#REF!),2,FALSE))</f>
        <v>#NAME?</v>
      </c>
      <c r="J451" s="9"/>
    </row>
    <row r="452" spans="1:10" x14ac:dyDescent="0.25">
      <c r="A452" s="9" t="s">
        <v>4565</v>
      </c>
      <c r="B452" s="9" t="s">
        <v>4580</v>
      </c>
      <c r="C452" s="7" t="s">
        <v>219</v>
      </c>
      <c r="D452" s="9"/>
      <c r="E452" s="7" t="s">
        <v>4581</v>
      </c>
      <c r="F452" s="10" t="b">
        <v>0</v>
      </c>
      <c r="G452" s="10" t="b">
        <v>0</v>
      </c>
      <c r="H452" s="9" t="s">
        <v>65</v>
      </c>
      <c r="I452" s="9" t="e">
        <f t="array" aca="1" ref="I452" ca="1">IF(H452="","",VLOOKUP(H452,_xludf.HSTACK(#REF!,#REF!),2,FALSE))</f>
        <v>#NAME?</v>
      </c>
      <c r="J452" s="9"/>
    </row>
    <row r="453" spans="1:10" x14ac:dyDescent="0.25">
      <c r="A453" s="9" t="s">
        <v>4565</v>
      </c>
      <c r="B453" s="9" t="s">
        <v>4582</v>
      </c>
      <c r="C453" s="7" t="s">
        <v>192</v>
      </c>
      <c r="D453" s="9"/>
      <c r="E453" s="9"/>
      <c r="F453" s="10" t="b">
        <v>0</v>
      </c>
      <c r="G453" s="10" t="b">
        <v>0</v>
      </c>
      <c r="H453" s="9" t="s">
        <v>28</v>
      </c>
      <c r="I453" s="9" t="e">
        <f t="array" aca="1" ref="I453" ca="1">IF(H453="","",VLOOKUP(H453,_xludf.HSTACK(#REF!,#REF!),2,FALSE))</f>
        <v>#NAME?</v>
      </c>
      <c r="J453" s="9"/>
    </row>
    <row r="454" spans="1:10" x14ac:dyDescent="0.25">
      <c r="A454" s="9" t="s">
        <v>4565</v>
      </c>
      <c r="B454" s="9" t="s">
        <v>4583</v>
      </c>
      <c r="C454" s="7" t="s">
        <v>138</v>
      </c>
      <c r="D454" s="9"/>
      <c r="E454" s="7" t="s">
        <v>4584</v>
      </c>
      <c r="F454" s="10" t="b">
        <v>0</v>
      </c>
      <c r="G454" s="10" t="b">
        <v>0</v>
      </c>
      <c r="H454" s="9"/>
      <c r="I454" s="9" t="str">
        <f t="array" ref="I454">IF(H454="","",VLOOKUP(H454,_xludf.HSTACK(#REF!,#REF!),2,FALSE))</f>
        <v/>
      </c>
      <c r="J454" s="9"/>
    </row>
    <row r="455" spans="1:10" x14ac:dyDescent="0.25">
      <c r="A455" s="9" t="s">
        <v>4565</v>
      </c>
      <c r="B455" s="9" t="s">
        <v>4585</v>
      </c>
      <c r="C455" s="7" t="s">
        <v>138</v>
      </c>
      <c r="D455" s="9"/>
      <c r="E455" s="7" t="s">
        <v>4586</v>
      </c>
      <c r="F455" s="10" t="b">
        <v>0</v>
      </c>
      <c r="G455" s="10" t="b">
        <v>0</v>
      </c>
      <c r="H455" s="9" t="s">
        <v>51</v>
      </c>
      <c r="I455" s="9" t="e">
        <f t="array" aca="1" ref="I455" ca="1">IF(H455="","",VLOOKUP(H455,_xludf.HSTACK(#REF!,#REF!),2,FALSE))</f>
        <v>#NAME?</v>
      </c>
      <c r="J455" s="9"/>
    </row>
    <row r="456" spans="1:10" x14ac:dyDescent="0.25">
      <c r="A456" s="9" t="s">
        <v>4565</v>
      </c>
      <c r="B456" s="9" t="s">
        <v>4587</v>
      </c>
      <c r="C456" s="7" t="s">
        <v>138</v>
      </c>
      <c r="D456" s="9"/>
      <c r="E456" s="7" t="s">
        <v>4588</v>
      </c>
      <c r="F456" s="10" t="b">
        <v>0</v>
      </c>
      <c r="G456" s="10" t="b">
        <v>0</v>
      </c>
      <c r="H456" s="9"/>
      <c r="I456" s="9" t="str">
        <f t="array" ref="I456">IF(H456="","",VLOOKUP(H456,_xludf.HSTACK(#REF!,#REF!),2,FALSE))</f>
        <v/>
      </c>
      <c r="J456" s="9"/>
    </row>
    <row r="457" spans="1:10" x14ac:dyDescent="0.25">
      <c r="A457" s="9" t="s">
        <v>4565</v>
      </c>
      <c r="B457" s="9" t="s">
        <v>4589</v>
      </c>
      <c r="C457" s="7" t="s">
        <v>425</v>
      </c>
      <c r="D457" s="9"/>
      <c r="E457" s="7" t="s">
        <v>4590</v>
      </c>
      <c r="F457" s="10" t="b">
        <v>1</v>
      </c>
      <c r="G457" s="10" t="b">
        <v>0</v>
      </c>
      <c r="H457" s="9" t="s">
        <v>22</v>
      </c>
      <c r="I457" s="9" t="e">
        <f t="array" aca="1" ref="I457" ca="1">IF(H457="","",VLOOKUP(H457,_xludf.HSTACK(#REF!,#REF!),2,FALSE))</f>
        <v>#NAME?</v>
      </c>
      <c r="J457" s="9" t="s">
        <v>4591</v>
      </c>
    </row>
    <row r="458" spans="1:10" x14ac:dyDescent="0.25">
      <c r="A458" s="9" t="s">
        <v>4565</v>
      </c>
      <c r="B458" s="9" t="s">
        <v>4592</v>
      </c>
      <c r="C458" s="7" t="s">
        <v>27</v>
      </c>
      <c r="D458" s="7" t="s">
        <v>4593</v>
      </c>
      <c r="E458" s="7" t="s">
        <v>4594</v>
      </c>
      <c r="F458" s="10" t="b">
        <v>0</v>
      </c>
      <c r="G458" s="10" t="b">
        <v>0</v>
      </c>
      <c r="H458" s="9" t="s">
        <v>29</v>
      </c>
      <c r="I458" s="9" t="e">
        <f t="array" aca="1" ref="I458" ca="1">IF(H458="","",VLOOKUP(H458,_xludf.HSTACK(#REF!,#REF!),2,FALSE))</f>
        <v>#NAME?</v>
      </c>
      <c r="J458" s="9"/>
    </row>
    <row r="459" spans="1:10" x14ac:dyDescent="0.25">
      <c r="A459" s="9" t="s">
        <v>4565</v>
      </c>
      <c r="B459" s="9" t="s">
        <v>4595</v>
      </c>
      <c r="C459" s="7" t="s">
        <v>138</v>
      </c>
      <c r="D459" s="9"/>
      <c r="E459" s="7" t="s">
        <v>4596</v>
      </c>
      <c r="F459" s="10" t="b">
        <v>0</v>
      </c>
      <c r="G459" s="10" t="b">
        <v>0</v>
      </c>
      <c r="H459" s="9"/>
      <c r="I459" s="9" t="str">
        <f t="array" ref="I459">IF(H459="","",VLOOKUP(H459,_xludf.HSTACK(#REF!,#REF!),2,FALSE))</f>
        <v/>
      </c>
      <c r="J459" s="9"/>
    </row>
    <row r="460" spans="1:10" x14ac:dyDescent="0.25">
      <c r="A460" s="9" t="s">
        <v>4565</v>
      </c>
      <c r="B460" s="9" t="s">
        <v>4597</v>
      </c>
      <c r="C460" s="7" t="s">
        <v>201</v>
      </c>
      <c r="D460" s="7" t="s">
        <v>4598</v>
      </c>
      <c r="E460" s="7" t="s">
        <v>4599</v>
      </c>
      <c r="F460" s="10" t="b">
        <v>0</v>
      </c>
      <c r="G460" s="10" t="b">
        <v>0</v>
      </c>
      <c r="H460" s="9" t="s">
        <v>54</v>
      </c>
      <c r="I460" s="9" t="e">
        <f t="array" aca="1" ref="I460" ca="1">IF(H460="","",VLOOKUP(H460,_xludf.HSTACK(#REF!,#REF!),2,FALSE))</f>
        <v>#NAME?</v>
      </c>
      <c r="J460" s="9"/>
    </row>
    <row r="461" spans="1:10" x14ac:dyDescent="0.25">
      <c r="A461" s="9" t="s">
        <v>4565</v>
      </c>
      <c r="B461" s="9" t="s">
        <v>4600</v>
      </c>
      <c r="C461" s="7" t="s">
        <v>219</v>
      </c>
      <c r="D461" s="9"/>
      <c r="E461" s="7" t="s">
        <v>4601</v>
      </c>
      <c r="F461" s="10" t="b">
        <v>0</v>
      </c>
      <c r="G461" s="10" t="b">
        <v>0</v>
      </c>
      <c r="H461" s="9" t="s">
        <v>69</v>
      </c>
      <c r="I461" s="9" t="e">
        <f t="array" aca="1" ref="I461" ca="1">IF(H461="","",VLOOKUP(H461,_xludf.HSTACK(#REF!,#REF!),2,FALSE))</f>
        <v>#NAME?</v>
      </c>
      <c r="J461" s="9"/>
    </row>
    <row r="462" spans="1:10" x14ac:dyDescent="0.25">
      <c r="A462" s="9" t="s">
        <v>4565</v>
      </c>
      <c r="B462" s="9" t="s">
        <v>4602</v>
      </c>
      <c r="C462" s="7" t="s">
        <v>192</v>
      </c>
      <c r="D462" s="7" t="s">
        <v>4603</v>
      </c>
      <c r="E462" s="7" t="s">
        <v>4604</v>
      </c>
      <c r="F462" s="10" t="b">
        <v>0</v>
      </c>
      <c r="G462" s="10" t="b">
        <v>0</v>
      </c>
      <c r="H462" s="9"/>
      <c r="I462" s="9" t="str">
        <f t="array" ref="I462">IF(H462="","",VLOOKUP(H462,_xludf.HSTACK(#REF!,#REF!),2,FALSE))</f>
        <v/>
      </c>
      <c r="J462" s="9"/>
    </row>
    <row r="463" spans="1:10" x14ac:dyDescent="0.25">
      <c r="A463" s="9" t="s">
        <v>4565</v>
      </c>
      <c r="B463" s="9" t="s">
        <v>4605</v>
      </c>
      <c r="C463" s="7" t="s">
        <v>219</v>
      </c>
      <c r="D463" s="9"/>
      <c r="E463" s="7" t="s">
        <v>4606</v>
      </c>
      <c r="F463" s="10" t="b">
        <v>0</v>
      </c>
      <c r="G463" s="10" t="b">
        <v>0</v>
      </c>
      <c r="H463" s="9"/>
      <c r="I463" s="9" t="str">
        <f t="array" ref="I463">IF(H463="","",VLOOKUP(H463,_xludf.HSTACK(#REF!,#REF!),2,FALSE))</f>
        <v/>
      </c>
      <c r="J463" s="9"/>
    </row>
    <row r="464" spans="1:10" x14ac:dyDescent="0.25">
      <c r="A464" s="9" t="s">
        <v>4565</v>
      </c>
      <c r="B464" s="9" t="s">
        <v>4607</v>
      </c>
      <c r="C464" s="7" t="s">
        <v>201</v>
      </c>
      <c r="D464" s="9"/>
      <c r="E464" s="7" t="s">
        <v>4608</v>
      </c>
      <c r="F464" s="10" t="b">
        <v>0</v>
      </c>
      <c r="G464" s="10" t="b">
        <v>0</v>
      </c>
      <c r="H464" s="9"/>
      <c r="I464" s="9" t="str">
        <f t="array" ref="I464">IF(H464="","",VLOOKUP(H464,_xludf.HSTACK(#REF!,#REF!),2,FALSE))</f>
        <v/>
      </c>
      <c r="J464" s="9"/>
    </row>
    <row r="465" spans="1:10" x14ac:dyDescent="0.25">
      <c r="A465" s="9" t="s">
        <v>4565</v>
      </c>
      <c r="B465" s="9" t="s">
        <v>4609</v>
      </c>
      <c r="C465" s="7" t="s">
        <v>4610</v>
      </c>
      <c r="D465" s="9"/>
      <c r="E465" s="7" t="s">
        <v>4611</v>
      </c>
      <c r="F465" s="10" t="b">
        <v>0</v>
      </c>
      <c r="G465" s="10" t="b">
        <v>1</v>
      </c>
      <c r="H465" s="9" t="s">
        <v>60</v>
      </c>
      <c r="I465" s="9" t="e">
        <f t="array" aca="1" ref="I465" ca="1">IF(H465="","",VLOOKUP(H465,_xludf.HSTACK(#REF!,#REF!),2,FALSE))</f>
        <v>#NAME?</v>
      </c>
      <c r="J465" s="9"/>
    </row>
    <row r="466" spans="1:10" x14ac:dyDescent="0.25">
      <c r="A466" s="9" t="s">
        <v>4565</v>
      </c>
      <c r="B466" s="9" t="s">
        <v>4612</v>
      </c>
      <c r="C466" s="7" t="s">
        <v>25</v>
      </c>
      <c r="D466" s="7" t="s">
        <v>4613</v>
      </c>
      <c r="E466" s="7" t="s">
        <v>4614</v>
      </c>
      <c r="F466" s="10" t="b">
        <v>0</v>
      </c>
      <c r="G466" s="10" t="b">
        <v>0</v>
      </c>
      <c r="H466" s="9" t="s">
        <v>24</v>
      </c>
      <c r="I466" s="9" t="e">
        <f t="array" aca="1" ref="I466" ca="1">IF(H466="","",VLOOKUP(H466,_xludf.HSTACK(#REF!,#REF!),2,FALSE))</f>
        <v>#NAME?</v>
      </c>
      <c r="J466" s="9"/>
    </row>
    <row r="467" spans="1:10" x14ac:dyDescent="0.25">
      <c r="A467" s="9" t="s">
        <v>4565</v>
      </c>
      <c r="B467" s="9" t="s">
        <v>4615</v>
      </c>
      <c r="C467" s="7" t="s">
        <v>27</v>
      </c>
      <c r="D467" s="9"/>
      <c r="E467" s="9"/>
      <c r="F467" s="10" t="b">
        <v>0</v>
      </c>
      <c r="G467" s="10" t="b">
        <v>0</v>
      </c>
      <c r="H467" s="9" t="s">
        <v>32</v>
      </c>
      <c r="I467" s="9" t="e">
        <f t="array" aca="1" ref="I467" ca="1">IF(H467="","",VLOOKUP(H467,_xludf.HSTACK(#REF!,#REF!),2,FALSE))</f>
        <v>#NAME?</v>
      </c>
      <c r="J467" s="9"/>
    </row>
    <row r="468" spans="1:10" x14ac:dyDescent="0.25">
      <c r="A468" s="9" t="s">
        <v>4565</v>
      </c>
      <c r="B468" s="9" t="s">
        <v>4616</v>
      </c>
      <c r="C468" s="7" t="s">
        <v>138</v>
      </c>
      <c r="D468" s="9"/>
      <c r="E468" s="7" t="s">
        <v>4584</v>
      </c>
      <c r="F468" s="10" t="b">
        <v>0</v>
      </c>
      <c r="G468" s="10" t="b">
        <v>0</v>
      </c>
      <c r="H468" s="9"/>
      <c r="I468" s="9" t="str">
        <f t="array" ref="I468">IF(H468="","",VLOOKUP(H468,_xludf.HSTACK(#REF!,#REF!),2,FALSE))</f>
        <v/>
      </c>
      <c r="J468" s="9"/>
    </row>
    <row r="469" spans="1:10" x14ac:dyDescent="0.25">
      <c r="A469" s="9" t="s">
        <v>4565</v>
      </c>
      <c r="B469" s="9" t="s">
        <v>4551</v>
      </c>
      <c r="C469" s="7" t="s">
        <v>581</v>
      </c>
      <c r="D469" s="9"/>
      <c r="E469" s="7" t="s">
        <v>4617</v>
      </c>
      <c r="F469" s="10" t="b">
        <v>0</v>
      </c>
      <c r="G469" s="10" t="b">
        <v>0</v>
      </c>
      <c r="H469" s="9"/>
      <c r="I469" s="9" t="str">
        <f t="array" ref="I469">IF(H469="","",VLOOKUP(H469,_xludf.HSTACK(#REF!,#REF!),2,FALSE))</f>
        <v/>
      </c>
      <c r="J469" s="9"/>
    </row>
    <row r="470" spans="1:10" x14ac:dyDescent="0.25">
      <c r="A470" s="9" t="s">
        <v>4565</v>
      </c>
      <c r="B470" s="9" t="s">
        <v>4618</v>
      </c>
      <c r="C470" s="7" t="s">
        <v>4619</v>
      </c>
      <c r="D470" s="9"/>
      <c r="E470" s="7" t="s">
        <v>4620</v>
      </c>
      <c r="F470" s="10" t="b">
        <v>0</v>
      </c>
      <c r="G470" s="10" t="b">
        <v>1</v>
      </c>
      <c r="H470" s="9"/>
      <c r="I470" s="9" t="str">
        <f t="array" ref="I470">IF(H470="","",VLOOKUP(H470,_xludf.HSTACK(#REF!,#REF!),2,FALSE))</f>
        <v/>
      </c>
      <c r="J470" s="9"/>
    </row>
    <row r="471" spans="1:10" x14ac:dyDescent="0.25">
      <c r="A471" s="9" t="s">
        <v>4565</v>
      </c>
      <c r="B471" s="9" t="s">
        <v>4621</v>
      </c>
      <c r="C471" s="7" t="s">
        <v>581</v>
      </c>
      <c r="D471" s="7" t="s">
        <v>4563</v>
      </c>
      <c r="E471" s="7" t="s">
        <v>4622</v>
      </c>
      <c r="F471" s="10" t="b">
        <v>0</v>
      </c>
      <c r="G471" s="10" t="b">
        <v>0</v>
      </c>
      <c r="H471" s="9"/>
      <c r="I471" s="9" t="str">
        <f t="array" ref="I471">IF(H471="","",VLOOKUP(H471,_xludf.HSTACK(#REF!,#REF!),2,FALSE))</f>
        <v/>
      </c>
      <c r="J471" s="9"/>
    </row>
    <row r="472" spans="1:10" x14ac:dyDescent="0.25">
      <c r="A472" s="9" t="s">
        <v>4565</v>
      </c>
      <c r="B472" s="9" t="s">
        <v>4623</v>
      </c>
      <c r="C472" s="7" t="s">
        <v>4624</v>
      </c>
      <c r="D472" s="9"/>
      <c r="E472" s="7" t="s">
        <v>4625</v>
      </c>
      <c r="F472" s="10" t="b">
        <v>0</v>
      </c>
      <c r="G472" s="10" t="b">
        <v>1</v>
      </c>
      <c r="H472" s="9" t="s">
        <v>60</v>
      </c>
      <c r="I472" s="9" t="e">
        <f t="array" aca="1" ref="I472" ca="1">IF(H472="","",VLOOKUP(H472,_xludf.HSTACK(#REF!,#REF!),2,FALSE))</f>
        <v>#NAME?</v>
      </c>
      <c r="J472" s="9"/>
    </row>
    <row r="473" spans="1:10" x14ac:dyDescent="0.25">
      <c r="A473" s="9" t="s">
        <v>4565</v>
      </c>
      <c r="B473" s="9" t="s">
        <v>4626</v>
      </c>
      <c r="C473" s="7" t="s">
        <v>4627</v>
      </c>
      <c r="D473" s="9"/>
      <c r="E473" s="7" t="s">
        <v>4628</v>
      </c>
      <c r="F473" s="10" t="b">
        <v>0</v>
      </c>
      <c r="G473" s="10" t="b">
        <v>1</v>
      </c>
      <c r="H473" s="9" t="s">
        <v>62</v>
      </c>
      <c r="I473" s="9" t="e">
        <f t="array" aca="1" ref="I473" ca="1">IF(H473="","",VLOOKUP(H473,_xludf.HSTACK(#REF!,#REF!),2,FALSE))</f>
        <v>#NAME?</v>
      </c>
      <c r="J473" s="9"/>
    </row>
    <row r="474" spans="1:10" x14ac:dyDescent="0.25">
      <c r="A474" s="9" t="s">
        <v>4565</v>
      </c>
      <c r="B474" s="9" t="s">
        <v>4629</v>
      </c>
      <c r="C474" s="7" t="s">
        <v>192</v>
      </c>
      <c r="D474" s="9"/>
      <c r="E474" s="9"/>
      <c r="F474" s="10" t="b">
        <v>0</v>
      </c>
      <c r="G474" s="10" t="b">
        <v>0</v>
      </c>
      <c r="H474" s="9"/>
      <c r="I474" s="9" t="str">
        <f t="array" ref="I474">IF(H474="","",VLOOKUP(H474,_xludf.HSTACK(#REF!,#REF!),2,FALSE))</f>
        <v/>
      </c>
      <c r="J474" s="9"/>
    </row>
    <row r="475" spans="1:10" x14ac:dyDescent="0.25">
      <c r="A475" s="9" t="s">
        <v>4565</v>
      </c>
      <c r="B475" s="9" t="s">
        <v>4630</v>
      </c>
      <c r="C475" s="7" t="s">
        <v>219</v>
      </c>
      <c r="D475" s="9"/>
      <c r="E475" s="7" t="s">
        <v>4631</v>
      </c>
      <c r="F475" s="10" t="b">
        <v>0</v>
      </c>
      <c r="G475" s="10" t="b">
        <v>0</v>
      </c>
      <c r="H475" s="9"/>
      <c r="I475" s="9" t="str">
        <f t="array" ref="I475">IF(H475="","",VLOOKUP(H475,_xludf.HSTACK(#REF!,#REF!),2,FALSE))</f>
        <v/>
      </c>
      <c r="J475" s="9"/>
    </row>
    <row r="476" spans="1:10" x14ac:dyDescent="0.25">
      <c r="A476" s="9" t="s">
        <v>4565</v>
      </c>
      <c r="B476" s="9" t="s">
        <v>4632</v>
      </c>
      <c r="C476" s="7" t="s">
        <v>138</v>
      </c>
      <c r="D476" s="9"/>
      <c r="E476" s="7" t="s">
        <v>4633</v>
      </c>
      <c r="F476" s="10" t="b">
        <v>0</v>
      </c>
      <c r="G476" s="10" t="b">
        <v>0</v>
      </c>
      <c r="H476" s="9"/>
      <c r="I476" s="9" t="str">
        <f t="array" ref="I476">IF(H476="","",VLOOKUP(H476,_xludf.HSTACK(#REF!,#REF!),2,FALSE))</f>
        <v/>
      </c>
      <c r="J476" s="9"/>
    </row>
    <row r="477" spans="1:10" x14ac:dyDescent="0.25">
      <c r="A477" s="9" t="s">
        <v>4565</v>
      </c>
      <c r="B477" s="9" t="s">
        <v>4634</v>
      </c>
      <c r="C477" s="7" t="s">
        <v>4635</v>
      </c>
      <c r="D477" s="9"/>
      <c r="E477" s="7" t="s">
        <v>4636</v>
      </c>
      <c r="F477" s="10" t="b">
        <v>0</v>
      </c>
      <c r="G477" s="10" t="b">
        <v>0</v>
      </c>
      <c r="H477" s="9"/>
      <c r="I477" s="9" t="str">
        <f t="array" ref="I477">IF(H477="","",VLOOKUP(H477,_xludf.HSTACK(#REF!,#REF!),2,FALSE))</f>
        <v/>
      </c>
      <c r="J477" s="9"/>
    </row>
    <row r="478" spans="1:10" x14ac:dyDescent="0.25">
      <c r="A478" s="9" t="s">
        <v>4565</v>
      </c>
      <c r="B478" s="9" t="s">
        <v>4556</v>
      </c>
      <c r="C478" s="7" t="s">
        <v>192</v>
      </c>
      <c r="D478" s="7" t="s">
        <v>4637</v>
      </c>
      <c r="E478" s="9"/>
      <c r="F478" s="10" t="b">
        <v>0</v>
      </c>
      <c r="G478" s="10" t="b">
        <v>0</v>
      </c>
      <c r="H478" s="9" t="s">
        <v>30</v>
      </c>
      <c r="I478" s="9" t="e">
        <f t="array" aca="1" ref="I478" ca="1">IF(H478="","",VLOOKUP(H478,_xludf.HSTACK(#REF!,#REF!),2,FALSE))</f>
        <v>#NAME?</v>
      </c>
      <c r="J478" s="9"/>
    </row>
    <row r="479" spans="1:10" x14ac:dyDescent="0.25">
      <c r="A479" s="9" t="s">
        <v>4565</v>
      </c>
      <c r="B479" s="9" t="s">
        <v>4638</v>
      </c>
      <c r="C479" s="7" t="s">
        <v>201</v>
      </c>
      <c r="D479" s="9"/>
      <c r="E479" s="7" t="s">
        <v>4554</v>
      </c>
      <c r="F479" s="10" t="b">
        <v>0</v>
      </c>
      <c r="G479" s="10" t="b">
        <v>0</v>
      </c>
      <c r="H479" s="9" t="s">
        <v>55</v>
      </c>
      <c r="I479" s="9" t="e">
        <f t="array" aca="1" ref="I479" ca="1">IF(H479="","",VLOOKUP(H479,_xludf.HSTACK(#REF!,#REF!),2,FALSE))</f>
        <v>#NAME?</v>
      </c>
      <c r="J479" s="9"/>
    </row>
    <row r="480" spans="1:10" x14ac:dyDescent="0.25">
      <c r="A480" s="9" t="s">
        <v>4565</v>
      </c>
      <c r="B480" s="9" t="s">
        <v>4639</v>
      </c>
      <c r="C480" s="7" t="s">
        <v>201</v>
      </c>
      <c r="D480" s="7" t="s">
        <v>4640</v>
      </c>
      <c r="E480" s="7" t="s">
        <v>4554</v>
      </c>
      <c r="F480" s="10" t="b">
        <v>0</v>
      </c>
      <c r="G480" s="10" t="b">
        <v>0</v>
      </c>
      <c r="H480" s="9" t="s">
        <v>55</v>
      </c>
      <c r="I480" s="9" t="e">
        <f t="array" aca="1" ref="I480" ca="1">IF(H480="","",VLOOKUP(H480,_xludf.HSTACK(#REF!,#REF!),2,FALSE))</f>
        <v>#NAME?</v>
      </c>
      <c r="J480" s="9"/>
    </row>
    <row r="481" spans="1:10" x14ac:dyDescent="0.25">
      <c r="A481" s="9" t="s">
        <v>4565</v>
      </c>
      <c r="B481" s="9" t="s">
        <v>4641</v>
      </c>
      <c r="C481" s="7" t="s">
        <v>219</v>
      </c>
      <c r="D481" s="9"/>
      <c r="E481" s="7" t="s">
        <v>4642</v>
      </c>
      <c r="F481" s="10" t="b">
        <v>0</v>
      </c>
      <c r="G481" s="10" t="b">
        <v>0</v>
      </c>
      <c r="H481" s="9" t="s">
        <v>70</v>
      </c>
      <c r="I481" s="9" t="e">
        <f t="array" aca="1" ref="I481" ca="1">IF(H481="","",VLOOKUP(H481,_xludf.HSTACK(#REF!,#REF!),2,FALSE))</f>
        <v>#NAME?</v>
      </c>
      <c r="J481" s="9"/>
    </row>
    <row r="482" spans="1:10" x14ac:dyDescent="0.25">
      <c r="A482" s="9" t="s">
        <v>4565</v>
      </c>
      <c r="B482" s="9" t="s">
        <v>4643</v>
      </c>
      <c r="C482" s="7" t="s">
        <v>2690</v>
      </c>
      <c r="D482" s="9"/>
      <c r="E482" s="7" t="s">
        <v>4644</v>
      </c>
      <c r="F482" s="10" t="b">
        <v>1</v>
      </c>
      <c r="G482" s="10" t="b">
        <v>0</v>
      </c>
      <c r="H482" s="9" t="s">
        <v>47</v>
      </c>
      <c r="I482" s="9" t="e">
        <f t="array" aca="1" ref="I482" ca="1">IF(H482="","",VLOOKUP(H482,_xludf.HSTACK(#REF!,#REF!),2,FALSE))</f>
        <v>#NAME?</v>
      </c>
      <c r="J482" s="9" t="s">
        <v>3628</v>
      </c>
    </row>
    <row r="483" spans="1:10" x14ac:dyDescent="0.25">
      <c r="A483" s="9" t="s">
        <v>4565</v>
      </c>
      <c r="B483" s="9" t="s">
        <v>4645</v>
      </c>
      <c r="C483" s="7" t="s">
        <v>192</v>
      </c>
      <c r="D483" s="9"/>
      <c r="E483" s="9"/>
      <c r="F483" s="10" t="b">
        <v>0</v>
      </c>
      <c r="G483" s="10" t="b">
        <v>0</v>
      </c>
      <c r="H483" s="9" t="s">
        <v>31</v>
      </c>
      <c r="I483" s="9" t="e">
        <f t="array" aca="1" ref="I483" ca="1">IF(H483="","",VLOOKUP(H483,_xludf.HSTACK(#REF!,#REF!),2,FALSE))</f>
        <v>#NAME?</v>
      </c>
      <c r="J483" s="9"/>
    </row>
    <row r="484" spans="1:10" x14ac:dyDescent="0.25">
      <c r="A484" s="9" t="s">
        <v>4565</v>
      </c>
      <c r="B484" s="9" t="s">
        <v>4646</v>
      </c>
      <c r="C484" s="7" t="s">
        <v>4567</v>
      </c>
      <c r="D484" s="9"/>
      <c r="E484" s="7" t="s">
        <v>4647</v>
      </c>
      <c r="F484" s="10" t="b">
        <v>1</v>
      </c>
      <c r="G484" s="10" t="b">
        <v>1</v>
      </c>
      <c r="H484" s="9"/>
      <c r="I484" s="9" t="str">
        <f t="array" ref="I484">IF(H484="","",VLOOKUP(H484,_xludf.HSTACK(#REF!,#REF!),2,FALSE))</f>
        <v/>
      </c>
      <c r="J484" s="9" t="s">
        <v>4569</v>
      </c>
    </row>
    <row r="485" spans="1:10" x14ac:dyDescent="0.25">
      <c r="A485" s="11" t="s">
        <v>4648</v>
      </c>
      <c r="B485" s="11" t="s">
        <v>4649</v>
      </c>
      <c r="C485" s="12" t="s">
        <v>34</v>
      </c>
      <c r="D485" s="12" t="s">
        <v>4650</v>
      </c>
      <c r="E485" s="11"/>
      <c r="F485" s="13" t="b">
        <v>0</v>
      </c>
      <c r="G485" s="13" t="b">
        <v>0</v>
      </c>
      <c r="H485" s="11" t="s">
        <v>33</v>
      </c>
      <c r="I485" s="11" t="e">
        <f t="array" aca="1" ref="I485" ca="1">IF(H485="","",VLOOKUP(H485,_xludf.HSTACK(#REF!,#REF!),2,FALSE))</f>
        <v>#NAME?</v>
      </c>
      <c r="J485" s="11"/>
    </row>
    <row r="486" spans="1:10" x14ac:dyDescent="0.25">
      <c r="A486" s="11" t="s">
        <v>4648</v>
      </c>
      <c r="B486" s="11" t="s">
        <v>4651</v>
      </c>
      <c r="C486" s="12" t="s">
        <v>104</v>
      </c>
      <c r="D486" s="12" t="s">
        <v>4652</v>
      </c>
      <c r="E486" s="12" t="s">
        <v>4653</v>
      </c>
      <c r="F486" s="13" t="b">
        <v>0</v>
      </c>
      <c r="G486" s="13" t="b">
        <v>0</v>
      </c>
      <c r="H486" s="11" t="s">
        <v>35</v>
      </c>
      <c r="I486" s="11" t="e">
        <f t="array" aca="1" ref="I486" ca="1">IF(H486="","",VLOOKUP(H486,_xludf.HSTACK(#REF!,#REF!),2,FALSE))</f>
        <v>#NAME?</v>
      </c>
      <c r="J486" s="11"/>
    </row>
    <row r="487" spans="1:10" x14ac:dyDescent="0.25">
      <c r="A487" s="11" t="s">
        <v>4648</v>
      </c>
      <c r="B487" s="11" t="s">
        <v>4654</v>
      </c>
      <c r="C487" s="12" t="s">
        <v>192</v>
      </c>
      <c r="D487" s="11"/>
      <c r="E487" s="11"/>
      <c r="F487" s="13" t="b">
        <v>0</v>
      </c>
      <c r="G487" s="13" t="b">
        <v>0</v>
      </c>
      <c r="H487" s="11" t="s">
        <v>30</v>
      </c>
      <c r="I487" s="11" t="e">
        <f t="array" aca="1" ref="I487" ca="1">IF(H487="","",VLOOKUP(H487,_xludf.HSTACK(#REF!,#REF!),2,FALSE))</f>
        <v>#NAME?</v>
      </c>
      <c r="J487" s="11"/>
    </row>
    <row r="488" spans="1:10" x14ac:dyDescent="0.25">
      <c r="A488" s="11" t="s">
        <v>4648</v>
      </c>
      <c r="B488" s="11" t="s">
        <v>4655</v>
      </c>
      <c r="C488" s="12" t="s">
        <v>14</v>
      </c>
      <c r="D488" s="11"/>
      <c r="E488" s="12" t="s">
        <v>4656</v>
      </c>
      <c r="F488" s="13" t="b">
        <v>0</v>
      </c>
      <c r="G488" s="13" t="b">
        <v>0</v>
      </c>
      <c r="H488" s="11" t="s">
        <v>13</v>
      </c>
      <c r="I488" s="11" t="e">
        <f t="array" aca="1" ref="I488" ca="1">IF(H488="","",VLOOKUP(H488,_xludf.HSTACK(#REF!,#REF!),2,FALSE))</f>
        <v>#NAME?</v>
      </c>
      <c r="J488" s="11"/>
    </row>
    <row r="489" spans="1:10" x14ac:dyDescent="0.25">
      <c r="A489" s="11" t="s">
        <v>4648</v>
      </c>
      <c r="B489" s="11" t="s">
        <v>4657</v>
      </c>
      <c r="C489" s="12" t="s">
        <v>25</v>
      </c>
      <c r="D489" s="12" t="s">
        <v>4658</v>
      </c>
      <c r="E489" s="12" t="s">
        <v>4659</v>
      </c>
      <c r="F489" s="13" t="b">
        <v>0</v>
      </c>
      <c r="G489" s="13" t="b">
        <v>0</v>
      </c>
      <c r="H489" s="11" t="s">
        <v>24</v>
      </c>
      <c r="I489" s="11" t="e">
        <f t="array" aca="1" ref="I489" ca="1">IF(H489="","",VLOOKUP(H489,_xludf.HSTACK(#REF!,#REF!),2,FALSE))</f>
        <v>#NAME?</v>
      </c>
      <c r="J489" s="11"/>
    </row>
    <row r="490" spans="1:10" x14ac:dyDescent="0.25">
      <c r="A490" s="11" t="s">
        <v>4648</v>
      </c>
      <c r="B490" s="11" t="s">
        <v>4660</v>
      </c>
      <c r="C490" s="12" t="s">
        <v>195</v>
      </c>
      <c r="D490" s="11"/>
      <c r="E490" s="12" t="s">
        <v>4661</v>
      </c>
      <c r="F490" s="13" t="b">
        <v>0</v>
      </c>
      <c r="G490" s="13" t="b">
        <v>0</v>
      </c>
      <c r="H490" s="11" t="s">
        <v>10</v>
      </c>
      <c r="I490" s="11" t="e">
        <f t="array" aca="1" ref="I490" ca="1">IF(H490="","",VLOOKUP(H490,_xludf.HSTACK(#REF!,#REF!),2,FALSE))</f>
        <v>#NAME?</v>
      </c>
      <c r="J490" s="11"/>
    </row>
    <row r="491" spans="1:10" x14ac:dyDescent="0.25">
      <c r="A491" s="11" t="s">
        <v>4648</v>
      </c>
      <c r="B491" s="11" t="s">
        <v>4662</v>
      </c>
      <c r="C491" s="12" t="s">
        <v>2511</v>
      </c>
      <c r="D491" s="11"/>
      <c r="E491" s="12" t="s">
        <v>4663</v>
      </c>
      <c r="F491" s="13" t="b">
        <v>0</v>
      </c>
      <c r="G491" s="13" t="b">
        <v>0</v>
      </c>
      <c r="H491" s="11" t="s">
        <v>55</v>
      </c>
      <c r="I491" s="11" t="e">
        <f t="array" aca="1" ref="I491" ca="1">IF(H491="","",VLOOKUP(H491,_xludf.HSTACK(#REF!,#REF!),2,FALSE))</f>
        <v>#NAME?</v>
      </c>
      <c r="J491" s="11"/>
    </row>
    <row r="492" spans="1:10" x14ac:dyDescent="0.25">
      <c r="A492" s="11" t="s">
        <v>4648</v>
      </c>
      <c r="B492" s="11" t="s">
        <v>4664</v>
      </c>
      <c r="C492" s="12" t="s">
        <v>208</v>
      </c>
      <c r="D492" s="12" t="s">
        <v>4665</v>
      </c>
      <c r="E492" s="12" t="s">
        <v>4666</v>
      </c>
      <c r="F492" s="13" t="b">
        <v>0</v>
      </c>
      <c r="G492" s="13" t="b">
        <v>0</v>
      </c>
      <c r="H492" s="11" t="s">
        <v>38</v>
      </c>
      <c r="I492" s="11" t="e">
        <f t="array" aca="1" ref="I492" ca="1">IF(H492="","",VLOOKUP(H492,_xludf.HSTACK(#REF!,#REF!),2,FALSE))</f>
        <v>#NAME?</v>
      </c>
      <c r="J492" s="11"/>
    </row>
    <row r="493" spans="1:10" x14ac:dyDescent="0.25">
      <c r="A493" s="9" t="s">
        <v>4667</v>
      </c>
      <c r="B493" s="9" t="s">
        <v>4668</v>
      </c>
      <c r="C493" s="7" t="s">
        <v>2835</v>
      </c>
      <c r="D493" s="7" t="s">
        <v>4669</v>
      </c>
      <c r="E493" s="7" t="s">
        <v>4670</v>
      </c>
      <c r="F493" s="10" t="b">
        <v>0</v>
      </c>
      <c r="G493" s="10" t="b">
        <v>1</v>
      </c>
      <c r="H493" s="9"/>
      <c r="I493" s="9" t="str">
        <f t="array" ref="I493">IF(H493="","",VLOOKUP(H493,_xludf.HSTACK(#REF!,#REF!),2,FALSE))</f>
        <v/>
      </c>
      <c r="J493" s="9"/>
    </row>
    <row r="494" spans="1:10" x14ac:dyDescent="0.25">
      <c r="A494" s="9" t="s">
        <v>4667</v>
      </c>
      <c r="B494" s="9" t="s">
        <v>4671</v>
      </c>
      <c r="C494" s="7" t="s">
        <v>2690</v>
      </c>
      <c r="D494" s="7" t="s">
        <v>4672</v>
      </c>
      <c r="E494" s="7" t="s">
        <v>4673</v>
      </c>
      <c r="F494" s="10" t="b">
        <v>1</v>
      </c>
      <c r="G494" s="10" t="b">
        <v>1</v>
      </c>
      <c r="H494" s="9" t="s">
        <v>60</v>
      </c>
      <c r="I494" s="9" t="e">
        <f t="array" aca="1" ref="I494" ca="1">IF(H494="","",VLOOKUP(H494,_xludf.HSTACK(#REF!,#REF!),2,FALSE))</f>
        <v>#NAME?</v>
      </c>
      <c r="J494" s="9" t="s">
        <v>4674</v>
      </c>
    </row>
    <row r="495" spans="1:10" x14ac:dyDescent="0.25">
      <c r="A495" s="9" t="s">
        <v>4667</v>
      </c>
      <c r="B495" s="9" t="s">
        <v>4675</v>
      </c>
      <c r="C495" s="7" t="s">
        <v>4676</v>
      </c>
      <c r="D495" s="9"/>
      <c r="E495" s="7" t="s">
        <v>4677</v>
      </c>
      <c r="F495" s="10" t="b">
        <v>0</v>
      </c>
      <c r="G495" s="10" t="b">
        <v>0</v>
      </c>
      <c r="H495" s="9" t="s">
        <v>20</v>
      </c>
      <c r="I495" s="9" t="e">
        <f t="array" aca="1" ref="I495" ca="1">IF(H495="","",VLOOKUP(H495,_xludf.HSTACK(#REF!,#REF!),2,FALSE))</f>
        <v>#NAME?</v>
      </c>
      <c r="J495" s="9"/>
    </row>
    <row r="496" spans="1:10" x14ac:dyDescent="0.25">
      <c r="A496" s="9" t="s">
        <v>4667</v>
      </c>
      <c r="B496" s="9" t="s">
        <v>4678</v>
      </c>
      <c r="C496" s="9"/>
      <c r="D496" s="9"/>
      <c r="E496" s="9"/>
      <c r="F496" s="10" t="b">
        <v>0</v>
      </c>
      <c r="G496" s="10" t="b">
        <v>1</v>
      </c>
      <c r="H496" s="9" t="s">
        <v>11</v>
      </c>
      <c r="I496" s="9" t="e">
        <f t="array" aca="1" ref="I496" ca="1">IF(H496="","",VLOOKUP(H496,_xludf.HSTACK(#REF!,#REF!),2,FALSE))</f>
        <v>#NAME?</v>
      </c>
      <c r="J496" s="9"/>
    </row>
    <row r="497" spans="1:10" x14ac:dyDescent="0.25">
      <c r="A497" s="9" t="s">
        <v>4667</v>
      </c>
      <c r="B497" s="9" t="s">
        <v>4679</v>
      </c>
      <c r="C497" s="7" t="s">
        <v>96</v>
      </c>
      <c r="D497" s="9"/>
      <c r="E497" s="7" t="s">
        <v>4680</v>
      </c>
      <c r="F497" s="10" t="b">
        <v>0</v>
      </c>
      <c r="G497" s="10" t="b">
        <v>1</v>
      </c>
      <c r="H497" s="9" t="s">
        <v>11</v>
      </c>
      <c r="I497" s="9" t="e">
        <f t="array" aca="1" ref="I497" ca="1">IF(H497="","",VLOOKUP(H497,_xludf.HSTACK(#REF!,#REF!),2,FALSE))</f>
        <v>#NAME?</v>
      </c>
      <c r="J497" s="9"/>
    </row>
    <row r="498" spans="1:10" x14ac:dyDescent="0.25">
      <c r="A498" s="9" t="s">
        <v>4667</v>
      </c>
      <c r="B498" s="9" t="s">
        <v>4681</v>
      </c>
      <c r="C498" s="7" t="s">
        <v>2690</v>
      </c>
      <c r="D498" s="9"/>
      <c r="E498" s="7" t="s">
        <v>4682</v>
      </c>
      <c r="F498" s="10" t="b">
        <v>0</v>
      </c>
      <c r="G498" s="10" t="b">
        <v>1</v>
      </c>
      <c r="H498" s="9" t="s">
        <v>6</v>
      </c>
      <c r="I498" s="9" t="e">
        <f t="array" aca="1" ref="I498" ca="1">IF(H498="","",VLOOKUP(H498,_xludf.HSTACK(#REF!,#REF!),2,FALSE))</f>
        <v>#NAME?</v>
      </c>
      <c r="J498" s="9"/>
    </row>
    <row r="499" spans="1:10" x14ac:dyDescent="0.25">
      <c r="A499" s="9" t="s">
        <v>4667</v>
      </c>
      <c r="B499" s="9" t="s">
        <v>4683</v>
      </c>
      <c r="C499" s="7" t="s">
        <v>2835</v>
      </c>
      <c r="D499" s="7" t="s">
        <v>4684</v>
      </c>
      <c r="E499" s="7" t="s">
        <v>4685</v>
      </c>
      <c r="F499" s="10" t="b">
        <v>0</v>
      </c>
      <c r="G499" s="10" t="b">
        <v>1</v>
      </c>
      <c r="H499" s="9"/>
      <c r="I499" s="9" t="str">
        <f t="array" ref="I499">IF(H499="","",VLOOKUP(H499,_xludf.HSTACK(#REF!,#REF!),2,FALSE))</f>
        <v/>
      </c>
      <c r="J499" s="9"/>
    </row>
    <row r="500" spans="1:10" x14ac:dyDescent="0.25">
      <c r="A500" s="9" t="s">
        <v>4667</v>
      </c>
      <c r="B500" s="9" t="s">
        <v>4686</v>
      </c>
      <c r="C500" s="7" t="s">
        <v>2717</v>
      </c>
      <c r="D500" s="7" t="s">
        <v>4687</v>
      </c>
      <c r="E500" s="7" t="s">
        <v>4688</v>
      </c>
      <c r="F500" s="10" t="b">
        <v>0</v>
      </c>
      <c r="G500" s="10" t="b">
        <v>1</v>
      </c>
      <c r="H500" s="9"/>
      <c r="I500" s="9" t="str">
        <f t="array" ref="I500">IF(H500="","",VLOOKUP(H500,_xludf.HSTACK(#REF!,#REF!),2,FALSE))</f>
        <v/>
      </c>
      <c r="J500" s="9"/>
    </row>
    <row r="501" spans="1:10" x14ac:dyDescent="0.25">
      <c r="A501" s="9" t="s">
        <v>4667</v>
      </c>
      <c r="B501" s="9" t="s">
        <v>4689</v>
      </c>
      <c r="C501" s="9"/>
      <c r="D501" s="9"/>
      <c r="E501" s="9"/>
      <c r="F501" s="10" t="b">
        <v>0</v>
      </c>
      <c r="G501" s="10" t="b">
        <v>1</v>
      </c>
      <c r="H501" s="9" t="s">
        <v>6</v>
      </c>
      <c r="I501" s="9" t="e">
        <f t="array" aca="1" ref="I501" ca="1">IF(H501="","",VLOOKUP(H501,_xludf.HSTACK(#REF!,#REF!),2,FALSE))</f>
        <v>#NAME?</v>
      </c>
      <c r="J501" s="9"/>
    </row>
    <row r="502" spans="1:10" x14ac:dyDescent="0.25">
      <c r="A502" s="9" t="s">
        <v>4667</v>
      </c>
      <c r="B502" s="9" t="s">
        <v>4690</v>
      </c>
      <c r="C502" s="7" t="s">
        <v>2690</v>
      </c>
      <c r="D502" s="7" t="s">
        <v>4691</v>
      </c>
      <c r="E502" s="7" t="s">
        <v>4692</v>
      </c>
      <c r="F502" s="10" t="b">
        <v>0</v>
      </c>
      <c r="G502" s="10" t="b">
        <v>1</v>
      </c>
      <c r="H502" s="9" t="s">
        <v>42</v>
      </c>
      <c r="I502" s="9" t="e">
        <f t="array" aca="1" ref="I502" ca="1">IF(H502="","",VLOOKUP(H502,_xludf.HSTACK(#REF!,#REF!),2,FALSE))</f>
        <v>#NAME?</v>
      </c>
      <c r="J502" s="9"/>
    </row>
    <row r="503" spans="1:10" x14ac:dyDescent="0.25">
      <c r="A503" s="9" t="s">
        <v>4667</v>
      </c>
      <c r="B503" s="9" t="s">
        <v>4693</v>
      </c>
      <c r="C503" s="7" t="s">
        <v>2622</v>
      </c>
      <c r="D503" s="9"/>
      <c r="E503" s="7" t="s">
        <v>4694</v>
      </c>
      <c r="F503" s="10" t="b">
        <v>1</v>
      </c>
      <c r="G503" s="10" t="b">
        <v>1</v>
      </c>
      <c r="H503" s="9"/>
      <c r="I503" s="9" t="str">
        <f t="array" ref="I503">IF(H503="","",VLOOKUP(H503,_xludf.HSTACK(#REF!,#REF!),2,FALSE))</f>
        <v/>
      </c>
      <c r="J503" s="9"/>
    </row>
    <row r="504" spans="1:10" x14ac:dyDescent="0.25">
      <c r="A504" s="9" t="s">
        <v>4667</v>
      </c>
      <c r="B504" s="9" t="s">
        <v>4695</v>
      </c>
      <c r="C504" s="9"/>
      <c r="D504" s="9"/>
      <c r="E504" s="9"/>
      <c r="F504" s="10" t="b">
        <v>0</v>
      </c>
      <c r="G504" s="10" t="b">
        <v>1</v>
      </c>
      <c r="H504" s="9"/>
      <c r="I504" s="9" t="str">
        <f t="array" ref="I504">IF(H504="","",VLOOKUP(H504,_xludf.HSTACK(#REF!,#REF!),2,FALSE))</f>
        <v/>
      </c>
      <c r="J504" s="9"/>
    </row>
    <row r="505" spans="1:10" x14ac:dyDescent="0.25">
      <c r="A505" s="9" t="s">
        <v>4667</v>
      </c>
      <c r="B505" s="9" t="s">
        <v>4696</v>
      </c>
      <c r="C505" s="7" t="s">
        <v>2643</v>
      </c>
      <c r="D505" s="7" t="s">
        <v>4697</v>
      </c>
      <c r="E505" s="7" t="s">
        <v>4698</v>
      </c>
      <c r="F505" s="10" t="b">
        <v>1</v>
      </c>
      <c r="G505" s="10" t="b">
        <v>1</v>
      </c>
      <c r="H505" s="9" t="s">
        <v>60</v>
      </c>
      <c r="I505" s="9" t="e">
        <f t="array" aca="1" ref="I505" ca="1">IF(H505="","",VLOOKUP(H505,_xludf.HSTACK(#REF!,#REF!),2,FALSE))</f>
        <v>#NAME?</v>
      </c>
      <c r="J505" s="9" t="s">
        <v>4674</v>
      </c>
    </row>
    <row r="506" spans="1:10" x14ac:dyDescent="0.25">
      <c r="A506" s="9" t="s">
        <v>4667</v>
      </c>
      <c r="B506" s="9" t="s">
        <v>4699</v>
      </c>
      <c r="C506" s="7" t="s">
        <v>104</v>
      </c>
      <c r="D506" s="9"/>
      <c r="E506" s="7" t="s">
        <v>4700</v>
      </c>
      <c r="F506" s="10" t="b">
        <v>0</v>
      </c>
      <c r="G506" s="10" t="b">
        <v>0</v>
      </c>
      <c r="H506" s="9" t="s">
        <v>35</v>
      </c>
      <c r="I506" s="9" t="e">
        <f t="array" aca="1" ref="I506" ca="1">IF(H506="","",VLOOKUP(H506,_xludf.HSTACK(#REF!,#REF!),2,FALSE))</f>
        <v>#NAME?</v>
      </c>
      <c r="J506" s="9"/>
    </row>
    <row r="507" spans="1:10" x14ac:dyDescent="0.25">
      <c r="A507" s="9" t="s">
        <v>4667</v>
      </c>
      <c r="B507" s="9" t="s">
        <v>4701</v>
      </c>
      <c r="C507" s="7" t="s">
        <v>2707</v>
      </c>
      <c r="D507" s="7" t="s">
        <v>4702</v>
      </c>
      <c r="E507" s="7" t="s">
        <v>4703</v>
      </c>
      <c r="F507" s="10" t="b">
        <v>1</v>
      </c>
      <c r="G507" s="10" t="b">
        <v>1</v>
      </c>
      <c r="H507" s="9" t="s">
        <v>45</v>
      </c>
      <c r="I507" s="9" t="e">
        <f t="array" aca="1" ref="I507" ca="1">IF(H507="","",VLOOKUP(H507,_xludf.HSTACK(#REF!,#REF!),2,FALSE))</f>
        <v>#NAME?</v>
      </c>
      <c r="J507" s="9" t="s">
        <v>3966</v>
      </c>
    </row>
    <row r="508" spans="1:10" x14ac:dyDescent="0.25">
      <c r="A508" s="9" t="s">
        <v>4667</v>
      </c>
      <c r="B508" s="9" t="s">
        <v>4704</v>
      </c>
      <c r="C508" s="7" t="s">
        <v>2717</v>
      </c>
      <c r="D508" s="9"/>
      <c r="E508" s="7" t="s">
        <v>4705</v>
      </c>
      <c r="F508" s="10" t="b">
        <v>0</v>
      </c>
      <c r="G508" s="10" t="b">
        <v>1</v>
      </c>
      <c r="H508" s="9"/>
      <c r="I508" s="9" t="str">
        <f t="array" ref="I508">IF(H508="","",VLOOKUP(H508,_xludf.HSTACK(#REF!,#REF!),2,FALSE))</f>
        <v/>
      </c>
      <c r="J508" s="9"/>
    </row>
    <row r="509" spans="1:10" x14ac:dyDescent="0.25">
      <c r="A509" s="9" t="s">
        <v>4667</v>
      </c>
      <c r="B509" s="9" t="s">
        <v>4706</v>
      </c>
      <c r="C509" s="7" t="s">
        <v>2717</v>
      </c>
      <c r="D509" s="9"/>
      <c r="E509" s="7" t="s">
        <v>4707</v>
      </c>
      <c r="F509" s="10" t="b">
        <v>0</v>
      </c>
      <c r="G509" s="10" t="b">
        <v>1</v>
      </c>
      <c r="H509" s="9"/>
      <c r="I509" s="9" t="str">
        <f t="array" ref="I509">IF(H509="","",VLOOKUP(H509,_xludf.HSTACK(#REF!,#REF!),2,FALSE))</f>
        <v/>
      </c>
      <c r="J509" s="9"/>
    </row>
    <row r="510" spans="1:10" x14ac:dyDescent="0.25">
      <c r="A510" s="9" t="s">
        <v>4667</v>
      </c>
      <c r="B510" s="9" t="s">
        <v>4708</v>
      </c>
      <c r="C510" s="7" t="s">
        <v>2746</v>
      </c>
      <c r="D510" s="7" t="s">
        <v>4709</v>
      </c>
      <c r="E510" s="9"/>
      <c r="F510" s="10" t="b">
        <v>0</v>
      </c>
      <c r="G510" s="10" t="b">
        <v>1</v>
      </c>
      <c r="H510" s="9"/>
      <c r="I510" s="9" t="str">
        <f t="array" ref="I510">IF(H510="","",VLOOKUP(H510,_xludf.HSTACK(#REF!,#REF!),2,FALSE))</f>
        <v/>
      </c>
      <c r="J510" s="9"/>
    </row>
    <row r="511" spans="1:10" x14ac:dyDescent="0.25">
      <c r="A511" s="9" t="s">
        <v>4667</v>
      </c>
      <c r="B511" s="9" t="s">
        <v>4710</v>
      </c>
      <c r="C511" s="7" t="s">
        <v>2746</v>
      </c>
      <c r="D511" s="7" t="s">
        <v>4711</v>
      </c>
      <c r="E511" s="7" t="s">
        <v>4712</v>
      </c>
      <c r="F511" s="10" t="b">
        <v>1</v>
      </c>
      <c r="G511" s="10" t="b">
        <v>1</v>
      </c>
      <c r="H511" s="9" t="s">
        <v>60</v>
      </c>
      <c r="I511" s="9" t="e">
        <f t="array" aca="1" ref="I511" ca="1">IF(H511="","",VLOOKUP(H511,_xludf.HSTACK(#REF!,#REF!),2,FALSE))</f>
        <v>#NAME?</v>
      </c>
      <c r="J511" s="9" t="s">
        <v>4674</v>
      </c>
    </row>
    <row r="512" spans="1:10" x14ac:dyDescent="0.25">
      <c r="A512" s="9" t="s">
        <v>4667</v>
      </c>
      <c r="B512" s="9" t="s">
        <v>4713</v>
      </c>
      <c r="C512" s="7" t="s">
        <v>2652</v>
      </c>
      <c r="D512" s="9"/>
      <c r="E512" s="7" t="s">
        <v>4714</v>
      </c>
      <c r="F512" s="10" t="b">
        <v>1</v>
      </c>
      <c r="G512" s="10" t="b">
        <v>1</v>
      </c>
      <c r="H512" s="9" t="s">
        <v>60</v>
      </c>
      <c r="I512" s="9" t="e">
        <f t="array" aca="1" ref="I512" ca="1">IF(H512="","",VLOOKUP(H512,_xludf.HSTACK(#REF!,#REF!),2,FALSE))</f>
        <v>#NAME?</v>
      </c>
      <c r="J512" s="9" t="s">
        <v>4674</v>
      </c>
    </row>
    <row r="513" spans="1:10" x14ac:dyDescent="0.25">
      <c r="A513" s="9" t="s">
        <v>4667</v>
      </c>
      <c r="B513" s="9" t="s">
        <v>4715</v>
      </c>
      <c r="C513" s="9"/>
      <c r="D513" s="9"/>
      <c r="E513" s="9"/>
      <c r="F513" s="10" t="b">
        <v>0</v>
      </c>
      <c r="G513" s="10" t="b">
        <v>1</v>
      </c>
      <c r="H513" s="9"/>
      <c r="I513" s="9" t="str">
        <f t="array" ref="I513">IF(H513="","",VLOOKUP(H513,_xludf.HSTACK(#REF!,#REF!),2,FALSE))</f>
        <v/>
      </c>
      <c r="J513" s="9"/>
    </row>
    <row r="514" spans="1:10" x14ac:dyDescent="0.25">
      <c r="A514" s="9" t="s">
        <v>4667</v>
      </c>
      <c r="B514" s="9" t="s">
        <v>4716</v>
      </c>
      <c r="C514" s="7" t="s">
        <v>2638</v>
      </c>
      <c r="D514" s="7" t="s">
        <v>4717</v>
      </c>
      <c r="E514" s="7" t="s">
        <v>4718</v>
      </c>
      <c r="F514" s="10" t="b">
        <v>0</v>
      </c>
      <c r="G514" s="10" t="b">
        <v>1</v>
      </c>
      <c r="H514" s="9" t="s">
        <v>22</v>
      </c>
      <c r="I514" s="9" t="e">
        <f t="array" aca="1" ref="I514" ca="1">IF(H514="","",VLOOKUP(H514,_xludf.HSTACK(#REF!,#REF!),2,FALSE))</f>
        <v>#NAME?</v>
      </c>
      <c r="J514" s="9"/>
    </row>
    <row r="515" spans="1:10" x14ac:dyDescent="0.25">
      <c r="A515" s="9" t="s">
        <v>4667</v>
      </c>
      <c r="B515" s="9" t="s">
        <v>4719</v>
      </c>
      <c r="C515" s="7" t="s">
        <v>4720</v>
      </c>
      <c r="D515" s="7" t="s">
        <v>4721</v>
      </c>
      <c r="E515" s="7" t="s">
        <v>4722</v>
      </c>
      <c r="F515" s="10" t="b">
        <v>0</v>
      </c>
      <c r="G515" s="10" t="b">
        <v>1</v>
      </c>
      <c r="H515" s="9" t="s">
        <v>24</v>
      </c>
      <c r="I515" s="9" t="e">
        <f t="array" aca="1" ref="I515" ca="1">IF(H515="","",VLOOKUP(H515,_xludf.HSTACK(#REF!,#REF!),2,FALSE))</f>
        <v>#NAME?</v>
      </c>
      <c r="J515" s="9"/>
    </row>
    <row r="516" spans="1:10" x14ac:dyDescent="0.25">
      <c r="A516" s="9" t="s">
        <v>4667</v>
      </c>
      <c r="B516" s="9" t="s">
        <v>4723</v>
      </c>
      <c r="C516" s="7" t="s">
        <v>512</v>
      </c>
      <c r="D516" s="7" t="s">
        <v>4724</v>
      </c>
      <c r="E516" s="7" t="s">
        <v>4725</v>
      </c>
      <c r="F516" s="10" t="b">
        <v>0</v>
      </c>
      <c r="G516" s="10" t="b">
        <v>1</v>
      </c>
      <c r="H516" s="9" t="s">
        <v>62</v>
      </c>
      <c r="I516" s="9" t="e">
        <f t="array" aca="1" ref="I516" ca="1">IF(H516="","",VLOOKUP(H516,_xludf.HSTACK(#REF!,#REF!),2,FALSE))</f>
        <v>#NAME?</v>
      </c>
      <c r="J516" s="9"/>
    </row>
    <row r="517" spans="1:10" x14ac:dyDescent="0.25">
      <c r="A517" s="9" t="s">
        <v>4667</v>
      </c>
      <c r="B517" s="9" t="s">
        <v>4726</v>
      </c>
      <c r="C517" s="7" t="s">
        <v>2707</v>
      </c>
      <c r="D517" s="7" t="s">
        <v>4702</v>
      </c>
      <c r="E517" s="7" t="s">
        <v>4727</v>
      </c>
      <c r="F517" s="10" t="b">
        <v>0</v>
      </c>
      <c r="G517" s="10" t="b">
        <v>1</v>
      </c>
      <c r="H517" s="9"/>
      <c r="I517" s="9" t="str">
        <f t="array" ref="I517">IF(H517="","",VLOOKUP(H517,_xludf.HSTACK(#REF!,#REF!),2,FALSE))</f>
        <v/>
      </c>
      <c r="J517" s="9"/>
    </row>
    <row r="518" spans="1:10" x14ac:dyDescent="0.25">
      <c r="A518" s="9" t="s">
        <v>4667</v>
      </c>
      <c r="B518" s="9" t="s">
        <v>4728</v>
      </c>
      <c r="C518" s="7" t="s">
        <v>4729</v>
      </c>
      <c r="D518" s="7" t="s">
        <v>4730</v>
      </c>
      <c r="E518" s="7" t="s">
        <v>4731</v>
      </c>
      <c r="F518" s="10" t="b">
        <v>1</v>
      </c>
      <c r="G518" s="10" t="b">
        <v>1</v>
      </c>
      <c r="H518" s="9" t="s">
        <v>30</v>
      </c>
      <c r="I518" s="9" t="e">
        <f t="array" aca="1" ref="I518" ca="1">IF(H518="","",VLOOKUP(H518,_xludf.HSTACK(#REF!,#REF!),2,FALSE))</f>
        <v>#NAME?</v>
      </c>
      <c r="J518" s="9" t="s">
        <v>4732</v>
      </c>
    </row>
    <row r="519" spans="1:10" x14ac:dyDescent="0.25">
      <c r="A519" s="9" t="s">
        <v>4667</v>
      </c>
      <c r="B519" s="9" t="s">
        <v>4733</v>
      </c>
      <c r="C519" s="7" t="s">
        <v>4734</v>
      </c>
      <c r="D519" s="7" t="s">
        <v>4735</v>
      </c>
      <c r="E519" s="7" t="s">
        <v>4736</v>
      </c>
      <c r="F519" s="10" t="b">
        <v>1</v>
      </c>
      <c r="G519" s="10" t="b">
        <v>1</v>
      </c>
      <c r="H519" s="9" t="s">
        <v>55</v>
      </c>
      <c r="I519" s="9" t="e">
        <f t="array" aca="1" ref="I519" ca="1">IF(H519="","",VLOOKUP(H519,_xludf.HSTACK(#REF!,#REF!),2,FALSE))</f>
        <v>#NAME?</v>
      </c>
      <c r="J519" s="9" t="s">
        <v>3792</v>
      </c>
    </row>
    <row r="520" spans="1:10" x14ac:dyDescent="0.25">
      <c r="A520" s="9" t="s">
        <v>4667</v>
      </c>
      <c r="B520" s="9" t="s">
        <v>4737</v>
      </c>
      <c r="C520" s="7" t="s">
        <v>4738</v>
      </c>
      <c r="D520" s="7" t="s">
        <v>4735</v>
      </c>
      <c r="E520" s="7" t="s">
        <v>4739</v>
      </c>
      <c r="F520" s="10" t="b">
        <v>1</v>
      </c>
      <c r="G520" s="10" t="b">
        <v>1</v>
      </c>
      <c r="H520" s="9" t="s">
        <v>55</v>
      </c>
      <c r="I520" s="9" t="e">
        <f t="array" aca="1" ref="I520" ca="1">IF(H520="","",VLOOKUP(H520,_xludf.HSTACK(#REF!,#REF!),2,FALSE))</f>
        <v>#NAME?</v>
      </c>
      <c r="J520" s="9" t="s">
        <v>3792</v>
      </c>
    </row>
    <row r="521" spans="1:10" x14ac:dyDescent="0.25">
      <c r="A521" s="9" t="s">
        <v>4667</v>
      </c>
      <c r="B521" s="9" t="s">
        <v>4740</v>
      </c>
      <c r="C521" s="7" t="s">
        <v>4741</v>
      </c>
      <c r="D521" s="7" t="s">
        <v>4742</v>
      </c>
      <c r="E521" s="7" t="s">
        <v>4743</v>
      </c>
      <c r="F521" s="10" t="b">
        <v>0</v>
      </c>
      <c r="G521" s="10" t="b">
        <v>1</v>
      </c>
      <c r="H521" s="9" t="s">
        <v>70</v>
      </c>
      <c r="I521" s="9" t="e">
        <f t="array" aca="1" ref="I521" ca="1">IF(H521="","",VLOOKUP(H521,_xludf.HSTACK(#REF!,#REF!),2,FALSE))</f>
        <v>#NAME?</v>
      </c>
      <c r="J521" s="9"/>
    </row>
    <row r="522" spans="1:10" x14ac:dyDescent="0.25">
      <c r="A522" s="9" t="s">
        <v>4667</v>
      </c>
      <c r="B522" s="9" t="s">
        <v>4744</v>
      </c>
      <c r="C522" s="7" t="s">
        <v>4745</v>
      </c>
      <c r="D522" s="7" t="s">
        <v>4746</v>
      </c>
      <c r="E522" s="7" t="s">
        <v>4747</v>
      </c>
      <c r="F522" s="10" t="b">
        <v>0</v>
      </c>
      <c r="G522" s="10" t="b">
        <v>1</v>
      </c>
      <c r="H522" s="9" t="s">
        <v>26</v>
      </c>
      <c r="I522" s="9" t="e">
        <f t="array" aca="1" ref="I522" ca="1">IF(H522="","",VLOOKUP(H522,_xludf.HSTACK(#REF!,#REF!),2,FALSE))</f>
        <v>#NAME?</v>
      </c>
      <c r="J522" s="9"/>
    </row>
    <row r="523" spans="1:10" x14ac:dyDescent="0.25">
      <c r="A523" s="9" t="s">
        <v>4667</v>
      </c>
      <c r="B523" s="9" t="s">
        <v>4748</v>
      </c>
      <c r="C523" s="7" t="s">
        <v>4738</v>
      </c>
      <c r="D523" s="7" t="s">
        <v>4749</v>
      </c>
      <c r="E523" s="7" t="s">
        <v>4750</v>
      </c>
      <c r="F523" s="10" t="b">
        <v>1</v>
      </c>
      <c r="G523" s="10" t="b">
        <v>1</v>
      </c>
      <c r="H523" s="9" t="s">
        <v>50</v>
      </c>
      <c r="I523" s="9" t="e">
        <f t="array" aca="1" ref="I523" ca="1">IF(H523="","",VLOOKUP(H523,_xludf.HSTACK(#REF!,#REF!),2,FALSE))</f>
        <v>#NAME?</v>
      </c>
      <c r="J523" s="9" t="s">
        <v>3792</v>
      </c>
    </row>
    <row r="524" spans="1:10" x14ac:dyDescent="0.25">
      <c r="A524" s="9" t="s">
        <v>4667</v>
      </c>
      <c r="B524" s="9" t="s">
        <v>4751</v>
      </c>
      <c r="C524" s="7" t="s">
        <v>365</v>
      </c>
      <c r="D524" s="7" t="s">
        <v>4749</v>
      </c>
      <c r="E524" s="7" t="s">
        <v>4752</v>
      </c>
      <c r="F524" s="10" t="b">
        <v>1</v>
      </c>
      <c r="G524" s="10" t="b">
        <v>1</v>
      </c>
      <c r="H524" s="9" t="s">
        <v>50</v>
      </c>
      <c r="I524" s="9" t="e">
        <f t="array" aca="1" ref="I524" ca="1">IF(H524="","",VLOOKUP(H524,_xludf.HSTACK(#REF!,#REF!),2,FALSE))</f>
        <v>#NAME?</v>
      </c>
      <c r="J524" s="9" t="s">
        <v>3792</v>
      </c>
    </row>
    <row r="525" spans="1:10" x14ac:dyDescent="0.25">
      <c r="A525" s="9" t="s">
        <v>4667</v>
      </c>
      <c r="B525" s="9" t="s">
        <v>4753</v>
      </c>
      <c r="C525" s="7" t="s">
        <v>4754</v>
      </c>
      <c r="D525" s="7" t="s">
        <v>4755</v>
      </c>
      <c r="E525" s="7" t="s">
        <v>4756</v>
      </c>
      <c r="F525" s="10" t="b">
        <v>0</v>
      </c>
      <c r="G525" s="10" t="b">
        <v>1</v>
      </c>
      <c r="H525" s="9" t="s">
        <v>65</v>
      </c>
      <c r="I525" s="9" t="e">
        <f t="array" aca="1" ref="I525" ca="1">IF(H525="","",VLOOKUP(H525,_xludf.HSTACK(#REF!,#REF!),2,FALSE))</f>
        <v>#NAME?</v>
      </c>
      <c r="J525" s="9"/>
    </row>
    <row r="526" spans="1:10" x14ac:dyDescent="0.25">
      <c r="A526" s="9" t="s">
        <v>4667</v>
      </c>
      <c r="B526" s="9" t="s">
        <v>4757</v>
      </c>
      <c r="C526" s="7" t="s">
        <v>4758</v>
      </c>
      <c r="D526" s="9"/>
      <c r="E526" s="7" t="s">
        <v>4759</v>
      </c>
      <c r="F526" s="10" t="b">
        <v>1</v>
      </c>
      <c r="G526" s="10" t="b">
        <v>1</v>
      </c>
      <c r="H526" s="9" t="s">
        <v>28</v>
      </c>
      <c r="I526" s="9" t="e">
        <f t="array" aca="1" ref="I526" ca="1">IF(H526="","",VLOOKUP(H526,_xludf.HSTACK(#REF!,#REF!),2,FALSE))</f>
        <v>#NAME?</v>
      </c>
      <c r="J526" s="9"/>
    </row>
    <row r="527" spans="1:10" x14ac:dyDescent="0.25">
      <c r="A527" s="9" t="s">
        <v>4667</v>
      </c>
      <c r="B527" s="9" t="s">
        <v>4760</v>
      </c>
      <c r="C527" s="7" t="s">
        <v>4738</v>
      </c>
      <c r="D527" s="7" t="s">
        <v>4761</v>
      </c>
      <c r="E527" s="7" t="s">
        <v>4762</v>
      </c>
      <c r="F527" s="10" t="b">
        <v>1</v>
      </c>
      <c r="G527" s="10" t="b">
        <v>1</v>
      </c>
      <c r="H527" s="9" t="s">
        <v>51</v>
      </c>
      <c r="I527" s="9" t="e">
        <f t="array" aca="1" ref="I527" ca="1">IF(H527="","",VLOOKUP(H527,_xludf.HSTACK(#REF!,#REF!),2,FALSE))</f>
        <v>#NAME?</v>
      </c>
      <c r="J527" s="9" t="s">
        <v>3792</v>
      </c>
    </row>
    <row r="528" spans="1:10" x14ac:dyDescent="0.25">
      <c r="A528" s="9" t="s">
        <v>4667</v>
      </c>
      <c r="B528" s="9" t="s">
        <v>4763</v>
      </c>
      <c r="C528" s="7" t="s">
        <v>4764</v>
      </c>
      <c r="D528" s="7" t="s">
        <v>4761</v>
      </c>
      <c r="E528" s="7" t="s">
        <v>4765</v>
      </c>
      <c r="F528" s="10" t="b">
        <v>1</v>
      </c>
      <c r="G528" s="10" t="b">
        <v>1</v>
      </c>
      <c r="H528" s="9" t="s">
        <v>51</v>
      </c>
      <c r="I528" s="9" t="e">
        <f t="array" aca="1" ref="I528" ca="1">IF(H528="","",VLOOKUP(H528,_xludf.HSTACK(#REF!,#REF!),2,FALSE))</f>
        <v>#NAME?</v>
      </c>
      <c r="J528" s="9" t="s">
        <v>3792</v>
      </c>
    </row>
    <row r="529" spans="1:10" x14ac:dyDescent="0.25">
      <c r="A529" s="9" t="s">
        <v>4667</v>
      </c>
      <c r="B529" s="9" t="s">
        <v>4766</v>
      </c>
      <c r="C529" s="7" t="s">
        <v>4676</v>
      </c>
      <c r="D529" s="7" t="s">
        <v>4767</v>
      </c>
      <c r="E529" s="7" t="s">
        <v>4768</v>
      </c>
      <c r="F529" s="10" t="b">
        <v>0</v>
      </c>
      <c r="G529" s="10" t="b">
        <v>0</v>
      </c>
      <c r="H529" s="9" t="s">
        <v>66</v>
      </c>
      <c r="I529" s="9" t="e">
        <f t="array" aca="1" ref="I529" ca="1">IF(H529="","",VLOOKUP(H529,_xludf.HSTACK(#REF!,#REF!),2,FALSE))</f>
        <v>#NAME?</v>
      </c>
      <c r="J529" s="9"/>
    </row>
    <row r="530" spans="1:10" x14ac:dyDescent="0.25">
      <c r="A530" s="9" t="s">
        <v>4667</v>
      </c>
      <c r="B530" s="9" t="s">
        <v>4769</v>
      </c>
      <c r="C530" s="9"/>
      <c r="D530" s="9"/>
      <c r="E530" s="9"/>
      <c r="F530" s="10" t="b">
        <v>0</v>
      </c>
      <c r="G530" s="10" t="b">
        <v>1</v>
      </c>
      <c r="H530" s="9" t="s">
        <v>29</v>
      </c>
      <c r="I530" s="9" t="e">
        <f t="array" aca="1" ref="I530" ca="1">IF(H530="","",VLOOKUP(H530,_xludf.HSTACK(#REF!,#REF!),2,FALSE))</f>
        <v>#NAME?</v>
      </c>
      <c r="J530" s="9"/>
    </row>
    <row r="531" spans="1:10" x14ac:dyDescent="0.25">
      <c r="A531" s="9" t="s">
        <v>4667</v>
      </c>
      <c r="B531" s="9" t="s">
        <v>4770</v>
      </c>
      <c r="C531" s="7" t="s">
        <v>4734</v>
      </c>
      <c r="D531" s="7" t="s">
        <v>4771</v>
      </c>
      <c r="E531" s="7" t="s">
        <v>4772</v>
      </c>
      <c r="F531" s="10" t="b">
        <v>1</v>
      </c>
      <c r="G531" s="10" t="b">
        <v>1</v>
      </c>
      <c r="H531" s="9" t="s">
        <v>54</v>
      </c>
      <c r="I531" s="9" t="e">
        <f t="array" aca="1" ref="I531" ca="1">IF(H531="","",VLOOKUP(H531,_xludf.HSTACK(#REF!,#REF!),2,FALSE))</f>
        <v>#NAME?</v>
      </c>
      <c r="J531" s="9" t="s">
        <v>3792</v>
      </c>
    </row>
    <row r="532" spans="1:10" x14ac:dyDescent="0.25">
      <c r="A532" s="9" t="s">
        <v>4667</v>
      </c>
      <c r="B532" s="9" t="s">
        <v>4773</v>
      </c>
      <c r="C532" s="7" t="s">
        <v>4774</v>
      </c>
      <c r="D532" s="7" t="s">
        <v>4775</v>
      </c>
      <c r="E532" s="7" t="s">
        <v>4776</v>
      </c>
      <c r="F532" s="10" t="b">
        <v>0</v>
      </c>
      <c r="G532" s="10" t="b">
        <v>1</v>
      </c>
      <c r="H532" s="9" t="s">
        <v>52</v>
      </c>
      <c r="I532" s="9" t="e">
        <f t="array" aca="1" ref="I532" ca="1">IF(H532="","",VLOOKUP(H532,_xludf.HSTACK(#REF!,#REF!),2,FALSE))</f>
        <v>#NAME?</v>
      </c>
      <c r="J532" s="9"/>
    </row>
    <row r="533" spans="1:10" x14ac:dyDescent="0.25">
      <c r="A533" s="9" t="s">
        <v>4667</v>
      </c>
      <c r="B533" s="9" t="s">
        <v>4777</v>
      </c>
      <c r="C533" s="7" t="s">
        <v>4778</v>
      </c>
      <c r="D533" s="7" t="s">
        <v>4771</v>
      </c>
      <c r="E533" s="7" t="s">
        <v>4779</v>
      </c>
      <c r="F533" s="10" t="b">
        <v>1</v>
      </c>
      <c r="G533" s="10" t="b">
        <v>1</v>
      </c>
      <c r="H533" s="9" t="s">
        <v>54</v>
      </c>
      <c r="I533" s="9" t="e">
        <f t="array" aca="1" ref="I533" ca="1">IF(H533="","",VLOOKUP(H533,_xludf.HSTACK(#REF!,#REF!),2,FALSE))</f>
        <v>#NAME?</v>
      </c>
      <c r="J533" s="9" t="s">
        <v>3792</v>
      </c>
    </row>
    <row r="534" spans="1:10" x14ac:dyDescent="0.25">
      <c r="A534" s="9" t="s">
        <v>4667</v>
      </c>
      <c r="B534" s="9" t="s">
        <v>4780</v>
      </c>
      <c r="C534" s="7" t="s">
        <v>4781</v>
      </c>
      <c r="D534" s="7" t="s">
        <v>4782</v>
      </c>
      <c r="E534" s="7" t="s">
        <v>4783</v>
      </c>
      <c r="F534" s="10" t="b">
        <v>0</v>
      </c>
      <c r="G534" s="10" t="b">
        <v>1</v>
      </c>
      <c r="H534" s="9" t="s">
        <v>69</v>
      </c>
      <c r="I534" s="9" t="e">
        <f t="array" aca="1" ref="I534" ca="1">IF(H534="","",VLOOKUP(H534,_xludf.HSTACK(#REF!,#REF!),2,FALSE))</f>
        <v>#NAME?</v>
      </c>
      <c r="J534" s="9"/>
    </row>
    <row r="535" spans="1:10" x14ac:dyDescent="0.25">
      <c r="A535" s="9" t="s">
        <v>4667</v>
      </c>
      <c r="B535" s="9" t="s">
        <v>4784</v>
      </c>
      <c r="C535" s="7" t="s">
        <v>4785</v>
      </c>
      <c r="D535" s="7" t="s">
        <v>4786</v>
      </c>
      <c r="E535" s="7" t="s">
        <v>4787</v>
      </c>
      <c r="F535" s="10" t="b">
        <v>0</v>
      </c>
      <c r="G535" s="10" t="b">
        <v>1</v>
      </c>
      <c r="H535" s="9" t="s">
        <v>32</v>
      </c>
      <c r="I535" s="9" t="e">
        <f t="array" aca="1" ref="I535" ca="1">IF(H535="","",VLOOKUP(H535,_xludf.HSTACK(#REF!,#REF!),2,FALSE))</f>
        <v>#NAME?</v>
      </c>
      <c r="J535" s="9"/>
    </row>
    <row r="536" spans="1:10" x14ac:dyDescent="0.25">
      <c r="A536" s="9" t="s">
        <v>4667</v>
      </c>
      <c r="B536" s="9" t="s">
        <v>4788</v>
      </c>
      <c r="C536" s="7" t="s">
        <v>4781</v>
      </c>
      <c r="D536" s="7" t="s">
        <v>4789</v>
      </c>
      <c r="E536" s="7" t="s">
        <v>4790</v>
      </c>
      <c r="F536" s="10" t="b">
        <v>0</v>
      </c>
      <c r="G536" s="10" t="b">
        <v>1</v>
      </c>
      <c r="H536" s="9" t="s">
        <v>67</v>
      </c>
      <c r="I536" s="9" t="e">
        <f t="array" aca="1" ref="I536" ca="1">IF(H536="","",VLOOKUP(H536,_xludf.HSTACK(#REF!,#REF!),2,FALSE))</f>
        <v>#NAME?</v>
      </c>
      <c r="J536" s="9"/>
    </row>
    <row r="537" spans="1:10" x14ac:dyDescent="0.25">
      <c r="A537" s="9" t="s">
        <v>4667</v>
      </c>
      <c r="B537" s="9" t="s">
        <v>4791</v>
      </c>
      <c r="C537" s="7" t="s">
        <v>2670</v>
      </c>
      <c r="D537" s="7" t="s">
        <v>4792</v>
      </c>
      <c r="E537" s="9"/>
      <c r="F537" s="10" t="b">
        <v>0</v>
      </c>
      <c r="G537" s="10" t="b">
        <v>1</v>
      </c>
      <c r="H537" s="9" t="s">
        <v>31</v>
      </c>
      <c r="I537" s="9" t="e">
        <f t="array" aca="1" ref="I537" ca="1">IF(H537="","",VLOOKUP(H537,_xludf.HSTACK(#REF!,#REF!),2,FALSE))</f>
        <v>#NAME?</v>
      </c>
      <c r="J537" s="9"/>
    </row>
    <row r="538" spans="1:10" x14ac:dyDescent="0.25">
      <c r="A538" s="9" t="s">
        <v>4667</v>
      </c>
      <c r="B538" s="9" t="s">
        <v>4793</v>
      </c>
      <c r="C538" s="7" t="s">
        <v>4754</v>
      </c>
      <c r="D538" s="7" t="s">
        <v>4794</v>
      </c>
      <c r="E538" s="7" t="s">
        <v>4795</v>
      </c>
      <c r="F538" s="10" t="b">
        <v>0</v>
      </c>
      <c r="G538" s="10" t="b">
        <v>1</v>
      </c>
      <c r="H538" s="9" t="s">
        <v>68</v>
      </c>
      <c r="I538" s="9" t="e">
        <f t="array" aca="1" ref="I538" ca="1">IF(H538="","",VLOOKUP(H538,_xludf.HSTACK(#REF!,#REF!),2,FALSE))</f>
        <v>#NAME?</v>
      </c>
      <c r="J538" s="9"/>
    </row>
    <row r="539" spans="1:10" x14ac:dyDescent="0.25">
      <c r="A539" s="9" t="s">
        <v>4667</v>
      </c>
      <c r="B539" s="9" t="s">
        <v>4796</v>
      </c>
      <c r="C539" s="9"/>
      <c r="D539" s="9"/>
      <c r="E539" s="9"/>
      <c r="F539" s="10" t="b">
        <v>0</v>
      </c>
      <c r="G539" s="10" t="b">
        <v>1</v>
      </c>
      <c r="H539" s="9"/>
      <c r="I539" s="9" t="str">
        <f t="array" ref="I539">IF(H539="","",VLOOKUP(H539,_xludf.HSTACK(#REF!,#REF!),2,FALSE))</f>
        <v/>
      </c>
      <c r="J539" s="9"/>
    </row>
    <row r="540" spans="1:10" x14ac:dyDescent="0.25">
      <c r="A540" s="9" t="s">
        <v>4667</v>
      </c>
      <c r="B540" s="9" t="s">
        <v>4797</v>
      </c>
      <c r="C540" s="7" t="s">
        <v>2763</v>
      </c>
      <c r="D540" s="9"/>
      <c r="E540" s="7" t="s">
        <v>4798</v>
      </c>
      <c r="F540" s="10" t="b">
        <v>0</v>
      </c>
      <c r="G540" s="10" t="b">
        <v>1</v>
      </c>
      <c r="H540" s="9"/>
      <c r="I540" s="9" t="str">
        <f t="array" ref="I540">IF(H540="","",VLOOKUP(H540,_xludf.HSTACK(#REF!,#REF!),2,FALSE))</f>
        <v/>
      </c>
      <c r="J540" s="9"/>
    </row>
    <row r="541" spans="1:10" x14ac:dyDescent="0.25">
      <c r="A541" s="9" t="s">
        <v>4667</v>
      </c>
      <c r="B541" s="9" t="s">
        <v>4799</v>
      </c>
      <c r="C541" s="7" t="s">
        <v>2767</v>
      </c>
      <c r="D541" s="7" t="s">
        <v>4800</v>
      </c>
      <c r="E541" s="9"/>
      <c r="F541" s="10" t="b">
        <v>0</v>
      </c>
      <c r="G541" s="10" t="b">
        <v>1</v>
      </c>
      <c r="H541" s="9"/>
      <c r="I541" s="9" t="str">
        <f t="array" ref="I541">IF(H541="","",VLOOKUP(H541,_xludf.HSTACK(#REF!,#REF!),2,FALSE))</f>
        <v/>
      </c>
      <c r="J541" s="9"/>
    </row>
    <row r="542" spans="1:10" x14ac:dyDescent="0.25">
      <c r="A542" s="9" t="s">
        <v>4667</v>
      </c>
      <c r="B542" s="9" t="s">
        <v>4801</v>
      </c>
      <c r="C542" s="7" t="s">
        <v>2622</v>
      </c>
      <c r="D542" s="9"/>
      <c r="E542" s="7" t="s">
        <v>4802</v>
      </c>
      <c r="F542" s="10" t="b">
        <v>1</v>
      </c>
      <c r="G542" s="10" t="b">
        <v>1</v>
      </c>
      <c r="H542" s="9"/>
      <c r="I542" s="9" t="str">
        <f t="array" ref="I542">IF(H542="","",VLOOKUP(H542,_xludf.HSTACK(#REF!,#REF!),2,FALSE))</f>
        <v/>
      </c>
      <c r="J542" s="9"/>
    </row>
    <row r="543" spans="1:10" x14ac:dyDescent="0.25">
      <c r="A543" s="9" t="s">
        <v>4667</v>
      </c>
      <c r="B543" s="9" t="s">
        <v>4803</v>
      </c>
      <c r="C543" s="7" t="s">
        <v>2643</v>
      </c>
      <c r="D543" s="7" t="s">
        <v>4804</v>
      </c>
      <c r="E543" s="7" t="s">
        <v>4805</v>
      </c>
      <c r="F543" s="10" t="b">
        <v>1</v>
      </c>
      <c r="G543" s="10" t="b">
        <v>1</v>
      </c>
      <c r="H543" s="9" t="s">
        <v>60</v>
      </c>
      <c r="I543" s="9" t="e">
        <f t="array" aca="1" ref="I543" ca="1">IF(H543="","",VLOOKUP(H543,_xludf.HSTACK(#REF!,#REF!),2,FALSE))</f>
        <v>#NAME?</v>
      </c>
      <c r="J543" s="9" t="s">
        <v>4674</v>
      </c>
    </row>
    <row r="544" spans="1:10" x14ac:dyDescent="0.25">
      <c r="A544" s="9" t="s">
        <v>4667</v>
      </c>
      <c r="B544" s="9" t="s">
        <v>4806</v>
      </c>
      <c r="C544" s="7" t="s">
        <v>172</v>
      </c>
      <c r="D544" s="9"/>
      <c r="E544" s="7" t="s">
        <v>4807</v>
      </c>
      <c r="F544" s="10" t="b">
        <v>0</v>
      </c>
      <c r="G544" s="10" t="b">
        <v>1</v>
      </c>
      <c r="H544" s="9" t="s">
        <v>20</v>
      </c>
      <c r="I544" s="9" t="e">
        <f t="array" aca="1" ref="I544" ca="1">IF(H544="","",VLOOKUP(H544,_xludf.HSTACK(#REF!,#REF!),2,FALSE))</f>
        <v>#NAME?</v>
      </c>
      <c r="J544" s="9"/>
    </row>
    <row r="545" spans="1:10" x14ac:dyDescent="0.25">
      <c r="A545" s="9" t="s">
        <v>4667</v>
      </c>
      <c r="B545" s="9" t="s">
        <v>4808</v>
      </c>
      <c r="C545" s="7" t="s">
        <v>4267</v>
      </c>
      <c r="D545" s="7" t="s">
        <v>4809</v>
      </c>
      <c r="E545" s="7" t="s">
        <v>4810</v>
      </c>
      <c r="F545" s="10" t="b">
        <v>0</v>
      </c>
      <c r="G545" s="10" t="b">
        <v>0</v>
      </c>
      <c r="H545" s="9"/>
      <c r="I545" s="9" t="str">
        <f t="array" ref="I545">IF(H545="","",VLOOKUP(H545,_xludf.HSTACK(#REF!,#REF!),2,FALSE))</f>
        <v/>
      </c>
      <c r="J545" s="9"/>
    </row>
    <row r="546" spans="1:10" x14ac:dyDescent="0.25">
      <c r="A546" s="9" t="s">
        <v>4667</v>
      </c>
      <c r="B546" s="9" t="s">
        <v>4811</v>
      </c>
      <c r="C546" s="7" t="s">
        <v>4411</v>
      </c>
      <c r="D546" s="7" t="s">
        <v>4812</v>
      </c>
      <c r="E546" s="7" t="s">
        <v>4813</v>
      </c>
      <c r="F546" s="10" t="b">
        <v>0</v>
      </c>
      <c r="G546" s="10" t="b">
        <v>0</v>
      </c>
      <c r="H546" s="9"/>
      <c r="I546" s="9" t="str">
        <f t="array" ref="I546">IF(H546="","",VLOOKUP(H546,_xludf.HSTACK(#REF!,#REF!),2,FALSE))</f>
        <v/>
      </c>
      <c r="J546" s="9"/>
    </row>
    <row r="547" spans="1:10" x14ac:dyDescent="0.25">
      <c r="A547" s="9" t="s">
        <v>4667</v>
      </c>
      <c r="B547" s="9" t="s">
        <v>4814</v>
      </c>
      <c r="C547" s="7" t="s">
        <v>4267</v>
      </c>
      <c r="D547" s="7" t="s">
        <v>4782</v>
      </c>
      <c r="E547" s="7" t="s">
        <v>4815</v>
      </c>
      <c r="F547" s="10" t="b">
        <v>0</v>
      </c>
      <c r="G547" s="10" t="b">
        <v>0</v>
      </c>
      <c r="H547" s="9"/>
      <c r="I547" s="9" t="str">
        <f t="array" ref="I547">IF(H547="","",VLOOKUP(H547,_xludf.HSTACK(#REF!,#REF!),2,FALSE))</f>
        <v/>
      </c>
      <c r="J547" s="9"/>
    </row>
    <row r="548" spans="1:10" x14ac:dyDescent="0.25">
      <c r="A548" s="9" t="s">
        <v>4667</v>
      </c>
      <c r="B548" s="9" t="s">
        <v>4816</v>
      </c>
      <c r="C548" s="7" t="s">
        <v>4267</v>
      </c>
      <c r="D548" s="7" t="s">
        <v>4794</v>
      </c>
      <c r="E548" s="7" t="s">
        <v>4817</v>
      </c>
      <c r="F548" s="10" t="b">
        <v>0</v>
      </c>
      <c r="G548" s="10" t="b">
        <v>0</v>
      </c>
      <c r="H548" s="9"/>
      <c r="I548" s="9" t="str">
        <f t="array" ref="I548">IF(H548="","",VLOOKUP(H548,_xludf.HSTACK(#REF!,#REF!),2,FALSE))</f>
        <v/>
      </c>
      <c r="J548" s="9"/>
    </row>
    <row r="549" spans="1:10" x14ac:dyDescent="0.25">
      <c r="A549" s="9" t="s">
        <v>4667</v>
      </c>
      <c r="B549" s="9" t="s">
        <v>4818</v>
      </c>
      <c r="C549" s="7" t="s">
        <v>4411</v>
      </c>
      <c r="D549" s="7" t="s">
        <v>4819</v>
      </c>
      <c r="E549" s="7" t="s">
        <v>4820</v>
      </c>
      <c r="F549" s="10" t="b">
        <v>0</v>
      </c>
      <c r="G549" s="10" t="b">
        <v>0</v>
      </c>
      <c r="H549" s="9"/>
      <c r="I549" s="9" t="str">
        <f t="array" ref="I549">IF(H549="","",VLOOKUP(H549,_xludf.HSTACK(#REF!,#REF!),2,FALSE))</f>
        <v/>
      </c>
      <c r="J549" s="9"/>
    </row>
    <row r="550" spans="1:10" x14ac:dyDescent="0.25">
      <c r="A550" s="9" t="s">
        <v>4667</v>
      </c>
      <c r="B550" s="9" t="s">
        <v>4821</v>
      </c>
      <c r="C550" s="7" t="s">
        <v>96</v>
      </c>
      <c r="D550" s="7" t="s">
        <v>4822</v>
      </c>
      <c r="E550" s="7" t="s">
        <v>4823</v>
      </c>
      <c r="F550" s="10" t="b">
        <v>0</v>
      </c>
      <c r="G550" s="10" t="b">
        <v>1</v>
      </c>
      <c r="H550" s="9" t="s">
        <v>10</v>
      </c>
      <c r="I550" s="9" t="e">
        <f t="array" aca="1" ref="I550" ca="1">IF(H550="","",VLOOKUP(H550,_xludf.HSTACK(#REF!,#REF!),2,FALSE))</f>
        <v>#NAME?</v>
      </c>
      <c r="J550" s="9"/>
    </row>
    <row r="551" spans="1:10" x14ac:dyDescent="0.25">
      <c r="A551" s="9" t="s">
        <v>4667</v>
      </c>
      <c r="B551" s="9" t="s">
        <v>4824</v>
      </c>
      <c r="C551" s="7" t="s">
        <v>2717</v>
      </c>
      <c r="D551" s="7" t="s">
        <v>4825</v>
      </c>
      <c r="E551" s="7" t="s">
        <v>4826</v>
      </c>
      <c r="F551" s="10" t="b">
        <v>1</v>
      </c>
      <c r="G551" s="10" t="b">
        <v>1</v>
      </c>
      <c r="H551" s="9" t="s">
        <v>45</v>
      </c>
      <c r="I551" s="9" t="e">
        <f t="array" aca="1" ref="I551" ca="1">IF(H551="","",VLOOKUP(H551,_xludf.HSTACK(#REF!,#REF!),2,FALSE))</f>
        <v>#NAME?</v>
      </c>
      <c r="J551" s="9" t="s">
        <v>3966</v>
      </c>
    </row>
    <row r="552" spans="1:10" x14ac:dyDescent="0.25">
      <c r="A552" s="9" t="s">
        <v>4667</v>
      </c>
      <c r="B552" s="9" t="s">
        <v>4827</v>
      </c>
      <c r="C552" s="7" t="s">
        <v>2690</v>
      </c>
      <c r="D552" s="9"/>
      <c r="E552" s="7" t="s">
        <v>4828</v>
      </c>
      <c r="F552" s="10" t="b">
        <v>1</v>
      </c>
      <c r="G552" s="10" t="b">
        <v>1</v>
      </c>
      <c r="H552" s="9" t="s">
        <v>47</v>
      </c>
      <c r="I552" s="9" t="e">
        <f t="array" aca="1" ref="I552" ca="1">IF(H552="","",VLOOKUP(H552,_xludf.HSTACK(#REF!,#REF!),2,FALSE))</f>
        <v>#NAME?</v>
      </c>
      <c r="J552" s="9" t="s">
        <v>3628</v>
      </c>
    </row>
    <row r="553" spans="1:10" x14ac:dyDescent="0.25">
      <c r="A553" s="9" t="s">
        <v>4667</v>
      </c>
      <c r="B553" s="9" t="s">
        <v>4829</v>
      </c>
      <c r="C553" s="9"/>
      <c r="D553" s="9"/>
      <c r="E553" s="9"/>
      <c r="F553" s="10" t="b">
        <v>0</v>
      </c>
      <c r="G553" s="10" t="b">
        <v>1</v>
      </c>
      <c r="H553" s="9" t="s">
        <v>10</v>
      </c>
      <c r="I553" s="9" t="e">
        <f t="array" aca="1" ref="I553" ca="1">IF(H553="","",VLOOKUP(H553,_xludf.HSTACK(#REF!,#REF!),2,FALSE))</f>
        <v>#NAME?</v>
      </c>
      <c r="J553" s="9"/>
    </row>
    <row r="554" spans="1:10" x14ac:dyDescent="0.25">
      <c r="A554" s="9" t="s">
        <v>4667</v>
      </c>
      <c r="B554" s="9" t="s">
        <v>4830</v>
      </c>
      <c r="C554" s="7" t="s">
        <v>2873</v>
      </c>
      <c r="D554" s="7" t="s">
        <v>4831</v>
      </c>
      <c r="E554" s="7" t="s">
        <v>4832</v>
      </c>
      <c r="F554" s="10" t="b">
        <v>0</v>
      </c>
      <c r="G554" s="10" t="b">
        <v>1</v>
      </c>
      <c r="H554" s="9"/>
      <c r="I554" s="9" t="str">
        <f t="array" ref="I554">IF(H554="","",VLOOKUP(H554,_xludf.HSTACK(#REF!,#REF!),2,FALSE))</f>
        <v/>
      </c>
      <c r="J554" s="9"/>
    </row>
    <row r="555" spans="1:10" x14ac:dyDescent="0.25">
      <c r="A555" s="9" t="s">
        <v>4667</v>
      </c>
      <c r="B555" s="9" t="s">
        <v>4833</v>
      </c>
      <c r="C555" s="7" t="s">
        <v>2660</v>
      </c>
      <c r="D555" s="9"/>
      <c r="E555" s="7" t="s">
        <v>4834</v>
      </c>
      <c r="F555" s="10" t="b">
        <v>0</v>
      </c>
      <c r="G555" s="10" t="b">
        <v>1</v>
      </c>
      <c r="H555" s="9"/>
      <c r="I555" s="9" t="str">
        <f t="array" ref="I555">IF(H555="","",VLOOKUP(H555,_xludf.HSTACK(#REF!,#REF!),2,FALSE))</f>
        <v/>
      </c>
      <c r="J555" s="9"/>
    </row>
    <row r="556" spans="1:10" x14ac:dyDescent="0.25">
      <c r="A556" s="9" t="s">
        <v>4667</v>
      </c>
      <c r="B556" s="9" t="s">
        <v>4835</v>
      </c>
      <c r="C556" s="7" t="s">
        <v>581</v>
      </c>
      <c r="D556" s="9"/>
      <c r="E556" s="7" t="s">
        <v>4836</v>
      </c>
      <c r="F556" s="10" t="b">
        <v>0</v>
      </c>
      <c r="G556" s="10" t="b">
        <v>0</v>
      </c>
      <c r="H556" s="9"/>
      <c r="I556" s="9" t="str">
        <f t="array" ref="I556">IF(H556="","",VLOOKUP(H556,_xludf.HSTACK(#REF!,#REF!),2,FALSE))</f>
        <v/>
      </c>
      <c r="J556" s="9"/>
    </row>
    <row r="557" spans="1:10" x14ac:dyDescent="0.25">
      <c r="A557" s="9" t="s">
        <v>4667</v>
      </c>
      <c r="B557" s="9" t="s">
        <v>4837</v>
      </c>
      <c r="C557" s="7" t="s">
        <v>581</v>
      </c>
      <c r="D557" s="9"/>
      <c r="E557" s="7" t="s">
        <v>4838</v>
      </c>
      <c r="F557" s="10" t="b">
        <v>0</v>
      </c>
      <c r="G557" s="10" t="b">
        <v>0</v>
      </c>
      <c r="H557" s="9"/>
      <c r="I557" s="9" t="str">
        <f t="array" ref="I557">IF(H557="","",VLOOKUP(H557,_xludf.HSTACK(#REF!,#REF!),2,FALSE))</f>
        <v/>
      </c>
      <c r="J557" s="9"/>
    </row>
    <row r="558" spans="1:10" x14ac:dyDescent="0.25">
      <c r="A558" s="9" t="s">
        <v>4667</v>
      </c>
      <c r="B558" s="9" t="s">
        <v>4839</v>
      </c>
      <c r="C558" s="7" t="s">
        <v>2835</v>
      </c>
      <c r="D558" s="7" t="s">
        <v>4840</v>
      </c>
      <c r="E558" s="7" t="s">
        <v>4841</v>
      </c>
      <c r="F558" s="10" t="b">
        <v>0</v>
      </c>
      <c r="G558" s="10" t="b">
        <v>1</v>
      </c>
      <c r="H558" s="9"/>
      <c r="I558" s="9" t="str">
        <f t="array" ref="I558">IF(H558="","",VLOOKUP(H558,_xludf.HSTACK(#REF!,#REF!),2,FALSE))</f>
        <v/>
      </c>
      <c r="J558" s="9"/>
    </row>
    <row r="559" spans="1:10" x14ac:dyDescent="0.25">
      <c r="A559" s="9" t="s">
        <v>4667</v>
      </c>
      <c r="B559" s="9" t="s">
        <v>4842</v>
      </c>
      <c r="C559" s="7" t="s">
        <v>4843</v>
      </c>
      <c r="D559" s="7" t="s">
        <v>4809</v>
      </c>
      <c r="E559" s="7" t="s">
        <v>4844</v>
      </c>
      <c r="F559" s="10" t="b">
        <v>1</v>
      </c>
      <c r="G559" s="10" t="b">
        <v>1</v>
      </c>
      <c r="H559" s="9" t="s">
        <v>55</v>
      </c>
      <c r="I559" s="9" t="e">
        <f t="array" aca="1" ref="I559" ca="1">IF(H559="","",VLOOKUP(H559,_xludf.HSTACK(#REF!,#REF!),2,FALSE))</f>
        <v>#NAME?</v>
      </c>
      <c r="J559" s="9" t="s">
        <v>3792</v>
      </c>
    </row>
    <row r="560" spans="1:10" x14ac:dyDescent="0.25">
      <c r="A560" s="9" t="s">
        <v>4667</v>
      </c>
      <c r="B560" s="9" t="s">
        <v>4845</v>
      </c>
      <c r="C560" s="7" t="s">
        <v>2827</v>
      </c>
      <c r="D560" s="7" t="s">
        <v>4846</v>
      </c>
      <c r="E560" s="7" t="s">
        <v>4847</v>
      </c>
      <c r="F560" s="10" t="b">
        <v>1</v>
      </c>
      <c r="G560" s="10" t="b">
        <v>1</v>
      </c>
      <c r="H560" s="9" t="s">
        <v>55</v>
      </c>
      <c r="I560" s="9" t="e">
        <f t="array" aca="1" ref="I560" ca="1">IF(H560="","",VLOOKUP(H560,_xludf.HSTACK(#REF!,#REF!),2,FALSE))</f>
        <v>#NAME?</v>
      </c>
      <c r="J560" s="9" t="s">
        <v>3792</v>
      </c>
    </row>
    <row r="561" spans="1:10" x14ac:dyDescent="0.25">
      <c r="A561" s="9" t="s">
        <v>4667</v>
      </c>
      <c r="B561" s="9" t="s">
        <v>4848</v>
      </c>
      <c r="C561" s="7" t="s">
        <v>4849</v>
      </c>
      <c r="D561" s="7" t="s">
        <v>4812</v>
      </c>
      <c r="E561" s="7" t="s">
        <v>4850</v>
      </c>
      <c r="F561" s="10" t="b">
        <v>1</v>
      </c>
      <c r="G561" s="10" t="b">
        <v>1</v>
      </c>
      <c r="H561" s="9" t="s">
        <v>50</v>
      </c>
      <c r="I561" s="9" t="e">
        <f t="array" aca="1" ref="I561" ca="1">IF(H561="","",VLOOKUP(H561,_xludf.HSTACK(#REF!,#REF!),2,FALSE))</f>
        <v>#NAME?</v>
      </c>
      <c r="J561" s="9" t="s">
        <v>3792</v>
      </c>
    </row>
    <row r="562" spans="1:10" x14ac:dyDescent="0.25">
      <c r="A562" s="9" t="s">
        <v>4667</v>
      </c>
      <c r="B562" s="9" t="s">
        <v>4851</v>
      </c>
      <c r="C562" s="7" t="s">
        <v>2827</v>
      </c>
      <c r="D562" s="7" t="s">
        <v>4852</v>
      </c>
      <c r="E562" s="7" t="s">
        <v>4853</v>
      </c>
      <c r="F562" s="10" t="b">
        <v>1</v>
      </c>
      <c r="G562" s="10" t="b">
        <v>1</v>
      </c>
      <c r="H562" s="9" t="s">
        <v>50</v>
      </c>
      <c r="I562" s="9" t="e">
        <f t="array" aca="1" ref="I562" ca="1">IF(H562="","",VLOOKUP(H562,_xludf.HSTACK(#REF!,#REF!),2,FALSE))</f>
        <v>#NAME?</v>
      </c>
      <c r="J562" s="9" t="s">
        <v>3792</v>
      </c>
    </row>
    <row r="563" spans="1:10" x14ac:dyDescent="0.25">
      <c r="A563" s="9" t="s">
        <v>4667</v>
      </c>
      <c r="B563" s="9" t="s">
        <v>4854</v>
      </c>
      <c r="C563" s="7" t="s">
        <v>4855</v>
      </c>
      <c r="D563" s="7" t="s">
        <v>4767</v>
      </c>
      <c r="E563" s="7" t="s">
        <v>4856</v>
      </c>
      <c r="F563" s="10" t="b">
        <v>1</v>
      </c>
      <c r="G563" s="10" t="b">
        <v>1</v>
      </c>
      <c r="H563" s="9" t="s">
        <v>51</v>
      </c>
      <c r="I563" s="9" t="e">
        <f t="array" aca="1" ref="I563" ca="1">IF(H563="","",VLOOKUP(H563,_xludf.HSTACK(#REF!,#REF!),2,FALSE))</f>
        <v>#NAME?</v>
      </c>
      <c r="J563" s="9" t="s">
        <v>3792</v>
      </c>
    </row>
    <row r="564" spans="1:10" x14ac:dyDescent="0.25">
      <c r="A564" s="9" t="s">
        <v>4667</v>
      </c>
      <c r="B564" s="9" t="s">
        <v>4857</v>
      </c>
      <c r="C564" s="7" t="s">
        <v>4843</v>
      </c>
      <c r="D564" s="7" t="s">
        <v>4782</v>
      </c>
      <c r="E564" s="7" t="s">
        <v>4858</v>
      </c>
      <c r="F564" s="10" t="b">
        <v>1</v>
      </c>
      <c r="G564" s="10" t="b">
        <v>1</v>
      </c>
      <c r="H564" s="9" t="s">
        <v>54</v>
      </c>
      <c r="I564" s="9" t="e">
        <f t="array" aca="1" ref="I564" ca="1">IF(H564="","",VLOOKUP(H564,_xludf.HSTACK(#REF!,#REF!),2,FALSE))</f>
        <v>#NAME?</v>
      </c>
      <c r="J564" s="9" t="s">
        <v>3792</v>
      </c>
    </row>
    <row r="565" spans="1:10" x14ac:dyDescent="0.25">
      <c r="A565" s="9" t="s">
        <v>4667</v>
      </c>
      <c r="B565" s="9" t="s">
        <v>4859</v>
      </c>
      <c r="C565" s="7" t="s">
        <v>4267</v>
      </c>
      <c r="D565" s="7" t="s">
        <v>4789</v>
      </c>
      <c r="E565" s="7" t="s">
        <v>4860</v>
      </c>
      <c r="F565" s="10" t="b">
        <v>1</v>
      </c>
      <c r="G565" s="10" t="b">
        <v>0</v>
      </c>
      <c r="H565" s="9" t="s">
        <v>58</v>
      </c>
      <c r="I565" s="9" t="e">
        <f t="array" aca="1" ref="I565" ca="1">IF(H565="","",VLOOKUP(H565,_xludf.HSTACK(#REF!,#REF!),2,FALSE))</f>
        <v>#NAME?</v>
      </c>
      <c r="J565" s="9" t="s">
        <v>3792</v>
      </c>
    </row>
    <row r="566" spans="1:10" x14ac:dyDescent="0.25">
      <c r="A566" s="9" t="s">
        <v>4667</v>
      </c>
      <c r="B566" s="9" t="s">
        <v>4861</v>
      </c>
      <c r="C566" s="7" t="s">
        <v>4843</v>
      </c>
      <c r="D566" s="7" t="s">
        <v>4794</v>
      </c>
      <c r="E566" s="7" t="s">
        <v>4862</v>
      </c>
      <c r="F566" s="10" t="b">
        <v>1</v>
      </c>
      <c r="G566" s="10" t="b">
        <v>0</v>
      </c>
      <c r="H566" s="9" t="s">
        <v>56</v>
      </c>
      <c r="I566" s="9" t="e">
        <f t="array" aca="1" ref="I566" ca="1">IF(H566="","",VLOOKUP(H566,_xludf.HSTACK(#REF!,#REF!),2,FALSE))</f>
        <v>#NAME?</v>
      </c>
      <c r="J566" s="9" t="s">
        <v>3792</v>
      </c>
    </row>
    <row r="567" spans="1:10" x14ac:dyDescent="0.25">
      <c r="A567" s="9" t="s">
        <v>4667</v>
      </c>
      <c r="B567" s="9" t="s">
        <v>4863</v>
      </c>
      <c r="C567" s="7" t="s">
        <v>4267</v>
      </c>
      <c r="D567" s="7" t="s">
        <v>4819</v>
      </c>
      <c r="E567" s="7" t="s">
        <v>4864</v>
      </c>
      <c r="F567" s="10" t="b">
        <v>0</v>
      </c>
      <c r="G567" s="10" t="b">
        <v>0</v>
      </c>
      <c r="H567" s="9" t="s">
        <v>38</v>
      </c>
      <c r="I567" s="9" t="e">
        <f t="array" aca="1" ref="I567" ca="1">IF(H567="","",VLOOKUP(H567,_xludf.HSTACK(#REF!,#REF!),2,FALSE))</f>
        <v>#NAME?</v>
      </c>
      <c r="J567" s="9"/>
    </row>
    <row r="568" spans="1:10" x14ac:dyDescent="0.25">
      <c r="A568" s="9" t="s">
        <v>4667</v>
      </c>
      <c r="B568" s="9" t="s">
        <v>4865</v>
      </c>
      <c r="C568" s="7" t="s">
        <v>4866</v>
      </c>
      <c r="D568" s="7" t="s">
        <v>4867</v>
      </c>
      <c r="E568" s="7" t="s">
        <v>4868</v>
      </c>
      <c r="F568" s="10" t="b">
        <v>0</v>
      </c>
      <c r="G568" s="10" t="b">
        <v>1</v>
      </c>
      <c r="H568" s="9"/>
      <c r="I568" s="9" t="str">
        <f t="array" ref="I568">IF(H568="","",VLOOKUP(H568,_xludf.HSTACK(#REF!,#REF!),2,FALSE))</f>
        <v/>
      </c>
      <c r="J568" s="9"/>
    </row>
    <row r="569" spans="1:10" x14ac:dyDescent="0.25">
      <c r="A569" s="9" t="s">
        <v>4667</v>
      </c>
      <c r="B569" s="9" t="s">
        <v>4869</v>
      </c>
      <c r="C569" s="7" t="s">
        <v>2628</v>
      </c>
      <c r="D569" s="7" t="s">
        <v>4870</v>
      </c>
      <c r="E569" s="7" t="s">
        <v>4871</v>
      </c>
      <c r="F569" s="10" t="b">
        <v>0</v>
      </c>
      <c r="G569" s="10" t="b">
        <v>1</v>
      </c>
      <c r="H569" s="9"/>
      <c r="I569" s="9" t="str">
        <f t="array" ref="I569">IF(H569="","",VLOOKUP(H569,_xludf.HSTACK(#REF!,#REF!),2,FALSE))</f>
        <v/>
      </c>
      <c r="J569" s="9"/>
    </row>
    <row r="570" spans="1:10" x14ac:dyDescent="0.25">
      <c r="A570" s="9" t="s">
        <v>4667</v>
      </c>
      <c r="B570" s="9" t="s">
        <v>4872</v>
      </c>
      <c r="C570" s="7" t="s">
        <v>4873</v>
      </c>
      <c r="D570" s="7" t="s">
        <v>4874</v>
      </c>
      <c r="E570" s="7" t="s">
        <v>4875</v>
      </c>
      <c r="F570" s="10" t="b">
        <v>0</v>
      </c>
      <c r="G570" s="10" t="b">
        <v>1</v>
      </c>
      <c r="H570" s="9" t="s">
        <v>62</v>
      </c>
      <c r="I570" s="9" t="e">
        <f t="array" aca="1" ref="I570" ca="1">IF(H570="","",VLOOKUP(H570,_xludf.HSTACK(#REF!,#REF!),2,FALSE))</f>
        <v>#NAME?</v>
      </c>
      <c r="J570" s="9"/>
    </row>
    <row r="571" spans="1:10" x14ac:dyDescent="0.25">
      <c r="A571" s="9" t="s">
        <v>4667</v>
      </c>
      <c r="B571" s="9" t="s">
        <v>4876</v>
      </c>
      <c r="C571" s="7" t="s">
        <v>2707</v>
      </c>
      <c r="D571" s="7" t="s">
        <v>4877</v>
      </c>
      <c r="E571" s="9"/>
      <c r="F571" s="10" t="b">
        <v>0</v>
      </c>
      <c r="G571" s="10" t="b">
        <v>1</v>
      </c>
      <c r="H571" s="9"/>
      <c r="I571" s="9" t="str">
        <f t="array" ref="I571">IF(H571="","",VLOOKUP(H571,_xludf.HSTACK(#REF!,#REF!),2,FALSE))</f>
        <v/>
      </c>
      <c r="J571" s="9"/>
    </row>
    <row r="572" spans="1:10" x14ac:dyDescent="0.25">
      <c r="A572" s="9" t="s">
        <v>4667</v>
      </c>
      <c r="B572" s="9" t="s">
        <v>4878</v>
      </c>
      <c r="C572" s="7" t="s">
        <v>2690</v>
      </c>
      <c r="D572" s="9"/>
      <c r="E572" s="7" t="s">
        <v>4879</v>
      </c>
      <c r="F572" s="10" t="b">
        <v>0</v>
      </c>
      <c r="G572" s="10" t="b">
        <v>1</v>
      </c>
      <c r="H572" s="9" t="s">
        <v>6</v>
      </c>
      <c r="I572" s="9" t="e">
        <f t="array" aca="1" ref="I572" ca="1">IF(H572="","",VLOOKUP(H572,_xludf.HSTACK(#REF!,#REF!),2,FALSE))</f>
        <v>#NAME?</v>
      </c>
      <c r="J572" s="9"/>
    </row>
    <row r="573" spans="1:10" x14ac:dyDescent="0.25">
      <c r="A573" s="9" t="s">
        <v>4667</v>
      </c>
      <c r="B573" s="9" t="s">
        <v>4880</v>
      </c>
      <c r="C573" s="7" t="s">
        <v>2656</v>
      </c>
      <c r="D573" s="9"/>
      <c r="E573" s="7" t="s">
        <v>4881</v>
      </c>
      <c r="F573" s="10" t="b">
        <v>0</v>
      </c>
      <c r="G573" s="10" t="b">
        <v>1</v>
      </c>
      <c r="H573" s="9"/>
      <c r="I573" s="9" t="str">
        <f t="array" ref="I573">IF(H573="","",VLOOKUP(H573,_xludf.HSTACK(#REF!,#REF!),2,FALSE))</f>
        <v/>
      </c>
      <c r="J573" s="9"/>
    </row>
    <row r="574" spans="1:10" x14ac:dyDescent="0.25">
      <c r="A574" s="11" t="s">
        <v>4882</v>
      </c>
      <c r="B574" s="11" t="s">
        <v>4883</v>
      </c>
      <c r="C574" s="12" t="s">
        <v>2539</v>
      </c>
      <c r="D574" s="11"/>
      <c r="E574" s="12" t="s">
        <v>4884</v>
      </c>
      <c r="F574" s="13" t="b">
        <v>0</v>
      </c>
      <c r="G574" s="13" t="b">
        <v>1</v>
      </c>
      <c r="H574" s="11" t="s">
        <v>32</v>
      </c>
      <c r="I574" s="11" t="e">
        <f t="array" aca="1" ref="I574" ca="1">IF(H574="","",VLOOKUP(H574,_xludf.HSTACK(#REF!,#REF!),2,FALSE))</f>
        <v>#NAME?</v>
      </c>
      <c r="J574" s="11"/>
    </row>
    <row r="575" spans="1:10" x14ac:dyDescent="0.25">
      <c r="A575" s="11" t="s">
        <v>4882</v>
      </c>
      <c r="B575" s="11" t="s">
        <v>4885</v>
      </c>
      <c r="C575" s="12" t="s">
        <v>2531</v>
      </c>
      <c r="D575" s="11"/>
      <c r="E575" s="12" t="s">
        <v>4886</v>
      </c>
      <c r="F575" s="13" t="b">
        <v>0</v>
      </c>
      <c r="G575" s="13" t="b">
        <v>1</v>
      </c>
      <c r="H575" s="11" t="s">
        <v>30</v>
      </c>
      <c r="I575" s="11" t="e">
        <f t="array" aca="1" ref="I575" ca="1">IF(H575="","",VLOOKUP(H575,_xludf.HSTACK(#REF!,#REF!),2,FALSE))</f>
        <v>#NAME?</v>
      </c>
      <c r="J575" s="11"/>
    </row>
    <row r="576" spans="1:10" x14ac:dyDescent="0.25">
      <c r="A576" s="11" t="s">
        <v>4882</v>
      </c>
      <c r="B576" s="11" t="s">
        <v>4887</v>
      </c>
      <c r="C576" s="12" t="s">
        <v>2531</v>
      </c>
      <c r="D576" s="11"/>
      <c r="E576" s="12" t="s">
        <v>4888</v>
      </c>
      <c r="F576" s="13" t="b">
        <v>0</v>
      </c>
      <c r="G576" s="13" t="b">
        <v>1</v>
      </c>
      <c r="H576" s="11" t="s">
        <v>28</v>
      </c>
      <c r="I576" s="11" t="e">
        <f t="array" aca="1" ref="I576" ca="1">IF(H576="","",VLOOKUP(H576,_xludf.HSTACK(#REF!,#REF!),2,FALSE))</f>
        <v>#NAME?</v>
      </c>
      <c r="J576" s="11"/>
    </row>
    <row r="577" spans="1:10" x14ac:dyDescent="0.25">
      <c r="A577" s="11" t="s">
        <v>4882</v>
      </c>
      <c r="B577" s="11" t="s">
        <v>4889</v>
      </c>
      <c r="C577" s="12" t="s">
        <v>2539</v>
      </c>
      <c r="D577" s="11"/>
      <c r="E577" s="12" t="s">
        <v>4890</v>
      </c>
      <c r="F577" s="13" t="b">
        <v>0</v>
      </c>
      <c r="G577" s="13" t="b">
        <v>1</v>
      </c>
      <c r="H577" s="11" t="s">
        <v>26</v>
      </c>
      <c r="I577" s="11" t="e">
        <f t="array" aca="1" ref="I577" ca="1">IF(H577="","",VLOOKUP(H577,_xludf.HSTACK(#REF!,#REF!),2,FALSE))</f>
        <v>#NAME?</v>
      </c>
      <c r="J577" s="11"/>
    </row>
    <row r="578" spans="1:10" x14ac:dyDescent="0.25">
      <c r="A578" s="11" t="s">
        <v>4882</v>
      </c>
      <c r="B578" s="11" t="s">
        <v>4891</v>
      </c>
      <c r="C578" s="12" t="s">
        <v>2531</v>
      </c>
      <c r="D578" s="11"/>
      <c r="E578" s="12" t="s">
        <v>4892</v>
      </c>
      <c r="F578" s="13" t="b">
        <v>0</v>
      </c>
      <c r="G578" s="13" t="b">
        <v>1</v>
      </c>
      <c r="H578" s="11" t="s">
        <v>31</v>
      </c>
      <c r="I578" s="11" t="e">
        <f t="array" aca="1" ref="I578" ca="1">IF(H578="","",VLOOKUP(H578,_xludf.HSTACK(#REF!,#REF!),2,FALSE))</f>
        <v>#NAME?</v>
      </c>
      <c r="J578" s="11"/>
    </row>
    <row r="579" spans="1:10" x14ac:dyDescent="0.25">
      <c r="A579" s="11" t="s">
        <v>4882</v>
      </c>
      <c r="B579" s="11" t="s">
        <v>4893</v>
      </c>
      <c r="C579" s="12" t="s">
        <v>2539</v>
      </c>
      <c r="D579" s="11"/>
      <c r="E579" s="12" t="s">
        <v>4894</v>
      </c>
      <c r="F579" s="13" t="b">
        <v>0</v>
      </c>
      <c r="G579" s="13" t="b">
        <v>1</v>
      </c>
      <c r="H579" s="11" t="s">
        <v>29</v>
      </c>
      <c r="I579" s="11" t="e">
        <f t="array" aca="1" ref="I579" ca="1">IF(H579="","",VLOOKUP(H579,_xludf.HSTACK(#REF!,#REF!),2,FALSE))</f>
        <v>#NAME?</v>
      </c>
      <c r="J579" s="11"/>
    </row>
    <row r="580" spans="1:10" x14ac:dyDescent="0.25">
      <c r="A580" s="11" t="s">
        <v>4882</v>
      </c>
      <c r="B580" s="11" t="s">
        <v>4895</v>
      </c>
      <c r="C580" s="12" t="s">
        <v>4896</v>
      </c>
      <c r="D580" s="11"/>
      <c r="E580" s="12" t="s">
        <v>4897</v>
      </c>
      <c r="F580" s="13" t="b">
        <v>0</v>
      </c>
      <c r="G580" s="13" t="b">
        <v>1</v>
      </c>
      <c r="H580" s="11"/>
      <c r="I580" s="11" t="str">
        <f t="array" ref="I580">IF(H580="","",VLOOKUP(H580,_xludf.HSTACK(#REF!,#REF!),2,FALSE))</f>
        <v/>
      </c>
      <c r="J580" s="11"/>
    </row>
    <row r="581" spans="1:10" x14ac:dyDescent="0.25">
      <c r="A581" s="11" t="s">
        <v>4882</v>
      </c>
      <c r="B581" s="11" t="s">
        <v>4898</v>
      </c>
      <c r="C581" s="12" t="s">
        <v>2574</v>
      </c>
      <c r="D581" s="12" t="s">
        <v>4899</v>
      </c>
      <c r="E581" s="12" t="s">
        <v>4900</v>
      </c>
      <c r="F581" s="13" t="b">
        <v>0</v>
      </c>
      <c r="G581" s="13" t="b">
        <v>1</v>
      </c>
      <c r="H581" s="11"/>
      <c r="I581" s="11" t="str">
        <f t="array" ref="I581">IF(H581="","",VLOOKUP(H581,_xludf.HSTACK(#REF!,#REF!),2,FALSE))</f>
        <v/>
      </c>
      <c r="J581" s="11"/>
    </row>
    <row r="582" spans="1:10" x14ac:dyDescent="0.25">
      <c r="A582" s="11" t="s">
        <v>4882</v>
      </c>
      <c r="B582" s="11" t="s">
        <v>4901</v>
      </c>
      <c r="C582" s="12" t="s">
        <v>2574</v>
      </c>
      <c r="D582" s="12" t="s">
        <v>4902</v>
      </c>
      <c r="E582" s="12" t="s">
        <v>4903</v>
      </c>
      <c r="F582" s="13" t="b">
        <v>0</v>
      </c>
      <c r="G582" s="13" t="b">
        <v>1</v>
      </c>
      <c r="H582" s="11" t="s">
        <v>58</v>
      </c>
      <c r="I582" s="11" t="e">
        <f t="array" aca="1" ref="I582" ca="1">IF(H582="","",VLOOKUP(H582,_xludf.HSTACK(#REF!,#REF!),2,FALSE))</f>
        <v>#NAME?</v>
      </c>
      <c r="J582" s="11"/>
    </row>
    <row r="583" spans="1:10" x14ac:dyDescent="0.25">
      <c r="A583" s="11" t="s">
        <v>4882</v>
      </c>
      <c r="B583" s="11" t="s">
        <v>4904</v>
      </c>
      <c r="C583" s="12" t="s">
        <v>2574</v>
      </c>
      <c r="D583" s="12" t="s">
        <v>4905</v>
      </c>
      <c r="E583" s="12" t="s">
        <v>4906</v>
      </c>
      <c r="F583" s="13" t="b">
        <v>0</v>
      </c>
      <c r="G583" s="13" t="b">
        <v>1</v>
      </c>
      <c r="H583" s="11"/>
      <c r="I583" s="11" t="str">
        <f t="array" ref="I583">IF(H583="","",VLOOKUP(H583,_xludf.HSTACK(#REF!,#REF!),2,FALSE))</f>
        <v/>
      </c>
      <c r="J583" s="11"/>
    </row>
    <row r="584" spans="1:10" x14ac:dyDescent="0.25">
      <c r="A584" s="11" t="s">
        <v>4882</v>
      </c>
      <c r="B584" s="11" t="s">
        <v>4907</v>
      </c>
      <c r="C584" s="12" t="s">
        <v>2574</v>
      </c>
      <c r="D584" s="12" t="s">
        <v>4908</v>
      </c>
      <c r="E584" s="12" t="s">
        <v>4909</v>
      </c>
      <c r="F584" s="13" t="b">
        <v>0</v>
      </c>
      <c r="G584" s="13" t="b">
        <v>1</v>
      </c>
      <c r="H584" s="11" t="s">
        <v>55</v>
      </c>
      <c r="I584" s="11" t="e">
        <f t="array" aca="1" ref="I584" ca="1">IF(H584="","",VLOOKUP(H584,_xludf.HSTACK(#REF!,#REF!),2,FALSE))</f>
        <v>#NAME?</v>
      </c>
      <c r="J584" s="11"/>
    </row>
    <row r="585" spans="1:10" x14ac:dyDescent="0.25">
      <c r="A585" s="11" t="s">
        <v>4882</v>
      </c>
      <c r="B585" s="11" t="s">
        <v>4910</v>
      </c>
      <c r="C585" s="12" t="s">
        <v>2574</v>
      </c>
      <c r="D585" s="12" t="s">
        <v>4911</v>
      </c>
      <c r="E585" s="12" t="s">
        <v>4900</v>
      </c>
      <c r="F585" s="13" t="b">
        <v>0</v>
      </c>
      <c r="G585" s="13" t="b">
        <v>1</v>
      </c>
      <c r="H585" s="11"/>
      <c r="I585" s="11" t="str">
        <f t="array" ref="I585">IF(H585="","",VLOOKUP(H585,_xludf.HSTACK(#REF!,#REF!),2,FALSE))</f>
        <v/>
      </c>
      <c r="J585" s="11"/>
    </row>
    <row r="586" spans="1:10" x14ac:dyDescent="0.25">
      <c r="A586" s="11" t="s">
        <v>4882</v>
      </c>
      <c r="B586" s="11" t="s">
        <v>4912</v>
      </c>
      <c r="C586" s="12" t="s">
        <v>2574</v>
      </c>
      <c r="D586" s="12" t="s">
        <v>4913</v>
      </c>
      <c r="E586" s="12" t="s">
        <v>4914</v>
      </c>
      <c r="F586" s="13" t="b">
        <v>0</v>
      </c>
      <c r="G586" s="13" t="b">
        <v>1</v>
      </c>
      <c r="H586" s="11" t="s">
        <v>51</v>
      </c>
      <c r="I586" s="11" t="e">
        <f t="array" aca="1" ref="I586" ca="1">IF(H586="","",VLOOKUP(H586,_xludf.HSTACK(#REF!,#REF!),2,FALSE))</f>
        <v>#NAME?</v>
      </c>
      <c r="J586" s="11"/>
    </row>
    <row r="587" spans="1:10" x14ac:dyDescent="0.25">
      <c r="A587" s="11" t="s">
        <v>4882</v>
      </c>
      <c r="B587" s="11" t="s">
        <v>4915</v>
      </c>
      <c r="C587" s="12" t="s">
        <v>2574</v>
      </c>
      <c r="D587" s="12" t="s">
        <v>4916</v>
      </c>
      <c r="E587" s="12" t="s">
        <v>4917</v>
      </c>
      <c r="F587" s="13" t="b">
        <v>0</v>
      </c>
      <c r="G587" s="13" t="b">
        <v>1</v>
      </c>
      <c r="H587" s="11"/>
      <c r="I587" s="11" t="str">
        <f t="array" ref="I587">IF(H587="","",VLOOKUP(H587,_xludf.HSTACK(#REF!,#REF!),2,FALSE))</f>
        <v/>
      </c>
      <c r="J587" s="11"/>
    </row>
    <row r="588" spans="1:10" x14ac:dyDescent="0.25">
      <c r="A588" s="11" t="s">
        <v>4882</v>
      </c>
      <c r="B588" s="11" t="s">
        <v>4918</v>
      </c>
      <c r="C588" s="12" t="s">
        <v>2574</v>
      </c>
      <c r="D588" s="12" t="s">
        <v>4919</v>
      </c>
      <c r="E588" s="12" t="s">
        <v>4920</v>
      </c>
      <c r="F588" s="13" t="b">
        <v>0</v>
      </c>
      <c r="G588" s="13" t="b">
        <v>1</v>
      </c>
      <c r="H588" s="11" t="s">
        <v>50</v>
      </c>
      <c r="I588" s="11" t="e">
        <f t="array" aca="1" ref="I588" ca="1">IF(H588="","",VLOOKUP(H588,_xludf.HSTACK(#REF!,#REF!),2,FALSE))</f>
        <v>#NAME?</v>
      </c>
      <c r="J588" s="11"/>
    </row>
    <row r="589" spans="1:10" x14ac:dyDescent="0.25">
      <c r="A589" s="11" t="s">
        <v>4882</v>
      </c>
      <c r="B589" s="11" t="s">
        <v>4921</v>
      </c>
      <c r="C589" s="12" t="s">
        <v>2574</v>
      </c>
      <c r="D589" s="12" t="s">
        <v>4922</v>
      </c>
      <c r="E589" s="12" t="s">
        <v>4917</v>
      </c>
      <c r="F589" s="13" t="b">
        <v>0</v>
      </c>
      <c r="G589" s="13" t="b">
        <v>1</v>
      </c>
      <c r="H589" s="11"/>
      <c r="I589" s="11" t="str">
        <f t="array" ref="I589">IF(H589="","",VLOOKUP(H589,_xludf.HSTACK(#REF!,#REF!),2,FALSE))</f>
        <v/>
      </c>
      <c r="J589" s="11"/>
    </row>
    <row r="590" spans="1:10" x14ac:dyDescent="0.25">
      <c r="A590" s="11" t="s">
        <v>4882</v>
      </c>
      <c r="B590" s="11" t="s">
        <v>4923</v>
      </c>
      <c r="C590" s="12" t="s">
        <v>2574</v>
      </c>
      <c r="D590" s="12" t="s">
        <v>4924</v>
      </c>
      <c r="E590" s="12" t="s">
        <v>4925</v>
      </c>
      <c r="F590" s="13" t="b">
        <v>0</v>
      </c>
      <c r="G590" s="13" t="b">
        <v>1</v>
      </c>
      <c r="H590" s="11" t="s">
        <v>56</v>
      </c>
      <c r="I590" s="11" t="e">
        <f t="array" aca="1" ref="I590" ca="1">IF(H590="","",VLOOKUP(H590,_xludf.HSTACK(#REF!,#REF!),2,FALSE))</f>
        <v>#NAME?</v>
      </c>
      <c r="J590" s="11"/>
    </row>
    <row r="591" spans="1:10" x14ac:dyDescent="0.25">
      <c r="A591" s="11" t="s">
        <v>4882</v>
      </c>
      <c r="B591" s="11" t="s">
        <v>4926</v>
      </c>
      <c r="C591" s="12" t="s">
        <v>2574</v>
      </c>
      <c r="D591" s="12" t="s">
        <v>4927</v>
      </c>
      <c r="E591" s="12" t="s">
        <v>4928</v>
      </c>
      <c r="F591" s="13" t="b">
        <v>0</v>
      </c>
      <c r="G591" s="13" t="b">
        <v>1</v>
      </c>
      <c r="H591" s="11"/>
      <c r="I591" s="11" t="str">
        <f t="array" ref="I591">IF(H591="","",VLOOKUP(H591,_xludf.HSTACK(#REF!,#REF!),2,FALSE))</f>
        <v/>
      </c>
      <c r="J591" s="11"/>
    </row>
    <row r="592" spans="1:10" x14ac:dyDescent="0.25">
      <c r="A592" s="11" t="s">
        <v>4882</v>
      </c>
      <c r="B592" s="11" t="s">
        <v>4929</v>
      </c>
      <c r="C592" s="12" t="s">
        <v>2574</v>
      </c>
      <c r="D592" s="12" t="s">
        <v>4930</v>
      </c>
      <c r="E592" s="12" t="s">
        <v>4928</v>
      </c>
      <c r="F592" s="13" t="b">
        <v>0</v>
      </c>
      <c r="G592" s="13" t="b">
        <v>1</v>
      </c>
      <c r="H592" s="11" t="s">
        <v>54</v>
      </c>
      <c r="I592" s="11" t="e">
        <f t="array" aca="1" ref="I592" ca="1">IF(H592="","",VLOOKUP(H592,_xludf.HSTACK(#REF!,#REF!),2,FALSE))</f>
        <v>#NAME?</v>
      </c>
      <c r="J592" s="11"/>
    </row>
    <row r="593" spans="1:10" x14ac:dyDescent="0.25">
      <c r="A593" s="11" t="s">
        <v>4882</v>
      </c>
      <c r="B593" s="11" t="s">
        <v>4931</v>
      </c>
      <c r="C593" s="12" t="s">
        <v>4896</v>
      </c>
      <c r="D593" s="11"/>
      <c r="E593" s="12" t="s">
        <v>4932</v>
      </c>
      <c r="F593" s="13" t="b">
        <v>0</v>
      </c>
      <c r="G593" s="13" t="b">
        <v>1</v>
      </c>
      <c r="H593" s="11" t="s">
        <v>35</v>
      </c>
      <c r="I593" s="11" t="e">
        <f t="array" aca="1" ref="I593" ca="1">IF(H593="","",VLOOKUP(H593,_xludf.HSTACK(#REF!,#REF!),2,FALSE))</f>
        <v>#NAME?</v>
      </c>
      <c r="J593" s="11"/>
    </row>
    <row r="594" spans="1:10" x14ac:dyDescent="0.25">
      <c r="A594" s="11" t="s">
        <v>4882</v>
      </c>
      <c r="B594" s="11" t="s">
        <v>4933</v>
      </c>
      <c r="C594" s="12" t="s">
        <v>2600</v>
      </c>
      <c r="D594" s="12" t="s">
        <v>4934</v>
      </c>
      <c r="E594" s="12" t="s">
        <v>4935</v>
      </c>
      <c r="F594" s="13" t="b">
        <v>0</v>
      </c>
      <c r="G594" s="13" t="b">
        <v>1</v>
      </c>
      <c r="H594" s="11" t="s">
        <v>67</v>
      </c>
      <c r="I594" s="11" t="e">
        <f t="array" aca="1" ref="I594" ca="1">IF(H594="","",VLOOKUP(H594,_xludf.HSTACK(#REF!,#REF!),2,FALSE))</f>
        <v>#NAME?</v>
      </c>
      <c r="J594" s="11"/>
    </row>
    <row r="595" spans="1:10" x14ac:dyDescent="0.25">
      <c r="A595" s="11" t="s">
        <v>4882</v>
      </c>
      <c r="B595" s="11" t="s">
        <v>4936</v>
      </c>
      <c r="C595" s="12" t="s">
        <v>2600</v>
      </c>
      <c r="D595" s="12" t="s">
        <v>4937</v>
      </c>
      <c r="E595" s="12" t="s">
        <v>4938</v>
      </c>
      <c r="F595" s="13" t="b">
        <v>0</v>
      </c>
      <c r="G595" s="13" t="b">
        <v>1</v>
      </c>
      <c r="H595" s="11" t="s">
        <v>70</v>
      </c>
      <c r="I595" s="11" t="e">
        <f t="array" aca="1" ref="I595" ca="1">IF(H595="","",VLOOKUP(H595,_xludf.HSTACK(#REF!,#REF!),2,FALSE))</f>
        <v>#NAME?</v>
      </c>
      <c r="J595" s="11"/>
    </row>
    <row r="596" spans="1:10" x14ac:dyDescent="0.25">
      <c r="A596" s="11" t="s">
        <v>4882</v>
      </c>
      <c r="B596" s="11" t="s">
        <v>4939</v>
      </c>
      <c r="C596" s="12" t="s">
        <v>2600</v>
      </c>
      <c r="D596" s="12" t="s">
        <v>4940</v>
      </c>
      <c r="E596" s="12" t="s">
        <v>4941</v>
      </c>
      <c r="F596" s="13" t="b">
        <v>0</v>
      </c>
      <c r="G596" s="13" t="b">
        <v>1</v>
      </c>
      <c r="H596" s="11" t="s">
        <v>66</v>
      </c>
      <c r="I596" s="11" t="e">
        <f t="array" aca="1" ref="I596" ca="1">IF(H596="","",VLOOKUP(H596,_xludf.HSTACK(#REF!,#REF!),2,FALSE))</f>
        <v>#NAME?</v>
      </c>
      <c r="J596" s="11"/>
    </row>
    <row r="597" spans="1:10" x14ac:dyDescent="0.25">
      <c r="A597" s="11" t="s">
        <v>4882</v>
      </c>
      <c r="B597" s="11" t="s">
        <v>4942</v>
      </c>
      <c r="C597" s="12" t="s">
        <v>2600</v>
      </c>
      <c r="D597" s="12" t="s">
        <v>4943</v>
      </c>
      <c r="E597" s="12" t="s">
        <v>4944</v>
      </c>
      <c r="F597" s="13" t="b">
        <v>0</v>
      </c>
      <c r="G597" s="13" t="b">
        <v>1</v>
      </c>
      <c r="H597" s="11" t="s">
        <v>65</v>
      </c>
      <c r="I597" s="11" t="e">
        <f t="array" aca="1" ref="I597" ca="1">IF(H597="","",VLOOKUP(H597,_xludf.HSTACK(#REF!,#REF!),2,FALSE))</f>
        <v>#NAME?</v>
      </c>
      <c r="J597" s="11"/>
    </row>
    <row r="598" spans="1:10" x14ac:dyDescent="0.25">
      <c r="A598" s="11" t="s">
        <v>4882</v>
      </c>
      <c r="B598" s="11" t="s">
        <v>4945</v>
      </c>
      <c r="C598" s="12" t="s">
        <v>2600</v>
      </c>
      <c r="D598" s="12" t="s">
        <v>4946</v>
      </c>
      <c r="E598" s="12" t="s">
        <v>4947</v>
      </c>
      <c r="F598" s="13" t="b">
        <v>0</v>
      </c>
      <c r="G598" s="13" t="b">
        <v>1</v>
      </c>
      <c r="H598" s="11" t="s">
        <v>68</v>
      </c>
      <c r="I598" s="11" t="e">
        <f t="array" aca="1" ref="I598" ca="1">IF(H598="","",VLOOKUP(H598,_xludf.HSTACK(#REF!,#REF!),2,FALSE))</f>
        <v>#NAME?</v>
      </c>
      <c r="J598" s="11"/>
    </row>
    <row r="599" spans="1:10" x14ac:dyDescent="0.25">
      <c r="A599" s="11" t="s">
        <v>4882</v>
      </c>
      <c r="B599" s="11" t="s">
        <v>4948</v>
      </c>
      <c r="C599" s="12" t="s">
        <v>2600</v>
      </c>
      <c r="D599" s="12" t="s">
        <v>4949</v>
      </c>
      <c r="E599" s="12" t="s">
        <v>4950</v>
      </c>
      <c r="F599" s="13" t="b">
        <v>0</v>
      </c>
      <c r="G599" s="13" t="b">
        <v>1</v>
      </c>
      <c r="H599" s="11" t="s">
        <v>69</v>
      </c>
      <c r="I599" s="11" t="e">
        <f t="array" aca="1" ref="I599" ca="1">IF(H599="","",VLOOKUP(H599,_xludf.HSTACK(#REF!,#REF!),2,FALSE))</f>
        <v>#NAME?</v>
      </c>
      <c r="J599" s="11"/>
    </row>
    <row r="600" spans="1:10" x14ac:dyDescent="0.25">
      <c r="A600" s="9" t="s">
        <v>4951</v>
      </c>
      <c r="B600" s="9" t="s">
        <v>4952</v>
      </c>
      <c r="C600" s="9"/>
      <c r="D600" s="9"/>
      <c r="E600" s="9"/>
      <c r="F600" s="10" t="b">
        <v>0</v>
      </c>
      <c r="G600" s="10" t="b">
        <v>1</v>
      </c>
      <c r="H600" s="9" t="s">
        <v>6</v>
      </c>
      <c r="I600" s="9" t="e">
        <f t="array" aca="1" ref="I600" ca="1">IF(H600="","",VLOOKUP(H600,_xludf.HSTACK(#REF!,#REF!),2,FALSE))</f>
        <v>#NAME?</v>
      </c>
      <c r="J600" s="9"/>
    </row>
    <row r="601" spans="1:10" x14ac:dyDescent="0.25">
      <c r="A601" s="9" t="s">
        <v>4951</v>
      </c>
      <c r="B601" s="9" t="s">
        <v>4953</v>
      </c>
      <c r="C601" s="9"/>
      <c r="D601" s="9"/>
      <c r="E601" s="9"/>
      <c r="F601" s="10" t="b">
        <v>0</v>
      </c>
      <c r="G601" s="10" t="b">
        <v>1</v>
      </c>
      <c r="H601" s="9" t="s">
        <v>6</v>
      </c>
      <c r="I601" s="9" t="e">
        <f t="array" aca="1" ref="I601" ca="1">IF(H601="","",VLOOKUP(H601,_xludf.HSTACK(#REF!,#REF!),2,FALSE))</f>
        <v>#NAME?</v>
      </c>
      <c r="J601" s="9"/>
    </row>
    <row r="602" spans="1:10" x14ac:dyDescent="0.25">
      <c r="A602" s="9" t="s">
        <v>4951</v>
      </c>
      <c r="B602" s="9" t="s">
        <v>4954</v>
      </c>
      <c r="C602" s="9"/>
      <c r="D602" s="9"/>
      <c r="E602" s="9"/>
      <c r="F602" s="10" t="b">
        <v>0</v>
      </c>
      <c r="G602" s="10" t="b">
        <v>1</v>
      </c>
      <c r="H602" s="9" t="s">
        <v>6</v>
      </c>
      <c r="I602" s="9" t="e">
        <f t="array" aca="1" ref="I602" ca="1">IF(H602="","",VLOOKUP(H602,_xludf.HSTACK(#REF!,#REF!),2,FALSE))</f>
        <v>#NAME?</v>
      </c>
      <c r="J602" s="9"/>
    </row>
    <row r="603" spans="1:10" x14ac:dyDescent="0.25">
      <c r="A603" s="9" t="s">
        <v>4951</v>
      </c>
      <c r="B603" s="9" t="s">
        <v>4955</v>
      </c>
      <c r="C603" s="9"/>
      <c r="D603" s="9"/>
      <c r="E603" s="9"/>
      <c r="F603" s="10" t="b">
        <v>0</v>
      </c>
      <c r="G603" s="10" t="b">
        <v>1</v>
      </c>
      <c r="H603" s="9" t="s">
        <v>6</v>
      </c>
      <c r="I603" s="9" t="e">
        <f t="array" aca="1" ref="I603" ca="1">IF(H603="","",VLOOKUP(H603,_xludf.HSTACK(#REF!,#REF!),2,FALSE))</f>
        <v>#NAME?</v>
      </c>
      <c r="J603" s="9"/>
    </row>
    <row r="604" spans="1:10" x14ac:dyDescent="0.25">
      <c r="A604" s="9" t="s">
        <v>4951</v>
      </c>
      <c r="B604" s="9" t="s">
        <v>4956</v>
      </c>
      <c r="C604" s="9"/>
      <c r="D604" s="9"/>
      <c r="E604" s="9"/>
      <c r="F604" s="10" t="b">
        <v>0</v>
      </c>
      <c r="G604" s="10" t="b">
        <v>1</v>
      </c>
      <c r="H604" s="9" t="s">
        <v>8</v>
      </c>
      <c r="I604" s="9" t="e">
        <f t="array" aca="1" ref="I604" ca="1">IF(H604="","",VLOOKUP(H604,_xludf.HSTACK(#REF!,#REF!),2,FALSE))</f>
        <v>#NAME?</v>
      </c>
      <c r="J604" s="9"/>
    </row>
    <row r="605" spans="1:10" x14ac:dyDescent="0.25">
      <c r="A605" s="9" t="s">
        <v>4951</v>
      </c>
      <c r="B605" s="9" t="s">
        <v>4957</v>
      </c>
      <c r="C605" s="9"/>
      <c r="D605" s="9"/>
      <c r="E605" s="9"/>
      <c r="F605" s="10" t="b">
        <v>0</v>
      </c>
      <c r="G605" s="10" t="b">
        <v>1</v>
      </c>
      <c r="H605" s="9" t="s">
        <v>11</v>
      </c>
      <c r="I605" s="9" t="e">
        <f t="array" aca="1" ref="I605" ca="1">IF(H605="","",VLOOKUP(H605,_xludf.HSTACK(#REF!,#REF!),2,FALSE))</f>
        <v>#NAME?</v>
      </c>
      <c r="J605" s="9"/>
    </row>
    <row r="606" spans="1:10" x14ac:dyDescent="0.25">
      <c r="A606" s="9" t="s">
        <v>4951</v>
      </c>
      <c r="B606" s="9" t="s">
        <v>4958</v>
      </c>
      <c r="C606" s="9"/>
      <c r="D606" s="9"/>
      <c r="E606" s="9"/>
      <c r="F606" s="10" t="b">
        <v>0</v>
      </c>
      <c r="G606" s="10" t="b">
        <v>1</v>
      </c>
      <c r="H606" s="9" t="s">
        <v>11</v>
      </c>
      <c r="I606" s="9" t="e">
        <f t="array" aca="1" ref="I606" ca="1">IF(H606="","",VLOOKUP(H606,_xludf.HSTACK(#REF!,#REF!),2,FALSE))</f>
        <v>#NAME?</v>
      </c>
      <c r="J606" s="9"/>
    </row>
    <row r="607" spans="1:10" x14ac:dyDescent="0.25">
      <c r="A607" s="9" t="s">
        <v>4951</v>
      </c>
      <c r="B607" s="9" t="s">
        <v>4959</v>
      </c>
      <c r="C607" s="9"/>
      <c r="D607" s="9"/>
      <c r="E607" s="9"/>
      <c r="F607" s="10" t="b">
        <v>0</v>
      </c>
      <c r="G607" s="10" t="b">
        <v>1</v>
      </c>
      <c r="H607" s="9" t="s">
        <v>11</v>
      </c>
      <c r="I607" s="9" t="e">
        <f t="array" aca="1" ref="I607" ca="1">IF(H607="","",VLOOKUP(H607,_xludf.HSTACK(#REF!,#REF!),2,FALSE))</f>
        <v>#NAME?</v>
      </c>
      <c r="J607" s="9"/>
    </row>
    <row r="608" spans="1:10" x14ac:dyDescent="0.25">
      <c r="A608" s="9" t="s">
        <v>4951</v>
      </c>
      <c r="B608" s="9" t="s">
        <v>4960</v>
      </c>
      <c r="C608" s="9"/>
      <c r="D608" s="9"/>
      <c r="E608" s="9"/>
      <c r="F608" s="10" t="b">
        <v>0</v>
      </c>
      <c r="G608" s="10" t="b">
        <v>1</v>
      </c>
      <c r="H608" s="9" t="s">
        <v>10</v>
      </c>
      <c r="I608" s="9" t="e">
        <f t="array" aca="1" ref="I608" ca="1">IF(H608="","",VLOOKUP(H608,_xludf.HSTACK(#REF!,#REF!),2,FALSE))</f>
        <v>#NAME?</v>
      </c>
      <c r="J608" s="9"/>
    </row>
    <row r="609" spans="1:10" x14ac:dyDescent="0.25">
      <c r="A609" s="9" t="s">
        <v>4951</v>
      </c>
      <c r="B609" s="9" t="s">
        <v>4961</v>
      </c>
      <c r="C609" s="9"/>
      <c r="D609" s="9"/>
      <c r="E609" s="9"/>
      <c r="F609" s="10" t="b">
        <v>0</v>
      </c>
      <c r="G609" s="10" t="b">
        <v>1</v>
      </c>
      <c r="H609" s="9" t="s">
        <v>6</v>
      </c>
      <c r="I609" s="9" t="e">
        <f t="array" aca="1" ref="I609" ca="1">IF(H609="","",VLOOKUP(H609,_xludf.HSTACK(#REF!,#REF!),2,FALSE))</f>
        <v>#NAME?</v>
      </c>
      <c r="J609" s="9"/>
    </row>
    <row r="610" spans="1:10" x14ac:dyDescent="0.25">
      <c r="A610" s="9" t="s">
        <v>4951</v>
      </c>
      <c r="B610" s="9" t="s">
        <v>4962</v>
      </c>
      <c r="C610" s="9"/>
      <c r="D610" s="9"/>
      <c r="E610" s="9"/>
      <c r="F610" s="10" t="b">
        <v>0</v>
      </c>
      <c r="G610" s="10" t="b">
        <v>1</v>
      </c>
      <c r="H610" s="9" t="s">
        <v>8</v>
      </c>
      <c r="I610" s="9" t="e">
        <f t="array" aca="1" ref="I610" ca="1">IF(H610="","",VLOOKUP(H610,_xludf.HSTACK(#REF!,#REF!),2,FALSE))</f>
        <v>#NAME?</v>
      </c>
      <c r="J610" s="9"/>
    </row>
    <row r="611" spans="1:10" x14ac:dyDescent="0.25">
      <c r="A611" s="9" t="s">
        <v>4951</v>
      </c>
      <c r="B611" s="9" t="s">
        <v>4963</v>
      </c>
      <c r="C611" s="9"/>
      <c r="D611" s="9"/>
      <c r="E611" s="9"/>
      <c r="F611" s="10" t="b">
        <v>0</v>
      </c>
      <c r="G611" s="10" t="b">
        <v>1</v>
      </c>
      <c r="H611" s="9"/>
      <c r="I611" s="9" t="str">
        <f t="array" ref="I611">IF(H611="","",VLOOKUP(H611,_xludf.HSTACK(#REF!,#REF!),2,FALSE))</f>
        <v/>
      </c>
      <c r="J611" s="9"/>
    </row>
    <row r="612" spans="1:10" x14ac:dyDescent="0.25">
      <c r="A612" s="9" t="s">
        <v>4951</v>
      </c>
      <c r="B612" s="9" t="s">
        <v>4964</v>
      </c>
      <c r="C612" s="9"/>
      <c r="D612" s="9"/>
      <c r="E612" s="9"/>
      <c r="F612" s="10" t="b">
        <v>0</v>
      </c>
      <c r="G612" s="10" t="b">
        <v>1</v>
      </c>
      <c r="H612" s="9" t="s">
        <v>8</v>
      </c>
      <c r="I612" s="9" t="e">
        <f t="array" aca="1" ref="I612" ca="1">IF(H612="","",VLOOKUP(H612,_xludf.HSTACK(#REF!,#REF!),2,FALSE))</f>
        <v>#NAME?</v>
      </c>
      <c r="J612" s="9"/>
    </row>
    <row r="613" spans="1:10" x14ac:dyDescent="0.25">
      <c r="A613" s="9" t="s">
        <v>4951</v>
      </c>
      <c r="B613" s="9" t="s">
        <v>4965</v>
      </c>
      <c r="C613" s="7" t="s">
        <v>1019</v>
      </c>
      <c r="D613" s="7" t="s">
        <v>4966</v>
      </c>
      <c r="E613" s="7" t="s">
        <v>4967</v>
      </c>
      <c r="F613" s="10" t="b">
        <v>0</v>
      </c>
      <c r="G613" s="10" t="b">
        <v>1</v>
      </c>
      <c r="H613" s="9" t="s">
        <v>24</v>
      </c>
      <c r="I613" s="9" t="e">
        <f t="array" aca="1" ref="I613" ca="1">IF(H613="","",VLOOKUP(H613,_xludf.HSTACK(#REF!,#REF!),2,FALSE))</f>
        <v>#NAME?</v>
      </c>
      <c r="J613" s="9"/>
    </row>
    <row r="614" spans="1:10" x14ac:dyDescent="0.25">
      <c r="A614" s="9" t="s">
        <v>4951</v>
      </c>
      <c r="B614" s="9" t="s">
        <v>4968</v>
      </c>
      <c r="C614" s="7" t="s">
        <v>2587</v>
      </c>
      <c r="D614" s="7" t="s">
        <v>4969</v>
      </c>
      <c r="E614" s="7" t="s">
        <v>4970</v>
      </c>
      <c r="F614" s="10" t="b">
        <v>1</v>
      </c>
      <c r="G614" s="10" t="b">
        <v>1</v>
      </c>
      <c r="H614" s="9" t="s">
        <v>35</v>
      </c>
      <c r="I614" s="9" t="e">
        <f t="array" aca="1" ref="I614" ca="1">IF(H614="","",VLOOKUP(H614,_xludf.HSTACK(#REF!,#REF!),2,FALSE))</f>
        <v>#NAME?</v>
      </c>
      <c r="J614" s="9" t="s">
        <v>3636</v>
      </c>
    </row>
    <row r="615" spans="1:10" x14ac:dyDescent="0.25">
      <c r="A615" s="9" t="s">
        <v>4951</v>
      </c>
      <c r="B615" s="9" t="s">
        <v>4971</v>
      </c>
      <c r="C615" s="7" t="s">
        <v>2567</v>
      </c>
      <c r="D615" s="7" t="s">
        <v>4972</v>
      </c>
      <c r="E615" s="7" t="s">
        <v>4973</v>
      </c>
      <c r="F615" s="10" t="b">
        <v>0</v>
      </c>
      <c r="G615" s="10" t="b">
        <v>1</v>
      </c>
      <c r="H615" s="9"/>
      <c r="I615" s="9" t="str">
        <f t="array" ref="I615">IF(H615="","",VLOOKUP(H615,_xludf.HSTACK(#REF!,#REF!),2,FALSE))</f>
        <v/>
      </c>
      <c r="J615" s="9"/>
    </row>
    <row r="616" spans="1:10" x14ac:dyDescent="0.25">
      <c r="A616" s="9" t="s">
        <v>4951</v>
      </c>
      <c r="B616" s="9" t="s">
        <v>4974</v>
      </c>
      <c r="C616" s="7" t="s">
        <v>2567</v>
      </c>
      <c r="D616" s="7" t="s">
        <v>4972</v>
      </c>
      <c r="E616" s="7" t="s">
        <v>4975</v>
      </c>
      <c r="F616" s="10" t="b">
        <v>0</v>
      </c>
      <c r="G616" s="10" t="b">
        <v>1</v>
      </c>
      <c r="H616" s="9" t="s">
        <v>38</v>
      </c>
      <c r="I616" s="9" t="e">
        <f t="array" aca="1" ref="I616" ca="1">IF(H616="","",VLOOKUP(H616,_xludf.HSTACK(#REF!,#REF!),2,FALSE))</f>
        <v>#NAME?</v>
      </c>
      <c r="J616" s="9"/>
    </row>
    <row r="617" spans="1:10" x14ac:dyDescent="0.25">
      <c r="A617" s="9" t="s">
        <v>4951</v>
      </c>
      <c r="B617" s="9" t="s">
        <v>4976</v>
      </c>
      <c r="C617" s="7" t="s">
        <v>2600</v>
      </c>
      <c r="D617" s="7" t="s">
        <v>4977</v>
      </c>
      <c r="E617" s="7" t="s">
        <v>4978</v>
      </c>
      <c r="F617" s="10" t="b">
        <v>0</v>
      </c>
      <c r="G617" s="10" t="b">
        <v>1</v>
      </c>
      <c r="H617" s="9" t="s">
        <v>67</v>
      </c>
      <c r="I617" s="9" t="e">
        <f t="array" aca="1" ref="I617" ca="1">IF(H617="","",VLOOKUP(H617,_xludf.HSTACK(#REF!,#REF!),2,FALSE))</f>
        <v>#NAME?</v>
      </c>
      <c r="J617" s="9"/>
    </row>
    <row r="618" spans="1:10" x14ac:dyDescent="0.25">
      <c r="A618" s="9" t="s">
        <v>4951</v>
      </c>
      <c r="B618" s="9" t="s">
        <v>4979</v>
      </c>
      <c r="C618" s="7" t="s">
        <v>2600</v>
      </c>
      <c r="D618" s="7" t="s">
        <v>4980</v>
      </c>
      <c r="E618" s="7" t="s">
        <v>4981</v>
      </c>
      <c r="F618" s="10" t="b">
        <v>0</v>
      </c>
      <c r="G618" s="10" t="b">
        <v>1</v>
      </c>
      <c r="H618" s="9" t="s">
        <v>70</v>
      </c>
      <c r="I618" s="9" t="e">
        <f t="array" aca="1" ref="I618" ca="1">IF(H618="","",VLOOKUP(H618,_xludf.HSTACK(#REF!,#REF!),2,FALSE))</f>
        <v>#NAME?</v>
      </c>
      <c r="J618" s="9"/>
    </row>
    <row r="619" spans="1:10" x14ac:dyDescent="0.25">
      <c r="A619" s="9" t="s">
        <v>4951</v>
      </c>
      <c r="B619" s="9" t="s">
        <v>4982</v>
      </c>
      <c r="C619" s="7" t="s">
        <v>2600</v>
      </c>
      <c r="D619" s="7" t="s">
        <v>4983</v>
      </c>
      <c r="E619" s="7" t="s">
        <v>4984</v>
      </c>
      <c r="F619" s="10" t="b">
        <v>0</v>
      </c>
      <c r="G619" s="10" t="b">
        <v>1</v>
      </c>
      <c r="H619" s="9" t="s">
        <v>66</v>
      </c>
      <c r="I619" s="9" t="e">
        <f t="array" aca="1" ref="I619" ca="1">IF(H619="","",VLOOKUP(H619,_xludf.HSTACK(#REF!,#REF!),2,FALSE))</f>
        <v>#NAME?</v>
      </c>
      <c r="J619" s="9"/>
    </row>
    <row r="620" spans="1:10" x14ac:dyDescent="0.25">
      <c r="A620" s="9" t="s">
        <v>4951</v>
      </c>
      <c r="B620" s="9" t="s">
        <v>4985</v>
      </c>
      <c r="C620" s="7" t="s">
        <v>2600</v>
      </c>
      <c r="D620" s="7" t="s">
        <v>4986</v>
      </c>
      <c r="E620" s="7" t="s">
        <v>4987</v>
      </c>
      <c r="F620" s="10" t="b">
        <v>0</v>
      </c>
      <c r="G620" s="10" t="b">
        <v>1</v>
      </c>
      <c r="H620" s="9" t="s">
        <v>65</v>
      </c>
      <c r="I620" s="9" t="e">
        <f t="array" aca="1" ref="I620" ca="1">IF(H620="","",VLOOKUP(H620,_xludf.HSTACK(#REF!,#REF!),2,FALSE))</f>
        <v>#NAME?</v>
      </c>
      <c r="J620" s="9"/>
    </row>
    <row r="621" spans="1:10" x14ac:dyDescent="0.25">
      <c r="A621" s="9" t="s">
        <v>4951</v>
      </c>
      <c r="B621" s="9" t="s">
        <v>4988</v>
      </c>
      <c r="C621" s="7" t="s">
        <v>2600</v>
      </c>
      <c r="D621" s="7" t="s">
        <v>4989</v>
      </c>
      <c r="E621" s="7" t="s">
        <v>4990</v>
      </c>
      <c r="F621" s="10" t="b">
        <v>0</v>
      </c>
      <c r="G621" s="10" t="b">
        <v>1</v>
      </c>
      <c r="H621" s="9" t="s">
        <v>68</v>
      </c>
      <c r="I621" s="9" t="e">
        <f t="array" aca="1" ref="I621" ca="1">IF(H621="","",VLOOKUP(H621,_xludf.HSTACK(#REF!,#REF!),2,FALSE))</f>
        <v>#NAME?</v>
      </c>
      <c r="J621" s="9"/>
    </row>
    <row r="622" spans="1:10" x14ac:dyDescent="0.25">
      <c r="A622" s="9" t="s">
        <v>4951</v>
      </c>
      <c r="B622" s="9" t="s">
        <v>4991</v>
      </c>
      <c r="C622" s="7" t="s">
        <v>2600</v>
      </c>
      <c r="D622" s="7" t="s">
        <v>4992</v>
      </c>
      <c r="E622" s="7" t="s">
        <v>4993</v>
      </c>
      <c r="F622" s="10" t="b">
        <v>0</v>
      </c>
      <c r="G622" s="10" t="b">
        <v>1</v>
      </c>
      <c r="H622" s="9" t="s">
        <v>69</v>
      </c>
      <c r="I622" s="9" t="e">
        <f t="array" aca="1" ref="I622" ca="1">IF(H622="","",VLOOKUP(H622,_xludf.HSTACK(#REF!,#REF!),2,FALSE))</f>
        <v>#NAME?</v>
      </c>
      <c r="J622" s="9"/>
    </row>
    <row r="623" spans="1:10" x14ac:dyDescent="0.25">
      <c r="A623" s="9" t="s">
        <v>4951</v>
      </c>
      <c r="B623" s="9" t="s">
        <v>4994</v>
      </c>
      <c r="C623" s="7" t="s">
        <v>2539</v>
      </c>
      <c r="D623" s="7" t="s">
        <v>4995</v>
      </c>
      <c r="E623" s="7" t="s">
        <v>4996</v>
      </c>
      <c r="F623" s="10" t="b">
        <v>0</v>
      </c>
      <c r="G623" s="10" t="b">
        <v>1</v>
      </c>
      <c r="H623" s="9" t="s">
        <v>32</v>
      </c>
      <c r="I623" s="9" t="e">
        <f t="array" aca="1" ref="I623" ca="1">IF(H623="","",VLOOKUP(H623,_xludf.HSTACK(#REF!,#REF!),2,FALSE))</f>
        <v>#NAME?</v>
      </c>
      <c r="J623" s="9"/>
    </row>
    <row r="624" spans="1:10" x14ac:dyDescent="0.25">
      <c r="A624" s="9" t="s">
        <v>4951</v>
      </c>
      <c r="B624" s="9" t="s">
        <v>4997</v>
      </c>
      <c r="C624" s="7" t="s">
        <v>2531</v>
      </c>
      <c r="D624" s="7" t="s">
        <v>4998</v>
      </c>
      <c r="E624" s="7" t="s">
        <v>4999</v>
      </c>
      <c r="F624" s="10" t="b">
        <v>0</v>
      </c>
      <c r="G624" s="10" t="b">
        <v>1</v>
      </c>
      <c r="H624" s="9" t="s">
        <v>30</v>
      </c>
      <c r="I624" s="9" t="e">
        <f t="array" aca="1" ref="I624" ca="1">IF(H624="","",VLOOKUP(H624,_xludf.HSTACK(#REF!,#REF!),2,FALSE))</f>
        <v>#NAME?</v>
      </c>
      <c r="J624" s="9"/>
    </row>
    <row r="625" spans="1:10" x14ac:dyDescent="0.25">
      <c r="A625" s="9" t="s">
        <v>4951</v>
      </c>
      <c r="B625" s="9" t="s">
        <v>5000</v>
      </c>
      <c r="C625" s="7" t="s">
        <v>2531</v>
      </c>
      <c r="D625" s="7" t="s">
        <v>4995</v>
      </c>
      <c r="E625" s="7" t="s">
        <v>5001</v>
      </c>
      <c r="F625" s="10" t="b">
        <v>0</v>
      </c>
      <c r="G625" s="10" t="b">
        <v>1</v>
      </c>
      <c r="H625" s="9" t="s">
        <v>28</v>
      </c>
      <c r="I625" s="9" t="e">
        <f t="array" aca="1" ref="I625" ca="1">IF(H625="","",VLOOKUP(H625,_xludf.HSTACK(#REF!,#REF!),2,FALSE))</f>
        <v>#NAME?</v>
      </c>
      <c r="J625" s="9"/>
    </row>
    <row r="626" spans="1:10" x14ac:dyDescent="0.25">
      <c r="A626" s="9" t="s">
        <v>4951</v>
      </c>
      <c r="B626" s="9" t="s">
        <v>5002</v>
      </c>
      <c r="C626" s="7" t="s">
        <v>2539</v>
      </c>
      <c r="D626" s="7" t="s">
        <v>4998</v>
      </c>
      <c r="E626" s="7" t="s">
        <v>5003</v>
      </c>
      <c r="F626" s="10" t="b">
        <v>0</v>
      </c>
      <c r="G626" s="10" t="b">
        <v>1</v>
      </c>
      <c r="H626" s="9" t="s">
        <v>26</v>
      </c>
      <c r="I626" s="9" t="e">
        <f t="array" aca="1" ref="I626" ca="1">IF(H626="","",VLOOKUP(H626,_xludf.HSTACK(#REF!,#REF!),2,FALSE))</f>
        <v>#NAME?</v>
      </c>
      <c r="J626" s="9"/>
    </row>
    <row r="627" spans="1:10" x14ac:dyDescent="0.25">
      <c r="A627" s="9" t="s">
        <v>4951</v>
      </c>
      <c r="B627" s="9" t="s">
        <v>5004</v>
      </c>
      <c r="C627" s="7" t="s">
        <v>2531</v>
      </c>
      <c r="D627" s="7" t="s">
        <v>5005</v>
      </c>
      <c r="E627" s="7" t="s">
        <v>5006</v>
      </c>
      <c r="F627" s="10" t="b">
        <v>0</v>
      </c>
      <c r="G627" s="10" t="b">
        <v>1</v>
      </c>
      <c r="H627" s="9" t="s">
        <v>31</v>
      </c>
      <c r="I627" s="9" t="e">
        <f t="array" aca="1" ref="I627" ca="1">IF(H627="","",VLOOKUP(H627,_xludf.HSTACK(#REF!,#REF!),2,FALSE))</f>
        <v>#NAME?</v>
      </c>
      <c r="J627" s="9"/>
    </row>
    <row r="628" spans="1:10" x14ac:dyDescent="0.25">
      <c r="A628" s="9" t="s">
        <v>4951</v>
      </c>
      <c r="B628" s="9" t="s">
        <v>5007</v>
      </c>
      <c r="C628" s="7" t="s">
        <v>2539</v>
      </c>
      <c r="D628" s="7" t="s">
        <v>5005</v>
      </c>
      <c r="E628" s="7" t="s">
        <v>5008</v>
      </c>
      <c r="F628" s="10" t="b">
        <v>0</v>
      </c>
      <c r="G628" s="10" t="b">
        <v>1</v>
      </c>
      <c r="H628" s="9" t="s">
        <v>29</v>
      </c>
      <c r="I628" s="9" t="e">
        <f t="array" aca="1" ref="I628" ca="1">IF(H628="","",VLOOKUP(H628,_xludf.HSTACK(#REF!,#REF!),2,FALSE))</f>
        <v>#NAME?</v>
      </c>
      <c r="J628" s="9"/>
    </row>
    <row r="629" spans="1:10" x14ac:dyDescent="0.25">
      <c r="A629" s="9" t="s">
        <v>4951</v>
      </c>
      <c r="B629" s="9" t="s">
        <v>5009</v>
      </c>
      <c r="C629" s="7" t="s">
        <v>2567</v>
      </c>
      <c r="D629" s="7" t="s">
        <v>5010</v>
      </c>
      <c r="E629" s="7" t="s">
        <v>5011</v>
      </c>
      <c r="F629" s="10" t="b">
        <v>0</v>
      </c>
      <c r="G629" s="10" t="b">
        <v>1</v>
      </c>
      <c r="H629" s="9"/>
      <c r="I629" s="9" t="str">
        <f t="array" ref="I629">IF(H629="","",VLOOKUP(H629,_xludf.HSTACK(#REF!,#REF!),2,FALSE))</f>
        <v/>
      </c>
      <c r="J629" s="9"/>
    </row>
    <row r="630" spans="1:10" x14ac:dyDescent="0.25">
      <c r="A630" s="9" t="s">
        <v>4951</v>
      </c>
      <c r="B630" s="9" t="s">
        <v>5012</v>
      </c>
      <c r="C630" s="7" t="s">
        <v>2567</v>
      </c>
      <c r="D630" s="7" t="s">
        <v>5010</v>
      </c>
      <c r="E630" s="7" t="s">
        <v>5013</v>
      </c>
      <c r="F630" s="10" t="b">
        <v>0</v>
      </c>
      <c r="G630" s="10" t="b">
        <v>1</v>
      </c>
      <c r="H630" s="9" t="s">
        <v>58</v>
      </c>
      <c r="I630" s="9" t="e">
        <f t="array" aca="1" ref="I630" ca="1">IF(H630="","",VLOOKUP(H630,_xludf.HSTACK(#REF!,#REF!),2,FALSE))</f>
        <v>#NAME?</v>
      </c>
      <c r="J630" s="9"/>
    </row>
    <row r="631" spans="1:10" x14ac:dyDescent="0.25">
      <c r="A631" s="9" t="s">
        <v>4951</v>
      </c>
      <c r="B631" s="9" t="s">
        <v>5014</v>
      </c>
      <c r="C631" s="7" t="s">
        <v>2567</v>
      </c>
      <c r="D631" s="7" t="s">
        <v>5015</v>
      </c>
      <c r="E631" s="7" t="s">
        <v>5016</v>
      </c>
      <c r="F631" s="10" t="b">
        <v>0</v>
      </c>
      <c r="G631" s="10" t="b">
        <v>1</v>
      </c>
      <c r="H631" s="9"/>
      <c r="I631" s="9" t="str">
        <f t="array" ref="I631">IF(H631="","",VLOOKUP(H631,_xludf.HSTACK(#REF!,#REF!),2,FALSE))</f>
        <v/>
      </c>
      <c r="J631" s="9"/>
    </row>
    <row r="632" spans="1:10" x14ac:dyDescent="0.25">
      <c r="A632" s="9" t="s">
        <v>4951</v>
      </c>
      <c r="B632" s="9" t="s">
        <v>5017</v>
      </c>
      <c r="C632" s="7" t="s">
        <v>2567</v>
      </c>
      <c r="D632" s="7" t="s">
        <v>5015</v>
      </c>
      <c r="E632" s="7" t="s">
        <v>5018</v>
      </c>
      <c r="F632" s="10" t="b">
        <v>0</v>
      </c>
      <c r="G632" s="10" t="b">
        <v>1</v>
      </c>
      <c r="H632" s="9" t="s">
        <v>55</v>
      </c>
      <c r="I632" s="9" t="e">
        <f t="array" aca="1" ref="I632" ca="1">IF(H632="","",VLOOKUP(H632,_xludf.HSTACK(#REF!,#REF!),2,FALSE))</f>
        <v>#NAME?</v>
      </c>
      <c r="J632" s="9"/>
    </row>
    <row r="633" spans="1:10" x14ac:dyDescent="0.25">
      <c r="A633" s="9" t="s">
        <v>4951</v>
      </c>
      <c r="B633" s="9" t="s">
        <v>5019</v>
      </c>
      <c r="C633" s="7" t="s">
        <v>2567</v>
      </c>
      <c r="D633" s="7" t="s">
        <v>5020</v>
      </c>
      <c r="E633" s="7" t="s">
        <v>5021</v>
      </c>
      <c r="F633" s="10" t="b">
        <v>0</v>
      </c>
      <c r="G633" s="10" t="b">
        <v>1</v>
      </c>
      <c r="H633" s="9"/>
      <c r="I633" s="9" t="str">
        <f t="array" ref="I633">IF(H633="","",VLOOKUP(H633,_xludf.HSTACK(#REF!,#REF!),2,FALSE))</f>
        <v/>
      </c>
      <c r="J633" s="9"/>
    </row>
    <row r="634" spans="1:10" x14ac:dyDescent="0.25">
      <c r="A634" s="9" t="s">
        <v>4951</v>
      </c>
      <c r="B634" s="9" t="s">
        <v>5022</v>
      </c>
      <c r="C634" s="7" t="s">
        <v>2567</v>
      </c>
      <c r="D634" s="7" t="s">
        <v>5020</v>
      </c>
      <c r="E634" s="7" t="s">
        <v>5023</v>
      </c>
      <c r="F634" s="10" t="b">
        <v>0</v>
      </c>
      <c r="G634" s="10" t="b">
        <v>1</v>
      </c>
      <c r="H634" s="9" t="s">
        <v>51</v>
      </c>
      <c r="I634" s="9" t="e">
        <f t="array" aca="1" ref="I634" ca="1">IF(H634="","",VLOOKUP(H634,_xludf.HSTACK(#REF!,#REF!),2,FALSE))</f>
        <v>#NAME?</v>
      </c>
      <c r="J634" s="9"/>
    </row>
    <row r="635" spans="1:10" x14ac:dyDescent="0.25">
      <c r="A635" s="9" t="s">
        <v>4951</v>
      </c>
      <c r="B635" s="9" t="s">
        <v>5024</v>
      </c>
      <c r="C635" s="7" t="s">
        <v>2567</v>
      </c>
      <c r="D635" s="7" t="s">
        <v>5025</v>
      </c>
      <c r="E635" s="7" t="s">
        <v>5026</v>
      </c>
      <c r="F635" s="10" t="b">
        <v>0</v>
      </c>
      <c r="G635" s="10" t="b">
        <v>1</v>
      </c>
      <c r="H635" s="9"/>
      <c r="I635" s="9" t="str">
        <f t="array" ref="I635">IF(H635="","",VLOOKUP(H635,_xludf.HSTACK(#REF!,#REF!),2,FALSE))</f>
        <v/>
      </c>
      <c r="J635" s="9"/>
    </row>
    <row r="636" spans="1:10" x14ac:dyDescent="0.25">
      <c r="A636" s="9" t="s">
        <v>4951</v>
      </c>
      <c r="B636" s="9" t="s">
        <v>5027</v>
      </c>
      <c r="C636" s="7" t="s">
        <v>2567</v>
      </c>
      <c r="D636" s="7" t="s">
        <v>5025</v>
      </c>
      <c r="E636" s="7" t="s">
        <v>5028</v>
      </c>
      <c r="F636" s="10" t="b">
        <v>0</v>
      </c>
      <c r="G636" s="10" t="b">
        <v>1</v>
      </c>
      <c r="H636" s="9" t="s">
        <v>50</v>
      </c>
      <c r="I636" s="9" t="e">
        <f t="array" aca="1" ref="I636" ca="1">IF(H636="","",VLOOKUP(H636,_xludf.HSTACK(#REF!,#REF!),2,FALSE))</f>
        <v>#NAME?</v>
      </c>
      <c r="J636" s="9"/>
    </row>
    <row r="637" spans="1:10" x14ac:dyDescent="0.25">
      <c r="A637" s="9" t="s">
        <v>4951</v>
      </c>
      <c r="B637" s="9" t="s">
        <v>5029</v>
      </c>
      <c r="C637" s="7" t="s">
        <v>2567</v>
      </c>
      <c r="D637" s="7" t="s">
        <v>5030</v>
      </c>
      <c r="E637" s="7" t="s">
        <v>5031</v>
      </c>
      <c r="F637" s="10" t="b">
        <v>0</v>
      </c>
      <c r="G637" s="10" t="b">
        <v>1</v>
      </c>
      <c r="H637" s="9"/>
      <c r="I637" s="9" t="str">
        <f t="array" ref="I637">IF(H637="","",VLOOKUP(H637,_xludf.HSTACK(#REF!,#REF!),2,FALSE))</f>
        <v/>
      </c>
      <c r="J637" s="9"/>
    </row>
    <row r="638" spans="1:10" x14ac:dyDescent="0.25">
      <c r="A638" s="9" t="s">
        <v>4951</v>
      </c>
      <c r="B638" s="9" t="s">
        <v>5032</v>
      </c>
      <c r="C638" s="7" t="s">
        <v>2567</v>
      </c>
      <c r="D638" s="7" t="s">
        <v>5030</v>
      </c>
      <c r="E638" s="7" t="s">
        <v>5033</v>
      </c>
      <c r="F638" s="10" t="b">
        <v>0</v>
      </c>
      <c r="G638" s="10" t="b">
        <v>1</v>
      </c>
      <c r="H638" s="9" t="s">
        <v>56</v>
      </c>
      <c r="I638" s="9" t="e">
        <f t="array" aca="1" ref="I638" ca="1">IF(H638="","",VLOOKUP(H638,_xludf.HSTACK(#REF!,#REF!),2,FALSE))</f>
        <v>#NAME?</v>
      </c>
      <c r="J638" s="9"/>
    </row>
    <row r="639" spans="1:10" x14ac:dyDescent="0.25">
      <c r="A639" s="9" t="s">
        <v>4951</v>
      </c>
      <c r="B639" s="9" t="s">
        <v>5034</v>
      </c>
      <c r="C639" s="7" t="s">
        <v>2567</v>
      </c>
      <c r="D639" s="7" t="s">
        <v>5035</v>
      </c>
      <c r="E639" s="7" t="s">
        <v>5036</v>
      </c>
      <c r="F639" s="10" t="b">
        <v>0</v>
      </c>
      <c r="G639" s="10" t="b">
        <v>1</v>
      </c>
      <c r="H639" s="9"/>
      <c r="I639" s="9" t="str">
        <f t="array" ref="I639">IF(H639="","",VLOOKUP(H639,_xludf.HSTACK(#REF!,#REF!),2,FALSE))</f>
        <v/>
      </c>
      <c r="J639" s="9"/>
    </row>
    <row r="640" spans="1:10" x14ac:dyDescent="0.25">
      <c r="A640" s="9" t="s">
        <v>4951</v>
      </c>
      <c r="B640" s="9" t="s">
        <v>5037</v>
      </c>
      <c r="C640" s="7" t="s">
        <v>2567</v>
      </c>
      <c r="D640" s="7" t="s">
        <v>5035</v>
      </c>
      <c r="E640" s="7" t="s">
        <v>5038</v>
      </c>
      <c r="F640" s="10" t="b">
        <v>0</v>
      </c>
      <c r="G640" s="10" t="b">
        <v>1</v>
      </c>
      <c r="H640" s="9" t="s">
        <v>54</v>
      </c>
      <c r="I640" s="9" t="e">
        <f t="array" aca="1" ref="I640" ca="1">IF(H640="","",VLOOKUP(H640,_xludf.HSTACK(#REF!,#REF!),2,FALSE))</f>
        <v>#NAME?</v>
      </c>
      <c r="J640" s="9"/>
    </row>
    <row r="641" spans="1:10" x14ac:dyDescent="0.25">
      <c r="A641" s="9" t="s">
        <v>4951</v>
      </c>
      <c r="B641" s="9" t="s">
        <v>5039</v>
      </c>
      <c r="C641" s="7" t="s">
        <v>2562</v>
      </c>
      <c r="D641" s="7" t="s">
        <v>5040</v>
      </c>
      <c r="E641" s="7" t="s">
        <v>5041</v>
      </c>
      <c r="F641" s="10" t="b">
        <v>0</v>
      </c>
      <c r="G641" s="10" t="b">
        <v>1</v>
      </c>
      <c r="H641" s="9"/>
      <c r="I641" s="9" t="str">
        <f t="array" ref="I641">IF(H641="","",VLOOKUP(H641,_xludf.HSTACK(#REF!,#REF!),2,FALSE))</f>
        <v/>
      </c>
      <c r="J641" s="9" t="s">
        <v>5042</v>
      </c>
    </row>
    <row r="642" spans="1:10" x14ac:dyDescent="0.25">
      <c r="A642" s="9" t="s">
        <v>4951</v>
      </c>
      <c r="B642" s="9" t="s">
        <v>5043</v>
      </c>
      <c r="C642" s="7" t="s">
        <v>2562</v>
      </c>
      <c r="D642" s="7" t="s">
        <v>5044</v>
      </c>
      <c r="E642" s="7" t="s">
        <v>5045</v>
      </c>
      <c r="F642" s="10" t="b">
        <v>0</v>
      </c>
      <c r="G642" s="10" t="b">
        <v>1</v>
      </c>
      <c r="H642" s="9"/>
      <c r="I642" s="9" t="str">
        <f t="array" ref="I642">IF(H642="","",VLOOKUP(H642,_xludf.HSTACK(#REF!,#REF!),2,FALSE))</f>
        <v/>
      </c>
      <c r="J642" s="9" t="s">
        <v>5042</v>
      </c>
    </row>
    <row r="643" spans="1:10" x14ac:dyDescent="0.25">
      <c r="A643" s="9" t="s">
        <v>4951</v>
      </c>
      <c r="B643" s="9" t="s">
        <v>5046</v>
      </c>
      <c r="C643" s="7" t="s">
        <v>5047</v>
      </c>
      <c r="D643" s="7" t="s">
        <v>5048</v>
      </c>
      <c r="E643" s="7" t="s">
        <v>5049</v>
      </c>
      <c r="F643" s="10" t="b">
        <v>0</v>
      </c>
      <c r="G643" s="10" t="b">
        <v>1</v>
      </c>
      <c r="H643" s="9"/>
      <c r="I643" s="9" t="str">
        <f t="array" ref="I643">IF(H643="","",VLOOKUP(H643,_xludf.HSTACK(#REF!,#REF!),2,FALSE))</f>
        <v/>
      </c>
      <c r="J643" s="9"/>
    </row>
    <row r="644" spans="1:10" x14ac:dyDescent="0.25">
      <c r="A644" s="9" t="s">
        <v>4951</v>
      </c>
      <c r="B644" s="9" t="s">
        <v>5050</v>
      </c>
      <c r="C644" s="7" t="s">
        <v>5047</v>
      </c>
      <c r="D644" s="7" t="s">
        <v>5051</v>
      </c>
      <c r="E644" s="7" t="s">
        <v>5052</v>
      </c>
      <c r="F644" s="10" t="b">
        <v>0</v>
      </c>
      <c r="G644" s="10" t="b">
        <v>1</v>
      </c>
      <c r="H644" s="9"/>
      <c r="I644" s="9" t="str">
        <f t="array" ref="I644">IF(H644="","",VLOOKUP(H644,_xludf.HSTACK(#REF!,#REF!),2,FALSE))</f>
        <v/>
      </c>
      <c r="J644" s="9"/>
    </row>
    <row r="645" spans="1:10" x14ac:dyDescent="0.25">
      <c r="A645" s="9" t="s">
        <v>4951</v>
      </c>
      <c r="B645" s="9" t="s">
        <v>5053</v>
      </c>
      <c r="C645" s="7" t="s">
        <v>2600</v>
      </c>
      <c r="D645" s="7" t="s">
        <v>4977</v>
      </c>
      <c r="E645" s="7" t="s">
        <v>5054</v>
      </c>
      <c r="F645" s="10" t="b">
        <v>0</v>
      </c>
      <c r="G645" s="10" t="b">
        <v>1</v>
      </c>
      <c r="H645" s="9" t="s">
        <v>67</v>
      </c>
      <c r="I645" s="9" t="e">
        <f t="array" aca="1" ref="I645" ca="1">IF(H645="","",VLOOKUP(H645,_xludf.HSTACK(#REF!,#REF!),2,FALSE))</f>
        <v>#NAME?</v>
      </c>
      <c r="J645" s="9"/>
    </row>
    <row r="646" spans="1:10" x14ac:dyDescent="0.25">
      <c r="A646" s="9" t="s">
        <v>4951</v>
      </c>
      <c r="B646" s="9" t="s">
        <v>5055</v>
      </c>
      <c r="C646" s="7" t="s">
        <v>2600</v>
      </c>
      <c r="D646" s="7" t="s">
        <v>4980</v>
      </c>
      <c r="E646" s="7" t="s">
        <v>5056</v>
      </c>
      <c r="F646" s="10" t="b">
        <v>0</v>
      </c>
      <c r="G646" s="10" t="b">
        <v>1</v>
      </c>
      <c r="H646" s="9" t="s">
        <v>70</v>
      </c>
      <c r="I646" s="9" t="e">
        <f t="array" aca="1" ref="I646" ca="1">IF(H646="","",VLOOKUP(H646,_xludf.HSTACK(#REF!,#REF!),2,FALSE))</f>
        <v>#NAME?</v>
      </c>
      <c r="J646" s="9"/>
    </row>
    <row r="647" spans="1:10" x14ac:dyDescent="0.25">
      <c r="A647" s="9" t="s">
        <v>4951</v>
      </c>
      <c r="B647" s="9" t="s">
        <v>5057</v>
      </c>
      <c r="C647" s="7" t="s">
        <v>2600</v>
      </c>
      <c r="D647" s="7" t="s">
        <v>4983</v>
      </c>
      <c r="E647" s="7" t="s">
        <v>5058</v>
      </c>
      <c r="F647" s="10" t="b">
        <v>0</v>
      </c>
      <c r="G647" s="10" t="b">
        <v>1</v>
      </c>
      <c r="H647" s="9" t="s">
        <v>66</v>
      </c>
      <c r="I647" s="9" t="e">
        <f t="array" aca="1" ref="I647" ca="1">IF(H647="","",VLOOKUP(H647,_xludf.HSTACK(#REF!,#REF!),2,FALSE))</f>
        <v>#NAME?</v>
      </c>
      <c r="J647" s="9"/>
    </row>
    <row r="648" spans="1:10" x14ac:dyDescent="0.25">
      <c r="A648" s="9" t="s">
        <v>4951</v>
      </c>
      <c r="B648" s="9" t="s">
        <v>5059</v>
      </c>
      <c r="C648" s="7" t="s">
        <v>2600</v>
      </c>
      <c r="D648" s="7" t="s">
        <v>4986</v>
      </c>
      <c r="E648" s="7" t="s">
        <v>5060</v>
      </c>
      <c r="F648" s="10" t="b">
        <v>0</v>
      </c>
      <c r="G648" s="10" t="b">
        <v>1</v>
      </c>
      <c r="H648" s="9" t="s">
        <v>65</v>
      </c>
      <c r="I648" s="9" t="e">
        <f t="array" aca="1" ref="I648" ca="1">IF(H648="","",VLOOKUP(H648,_xludf.HSTACK(#REF!,#REF!),2,FALSE))</f>
        <v>#NAME?</v>
      </c>
      <c r="J648" s="9"/>
    </row>
    <row r="649" spans="1:10" x14ac:dyDescent="0.25">
      <c r="A649" s="9" t="s">
        <v>4951</v>
      </c>
      <c r="B649" s="9" t="s">
        <v>5061</v>
      </c>
      <c r="C649" s="7" t="s">
        <v>2600</v>
      </c>
      <c r="D649" s="7" t="s">
        <v>4989</v>
      </c>
      <c r="E649" s="7" t="s">
        <v>5062</v>
      </c>
      <c r="F649" s="10" t="b">
        <v>0</v>
      </c>
      <c r="G649" s="10" t="b">
        <v>1</v>
      </c>
      <c r="H649" s="9" t="s">
        <v>68</v>
      </c>
      <c r="I649" s="9" t="e">
        <f t="array" aca="1" ref="I649" ca="1">IF(H649="","",VLOOKUP(H649,_xludf.HSTACK(#REF!,#REF!),2,FALSE))</f>
        <v>#NAME?</v>
      </c>
      <c r="J649" s="9"/>
    </row>
    <row r="650" spans="1:10" x14ac:dyDescent="0.25">
      <c r="A650" s="9" t="s">
        <v>4951</v>
      </c>
      <c r="B650" s="9" t="s">
        <v>5063</v>
      </c>
      <c r="C650" s="7" t="s">
        <v>2600</v>
      </c>
      <c r="D650" s="7" t="s">
        <v>4992</v>
      </c>
      <c r="E650" s="7" t="s">
        <v>5064</v>
      </c>
      <c r="F650" s="10" t="b">
        <v>0</v>
      </c>
      <c r="G650" s="10" t="b">
        <v>1</v>
      </c>
      <c r="H650" s="9" t="s">
        <v>69</v>
      </c>
      <c r="I650" s="9" t="e">
        <f t="array" aca="1" ref="I650" ca="1">IF(H650="","",VLOOKUP(H650,_xludf.HSTACK(#REF!,#REF!),2,FALSE))</f>
        <v>#NAME?</v>
      </c>
      <c r="J650" s="9"/>
    </row>
    <row r="651" spans="1:10" x14ac:dyDescent="0.25">
      <c r="A651" s="9" t="s">
        <v>4951</v>
      </c>
      <c r="B651" s="9" t="s">
        <v>5065</v>
      </c>
      <c r="C651" s="7" t="s">
        <v>1005</v>
      </c>
      <c r="D651" s="7" t="s">
        <v>5066</v>
      </c>
      <c r="E651" s="7" t="s">
        <v>5067</v>
      </c>
      <c r="F651" s="10" t="b">
        <v>0</v>
      </c>
      <c r="G651" s="10" t="b">
        <v>1</v>
      </c>
      <c r="H651" s="9" t="s">
        <v>22</v>
      </c>
      <c r="I651" s="9" t="e">
        <f t="array" aca="1" ref="I651" ca="1">IF(H651="","",VLOOKUP(H651,_xludf.HSTACK(#REF!,#REF!),2,FALSE))</f>
        <v>#NAME?</v>
      </c>
      <c r="J651" s="9"/>
    </row>
    <row r="652" spans="1:10" x14ac:dyDescent="0.25">
      <c r="A652" s="9" t="s">
        <v>4951</v>
      </c>
      <c r="B652" s="9" t="s">
        <v>5068</v>
      </c>
      <c r="C652" s="9"/>
      <c r="D652" s="9"/>
      <c r="E652" s="9"/>
      <c r="F652" s="10" t="b">
        <v>0</v>
      </c>
      <c r="G652" s="10" t="b">
        <v>1</v>
      </c>
      <c r="H652" s="9"/>
      <c r="I652" s="9" t="str">
        <f t="array" ref="I652">IF(H652="","",VLOOKUP(H652,_xludf.HSTACK(#REF!,#REF!),2,FALSE))</f>
        <v/>
      </c>
      <c r="J652" s="9"/>
    </row>
    <row r="653" spans="1:10" x14ac:dyDescent="0.25">
      <c r="A653" s="9" t="s">
        <v>4951</v>
      </c>
      <c r="B653" s="9" t="s">
        <v>5069</v>
      </c>
      <c r="C653" s="9"/>
      <c r="D653" s="9"/>
      <c r="E653" s="9"/>
      <c r="F653" s="10" t="b">
        <v>0</v>
      </c>
      <c r="G653" s="10" t="b">
        <v>1</v>
      </c>
      <c r="H653" s="9" t="s">
        <v>46</v>
      </c>
      <c r="I653" s="9" t="e">
        <f t="array" aca="1" ref="I653" ca="1">IF(H653="","",VLOOKUP(H653,_xludf.HSTACK(#REF!,#REF!),2,FALSE))</f>
        <v>#NAME?</v>
      </c>
      <c r="J653" s="9"/>
    </row>
    <row r="654" spans="1:10" x14ac:dyDescent="0.25">
      <c r="A654" s="9" t="s">
        <v>4951</v>
      </c>
      <c r="B654" s="9" t="s">
        <v>5070</v>
      </c>
      <c r="C654" s="9"/>
      <c r="D654" s="9"/>
      <c r="E654" s="9"/>
      <c r="F654" s="10" t="b">
        <v>0</v>
      </c>
      <c r="G654" s="10" t="b">
        <v>1</v>
      </c>
      <c r="H654" s="9" t="s">
        <v>8</v>
      </c>
      <c r="I654" s="9" t="e">
        <f t="array" aca="1" ref="I654" ca="1">IF(H654="","",VLOOKUP(H654,_xludf.HSTACK(#REF!,#REF!),2,FALSE))</f>
        <v>#NAME?</v>
      </c>
      <c r="J654" s="9"/>
    </row>
    <row r="655" spans="1:10" x14ac:dyDescent="0.25">
      <c r="A655" s="9" t="s">
        <v>4951</v>
      </c>
      <c r="B655" s="9" t="s">
        <v>5071</v>
      </c>
      <c r="C655" s="9"/>
      <c r="D655" s="9"/>
      <c r="E655" s="9"/>
      <c r="F655" s="10" t="b">
        <v>0</v>
      </c>
      <c r="G655" s="10" t="b">
        <v>1</v>
      </c>
      <c r="H655" s="9"/>
      <c r="I655" s="9" t="str">
        <f t="array" ref="I655">IF(H655="","",VLOOKUP(H655,_xludf.HSTACK(#REF!,#REF!),2,FALSE))</f>
        <v/>
      </c>
      <c r="J655" s="9"/>
    </row>
    <row r="656" spans="1:10" x14ac:dyDescent="0.25">
      <c r="A656" s="9" t="s">
        <v>4951</v>
      </c>
      <c r="B656" s="9" t="s">
        <v>5072</v>
      </c>
      <c r="C656" s="9"/>
      <c r="D656" s="9"/>
      <c r="E656" s="9"/>
      <c r="F656" s="10" t="b">
        <v>0</v>
      </c>
      <c r="G656" s="10" t="b">
        <v>1</v>
      </c>
      <c r="H656" s="9" t="s">
        <v>8</v>
      </c>
      <c r="I656" s="9" t="e">
        <f t="array" aca="1" ref="I656" ca="1">IF(H656="","",VLOOKUP(H656,_xludf.HSTACK(#REF!,#REF!),2,FALSE))</f>
        <v>#NAME?</v>
      </c>
      <c r="J656" s="9"/>
    </row>
    <row r="657" spans="1:10" x14ac:dyDescent="0.25">
      <c r="A657" s="9" t="s">
        <v>4951</v>
      </c>
      <c r="B657" s="9" t="s">
        <v>5073</v>
      </c>
      <c r="C657" s="9"/>
      <c r="D657" s="9"/>
      <c r="E657" s="9"/>
      <c r="F657" s="10" t="b">
        <v>0</v>
      </c>
      <c r="G657" s="10" t="b">
        <v>1</v>
      </c>
      <c r="H657" s="9" t="s">
        <v>10</v>
      </c>
      <c r="I657" s="9" t="e">
        <f t="array" aca="1" ref="I657" ca="1">IF(H657="","",VLOOKUP(H657,_xludf.HSTACK(#REF!,#REF!),2,FALSE))</f>
        <v>#NAME?</v>
      </c>
      <c r="J657" s="9"/>
    </row>
    <row r="658" spans="1:10" x14ac:dyDescent="0.25">
      <c r="A658" s="9" t="s">
        <v>4951</v>
      </c>
      <c r="B658" s="9" t="s">
        <v>5074</v>
      </c>
      <c r="C658" s="7" t="s">
        <v>1013</v>
      </c>
      <c r="D658" s="7" t="s">
        <v>5075</v>
      </c>
      <c r="E658" s="7" t="s">
        <v>5076</v>
      </c>
      <c r="F658" s="10" t="b">
        <v>0</v>
      </c>
      <c r="G658" s="10" t="b">
        <v>1</v>
      </c>
      <c r="H658" s="9" t="s">
        <v>60</v>
      </c>
      <c r="I658" s="9" t="e">
        <f t="array" aca="1" ref="I658" ca="1">IF(H658="","",VLOOKUP(H658,_xludf.HSTACK(#REF!,#REF!),2,FALSE))</f>
        <v>#NAME?</v>
      </c>
      <c r="J658" s="9"/>
    </row>
    <row r="659" spans="1:10" x14ac:dyDescent="0.25">
      <c r="A659" s="9" t="s">
        <v>4951</v>
      </c>
      <c r="B659" s="9" t="s">
        <v>5077</v>
      </c>
      <c r="C659" s="7" t="s">
        <v>1013</v>
      </c>
      <c r="D659" s="7" t="s">
        <v>5078</v>
      </c>
      <c r="E659" s="7" t="s">
        <v>5079</v>
      </c>
      <c r="F659" s="10" t="b">
        <v>0</v>
      </c>
      <c r="G659" s="10" t="b">
        <v>1</v>
      </c>
      <c r="H659" s="9"/>
      <c r="I659" s="9" t="str">
        <f t="array" ref="I659">IF(H659="","",VLOOKUP(H659,_xludf.HSTACK(#REF!,#REF!),2,FALSE))</f>
        <v/>
      </c>
      <c r="J659" s="9"/>
    </row>
    <row r="660" spans="1:10" x14ac:dyDescent="0.25">
      <c r="A660" s="9" t="s">
        <v>4951</v>
      </c>
      <c r="B660" s="9" t="s">
        <v>5080</v>
      </c>
      <c r="C660" s="7" t="s">
        <v>1013</v>
      </c>
      <c r="D660" s="7" t="s">
        <v>5081</v>
      </c>
      <c r="E660" s="7" t="s">
        <v>5082</v>
      </c>
      <c r="F660" s="10" t="b">
        <v>0</v>
      </c>
      <c r="G660" s="10" t="b">
        <v>1</v>
      </c>
      <c r="H660" s="9" t="s">
        <v>60</v>
      </c>
      <c r="I660" s="9" t="e">
        <f t="array" aca="1" ref="I660" ca="1">IF(H660="","",VLOOKUP(H660,_xludf.HSTACK(#REF!,#REF!),2,FALSE))</f>
        <v>#NAME?</v>
      </c>
      <c r="J660" s="9"/>
    </row>
    <row r="661" spans="1:10" x14ac:dyDescent="0.25">
      <c r="A661" s="9" t="s">
        <v>4951</v>
      </c>
      <c r="B661" s="9" t="s">
        <v>5083</v>
      </c>
      <c r="C661" s="9"/>
      <c r="D661" s="9"/>
      <c r="E661" s="9"/>
      <c r="F661" s="10" t="b">
        <v>0</v>
      </c>
      <c r="G661" s="10" t="b">
        <v>1</v>
      </c>
      <c r="H661" s="9" t="s">
        <v>47</v>
      </c>
      <c r="I661" s="9" t="e">
        <f t="array" aca="1" ref="I661" ca="1">IF(H661="","",VLOOKUP(H661,_xludf.HSTACK(#REF!,#REF!),2,FALSE))</f>
        <v>#NAME?</v>
      </c>
      <c r="J661" s="9"/>
    </row>
    <row r="662" spans="1:10" x14ac:dyDescent="0.25">
      <c r="A662" s="9" t="s">
        <v>4951</v>
      </c>
      <c r="B662" s="9" t="s">
        <v>5084</v>
      </c>
      <c r="C662" s="7" t="s">
        <v>1023</v>
      </c>
      <c r="D662" s="7" t="s">
        <v>5085</v>
      </c>
      <c r="E662" s="7" t="s">
        <v>5086</v>
      </c>
      <c r="F662" s="10" t="b">
        <v>0</v>
      </c>
      <c r="G662" s="10" t="b">
        <v>1</v>
      </c>
      <c r="H662" s="9" t="s">
        <v>62</v>
      </c>
      <c r="I662" s="9" t="e">
        <f t="array" aca="1" ref="I662" ca="1">IF(H662="","",VLOOKUP(H662,_xludf.HSTACK(#REF!,#REF!),2,FALSE))</f>
        <v>#NAME?</v>
      </c>
      <c r="J662" s="9"/>
    </row>
    <row r="663" spans="1:10" x14ac:dyDescent="0.25">
      <c r="A663" s="9" t="s">
        <v>4951</v>
      </c>
      <c r="B663" s="9" t="s">
        <v>5087</v>
      </c>
      <c r="C663" s="7" t="s">
        <v>1023</v>
      </c>
      <c r="D663" s="7" t="s">
        <v>5088</v>
      </c>
      <c r="E663" s="7" t="s">
        <v>5089</v>
      </c>
      <c r="F663" s="10" t="b">
        <v>0</v>
      </c>
      <c r="G663" s="10" t="b">
        <v>1</v>
      </c>
      <c r="H663" s="9"/>
      <c r="I663" s="9" t="str">
        <f t="array" ref="I663">IF(H663="","",VLOOKUP(H663,_xludf.HSTACK(#REF!,#REF!),2,FALSE))</f>
        <v/>
      </c>
      <c r="J663" s="9"/>
    </row>
    <row r="664" spans="1:10" x14ac:dyDescent="0.25">
      <c r="A664" s="9" t="s">
        <v>4951</v>
      </c>
      <c r="B664" s="9" t="s">
        <v>5090</v>
      </c>
      <c r="C664" s="7" t="s">
        <v>1023</v>
      </c>
      <c r="D664" s="7" t="s">
        <v>5091</v>
      </c>
      <c r="E664" s="7" t="s">
        <v>5092</v>
      </c>
      <c r="F664" s="10" t="b">
        <v>0</v>
      </c>
      <c r="G664" s="10" t="b">
        <v>1</v>
      </c>
      <c r="H664" s="9" t="s">
        <v>62</v>
      </c>
      <c r="I664" s="9" t="e">
        <f t="array" aca="1" ref="I664" ca="1">IF(H664="","",VLOOKUP(H664,_xludf.HSTACK(#REF!,#REF!),2,FALSE))</f>
        <v>#NAME?</v>
      </c>
      <c r="J664" s="9"/>
    </row>
    <row r="665" spans="1:10" x14ac:dyDescent="0.25">
      <c r="A665" s="9" t="s">
        <v>4951</v>
      </c>
      <c r="B665" s="9" t="s">
        <v>5093</v>
      </c>
      <c r="C665" s="9"/>
      <c r="D665" s="9"/>
      <c r="E665" s="9"/>
      <c r="F665" s="10" t="b">
        <v>0</v>
      </c>
      <c r="G665" s="10" t="b">
        <v>1</v>
      </c>
      <c r="H665" s="9"/>
      <c r="I665" s="9" t="str">
        <f t="array" ref="I665">IF(H665="","",VLOOKUP(H665,_xludf.HSTACK(#REF!,#REF!),2,FALSE))</f>
        <v/>
      </c>
      <c r="J665" s="9"/>
    </row>
    <row r="666" spans="1:10" x14ac:dyDescent="0.25">
      <c r="A666" s="9" t="s">
        <v>4951</v>
      </c>
      <c r="B666" s="9" t="s">
        <v>5094</v>
      </c>
      <c r="C666" s="9"/>
      <c r="D666" s="9"/>
      <c r="E666" s="9"/>
      <c r="F666" s="10" t="b">
        <v>0</v>
      </c>
      <c r="G666" s="10" t="b">
        <v>1</v>
      </c>
      <c r="H666" s="9"/>
      <c r="I666" s="9" t="str">
        <f t="array" ref="I666">IF(H666="","",VLOOKUP(H666,_xludf.HSTACK(#REF!,#REF!),2,FALSE))</f>
        <v/>
      </c>
      <c r="J666" s="9"/>
    </row>
    <row r="667" spans="1:10" x14ac:dyDescent="0.25">
      <c r="A667" s="9" t="s">
        <v>4951</v>
      </c>
      <c r="B667" s="9" t="s">
        <v>5095</v>
      </c>
      <c r="C667" s="9"/>
      <c r="D667" s="9"/>
      <c r="E667" s="9"/>
      <c r="F667" s="10" t="b">
        <v>0</v>
      </c>
      <c r="G667" s="10" t="b">
        <v>1</v>
      </c>
      <c r="H667" s="9"/>
      <c r="I667" s="9" t="str">
        <f t="array" ref="I667">IF(H667="","",VLOOKUP(H667,_xludf.HSTACK(#REF!,#REF!),2,FALSE))</f>
        <v/>
      </c>
      <c r="J667" s="9"/>
    </row>
    <row r="668" spans="1:10" x14ac:dyDescent="0.25">
      <c r="A668" s="9" t="s">
        <v>4951</v>
      </c>
      <c r="B668" s="9" t="s">
        <v>5096</v>
      </c>
      <c r="C668" s="9"/>
      <c r="D668" s="9"/>
      <c r="E668" s="9"/>
      <c r="F668" s="10" t="b">
        <v>0</v>
      </c>
      <c r="G668" s="10" t="b">
        <v>1</v>
      </c>
      <c r="H668" s="9"/>
      <c r="I668" s="9" t="str">
        <f t="array" ref="I668">IF(H668="","",VLOOKUP(H668,_xludf.HSTACK(#REF!,#REF!),2,FALSE))</f>
        <v/>
      </c>
      <c r="J668" s="9"/>
    </row>
    <row r="669" spans="1:10" x14ac:dyDescent="0.25">
      <c r="A669" s="9" t="s">
        <v>4951</v>
      </c>
      <c r="B669" s="9" t="s">
        <v>5097</v>
      </c>
      <c r="C669" s="9"/>
      <c r="D669" s="9"/>
      <c r="E669" s="9"/>
      <c r="F669" s="10" t="b">
        <v>0</v>
      </c>
      <c r="G669" s="10" t="b">
        <v>1</v>
      </c>
      <c r="H669" s="9"/>
      <c r="I669" s="9" t="str">
        <f t="array" ref="I669">IF(H669="","",VLOOKUP(H669,_xludf.HSTACK(#REF!,#REF!),2,FALSE))</f>
        <v/>
      </c>
      <c r="J669" s="9"/>
    </row>
    <row r="670" spans="1:10" x14ac:dyDescent="0.25">
      <c r="A670" s="11" t="s">
        <v>5098</v>
      </c>
      <c r="B670" s="11" t="s">
        <v>5099</v>
      </c>
      <c r="C670" s="12" t="s">
        <v>2567</v>
      </c>
      <c r="D670" s="12" t="s">
        <v>4972</v>
      </c>
      <c r="E670" s="12" t="s">
        <v>5100</v>
      </c>
      <c r="F670" s="13" t="b">
        <v>0</v>
      </c>
      <c r="G670" s="13" t="b">
        <v>1</v>
      </c>
      <c r="H670" s="11"/>
      <c r="I670" s="11" t="str">
        <f t="array" ref="I670">IF(H670="","",VLOOKUP(H670,_xludf.HSTACK(#REF!,#REF!),2,FALSE))</f>
        <v/>
      </c>
      <c r="J670" s="11"/>
    </row>
    <row r="671" spans="1:10" x14ac:dyDescent="0.25">
      <c r="A671" s="11" t="s">
        <v>5098</v>
      </c>
      <c r="B671" s="11" t="s">
        <v>5101</v>
      </c>
      <c r="C671" s="12" t="s">
        <v>2567</v>
      </c>
      <c r="D671" s="12" t="s">
        <v>4972</v>
      </c>
      <c r="E671" s="12" t="s">
        <v>5102</v>
      </c>
      <c r="F671" s="13" t="b">
        <v>0</v>
      </c>
      <c r="G671" s="13" t="b">
        <v>1</v>
      </c>
      <c r="H671" s="11" t="s">
        <v>38</v>
      </c>
      <c r="I671" s="11" t="e">
        <f t="array" aca="1" ref="I671" ca="1">IF(H671="","",VLOOKUP(H671,_xludf.HSTACK(#REF!,#REF!),2,FALSE))</f>
        <v>#NAME?</v>
      </c>
      <c r="J671" s="11"/>
    </row>
    <row r="672" spans="1:10" x14ac:dyDescent="0.25">
      <c r="A672" s="11" t="s">
        <v>5098</v>
      </c>
      <c r="B672" s="11" t="s">
        <v>5103</v>
      </c>
      <c r="C672" s="12" t="s">
        <v>2600</v>
      </c>
      <c r="D672" s="12" t="s">
        <v>5104</v>
      </c>
      <c r="E672" s="12" t="s">
        <v>5105</v>
      </c>
      <c r="F672" s="13" t="b">
        <v>0</v>
      </c>
      <c r="G672" s="13" t="b">
        <v>1</v>
      </c>
      <c r="H672" s="11" t="s">
        <v>20</v>
      </c>
      <c r="I672" s="11" t="e">
        <f t="array" aca="1" ref="I672" ca="1">IF(H672="","",VLOOKUP(H672,_xludf.HSTACK(#REF!,#REF!),2,FALSE))</f>
        <v>#NAME?</v>
      </c>
      <c r="J672" s="11"/>
    </row>
    <row r="673" spans="1:10" x14ac:dyDescent="0.25">
      <c r="A673" s="11" t="s">
        <v>5098</v>
      </c>
      <c r="B673" s="11" t="s">
        <v>5106</v>
      </c>
      <c r="C673" s="12" t="s">
        <v>2574</v>
      </c>
      <c r="D673" s="12" t="s">
        <v>5107</v>
      </c>
      <c r="E673" s="12" t="s">
        <v>5108</v>
      </c>
      <c r="F673" s="13" t="b">
        <v>0</v>
      </c>
      <c r="G673" s="13" t="b">
        <v>1</v>
      </c>
      <c r="H673" s="11"/>
      <c r="I673" s="11" t="str">
        <f t="array" ref="I673">IF(H673="","",VLOOKUP(H673,_xludf.HSTACK(#REF!,#REF!),2,FALSE))</f>
        <v/>
      </c>
      <c r="J673" s="11"/>
    </row>
    <row r="674" spans="1:10" x14ac:dyDescent="0.25">
      <c r="A674" s="11" t="s">
        <v>5098</v>
      </c>
      <c r="B674" s="11" t="s">
        <v>5109</v>
      </c>
      <c r="C674" s="12" t="s">
        <v>2587</v>
      </c>
      <c r="D674" s="11"/>
      <c r="E674" s="12" t="s">
        <v>5110</v>
      </c>
      <c r="F674" s="13" t="b">
        <v>0</v>
      </c>
      <c r="G674" s="13" t="b">
        <v>1</v>
      </c>
      <c r="H674" s="11" t="s">
        <v>35</v>
      </c>
      <c r="I674" s="11" t="e">
        <f t="array" aca="1" ref="I674" ca="1">IF(H674="","",VLOOKUP(H674,_xludf.HSTACK(#REF!,#REF!),2,FALSE))</f>
        <v>#NAME?</v>
      </c>
      <c r="J674" s="11"/>
    </row>
    <row r="675" spans="1:10" x14ac:dyDescent="0.25">
      <c r="A675" s="11" t="s">
        <v>5098</v>
      </c>
      <c r="B675" s="11" t="s">
        <v>5111</v>
      </c>
      <c r="C675" s="12" t="s">
        <v>2562</v>
      </c>
      <c r="D675" s="12" t="s">
        <v>5112</v>
      </c>
      <c r="E675" s="12" t="s">
        <v>5113</v>
      </c>
      <c r="F675" s="13" t="b">
        <v>0</v>
      </c>
      <c r="G675" s="13" t="b">
        <v>1</v>
      </c>
      <c r="H675" s="11"/>
      <c r="I675" s="11" t="str">
        <f t="array" ref="I675">IF(H675="","",VLOOKUP(H675,_xludf.HSTACK(#REF!,#REF!),2,FALSE))</f>
        <v/>
      </c>
      <c r="J675" s="11"/>
    </row>
    <row r="676" spans="1:10" x14ac:dyDescent="0.25">
      <c r="A676" s="11" t="s">
        <v>5098</v>
      </c>
      <c r="B676" s="11" t="s">
        <v>5114</v>
      </c>
      <c r="C676" s="12" t="s">
        <v>2550</v>
      </c>
      <c r="D676" s="12" t="s">
        <v>5115</v>
      </c>
      <c r="E676" s="12" t="s">
        <v>5116</v>
      </c>
      <c r="F676" s="13" t="b">
        <v>0</v>
      </c>
      <c r="G676" s="13" t="b">
        <v>1</v>
      </c>
      <c r="H676" s="11"/>
      <c r="I676" s="11" t="str">
        <f t="array" ref="I676">IF(H676="","",VLOOKUP(H676,_xludf.HSTACK(#REF!,#REF!),2,FALSE))</f>
        <v/>
      </c>
      <c r="J676" s="11"/>
    </row>
    <row r="677" spans="1:10" x14ac:dyDescent="0.25">
      <c r="A677" s="11" t="s">
        <v>5098</v>
      </c>
      <c r="B677" s="11" t="s">
        <v>4994</v>
      </c>
      <c r="C677" s="12" t="s">
        <v>2539</v>
      </c>
      <c r="D677" s="12" t="s">
        <v>5117</v>
      </c>
      <c r="E677" s="12" t="s">
        <v>5118</v>
      </c>
      <c r="F677" s="13" t="b">
        <v>0</v>
      </c>
      <c r="G677" s="13" t="b">
        <v>1</v>
      </c>
      <c r="H677" s="11" t="s">
        <v>32</v>
      </c>
      <c r="I677" s="11" t="e">
        <f t="array" aca="1" ref="I677" ca="1">IF(H677="","",VLOOKUP(H677,_xludf.HSTACK(#REF!,#REF!),2,FALSE))</f>
        <v>#NAME?</v>
      </c>
      <c r="J677" s="11"/>
    </row>
    <row r="678" spans="1:10" x14ac:dyDescent="0.25">
      <c r="A678" s="11" t="s">
        <v>5098</v>
      </c>
      <c r="B678" s="11" t="s">
        <v>5119</v>
      </c>
      <c r="C678" s="12" t="s">
        <v>2600</v>
      </c>
      <c r="D678" s="12" t="s">
        <v>5120</v>
      </c>
      <c r="E678" s="12" t="s">
        <v>5121</v>
      </c>
      <c r="F678" s="13" t="b">
        <v>0</v>
      </c>
      <c r="G678" s="13" t="b">
        <v>1</v>
      </c>
      <c r="H678" s="11" t="s">
        <v>67</v>
      </c>
      <c r="I678" s="11" t="e">
        <f t="array" aca="1" ref="I678" ca="1">IF(H678="","",VLOOKUP(H678,_xludf.HSTACK(#REF!,#REF!),2,FALSE))</f>
        <v>#NAME?</v>
      </c>
      <c r="J678" s="11"/>
    </row>
    <row r="679" spans="1:10" x14ac:dyDescent="0.25">
      <c r="A679" s="11" t="s">
        <v>5098</v>
      </c>
      <c r="B679" s="11" t="s">
        <v>4997</v>
      </c>
      <c r="C679" s="12" t="s">
        <v>2531</v>
      </c>
      <c r="D679" s="11"/>
      <c r="E679" s="12" t="s">
        <v>5122</v>
      </c>
      <c r="F679" s="13" t="b">
        <v>0</v>
      </c>
      <c r="G679" s="13" t="b">
        <v>1</v>
      </c>
      <c r="H679" s="11" t="s">
        <v>30</v>
      </c>
      <c r="I679" s="11" t="e">
        <f t="array" aca="1" ref="I679" ca="1">IF(H679="","",VLOOKUP(H679,_xludf.HSTACK(#REF!,#REF!),2,FALSE))</f>
        <v>#NAME?</v>
      </c>
      <c r="J679" s="11"/>
    </row>
    <row r="680" spans="1:10" x14ac:dyDescent="0.25">
      <c r="A680" s="11" t="s">
        <v>5098</v>
      </c>
      <c r="B680" s="11" t="s">
        <v>5000</v>
      </c>
      <c r="C680" s="12" t="s">
        <v>2531</v>
      </c>
      <c r="D680" s="11"/>
      <c r="E680" s="12" t="s">
        <v>5123</v>
      </c>
      <c r="F680" s="13" t="b">
        <v>0</v>
      </c>
      <c r="G680" s="13" t="b">
        <v>1</v>
      </c>
      <c r="H680" s="11" t="s">
        <v>28</v>
      </c>
      <c r="I680" s="11" t="e">
        <f t="array" aca="1" ref="I680" ca="1">IF(H680="","",VLOOKUP(H680,_xludf.HSTACK(#REF!,#REF!),2,FALSE))</f>
        <v>#NAME?</v>
      </c>
      <c r="J680" s="11"/>
    </row>
    <row r="681" spans="1:10" x14ac:dyDescent="0.25">
      <c r="A681" s="11" t="s">
        <v>5098</v>
      </c>
      <c r="B681" s="11" t="s">
        <v>5002</v>
      </c>
      <c r="C681" s="12" t="s">
        <v>2539</v>
      </c>
      <c r="D681" s="12" t="s">
        <v>5124</v>
      </c>
      <c r="E681" s="12" t="s">
        <v>5125</v>
      </c>
      <c r="F681" s="13" t="b">
        <v>0</v>
      </c>
      <c r="G681" s="13" t="b">
        <v>1</v>
      </c>
      <c r="H681" s="11" t="s">
        <v>26</v>
      </c>
      <c r="I681" s="11" t="e">
        <f t="array" aca="1" ref="I681" ca="1">IF(H681="","",VLOOKUP(H681,_xludf.HSTACK(#REF!,#REF!),2,FALSE))</f>
        <v>#NAME?</v>
      </c>
      <c r="J681" s="11"/>
    </row>
    <row r="682" spans="1:10" x14ac:dyDescent="0.25">
      <c r="A682" s="11" t="s">
        <v>5098</v>
      </c>
      <c r="B682" s="11" t="s">
        <v>5126</v>
      </c>
      <c r="C682" s="12" t="s">
        <v>2600</v>
      </c>
      <c r="D682" s="12" t="s">
        <v>5120</v>
      </c>
      <c r="E682" s="12" t="s">
        <v>5127</v>
      </c>
      <c r="F682" s="13" t="b">
        <v>0</v>
      </c>
      <c r="G682" s="13" t="b">
        <v>1</v>
      </c>
      <c r="H682" s="11" t="s">
        <v>65</v>
      </c>
      <c r="I682" s="11" t="e">
        <f t="array" aca="1" ref="I682" ca="1">IF(H682="","",VLOOKUP(H682,_xludf.HSTACK(#REF!,#REF!),2,FALSE))</f>
        <v>#NAME?</v>
      </c>
      <c r="J682" s="11"/>
    </row>
    <row r="683" spans="1:10" x14ac:dyDescent="0.25">
      <c r="A683" s="11" t="s">
        <v>5098</v>
      </c>
      <c r="B683" s="11" t="s">
        <v>5128</v>
      </c>
      <c r="C683" s="12" t="s">
        <v>2531</v>
      </c>
      <c r="D683" s="11"/>
      <c r="E683" s="12" t="s">
        <v>5129</v>
      </c>
      <c r="F683" s="13" t="b">
        <v>0</v>
      </c>
      <c r="G683" s="13" t="b">
        <v>1</v>
      </c>
      <c r="H683" s="11" t="s">
        <v>31</v>
      </c>
      <c r="I683" s="11" t="e">
        <f t="array" aca="1" ref="I683" ca="1">IF(H683="","",VLOOKUP(H683,_xludf.HSTACK(#REF!,#REF!),2,FALSE))</f>
        <v>#NAME?</v>
      </c>
      <c r="J683" s="11"/>
    </row>
    <row r="684" spans="1:10" x14ac:dyDescent="0.25">
      <c r="A684" s="11" t="s">
        <v>5098</v>
      </c>
      <c r="B684" s="11" t="s">
        <v>5007</v>
      </c>
      <c r="C684" s="12" t="s">
        <v>2539</v>
      </c>
      <c r="D684" s="12" t="s">
        <v>5130</v>
      </c>
      <c r="E684" s="12" t="s">
        <v>5131</v>
      </c>
      <c r="F684" s="13" t="b">
        <v>0</v>
      </c>
      <c r="G684" s="13" t="b">
        <v>1</v>
      </c>
      <c r="H684" s="11" t="s">
        <v>29</v>
      </c>
      <c r="I684" s="11" t="e">
        <f t="array" aca="1" ref="I684" ca="1">IF(H684="","",VLOOKUP(H684,_xludf.HSTACK(#REF!,#REF!),2,FALSE))</f>
        <v>#NAME?</v>
      </c>
      <c r="J684" s="11"/>
    </row>
    <row r="685" spans="1:10" x14ac:dyDescent="0.25">
      <c r="A685" s="11" t="s">
        <v>5098</v>
      </c>
      <c r="B685" s="11" t="s">
        <v>5132</v>
      </c>
      <c r="C685" s="12" t="s">
        <v>2600</v>
      </c>
      <c r="D685" s="12" t="s">
        <v>5120</v>
      </c>
      <c r="E685" s="12" t="s">
        <v>5133</v>
      </c>
      <c r="F685" s="13" t="b">
        <v>0</v>
      </c>
      <c r="G685" s="13" t="b">
        <v>1</v>
      </c>
      <c r="H685" s="11" t="s">
        <v>69</v>
      </c>
      <c r="I685" s="11" t="e">
        <f t="array" aca="1" ref="I685" ca="1">IF(H685="","",VLOOKUP(H685,_xludf.HSTACK(#REF!,#REF!),2,FALSE))</f>
        <v>#NAME?</v>
      </c>
      <c r="J685" s="11"/>
    </row>
    <row r="686" spans="1:10" x14ac:dyDescent="0.25">
      <c r="A686" s="11" t="s">
        <v>5098</v>
      </c>
      <c r="B686" s="11" t="s">
        <v>5134</v>
      </c>
      <c r="C686" s="12" t="s">
        <v>2557</v>
      </c>
      <c r="D686" s="12" t="s">
        <v>5135</v>
      </c>
      <c r="E686" s="12" t="s">
        <v>5136</v>
      </c>
      <c r="F686" s="13" t="b">
        <v>0</v>
      </c>
      <c r="G686" s="13" t="b">
        <v>1</v>
      </c>
      <c r="H686" s="11"/>
      <c r="I686" s="11" t="str">
        <f t="array" ref="I686">IF(H686="","",VLOOKUP(H686,_xludf.HSTACK(#REF!,#REF!),2,FALSE))</f>
        <v/>
      </c>
      <c r="J686" s="11"/>
    </row>
    <row r="687" spans="1:10" x14ac:dyDescent="0.25">
      <c r="A687" s="11" t="s">
        <v>5098</v>
      </c>
      <c r="B687" s="11" t="s">
        <v>5137</v>
      </c>
      <c r="C687" s="12" t="s">
        <v>2583</v>
      </c>
      <c r="D687" s="11"/>
      <c r="E687" s="12" t="s">
        <v>5138</v>
      </c>
      <c r="F687" s="13" t="b">
        <v>0</v>
      </c>
      <c r="G687" s="13" t="b">
        <v>1</v>
      </c>
      <c r="H687" s="11" t="s">
        <v>13</v>
      </c>
      <c r="I687" s="11" t="e">
        <f t="array" aca="1" ref="I687" ca="1">IF(H687="","",VLOOKUP(H687,_xludf.HSTACK(#REF!,#REF!),2,FALSE))</f>
        <v>#NAME?</v>
      </c>
      <c r="J687" s="11"/>
    </row>
    <row r="688" spans="1:10" x14ac:dyDescent="0.25">
      <c r="A688" s="11" t="s">
        <v>5098</v>
      </c>
      <c r="B688" s="11" t="s">
        <v>5139</v>
      </c>
      <c r="C688" s="12" t="s">
        <v>2574</v>
      </c>
      <c r="D688" s="12" t="s">
        <v>5140</v>
      </c>
      <c r="E688" s="12" t="s">
        <v>5141</v>
      </c>
      <c r="F688" s="13" t="b">
        <v>0</v>
      </c>
      <c r="G688" s="13" t="b">
        <v>1</v>
      </c>
      <c r="H688" s="11" t="s">
        <v>47</v>
      </c>
      <c r="I688" s="11" t="e">
        <f t="array" aca="1" ref="I688" ca="1">IF(H688="","",VLOOKUP(H688,_xludf.HSTACK(#REF!,#REF!),2,FALSE))</f>
        <v>#NAME?</v>
      </c>
      <c r="J688" s="11"/>
    </row>
    <row r="689" spans="1:10" x14ac:dyDescent="0.25">
      <c r="A689" s="11" t="s">
        <v>5098</v>
      </c>
      <c r="B689" s="11" t="s">
        <v>5142</v>
      </c>
      <c r="C689" s="12" t="s">
        <v>2595</v>
      </c>
      <c r="D689" s="12" t="s">
        <v>5143</v>
      </c>
      <c r="E689" s="12" t="s">
        <v>5144</v>
      </c>
      <c r="F689" s="13" t="b">
        <v>0</v>
      </c>
      <c r="G689" s="13" t="b">
        <v>1</v>
      </c>
      <c r="H689" s="11" t="s">
        <v>47</v>
      </c>
      <c r="I689" s="11" t="e">
        <f t="array" aca="1" ref="I689" ca="1">IF(H689="","",VLOOKUP(H689,_xludf.HSTACK(#REF!,#REF!),2,FALSE))</f>
        <v>#NAME?</v>
      </c>
      <c r="J689" s="11"/>
    </row>
    <row r="690" spans="1:10" x14ac:dyDescent="0.25">
      <c r="A690" s="11" t="s">
        <v>5098</v>
      </c>
      <c r="B690" s="11" t="s">
        <v>5145</v>
      </c>
      <c r="C690" s="12" t="s">
        <v>1019</v>
      </c>
      <c r="D690" s="12" t="s">
        <v>5146</v>
      </c>
      <c r="E690" s="12" t="s">
        <v>5147</v>
      </c>
      <c r="F690" s="13" t="b">
        <v>0</v>
      </c>
      <c r="G690" s="13" t="b">
        <v>1</v>
      </c>
      <c r="H690" s="11" t="s">
        <v>24</v>
      </c>
      <c r="I690" s="11" t="e">
        <f t="array" aca="1" ref="I690" ca="1">IF(H690="","",VLOOKUP(H690,_xludf.HSTACK(#REF!,#REF!),2,FALSE))</f>
        <v>#NAME?</v>
      </c>
      <c r="J690" s="11"/>
    </row>
    <row r="691" spans="1:10" x14ac:dyDescent="0.25">
      <c r="A691" s="11" t="s">
        <v>5098</v>
      </c>
      <c r="B691" s="11" t="s">
        <v>5148</v>
      </c>
      <c r="C691" s="12" t="s">
        <v>2550</v>
      </c>
      <c r="D691" s="12" t="s">
        <v>5115</v>
      </c>
      <c r="E691" s="12" t="s">
        <v>5149</v>
      </c>
      <c r="F691" s="13" t="b">
        <v>0</v>
      </c>
      <c r="G691" s="13" t="b">
        <v>1</v>
      </c>
      <c r="H691" s="11" t="s">
        <v>10</v>
      </c>
      <c r="I691" s="11" t="e">
        <f t="array" aca="1" ref="I691" ca="1">IF(H691="","",VLOOKUP(H691,_xludf.HSTACK(#REF!,#REF!),2,FALSE))</f>
        <v>#NAME?</v>
      </c>
      <c r="J691" s="11"/>
    </row>
    <row r="692" spans="1:10" x14ac:dyDescent="0.25">
      <c r="A692" s="11" t="s">
        <v>5098</v>
      </c>
      <c r="B692" s="11" t="s">
        <v>5150</v>
      </c>
      <c r="C692" s="11"/>
      <c r="D692" s="11"/>
      <c r="E692" s="11"/>
      <c r="F692" s="13" t="b">
        <v>0</v>
      </c>
      <c r="G692" s="13" t="b">
        <v>1</v>
      </c>
      <c r="H692" s="11"/>
      <c r="I692" s="11" t="str">
        <f t="array" ref="I692">IF(H692="","",VLOOKUP(H692,_xludf.HSTACK(#REF!,#REF!),2,FALSE))</f>
        <v/>
      </c>
      <c r="J692" s="11"/>
    </row>
    <row r="693" spans="1:10" x14ac:dyDescent="0.25">
      <c r="A693" s="11" t="s">
        <v>5098</v>
      </c>
      <c r="B693" s="11" t="s">
        <v>5071</v>
      </c>
      <c r="C693" s="11"/>
      <c r="D693" s="11"/>
      <c r="E693" s="11"/>
      <c r="F693" s="13" t="b">
        <v>0</v>
      </c>
      <c r="G693" s="13" t="b">
        <v>1</v>
      </c>
      <c r="H693" s="11"/>
      <c r="I693" s="11" t="str">
        <f t="array" ref="I693">IF(H693="","",VLOOKUP(H693,_xludf.HSTACK(#REF!,#REF!),2,FALSE))</f>
        <v/>
      </c>
      <c r="J693" s="11"/>
    </row>
    <row r="694" spans="1:10" x14ac:dyDescent="0.25">
      <c r="A694" s="11" t="s">
        <v>5098</v>
      </c>
      <c r="B694" s="11" t="s">
        <v>5151</v>
      </c>
      <c r="C694" s="11"/>
      <c r="D694" s="11"/>
      <c r="E694" s="11"/>
      <c r="F694" s="13" t="b">
        <v>0</v>
      </c>
      <c r="G694" s="13" t="b">
        <v>1</v>
      </c>
      <c r="H694" s="11"/>
      <c r="I694" s="11" t="str">
        <f t="array" ref="I694">IF(H694="","",VLOOKUP(H694,_xludf.HSTACK(#REF!,#REF!),2,FALSE))</f>
        <v/>
      </c>
      <c r="J694" s="11"/>
    </row>
    <row r="695" spans="1:10" x14ac:dyDescent="0.25">
      <c r="A695" s="11" t="s">
        <v>5098</v>
      </c>
      <c r="B695" s="11" t="s">
        <v>5152</v>
      </c>
      <c r="C695" s="11"/>
      <c r="D695" s="11"/>
      <c r="E695" s="11"/>
      <c r="F695" s="13" t="b">
        <v>0</v>
      </c>
      <c r="G695" s="13" t="b">
        <v>1</v>
      </c>
      <c r="H695" s="11"/>
      <c r="I695" s="11" t="str">
        <f t="array" ref="I695">IF(H695="","",VLOOKUP(H695,_xludf.HSTACK(#REF!,#REF!),2,FALSE))</f>
        <v/>
      </c>
      <c r="J695" s="11"/>
    </row>
    <row r="696" spans="1:10" x14ac:dyDescent="0.25">
      <c r="A696" s="11" t="s">
        <v>5098</v>
      </c>
      <c r="B696" s="11" t="s">
        <v>5153</v>
      </c>
      <c r="C696" s="11"/>
      <c r="D696" s="11"/>
      <c r="E696" s="11"/>
      <c r="F696" s="13" t="b">
        <v>0</v>
      </c>
      <c r="G696" s="13" t="b">
        <v>1</v>
      </c>
      <c r="H696" s="11"/>
      <c r="I696" s="11" t="str">
        <f t="array" ref="I696">IF(H696="","",VLOOKUP(H696,_xludf.HSTACK(#REF!,#REF!),2,FALSE))</f>
        <v/>
      </c>
      <c r="J696" s="11"/>
    </row>
    <row r="697" spans="1:10" x14ac:dyDescent="0.25">
      <c r="A697" s="11" t="s">
        <v>5098</v>
      </c>
      <c r="B697" s="11" t="s">
        <v>5154</v>
      </c>
      <c r="C697" s="11"/>
      <c r="D697" s="11"/>
      <c r="E697" s="11"/>
      <c r="F697" s="13" t="b">
        <v>0</v>
      </c>
      <c r="G697" s="13" t="b">
        <v>1</v>
      </c>
      <c r="H697" s="11"/>
      <c r="I697" s="11" t="str">
        <f t="array" ref="I697">IF(H697="","",VLOOKUP(H697,_xludf.HSTACK(#REF!,#REF!),2,FALSE))</f>
        <v/>
      </c>
      <c r="J697" s="11"/>
    </row>
    <row r="698" spans="1:10" x14ac:dyDescent="0.25">
      <c r="A698" s="9" t="s">
        <v>5155</v>
      </c>
      <c r="B698" s="9" t="s">
        <v>5156</v>
      </c>
      <c r="C698" s="7" t="s">
        <v>192</v>
      </c>
      <c r="D698" s="9"/>
      <c r="E698" s="7" t="s">
        <v>5157</v>
      </c>
      <c r="F698" s="10" t="b">
        <v>0</v>
      </c>
      <c r="G698" s="10" t="b">
        <v>0</v>
      </c>
      <c r="H698" s="9" t="s">
        <v>30</v>
      </c>
      <c r="I698" s="9" t="e">
        <f t="array" aca="1" ref="I698" ca="1">IF(H698="","",VLOOKUP(H698,_xludf.HSTACK(#REF!,#REF!),2,FALSE))</f>
        <v>#NAME?</v>
      </c>
      <c r="J698" s="9"/>
    </row>
    <row r="699" spans="1:10" x14ac:dyDescent="0.25">
      <c r="A699" s="9" t="s">
        <v>5155</v>
      </c>
      <c r="B699" s="9" t="s">
        <v>5158</v>
      </c>
      <c r="C699" s="7" t="s">
        <v>36</v>
      </c>
      <c r="D699" s="9"/>
      <c r="E699" s="7" t="s">
        <v>5159</v>
      </c>
      <c r="F699" s="10" t="b">
        <v>0</v>
      </c>
      <c r="G699" s="10" t="b">
        <v>0</v>
      </c>
      <c r="H699" s="9" t="s">
        <v>35</v>
      </c>
      <c r="I699" s="9" t="e">
        <f t="array" aca="1" ref="I699" ca="1">IF(H699="","",VLOOKUP(H699,_xludf.HSTACK(#REF!,#REF!),2,FALSE))</f>
        <v>#NAME?</v>
      </c>
      <c r="J699" s="9"/>
    </row>
    <row r="700" spans="1:10" x14ac:dyDescent="0.25">
      <c r="A700" s="9" t="s">
        <v>5155</v>
      </c>
      <c r="B700" s="9" t="s">
        <v>5160</v>
      </c>
      <c r="C700" s="7" t="s">
        <v>581</v>
      </c>
      <c r="D700" s="7" t="s">
        <v>5161</v>
      </c>
      <c r="E700" s="7" t="s">
        <v>5162</v>
      </c>
      <c r="F700" s="10" t="b">
        <v>0</v>
      </c>
      <c r="G700" s="10" t="b">
        <v>0</v>
      </c>
      <c r="H700" s="9"/>
      <c r="I700" s="9" t="str">
        <f t="array" ref="I700">IF(H700="","",VLOOKUP(H700,_xludf.HSTACK(#REF!,#REF!),2,FALSE))</f>
        <v/>
      </c>
      <c r="J700" s="9" t="s">
        <v>5163</v>
      </c>
    </row>
    <row r="701" spans="1:10" x14ac:dyDescent="0.25">
      <c r="A701" s="9" t="s">
        <v>5155</v>
      </c>
      <c r="B701" s="9" t="s">
        <v>5164</v>
      </c>
      <c r="C701" s="7" t="s">
        <v>581</v>
      </c>
      <c r="D701" s="9"/>
      <c r="E701" s="7" t="s">
        <v>5165</v>
      </c>
      <c r="F701" s="10" t="b">
        <v>0</v>
      </c>
      <c r="G701" s="10" t="b">
        <v>0</v>
      </c>
      <c r="H701" s="9"/>
      <c r="I701" s="9" t="str">
        <f t="array" ref="I701">IF(H701="","",VLOOKUP(H701,_xludf.HSTACK(#REF!,#REF!),2,FALSE))</f>
        <v/>
      </c>
      <c r="J701" s="9" t="s">
        <v>5163</v>
      </c>
    </row>
    <row r="702" spans="1:10" x14ac:dyDescent="0.25">
      <c r="A702" s="9" t="s">
        <v>5155</v>
      </c>
      <c r="B702" s="9" t="s">
        <v>5166</v>
      </c>
      <c r="C702" s="7" t="s">
        <v>581</v>
      </c>
      <c r="D702" s="7" t="s">
        <v>5167</v>
      </c>
      <c r="E702" s="7" t="s">
        <v>5168</v>
      </c>
      <c r="F702" s="10" t="b">
        <v>0</v>
      </c>
      <c r="G702" s="10" t="b">
        <v>0</v>
      </c>
      <c r="H702" s="9"/>
      <c r="I702" s="9" t="str">
        <f t="array" ref="I702">IF(H702="","",VLOOKUP(H702,_xludf.HSTACK(#REF!,#REF!),2,FALSE))</f>
        <v/>
      </c>
      <c r="J702" s="9" t="s">
        <v>5163</v>
      </c>
    </row>
    <row r="703" spans="1:10" x14ac:dyDescent="0.25">
      <c r="A703" s="9" t="s">
        <v>5155</v>
      </c>
      <c r="B703" s="9" t="s">
        <v>5169</v>
      </c>
      <c r="C703" s="7" t="s">
        <v>581</v>
      </c>
      <c r="D703" s="9"/>
      <c r="E703" s="7" t="s">
        <v>5170</v>
      </c>
      <c r="F703" s="10" t="b">
        <v>0</v>
      </c>
      <c r="G703" s="10" t="b">
        <v>0</v>
      </c>
      <c r="H703" s="9"/>
      <c r="I703" s="9" t="str">
        <f t="array" ref="I703">IF(H703="","",VLOOKUP(H703,_xludf.HSTACK(#REF!,#REF!),2,FALSE))</f>
        <v/>
      </c>
      <c r="J703" s="9" t="s">
        <v>5163</v>
      </c>
    </row>
    <row r="704" spans="1:10" x14ac:dyDescent="0.25">
      <c r="A704" s="9" t="s">
        <v>5155</v>
      </c>
      <c r="B704" s="9" t="s">
        <v>5171</v>
      </c>
      <c r="C704" s="7" t="s">
        <v>3052</v>
      </c>
      <c r="D704" s="7" t="s">
        <v>5172</v>
      </c>
      <c r="E704" s="9"/>
      <c r="F704" s="10" t="b">
        <v>0</v>
      </c>
      <c r="G704" s="10" t="b">
        <v>1</v>
      </c>
      <c r="H704" s="9"/>
      <c r="I704" s="9" t="str">
        <f t="array" ref="I704">IF(H704="","",VLOOKUP(H704,_xludf.HSTACK(#REF!,#REF!),2,FALSE))</f>
        <v/>
      </c>
      <c r="J704" s="9"/>
    </row>
    <row r="705" spans="1:10" x14ac:dyDescent="0.25">
      <c r="A705" s="9" t="s">
        <v>5155</v>
      </c>
      <c r="B705" s="9" t="s">
        <v>5173</v>
      </c>
      <c r="C705" s="7" t="s">
        <v>3052</v>
      </c>
      <c r="D705" s="7" t="s">
        <v>5172</v>
      </c>
      <c r="E705" s="9"/>
      <c r="F705" s="10" t="b">
        <v>0</v>
      </c>
      <c r="G705" s="10" t="b">
        <v>1</v>
      </c>
      <c r="H705" s="9"/>
      <c r="I705" s="9" t="str">
        <f t="array" ref="I705">IF(H705="","",VLOOKUP(H705,_xludf.HSTACK(#REF!,#REF!),2,FALSE))</f>
        <v/>
      </c>
      <c r="J705" s="9"/>
    </row>
    <row r="706" spans="1:10" x14ac:dyDescent="0.25">
      <c r="A706" s="9" t="s">
        <v>5155</v>
      </c>
      <c r="B706" s="9" t="s">
        <v>5174</v>
      </c>
      <c r="C706" s="7" t="s">
        <v>27</v>
      </c>
      <c r="D706" s="9"/>
      <c r="E706" s="7" t="s">
        <v>5175</v>
      </c>
      <c r="F706" s="10" t="b">
        <v>0</v>
      </c>
      <c r="G706" s="10" t="b">
        <v>0</v>
      </c>
      <c r="H706" s="9" t="s">
        <v>26</v>
      </c>
      <c r="I706" s="9" t="e">
        <f t="array" aca="1" ref="I706" ca="1">IF(H706="","",VLOOKUP(H706,_xludf.HSTACK(#REF!,#REF!),2,FALSE))</f>
        <v>#NAME?</v>
      </c>
      <c r="J706" s="9"/>
    </row>
    <row r="707" spans="1:10" x14ac:dyDescent="0.25">
      <c r="A707" s="9" t="s">
        <v>5155</v>
      </c>
      <c r="B707" s="9" t="s">
        <v>5176</v>
      </c>
      <c r="C707" s="7" t="s">
        <v>192</v>
      </c>
      <c r="D707" s="9"/>
      <c r="E707" s="7" t="s">
        <v>5177</v>
      </c>
      <c r="F707" s="10" t="b">
        <v>0</v>
      </c>
      <c r="G707" s="10" t="b">
        <v>0</v>
      </c>
      <c r="H707" s="9" t="s">
        <v>28</v>
      </c>
      <c r="I707" s="9" t="e">
        <f t="array" aca="1" ref="I707" ca="1">IF(H707="","",VLOOKUP(H707,_xludf.HSTACK(#REF!,#REF!),2,FALSE))</f>
        <v>#NAME?</v>
      </c>
      <c r="J707" s="9"/>
    </row>
    <row r="708" spans="1:10" x14ac:dyDescent="0.25">
      <c r="A708" s="9" t="s">
        <v>5155</v>
      </c>
      <c r="B708" s="9" t="s">
        <v>5178</v>
      </c>
      <c r="C708" s="7" t="s">
        <v>27</v>
      </c>
      <c r="D708" s="9"/>
      <c r="E708" s="7" t="s">
        <v>5179</v>
      </c>
      <c r="F708" s="10" t="b">
        <v>0</v>
      </c>
      <c r="G708" s="10" t="b">
        <v>0</v>
      </c>
      <c r="H708" s="9" t="s">
        <v>29</v>
      </c>
      <c r="I708" s="9" t="e">
        <f t="array" aca="1" ref="I708" ca="1">IF(H708="","",VLOOKUP(H708,_xludf.HSTACK(#REF!,#REF!),2,FALSE))</f>
        <v>#NAME?</v>
      </c>
      <c r="J708" s="9"/>
    </row>
    <row r="709" spans="1:10" x14ac:dyDescent="0.25">
      <c r="A709" s="9" t="s">
        <v>5155</v>
      </c>
      <c r="B709" s="9" t="s">
        <v>5180</v>
      </c>
      <c r="C709" s="7" t="s">
        <v>27</v>
      </c>
      <c r="D709" s="9"/>
      <c r="E709" s="7" t="s">
        <v>5181</v>
      </c>
      <c r="F709" s="10" t="b">
        <v>0</v>
      </c>
      <c r="G709" s="10" t="b">
        <v>0</v>
      </c>
      <c r="H709" s="9" t="s">
        <v>32</v>
      </c>
      <c r="I709" s="9" t="e">
        <f t="array" aca="1" ref="I709" ca="1">IF(H709="","",VLOOKUP(H709,_xludf.HSTACK(#REF!,#REF!),2,FALSE))</f>
        <v>#NAME?</v>
      </c>
      <c r="J709" s="9"/>
    </row>
    <row r="710" spans="1:10" x14ac:dyDescent="0.25">
      <c r="A710" s="9" t="s">
        <v>5155</v>
      </c>
      <c r="B710" s="9" t="s">
        <v>5182</v>
      </c>
      <c r="C710" s="7" t="s">
        <v>201</v>
      </c>
      <c r="D710" s="9"/>
      <c r="E710" s="7" t="s">
        <v>4554</v>
      </c>
      <c r="F710" s="10" t="b">
        <v>0</v>
      </c>
      <c r="G710" s="10" t="b">
        <v>0</v>
      </c>
      <c r="H710" s="9"/>
      <c r="I710" s="9" t="str">
        <f t="array" ref="I710">IF(H710="","",VLOOKUP(H710,_xludf.HSTACK(#REF!,#REF!),2,FALSE))</f>
        <v/>
      </c>
      <c r="J710" s="9"/>
    </row>
    <row r="711" spans="1:10" x14ac:dyDescent="0.25">
      <c r="A711" s="9" t="s">
        <v>5155</v>
      </c>
      <c r="B711" s="9" t="s">
        <v>5183</v>
      </c>
      <c r="C711" s="7" t="s">
        <v>201</v>
      </c>
      <c r="D711" s="9"/>
      <c r="E711" s="7" t="s">
        <v>5184</v>
      </c>
      <c r="F711" s="10" t="b">
        <v>0</v>
      </c>
      <c r="G711" s="10" t="b">
        <v>0</v>
      </c>
      <c r="H711" s="9"/>
      <c r="I711" s="9" t="str">
        <f t="array" ref="I711">IF(H711="","",VLOOKUP(H711,_xludf.HSTACK(#REF!,#REF!),2,FALSE))</f>
        <v/>
      </c>
      <c r="J711" s="9"/>
    </row>
    <row r="712" spans="1:10" x14ac:dyDescent="0.25">
      <c r="A712" s="9" t="s">
        <v>5155</v>
      </c>
      <c r="B712" s="9" t="s">
        <v>5185</v>
      </c>
      <c r="C712" s="7" t="s">
        <v>201</v>
      </c>
      <c r="D712" s="9"/>
      <c r="E712" s="7" t="s">
        <v>4584</v>
      </c>
      <c r="F712" s="10" t="b">
        <v>0</v>
      </c>
      <c r="G712" s="10" t="b">
        <v>0</v>
      </c>
      <c r="H712" s="9"/>
      <c r="I712" s="9" t="str">
        <f t="array" ref="I712">IF(H712="","",VLOOKUP(H712,_xludf.HSTACK(#REF!,#REF!),2,FALSE))</f>
        <v/>
      </c>
      <c r="J712" s="9"/>
    </row>
    <row r="713" spans="1:10" x14ac:dyDescent="0.25">
      <c r="A713" s="9" t="s">
        <v>5155</v>
      </c>
      <c r="B713" s="9" t="s">
        <v>5186</v>
      </c>
      <c r="C713" s="7" t="s">
        <v>201</v>
      </c>
      <c r="D713" s="9"/>
      <c r="E713" s="7" t="s">
        <v>4596</v>
      </c>
      <c r="F713" s="10" t="b">
        <v>0</v>
      </c>
      <c r="G713" s="10" t="b">
        <v>0</v>
      </c>
      <c r="H713" s="9"/>
      <c r="I713" s="9" t="str">
        <f t="array" ref="I713">IF(H713="","",VLOOKUP(H713,_xludf.HSTACK(#REF!,#REF!),2,FALSE))</f>
        <v/>
      </c>
      <c r="J713" s="9"/>
    </row>
    <row r="714" spans="1:10" x14ac:dyDescent="0.25">
      <c r="A714" s="9" t="s">
        <v>5155</v>
      </c>
      <c r="B714" s="9" t="s">
        <v>5187</v>
      </c>
      <c r="C714" s="7" t="s">
        <v>201</v>
      </c>
      <c r="D714" s="9"/>
      <c r="E714" s="7" t="s">
        <v>4584</v>
      </c>
      <c r="F714" s="10" t="b">
        <v>0</v>
      </c>
      <c r="G714" s="10" t="b">
        <v>0</v>
      </c>
      <c r="H714" s="9"/>
      <c r="I714" s="9" t="str">
        <f t="array" ref="I714">IF(H714="","",VLOOKUP(H714,_xludf.HSTACK(#REF!,#REF!),2,FALSE))</f>
        <v/>
      </c>
      <c r="J714" s="9"/>
    </row>
    <row r="715" spans="1:10" x14ac:dyDescent="0.25">
      <c r="A715" s="9" t="s">
        <v>5155</v>
      </c>
      <c r="B715" s="9" t="s">
        <v>5188</v>
      </c>
      <c r="C715" s="7" t="s">
        <v>201</v>
      </c>
      <c r="D715" s="9"/>
      <c r="E715" s="7" t="s">
        <v>5184</v>
      </c>
      <c r="F715" s="10" t="b">
        <v>0</v>
      </c>
      <c r="G715" s="10" t="b">
        <v>0</v>
      </c>
      <c r="H715" s="9"/>
      <c r="I715" s="9" t="str">
        <f t="array" ref="I715">IF(H715="","",VLOOKUP(H715,_xludf.HSTACK(#REF!,#REF!),2,FALSE))</f>
        <v/>
      </c>
      <c r="J715" s="9"/>
    </row>
    <row r="716" spans="1:10" x14ac:dyDescent="0.25">
      <c r="A716" s="9" t="s">
        <v>5155</v>
      </c>
      <c r="B716" s="9" t="s">
        <v>5189</v>
      </c>
      <c r="C716" s="7" t="s">
        <v>208</v>
      </c>
      <c r="D716" s="9"/>
      <c r="E716" s="7" t="s">
        <v>5190</v>
      </c>
      <c r="F716" s="10" t="b">
        <v>0</v>
      </c>
      <c r="G716" s="10" t="b">
        <v>0</v>
      </c>
      <c r="H716" s="9"/>
      <c r="I716" s="9" t="str">
        <f t="array" ref="I716">IF(H716="","",VLOOKUP(H716,_xludf.HSTACK(#REF!,#REF!),2,FALSE))</f>
        <v/>
      </c>
      <c r="J716" s="9"/>
    </row>
    <row r="717" spans="1:10" x14ac:dyDescent="0.25">
      <c r="A717" s="9" t="s">
        <v>5155</v>
      </c>
      <c r="B717" s="9" t="s">
        <v>5191</v>
      </c>
      <c r="C717" s="7" t="s">
        <v>201</v>
      </c>
      <c r="D717" s="9"/>
      <c r="E717" s="7" t="s">
        <v>4554</v>
      </c>
      <c r="F717" s="10" t="b">
        <v>0</v>
      </c>
      <c r="G717" s="10" t="b">
        <v>0</v>
      </c>
      <c r="H717" s="9" t="s">
        <v>55</v>
      </c>
      <c r="I717" s="9" t="e">
        <f t="array" aca="1" ref="I717" ca="1">IF(H717="","",VLOOKUP(H717,_xludf.HSTACK(#REF!,#REF!),2,FALSE))</f>
        <v>#NAME?</v>
      </c>
      <c r="J717" s="9"/>
    </row>
    <row r="718" spans="1:10" x14ac:dyDescent="0.25">
      <c r="A718" s="9" t="s">
        <v>5155</v>
      </c>
      <c r="B718" s="9" t="s">
        <v>5192</v>
      </c>
      <c r="C718" s="7" t="s">
        <v>201</v>
      </c>
      <c r="D718" s="9"/>
      <c r="E718" s="7" t="s">
        <v>4578</v>
      </c>
      <c r="F718" s="10" t="b">
        <v>0</v>
      </c>
      <c r="G718" s="10" t="b">
        <v>0</v>
      </c>
      <c r="H718" s="9" t="s">
        <v>50</v>
      </c>
      <c r="I718" s="9" t="e">
        <f t="array" aca="1" ref="I718" ca="1">IF(H718="","",VLOOKUP(H718,_xludf.HSTACK(#REF!,#REF!),2,FALSE))</f>
        <v>#NAME?</v>
      </c>
      <c r="J718" s="9"/>
    </row>
    <row r="719" spans="1:10" x14ac:dyDescent="0.25">
      <c r="A719" s="9" t="s">
        <v>5155</v>
      </c>
      <c r="B719" s="9" t="s">
        <v>5193</v>
      </c>
      <c r="C719" s="7" t="s">
        <v>201</v>
      </c>
      <c r="D719" s="9"/>
      <c r="E719" s="7" t="s">
        <v>4586</v>
      </c>
      <c r="F719" s="10" t="b">
        <v>0</v>
      </c>
      <c r="G719" s="10" t="b">
        <v>0</v>
      </c>
      <c r="H719" s="9" t="s">
        <v>51</v>
      </c>
      <c r="I719" s="9" t="e">
        <f t="array" aca="1" ref="I719" ca="1">IF(H719="","",VLOOKUP(H719,_xludf.HSTACK(#REF!,#REF!),2,FALSE))</f>
        <v>#NAME?</v>
      </c>
      <c r="J719" s="9"/>
    </row>
    <row r="720" spans="1:10" x14ac:dyDescent="0.25">
      <c r="A720" s="9" t="s">
        <v>5155</v>
      </c>
      <c r="B720" s="9" t="s">
        <v>5194</v>
      </c>
      <c r="C720" s="7" t="s">
        <v>201</v>
      </c>
      <c r="D720" s="9"/>
      <c r="E720" s="7" t="s">
        <v>4596</v>
      </c>
      <c r="F720" s="10" t="b">
        <v>0</v>
      </c>
      <c r="G720" s="10" t="b">
        <v>0</v>
      </c>
      <c r="H720" s="9" t="s">
        <v>54</v>
      </c>
      <c r="I720" s="9" t="e">
        <f t="array" aca="1" ref="I720" ca="1">IF(H720="","",VLOOKUP(H720,_xludf.HSTACK(#REF!,#REF!),2,FALSE))</f>
        <v>#NAME?</v>
      </c>
      <c r="J720" s="9"/>
    </row>
    <row r="721" spans="1:10" x14ac:dyDescent="0.25">
      <c r="A721" s="9" t="s">
        <v>5155</v>
      </c>
      <c r="B721" s="9" t="s">
        <v>5195</v>
      </c>
      <c r="C721" s="7" t="s">
        <v>201</v>
      </c>
      <c r="D721" s="9"/>
      <c r="E721" s="7" t="s">
        <v>5196</v>
      </c>
      <c r="F721" s="10" t="b">
        <v>0</v>
      </c>
      <c r="G721" s="10" t="b">
        <v>0</v>
      </c>
      <c r="H721" s="9" t="s">
        <v>58</v>
      </c>
      <c r="I721" s="9" t="e">
        <f t="array" aca="1" ref="I721" ca="1">IF(H721="","",VLOOKUP(H721,_xludf.HSTACK(#REF!,#REF!),2,FALSE))</f>
        <v>#NAME?</v>
      </c>
      <c r="J721" s="9"/>
    </row>
    <row r="722" spans="1:10" x14ac:dyDescent="0.25">
      <c r="A722" s="9" t="s">
        <v>5155</v>
      </c>
      <c r="B722" s="9" t="s">
        <v>5197</v>
      </c>
      <c r="C722" s="7" t="s">
        <v>201</v>
      </c>
      <c r="D722" s="9"/>
      <c r="E722" s="7" t="s">
        <v>5184</v>
      </c>
      <c r="F722" s="10" t="b">
        <v>0</v>
      </c>
      <c r="G722" s="10" t="b">
        <v>0</v>
      </c>
      <c r="H722" s="9" t="s">
        <v>56</v>
      </c>
      <c r="I722" s="9" t="e">
        <f t="array" aca="1" ref="I722" ca="1">IF(H722="","",VLOOKUP(H722,_xludf.HSTACK(#REF!,#REF!),2,FALSE))</f>
        <v>#NAME?</v>
      </c>
      <c r="J722" s="9"/>
    </row>
    <row r="723" spans="1:10" x14ac:dyDescent="0.25">
      <c r="A723" s="9" t="s">
        <v>5155</v>
      </c>
      <c r="B723" s="9" t="s">
        <v>5198</v>
      </c>
      <c r="C723" s="7" t="s">
        <v>192</v>
      </c>
      <c r="D723" s="9"/>
      <c r="E723" s="7" t="s">
        <v>5199</v>
      </c>
      <c r="F723" s="10" t="b">
        <v>0</v>
      </c>
      <c r="G723" s="10" t="b">
        <v>0</v>
      </c>
      <c r="H723" s="9" t="s">
        <v>31</v>
      </c>
      <c r="I723" s="9" t="e">
        <f t="array" aca="1" ref="I723" ca="1">IF(H723="","",VLOOKUP(H723,_xludf.HSTACK(#REF!,#REF!),2,FALSE))</f>
        <v>#NAME?</v>
      </c>
      <c r="J723" s="9"/>
    </row>
    <row r="724" spans="1:10" x14ac:dyDescent="0.25">
      <c r="A724" s="9" t="s">
        <v>5155</v>
      </c>
      <c r="B724" s="9" t="s">
        <v>5200</v>
      </c>
      <c r="C724" s="7" t="s">
        <v>208</v>
      </c>
      <c r="D724" s="9"/>
      <c r="E724" s="7" t="s">
        <v>5201</v>
      </c>
      <c r="F724" s="10" t="b">
        <v>0</v>
      </c>
      <c r="G724" s="10" t="b">
        <v>0</v>
      </c>
      <c r="H724" s="9" t="s">
        <v>38</v>
      </c>
      <c r="I724" s="9" t="e">
        <f t="array" aca="1" ref="I724" ca="1">IF(H724="","",VLOOKUP(H724,_xludf.HSTACK(#REF!,#REF!),2,FALSE))</f>
        <v>#NAME?</v>
      </c>
      <c r="J724" s="9"/>
    </row>
    <row r="725" spans="1:10" x14ac:dyDescent="0.25">
      <c r="A725" s="9" t="s">
        <v>5155</v>
      </c>
      <c r="B725" s="9" t="s">
        <v>5202</v>
      </c>
      <c r="C725" s="7" t="s">
        <v>219</v>
      </c>
      <c r="D725" s="9"/>
      <c r="E725" s="7" t="s">
        <v>5203</v>
      </c>
      <c r="F725" s="10" t="b">
        <v>0</v>
      </c>
      <c r="G725" s="10" t="b">
        <v>0</v>
      </c>
      <c r="H725" s="9" t="s">
        <v>70</v>
      </c>
      <c r="I725" s="9" t="e">
        <f t="array" aca="1" ref="I725" ca="1">IF(H725="","",VLOOKUP(H725,_xludf.HSTACK(#REF!,#REF!),2,FALSE))</f>
        <v>#NAME?</v>
      </c>
      <c r="J725" s="9"/>
    </row>
    <row r="726" spans="1:10" x14ac:dyDescent="0.25">
      <c r="A726" s="9" t="s">
        <v>5155</v>
      </c>
      <c r="B726" s="9" t="s">
        <v>5204</v>
      </c>
      <c r="C726" s="7" t="s">
        <v>219</v>
      </c>
      <c r="D726" s="9"/>
      <c r="E726" s="7" t="s">
        <v>5205</v>
      </c>
      <c r="F726" s="10" t="b">
        <v>0</v>
      </c>
      <c r="G726" s="10" t="b">
        <v>0</v>
      </c>
      <c r="H726" s="9" t="s">
        <v>65</v>
      </c>
      <c r="I726" s="9" t="e">
        <f t="array" aca="1" ref="I726" ca="1">IF(H726="","",VLOOKUP(H726,_xludf.HSTACK(#REF!,#REF!),2,FALSE))</f>
        <v>#NAME?</v>
      </c>
      <c r="J726" s="9"/>
    </row>
    <row r="727" spans="1:10" x14ac:dyDescent="0.25">
      <c r="A727" s="9" t="s">
        <v>5155</v>
      </c>
      <c r="B727" s="9" t="s">
        <v>5206</v>
      </c>
      <c r="C727" s="7" t="s">
        <v>219</v>
      </c>
      <c r="D727" s="9"/>
      <c r="E727" s="7" t="s">
        <v>5207</v>
      </c>
      <c r="F727" s="10" t="b">
        <v>0</v>
      </c>
      <c r="G727" s="10" t="b">
        <v>0</v>
      </c>
      <c r="H727" s="9" t="s">
        <v>66</v>
      </c>
      <c r="I727" s="9" t="e">
        <f t="array" aca="1" ref="I727" ca="1">IF(H727="","",VLOOKUP(H727,_xludf.HSTACK(#REF!,#REF!),2,FALSE))</f>
        <v>#NAME?</v>
      </c>
      <c r="J727" s="9"/>
    </row>
    <row r="728" spans="1:10" x14ac:dyDescent="0.25">
      <c r="A728" s="9" t="s">
        <v>5155</v>
      </c>
      <c r="B728" s="9" t="s">
        <v>5208</v>
      </c>
      <c r="C728" s="7" t="s">
        <v>219</v>
      </c>
      <c r="D728" s="9"/>
      <c r="E728" s="7" t="s">
        <v>5209</v>
      </c>
      <c r="F728" s="10" t="b">
        <v>0</v>
      </c>
      <c r="G728" s="10" t="b">
        <v>0</v>
      </c>
      <c r="H728" s="9" t="s">
        <v>69</v>
      </c>
      <c r="I728" s="9" t="e">
        <f t="array" aca="1" ref="I728" ca="1">IF(H728="","",VLOOKUP(H728,_xludf.HSTACK(#REF!,#REF!),2,FALSE))</f>
        <v>#NAME?</v>
      </c>
      <c r="J728" s="9"/>
    </row>
    <row r="729" spans="1:10" x14ac:dyDescent="0.25">
      <c r="A729" s="9" t="s">
        <v>5155</v>
      </c>
      <c r="B729" s="9" t="s">
        <v>5210</v>
      </c>
      <c r="C729" s="7" t="s">
        <v>219</v>
      </c>
      <c r="D729" s="9"/>
      <c r="E729" s="7" t="s">
        <v>5211</v>
      </c>
      <c r="F729" s="10" t="b">
        <v>0</v>
      </c>
      <c r="G729" s="10" t="b">
        <v>0</v>
      </c>
      <c r="H729" s="9" t="s">
        <v>67</v>
      </c>
      <c r="I729" s="9" t="e">
        <f t="array" aca="1" ref="I729" ca="1">IF(H729="","",VLOOKUP(H729,_xludf.HSTACK(#REF!,#REF!),2,FALSE))</f>
        <v>#NAME?</v>
      </c>
      <c r="J729" s="9"/>
    </row>
    <row r="730" spans="1:10" x14ac:dyDescent="0.25">
      <c r="A730" s="9" t="s">
        <v>5155</v>
      </c>
      <c r="B730" s="9" t="s">
        <v>5212</v>
      </c>
      <c r="C730" s="7" t="s">
        <v>219</v>
      </c>
      <c r="D730" s="9"/>
      <c r="E730" s="7" t="s">
        <v>5207</v>
      </c>
      <c r="F730" s="10" t="b">
        <v>0</v>
      </c>
      <c r="G730" s="10" t="b">
        <v>0</v>
      </c>
      <c r="H730" s="9" t="s">
        <v>68</v>
      </c>
      <c r="I730" s="9" t="e">
        <f t="array" aca="1" ref="I730" ca="1">IF(H730="","",VLOOKUP(H730,_xludf.HSTACK(#REF!,#REF!),2,FALSE))</f>
        <v>#NAME?</v>
      </c>
      <c r="J730" s="9"/>
    </row>
    <row r="731" spans="1:10" x14ac:dyDescent="0.25">
      <c r="A731" s="9" t="s">
        <v>5155</v>
      </c>
      <c r="B731" s="9" t="s">
        <v>5213</v>
      </c>
      <c r="C731" s="7" t="s">
        <v>2600</v>
      </c>
      <c r="D731" s="9"/>
      <c r="E731" s="7" t="s">
        <v>5214</v>
      </c>
      <c r="F731" s="10" t="b">
        <v>0</v>
      </c>
      <c r="G731" s="10" t="b">
        <v>1</v>
      </c>
      <c r="H731" s="9" t="s">
        <v>70</v>
      </c>
      <c r="I731" s="9" t="e">
        <f t="array" aca="1" ref="I731" ca="1">IF(H731="","",VLOOKUP(H731,_xludf.HSTACK(#REF!,#REF!),2,FALSE))</f>
        <v>#NAME?</v>
      </c>
      <c r="J731" s="9"/>
    </row>
    <row r="732" spans="1:10" x14ac:dyDescent="0.25">
      <c r="A732" s="9" t="s">
        <v>5155</v>
      </c>
      <c r="B732" s="9" t="s">
        <v>5215</v>
      </c>
      <c r="C732" s="7" t="s">
        <v>2600</v>
      </c>
      <c r="D732" s="9"/>
      <c r="E732" s="7" t="s">
        <v>5216</v>
      </c>
      <c r="F732" s="10" t="b">
        <v>0</v>
      </c>
      <c r="G732" s="10" t="b">
        <v>1</v>
      </c>
      <c r="H732" s="9" t="s">
        <v>65</v>
      </c>
      <c r="I732" s="9" t="e">
        <f t="array" aca="1" ref="I732" ca="1">IF(H732="","",VLOOKUP(H732,_xludf.HSTACK(#REF!,#REF!),2,FALSE))</f>
        <v>#NAME?</v>
      </c>
      <c r="J732" s="9"/>
    </row>
    <row r="733" spans="1:10" x14ac:dyDescent="0.25">
      <c r="A733" s="9" t="s">
        <v>5155</v>
      </c>
      <c r="B733" s="9" t="s">
        <v>5217</v>
      </c>
      <c r="C733" s="7" t="s">
        <v>2600</v>
      </c>
      <c r="D733" s="9"/>
      <c r="E733" s="7" t="s">
        <v>5218</v>
      </c>
      <c r="F733" s="10" t="b">
        <v>0</v>
      </c>
      <c r="G733" s="10" t="b">
        <v>1</v>
      </c>
      <c r="H733" s="9" t="s">
        <v>66</v>
      </c>
      <c r="I733" s="9" t="e">
        <f t="array" aca="1" ref="I733" ca="1">IF(H733="","",VLOOKUP(H733,_xludf.HSTACK(#REF!,#REF!),2,FALSE))</f>
        <v>#NAME?</v>
      </c>
      <c r="J733" s="9"/>
    </row>
    <row r="734" spans="1:10" x14ac:dyDescent="0.25">
      <c r="A734" s="9" t="s">
        <v>5155</v>
      </c>
      <c r="B734" s="9" t="s">
        <v>5219</v>
      </c>
      <c r="C734" s="7" t="s">
        <v>2600</v>
      </c>
      <c r="D734" s="9"/>
      <c r="E734" s="7" t="s">
        <v>5220</v>
      </c>
      <c r="F734" s="10" t="b">
        <v>0</v>
      </c>
      <c r="G734" s="10" t="b">
        <v>1</v>
      </c>
      <c r="H734" s="9" t="s">
        <v>69</v>
      </c>
      <c r="I734" s="9" t="e">
        <f t="array" aca="1" ref="I734" ca="1">IF(H734="","",VLOOKUP(H734,_xludf.HSTACK(#REF!,#REF!),2,FALSE))</f>
        <v>#NAME?</v>
      </c>
      <c r="J734" s="9"/>
    </row>
    <row r="735" spans="1:10" x14ac:dyDescent="0.25">
      <c r="A735" s="9" t="s">
        <v>5155</v>
      </c>
      <c r="B735" s="9" t="s">
        <v>5221</v>
      </c>
      <c r="C735" s="7" t="s">
        <v>2600</v>
      </c>
      <c r="D735" s="9"/>
      <c r="E735" s="7" t="s">
        <v>5222</v>
      </c>
      <c r="F735" s="10" t="b">
        <v>0</v>
      </c>
      <c r="G735" s="10" t="b">
        <v>1</v>
      </c>
      <c r="H735" s="9" t="s">
        <v>67</v>
      </c>
      <c r="I735" s="9" t="e">
        <f t="array" aca="1" ref="I735" ca="1">IF(H735="","",VLOOKUP(H735,_xludf.HSTACK(#REF!,#REF!),2,FALSE))</f>
        <v>#NAME?</v>
      </c>
      <c r="J735" s="9"/>
    </row>
    <row r="736" spans="1:10" x14ac:dyDescent="0.25">
      <c r="A736" s="9" t="s">
        <v>5155</v>
      </c>
      <c r="B736" s="9" t="s">
        <v>5223</v>
      </c>
      <c r="C736" s="7" t="s">
        <v>2600</v>
      </c>
      <c r="D736" s="9"/>
      <c r="E736" s="7" t="s">
        <v>5224</v>
      </c>
      <c r="F736" s="10" t="b">
        <v>0</v>
      </c>
      <c r="G736" s="10" t="b">
        <v>1</v>
      </c>
      <c r="H736" s="9" t="s">
        <v>68</v>
      </c>
      <c r="I736" s="9" t="e">
        <f t="array" aca="1" ref="I736" ca="1">IF(H736="","",VLOOKUP(H736,_xludf.HSTACK(#REF!,#REF!),2,FALSE))</f>
        <v>#NAME?</v>
      </c>
      <c r="J736" s="9"/>
    </row>
    <row r="737" spans="1:10" x14ac:dyDescent="0.25">
      <c r="A737" s="9" t="s">
        <v>5155</v>
      </c>
      <c r="B737" s="9" t="s">
        <v>5225</v>
      </c>
      <c r="C737" s="9"/>
      <c r="D737" s="9"/>
      <c r="E737" s="9"/>
      <c r="F737" s="10" t="b">
        <v>0</v>
      </c>
      <c r="G737" s="10" t="b">
        <v>1</v>
      </c>
      <c r="H737" s="9"/>
      <c r="I737" s="9" t="str">
        <f t="array" ref="I737">IF(H737="","",VLOOKUP(H737,_xludf.HSTACK(#REF!,#REF!),2,FALSE))</f>
        <v/>
      </c>
      <c r="J737" s="9"/>
    </row>
    <row r="738" spans="1:10" x14ac:dyDescent="0.25">
      <c r="A738" s="9" t="s">
        <v>5155</v>
      </c>
      <c r="B738" s="9" t="s">
        <v>5226</v>
      </c>
      <c r="C738" s="9"/>
      <c r="D738" s="9"/>
      <c r="E738" s="9"/>
      <c r="F738" s="10" t="b">
        <v>0</v>
      </c>
      <c r="G738" s="10" t="b">
        <v>1</v>
      </c>
      <c r="H738" s="9"/>
      <c r="I738" s="9" t="str">
        <f t="array" ref="I738">IF(H738="","",VLOOKUP(H738,_xludf.HSTACK(#REF!,#REF!),2,FALSE))</f>
        <v/>
      </c>
      <c r="J738" s="9"/>
    </row>
    <row r="739" spans="1:10" x14ac:dyDescent="0.25">
      <c r="A739" s="9" t="s">
        <v>5155</v>
      </c>
      <c r="B739" s="9" t="s">
        <v>5227</v>
      </c>
      <c r="C739" s="9"/>
      <c r="D739" s="9"/>
      <c r="E739" s="9"/>
      <c r="F739" s="10" t="b">
        <v>0</v>
      </c>
      <c r="G739" s="10" t="b">
        <v>1</v>
      </c>
      <c r="H739" s="9"/>
      <c r="I739" s="9" t="str">
        <f t="array" ref="I739">IF(H739="","",VLOOKUP(H739,_xludf.HSTACK(#REF!,#REF!),2,FALSE))</f>
        <v/>
      </c>
      <c r="J739" s="9"/>
    </row>
    <row r="740" spans="1:10" x14ac:dyDescent="0.25">
      <c r="A740" s="9" t="s">
        <v>5155</v>
      </c>
      <c r="B740" s="9" t="s">
        <v>5228</v>
      </c>
      <c r="C740" s="9"/>
      <c r="D740" s="9"/>
      <c r="E740" s="9"/>
      <c r="F740" s="10" t="b">
        <v>0</v>
      </c>
      <c r="G740" s="10" t="b">
        <v>1</v>
      </c>
      <c r="H740" s="9"/>
      <c r="I740" s="9" t="str">
        <f t="array" ref="I740">IF(H740="","",VLOOKUP(H740,_xludf.HSTACK(#REF!,#REF!),2,FALSE))</f>
        <v/>
      </c>
      <c r="J740" s="9"/>
    </row>
    <row r="741" spans="1:10" x14ac:dyDescent="0.25">
      <c r="A741" s="9" t="s">
        <v>5155</v>
      </c>
      <c r="B741" s="9" t="s">
        <v>5229</v>
      </c>
      <c r="C741" s="9"/>
      <c r="D741" s="9"/>
      <c r="E741" s="9"/>
      <c r="F741" s="10" t="b">
        <v>0</v>
      </c>
      <c r="G741" s="10" t="b">
        <v>1</v>
      </c>
      <c r="H741" s="9"/>
      <c r="I741" s="9" t="str">
        <f t="array" ref="I741">IF(H741="","",VLOOKUP(H741,_xludf.HSTACK(#REF!,#REF!),2,FALSE))</f>
        <v/>
      </c>
      <c r="J741" s="9"/>
    </row>
    <row r="742" spans="1:10" x14ac:dyDescent="0.25">
      <c r="A742" s="9" t="s">
        <v>5155</v>
      </c>
      <c r="B742" s="9" t="s">
        <v>5230</v>
      </c>
      <c r="C742" s="9"/>
      <c r="D742" s="9"/>
      <c r="E742" s="9"/>
      <c r="F742" s="10" t="b">
        <v>0</v>
      </c>
      <c r="G742" s="10" t="b">
        <v>1</v>
      </c>
      <c r="H742" s="9"/>
      <c r="I742" s="9" t="str">
        <f t="array" ref="I742">IF(H742="","",VLOOKUP(H742,_xludf.HSTACK(#REF!,#REF!),2,FALSE))</f>
        <v/>
      </c>
      <c r="J742" s="9"/>
    </row>
    <row r="743" spans="1:10" x14ac:dyDescent="0.25">
      <c r="A743" s="9" t="s">
        <v>5155</v>
      </c>
      <c r="B743" s="9" t="s">
        <v>5231</v>
      </c>
      <c r="C743" s="9"/>
      <c r="D743" s="9"/>
      <c r="E743" s="9"/>
      <c r="F743" s="10" t="b">
        <v>0</v>
      </c>
      <c r="G743" s="10" t="b">
        <v>1</v>
      </c>
      <c r="H743" s="9"/>
      <c r="I743" s="9" t="str">
        <f t="array" ref="I743">IF(H743="","",VLOOKUP(H743,_xludf.HSTACK(#REF!,#REF!),2,FALSE))</f>
        <v/>
      </c>
      <c r="J743" s="9"/>
    </row>
    <row r="744" spans="1:10" x14ac:dyDescent="0.25">
      <c r="A744" s="9" t="s">
        <v>5155</v>
      </c>
      <c r="B744" s="9" t="s">
        <v>5232</v>
      </c>
      <c r="C744" s="9"/>
      <c r="D744" s="9"/>
      <c r="E744" s="9"/>
      <c r="F744" s="10" t="b">
        <v>0</v>
      </c>
      <c r="G744" s="10" t="b">
        <v>1</v>
      </c>
      <c r="H744" s="9"/>
      <c r="I744" s="9" t="str">
        <f t="array" ref="I744">IF(H744="","",VLOOKUP(H744,_xludf.HSTACK(#REF!,#REF!),2,FALSE))</f>
        <v/>
      </c>
      <c r="J744" s="9"/>
    </row>
    <row r="745" spans="1:10" x14ac:dyDescent="0.25">
      <c r="A745" s="9" t="s">
        <v>5155</v>
      </c>
      <c r="B745" s="9" t="s">
        <v>5233</v>
      </c>
      <c r="C745" s="9"/>
      <c r="D745" s="9"/>
      <c r="E745" s="9"/>
      <c r="F745" s="10" t="b">
        <v>0</v>
      </c>
      <c r="G745" s="10" t="b">
        <v>1</v>
      </c>
      <c r="H745" s="9"/>
      <c r="I745" s="9" t="str">
        <f t="array" ref="I745">IF(H745="","",VLOOKUP(H745,_xludf.HSTACK(#REF!,#REF!),2,FALSE))</f>
        <v/>
      </c>
      <c r="J745" s="9"/>
    </row>
    <row r="746" spans="1:10" x14ac:dyDescent="0.25">
      <c r="A746" s="9" t="s">
        <v>5155</v>
      </c>
      <c r="B746" s="9" t="s">
        <v>5234</v>
      </c>
      <c r="C746" s="9"/>
      <c r="D746" s="9"/>
      <c r="E746" s="9"/>
      <c r="F746" s="10" t="b">
        <v>0</v>
      </c>
      <c r="G746" s="10" t="b">
        <v>1</v>
      </c>
      <c r="H746" s="9"/>
      <c r="I746" s="9" t="str">
        <f t="array" ref="I746">IF(H746="","",VLOOKUP(H746,_xludf.HSTACK(#REF!,#REF!),2,FALSE))</f>
        <v/>
      </c>
      <c r="J746" s="9"/>
    </row>
    <row r="747" spans="1:10" x14ac:dyDescent="0.25">
      <c r="A747" s="9" t="s">
        <v>5155</v>
      </c>
      <c r="B747" s="9" t="s">
        <v>5235</v>
      </c>
      <c r="C747" s="9"/>
      <c r="D747" s="9"/>
      <c r="E747" s="9"/>
      <c r="F747" s="10" t="b">
        <v>0</v>
      </c>
      <c r="G747" s="10" t="b">
        <v>1</v>
      </c>
      <c r="H747" s="9"/>
      <c r="I747" s="9" t="str">
        <f t="array" ref="I747">IF(H747="","",VLOOKUP(H747,_xludf.HSTACK(#REF!,#REF!),2,FALSE))</f>
        <v/>
      </c>
      <c r="J747" s="9"/>
    </row>
    <row r="748" spans="1:10" x14ac:dyDescent="0.25">
      <c r="A748" s="9" t="s">
        <v>5155</v>
      </c>
      <c r="B748" s="9" t="s">
        <v>5236</v>
      </c>
      <c r="C748" s="9"/>
      <c r="D748" s="9"/>
      <c r="E748" s="9"/>
      <c r="F748" s="10" t="b">
        <v>0</v>
      </c>
      <c r="G748" s="10" t="b">
        <v>1</v>
      </c>
      <c r="H748" s="9"/>
      <c r="I748" s="9" t="str">
        <f t="array" ref="I748">IF(H748="","",VLOOKUP(H748,_xludf.HSTACK(#REF!,#REF!),2,FALSE))</f>
        <v/>
      </c>
      <c r="J748" s="9"/>
    </row>
    <row r="749" spans="1:10" x14ac:dyDescent="0.25">
      <c r="A749" s="9" t="s">
        <v>5155</v>
      </c>
      <c r="B749" s="9" t="s">
        <v>5237</v>
      </c>
      <c r="C749" s="9"/>
      <c r="D749" s="9"/>
      <c r="E749" s="9"/>
      <c r="F749" s="10" t="b">
        <v>0</v>
      </c>
      <c r="G749" s="10" t="b">
        <v>1</v>
      </c>
      <c r="H749" s="9"/>
      <c r="I749" s="9" t="str">
        <f t="array" ref="I749">IF(H749="","",VLOOKUP(H749,_xludf.HSTACK(#REF!,#REF!),2,FALSE))</f>
        <v/>
      </c>
      <c r="J749" s="9"/>
    </row>
    <row r="750" spans="1:10" x14ac:dyDescent="0.25">
      <c r="A750" s="9" t="s">
        <v>5155</v>
      </c>
      <c r="B750" s="9" t="s">
        <v>5238</v>
      </c>
      <c r="C750" s="9"/>
      <c r="D750" s="9"/>
      <c r="E750" s="9"/>
      <c r="F750" s="10" t="b">
        <v>0</v>
      </c>
      <c r="G750" s="10" t="b">
        <v>1</v>
      </c>
      <c r="H750" s="9"/>
      <c r="I750" s="9" t="str">
        <f t="array" ref="I750">IF(H750="","",VLOOKUP(H750,_xludf.HSTACK(#REF!,#REF!),2,FALSE))</f>
        <v/>
      </c>
      <c r="J750" s="9"/>
    </row>
    <row r="751" spans="1:10" x14ac:dyDescent="0.25">
      <c r="A751" s="9" t="s">
        <v>5155</v>
      </c>
      <c r="B751" s="9" t="s">
        <v>5239</v>
      </c>
      <c r="C751" s="9"/>
      <c r="D751" s="9"/>
      <c r="E751" s="9"/>
      <c r="F751" s="10" t="b">
        <v>0</v>
      </c>
      <c r="G751" s="10" t="b">
        <v>1</v>
      </c>
      <c r="H751" s="9"/>
      <c r="I751" s="9" t="str">
        <f t="array" ref="I751">IF(H751="","",VLOOKUP(H751,_xludf.HSTACK(#REF!,#REF!),2,FALSE))</f>
        <v/>
      </c>
      <c r="J751" s="9"/>
    </row>
    <row r="752" spans="1:10" x14ac:dyDescent="0.25">
      <c r="A752" s="9" t="s">
        <v>5155</v>
      </c>
      <c r="B752" s="9" t="s">
        <v>5240</v>
      </c>
      <c r="C752" s="9"/>
      <c r="D752" s="9"/>
      <c r="E752" s="9"/>
      <c r="F752" s="10" t="b">
        <v>0</v>
      </c>
      <c r="G752" s="10" t="b">
        <v>1</v>
      </c>
      <c r="H752" s="9"/>
      <c r="I752" s="9" t="str">
        <f t="array" ref="I752">IF(H752="","",VLOOKUP(H752,_xludf.HSTACK(#REF!,#REF!),2,FALSE))</f>
        <v/>
      </c>
      <c r="J752" s="9"/>
    </row>
    <row r="753" spans="1:10" x14ac:dyDescent="0.25">
      <c r="A753" s="9" t="s">
        <v>5155</v>
      </c>
      <c r="B753" s="9" t="s">
        <v>5241</v>
      </c>
      <c r="C753" s="9"/>
      <c r="D753" s="9"/>
      <c r="E753" s="9"/>
      <c r="F753" s="10" t="b">
        <v>0</v>
      </c>
      <c r="G753" s="10" t="b">
        <v>1</v>
      </c>
      <c r="H753" s="9"/>
      <c r="I753" s="9" t="str">
        <f t="array" ref="I753">IF(H753="","",VLOOKUP(H753,_xludf.HSTACK(#REF!,#REF!),2,FALSE))</f>
        <v/>
      </c>
      <c r="J753" s="9"/>
    </row>
    <row r="754" spans="1:10" x14ac:dyDescent="0.25">
      <c r="A754" s="9" t="s">
        <v>5155</v>
      </c>
      <c r="B754" s="9" t="s">
        <v>5242</v>
      </c>
      <c r="C754" s="9"/>
      <c r="D754" s="9"/>
      <c r="E754" s="9"/>
      <c r="F754" s="10" t="b">
        <v>0</v>
      </c>
      <c r="G754" s="10" t="b">
        <v>1</v>
      </c>
      <c r="H754" s="9"/>
      <c r="I754" s="9" t="str">
        <f t="array" ref="I754">IF(H754="","",VLOOKUP(H754,_xludf.HSTACK(#REF!,#REF!),2,FALSE))</f>
        <v/>
      </c>
      <c r="J754" s="9"/>
    </row>
    <row r="755" spans="1:10" x14ac:dyDescent="0.25">
      <c r="A755" s="9" t="s">
        <v>5155</v>
      </c>
      <c r="B755" s="9" t="s">
        <v>5243</v>
      </c>
      <c r="C755" s="9"/>
      <c r="D755" s="9"/>
      <c r="E755" s="9"/>
      <c r="F755" s="10" t="b">
        <v>0</v>
      </c>
      <c r="G755" s="10" t="b">
        <v>1</v>
      </c>
      <c r="H755" s="9"/>
      <c r="I755" s="9" t="str">
        <f t="array" ref="I755">IF(H755="","",VLOOKUP(H755,_xludf.HSTACK(#REF!,#REF!),2,FALSE))</f>
        <v/>
      </c>
      <c r="J755" s="9"/>
    </row>
    <row r="756" spans="1:10" x14ac:dyDescent="0.25">
      <c r="A756" s="9" t="s">
        <v>5155</v>
      </c>
      <c r="B756" s="9" t="s">
        <v>5244</v>
      </c>
      <c r="C756" s="9"/>
      <c r="D756" s="9"/>
      <c r="E756" s="9"/>
      <c r="F756" s="10" t="b">
        <v>0</v>
      </c>
      <c r="G756" s="10" t="b">
        <v>1</v>
      </c>
      <c r="H756" s="9"/>
      <c r="I756" s="9" t="str">
        <f t="array" ref="I756">IF(H756="","",VLOOKUP(H756,_xludf.HSTACK(#REF!,#REF!),2,FALSE))</f>
        <v/>
      </c>
      <c r="J756" s="9"/>
    </row>
    <row r="757" spans="1:10" x14ac:dyDescent="0.25">
      <c r="A757" s="9" t="s">
        <v>5155</v>
      </c>
      <c r="B757" s="9" t="s">
        <v>5245</v>
      </c>
      <c r="C757" s="9"/>
      <c r="D757" s="9"/>
      <c r="E757" s="9"/>
      <c r="F757" s="10" t="b">
        <v>0</v>
      </c>
      <c r="G757" s="10" t="b">
        <v>1</v>
      </c>
      <c r="H757" s="9"/>
      <c r="I757" s="9" t="str">
        <f t="array" ref="I757">IF(H757="","",VLOOKUP(H757,_xludf.HSTACK(#REF!,#REF!),2,FALSE))</f>
        <v/>
      </c>
      <c r="J757" s="9"/>
    </row>
    <row r="758" spans="1:10" x14ac:dyDescent="0.25">
      <c r="A758" s="9" t="s">
        <v>5155</v>
      </c>
      <c r="B758" s="9" t="s">
        <v>5246</v>
      </c>
      <c r="C758" s="9"/>
      <c r="D758" s="9"/>
      <c r="E758" s="9"/>
      <c r="F758" s="10" t="b">
        <v>0</v>
      </c>
      <c r="G758" s="10" t="b">
        <v>1</v>
      </c>
      <c r="H758" s="9"/>
      <c r="I758" s="9" t="str">
        <f t="array" ref="I758">IF(H758="","",VLOOKUP(H758,_xludf.HSTACK(#REF!,#REF!),2,FALSE))</f>
        <v/>
      </c>
      <c r="J758" s="9"/>
    </row>
    <row r="759" spans="1:10" x14ac:dyDescent="0.25">
      <c r="A759" s="9" t="s">
        <v>5155</v>
      </c>
      <c r="B759" s="9" t="s">
        <v>5247</v>
      </c>
      <c r="C759" s="9"/>
      <c r="D759" s="9"/>
      <c r="E759" s="9"/>
      <c r="F759" s="10" t="b">
        <v>0</v>
      </c>
      <c r="G759" s="10" t="b">
        <v>1</v>
      </c>
      <c r="H759" s="9"/>
      <c r="I759" s="9" t="str">
        <f t="array" ref="I759">IF(H759="","",VLOOKUP(H759,_xludf.HSTACK(#REF!,#REF!),2,FALSE))</f>
        <v/>
      </c>
      <c r="J759" s="9"/>
    </row>
    <row r="760" spans="1:10" x14ac:dyDescent="0.25">
      <c r="A760" s="9" t="s">
        <v>5155</v>
      </c>
      <c r="B760" s="9" t="s">
        <v>5248</v>
      </c>
      <c r="C760" s="9"/>
      <c r="D760" s="9"/>
      <c r="E760" s="9"/>
      <c r="F760" s="10" t="b">
        <v>0</v>
      </c>
      <c r="G760" s="10" t="b">
        <v>1</v>
      </c>
      <c r="H760" s="9"/>
      <c r="I760" s="9" t="str">
        <f t="array" ref="I760">IF(H760="","",VLOOKUP(H760,_xludf.HSTACK(#REF!,#REF!),2,FALSE))</f>
        <v/>
      </c>
      <c r="J760" s="9"/>
    </row>
    <row r="761" spans="1:10" x14ac:dyDescent="0.25">
      <c r="A761" s="9" t="s">
        <v>5155</v>
      </c>
      <c r="B761" s="9" t="s">
        <v>5249</v>
      </c>
      <c r="C761" s="9"/>
      <c r="D761" s="9"/>
      <c r="E761" s="9"/>
      <c r="F761" s="10" t="b">
        <v>0</v>
      </c>
      <c r="G761" s="10" t="b">
        <v>1</v>
      </c>
      <c r="H761" s="9"/>
      <c r="I761" s="9" t="str">
        <f t="array" ref="I761">IF(H761="","",VLOOKUP(H761,_xludf.HSTACK(#REF!,#REF!),2,FALSE))</f>
        <v/>
      </c>
      <c r="J761" s="9"/>
    </row>
    <row r="762" spans="1:10" x14ac:dyDescent="0.25">
      <c r="A762" s="9" t="s">
        <v>5155</v>
      </c>
      <c r="B762" s="9" t="s">
        <v>5250</v>
      </c>
      <c r="C762" s="9"/>
      <c r="D762" s="9"/>
      <c r="E762" s="9"/>
      <c r="F762" s="10" t="b">
        <v>0</v>
      </c>
      <c r="G762" s="10" t="b">
        <v>1</v>
      </c>
      <c r="H762" s="9"/>
      <c r="I762" s="9" t="str">
        <f t="array" ref="I762">IF(H762="","",VLOOKUP(H762,_xludf.HSTACK(#REF!,#REF!),2,FALSE))</f>
        <v/>
      </c>
      <c r="J762" s="9"/>
    </row>
    <row r="763" spans="1:10" x14ac:dyDescent="0.25">
      <c r="A763" s="9" t="s">
        <v>5155</v>
      </c>
      <c r="B763" s="9" t="s">
        <v>5251</v>
      </c>
      <c r="C763" s="9"/>
      <c r="D763" s="9"/>
      <c r="E763" s="9"/>
      <c r="F763" s="10" t="b">
        <v>0</v>
      </c>
      <c r="G763" s="10" t="b">
        <v>1</v>
      </c>
      <c r="H763" s="9"/>
      <c r="I763" s="9" t="str">
        <f t="array" ref="I763">IF(H763="","",VLOOKUP(H763,_xludf.HSTACK(#REF!,#REF!),2,FALSE))</f>
        <v/>
      </c>
      <c r="J763" s="9"/>
    </row>
    <row r="764" spans="1:10" x14ac:dyDescent="0.25">
      <c r="A764" s="9" t="s">
        <v>5155</v>
      </c>
      <c r="B764" s="9" t="s">
        <v>5252</v>
      </c>
      <c r="C764" s="9"/>
      <c r="D764" s="9"/>
      <c r="E764" s="9"/>
      <c r="F764" s="10" t="b">
        <v>0</v>
      </c>
      <c r="G764" s="10" t="b">
        <v>1</v>
      </c>
      <c r="H764" s="9"/>
      <c r="I764" s="9" t="str">
        <f t="array" ref="I764">IF(H764="","",VLOOKUP(H764,_xludf.HSTACK(#REF!,#REF!),2,FALSE))</f>
        <v/>
      </c>
      <c r="J764" s="9"/>
    </row>
    <row r="765" spans="1:10" x14ac:dyDescent="0.25">
      <c r="A765" s="9" t="s">
        <v>5155</v>
      </c>
      <c r="B765" s="9" t="s">
        <v>5253</v>
      </c>
      <c r="C765" s="9"/>
      <c r="D765" s="9"/>
      <c r="E765" s="9"/>
      <c r="F765" s="10" t="b">
        <v>0</v>
      </c>
      <c r="G765" s="10" t="b">
        <v>1</v>
      </c>
      <c r="H765" s="9"/>
      <c r="I765" s="9" t="str">
        <f t="array" ref="I765">IF(H765="","",VLOOKUP(H765,_xludf.HSTACK(#REF!,#REF!),2,FALSE))</f>
        <v/>
      </c>
      <c r="J765" s="9"/>
    </row>
    <row r="766" spans="1:10" x14ac:dyDescent="0.25">
      <c r="A766" s="9" t="s">
        <v>5155</v>
      </c>
      <c r="B766" s="9" t="s">
        <v>5254</v>
      </c>
      <c r="C766" s="9"/>
      <c r="D766" s="9"/>
      <c r="E766" s="9"/>
      <c r="F766" s="10" t="b">
        <v>0</v>
      </c>
      <c r="G766" s="10" t="b">
        <v>1</v>
      </c>
      <c r="H766" s="9"/>
      <c r="I766" s="9" t="str">
        <f t="array" ref="I766">IF(H766="","",VLOOKUP(H766,_xludf.HSTACK(#REF!,#REF!),2,FALSE))</f>
        <v/>
      </c>
      <c r="J766" s="9"/>
    </row>
    <row r="767" spans="1:10" x14ac:dyDescent="0.25">
      <c r="A767" s="9" t="s">
        <v>5155</v>
      </c>
      <c r="B767" s="9" t="s">
        <v>5255</v>
      </c>
      <c r="C767" s="9"/>
      <c r="D767" s="9"/>
      <c r="E767" s="9"/>
      <c r="F767" s="10" t="b">
        <v>0</v>
      </c>
      <c r="G767" s="10" t="b">
        <v>1</v>
      </c>
      <c r="H767" s="9"/>
      <c r="I767" s="9" t="str">
        <f t="array" ref="I767">IF(H767="","",VLOOKUP(H767,_xludf.HSTACK(#REF!,#REF!),2,FALSE))</f>
        <v/>
      </c>
      <c r="J767" s="9"/>
    </row>
    <row r="768" spans="1:10" x14ac:dyDescent="0.25">
      <c r="A768" s="9" t="s">
        <v>5155</v>
      </c>
      <c r="B768" s="9" t="s">
        <v>5256</v>
      </c>
      <c r="C768" s="9"/>
      <c r="D768" s="9"/>
      <c r="E768" s="9"/>
      <c r="F768" s="10" t="b">
        <v>0</v>
      </c>
      <c r="G768" s="10" t="b">
        <v>1</v>
      </c>
      <c r="H768" s="9"/>
      <c r="I768" s="9" t="str">
        <f t="array" ref="I768">IF(H768="","",VLOOKUP(H768,_xludf.HSTACK(#REF!,#REF!),2,FALSE))</f>
        <v/>
      </c>
      <c r="J768" s="9"/>
    </row>
    <row r="769" spans="1:10" x14ac:dyDescent="0.25">
      <c r="A769" s="9" t="s">
        <v>5155</v>
      </c>
      <c r="B769" s="9" t="s">
        <v>5257</v>
      </c>
      <c r="C769" s="9"/>
      <c r="D769" s="9"/>
      <c r="E769" s="9"/>
      <c r="F769" s="10" t="b">
        <v>0</v>
      </c>
      <c r="G769" s="10" t="b">
        <v>1</v>
      </c>
      <c r="H769" s="9"/>
      <c r="I769" s="9" t="str">
        <f t="array" ref="I769">IF(H769="","",VLOOKUP(H769,_xludf.HSTACK(#REF!,#REF!),2,FALSE))</f>
        <v/>
      </c>
      <c r="J769" s="9"/>
    </row>
    <row r="770" spans="1:10" x14ac:dyDescent="0.25">
      <c r="A770" s="9" t="s">
        <v>5155</v>
      </c>
      <c r="B770" s="9" t="s">
        <v>5258</v>
      </c>
      <c r="C770" s="9"/>
      <c r="D770" s="9"/>
      <c r="E770" s="9"/>
      <c r="F770" s="10" t="b">
        <v>0</v>
      </c>
      <c r="G770" s="10" t="b">
        <v>1</v>
      </c>
      <c r="H770" s="9"/>
      <c r="I770" s="9" t="str">
        <f t="array" ref="I770">IF(H770="","",VLOOKUP(H770,_xludf.HSTACK(#REF!,#REF!),2,FALSE))</f>
        <v/>
      </c>
      <c r="J770" s="9"/>
    </row>
    <row r="771" spans="1:10" x14ac:dyDescent="0.25">
      <c r="A771" s="9" t="s">
        <v>5155</v>
      </c>
      <c r="B771" s="9" t="s">
        <v>5259</v>
      </c>
      <c r="C771" s="9"/>
      <c r="D771" s="9"/>
      <c r="E771" s="9"/>
      <c r="F771" s="10" t="b">
        <v>0</v>
      </c>
      <c r="G771" s="10" t="b">
        <v>1</v>
      </c>
      <c r="H771" s="9"/>
      <c r="I771" s="9" t="str">
        <f t="array" ref="I771">IF(H771="","",VLOOKUP(H771,_xludf.HSTACK(#REF!,#REF!),2,FALSE))</f>
        <v/>
      </c>
      <c r="J771" s="9"/>
    </row>
    <row r="772" spans="1:10" x14ac:dyDescent="0.25">
      <c r="A772" s="9" t="s">
        <v>5155</v>
      </c>
      <c r="B772" s="9" t="s">
        <v>5260</v>
      </c>
      <c r="C772" s="9"/>
      <c r="D772" s="9"/>
      <c r="E772" s="9"/>
      <c r="F772" s="10" t="b">
        <v>0</v>
      </c>
      <c r="G772" s="10" t="b">
        <v>1</v>
      </c>
      <c r="H772" s="9"/>
      <c r="I772" s="9" t="str">
        <f t="array" ref="I772">IF(H772="","",VLOOKUP(H772,_xludf.HSTACK(#REF!,#REF!),2,FALSE))</f>
        <v/>
      </c>
      <c r="J772" s="9"/>
    </row>
    <row r="773" spans="1:10" x14ac:dyDescent="0.25">
      <c r="A773" s="9" t="s">
        <v>5155</v>
      </c>
      <c r="B773" s="9" t="s">
        <v>5261</v>
      </c>
      <c r="C773" s="9"/>
      <c r="D773" s="9"/>
      <c r="E773" s="9"/>
      <c r="F773" s="10" t="b">
        <v>0</v>
      </c>
      <c r="G773" s="10" t="b">
        <v>1</v>
      </c>
      <c r="H773" s="9"/>
      <c r="I773" s="9" t="str">
        <f t="array" ref="I773">IF(H773="","",VLOOKUP(H773,_xludf.HSTACK(#REF!,#REF!),2,FALSE))</f>
        <v/>
      </c>
      <c r="J773" s="9"/>
    </row>
    <row r="774" spans="1:10" x14ac:dyDescent="0.25">
      <c r="A774" s="9" t="s">
        <v>5155</v>
      </c>
      <c r="B774" s="9" t="s">
        <v>5262</v>
      </c>
      <c r="C774" s="9"/>
      <c r="D774" s="9"/>
      <c r="E774" s="9"/>
      <c r="F774" s="10" t="b">
        <v>0</v>
      </c>
      <c r="G774" s="10" t="b">
        <v>1</v>
      </c>
      <c r="H774" s="9"/>
      <c r="I774" s="9" t="str">
        <f t="array" ref="I774">IF(H774="","",VLOOKUP(H774,_xludf.HSTACK(#REF!,#REF!),2,FALSE))</f>
        <v/>
      </c>
      <c r="J774" s="9"/>
    </row>
    <row r="775" spans="1:10" x14ac:dyDescent="0.25">
      <c r="A775" s="9" t="s">
        <v>5155</v>
      </c>
      <c r="B775" s="9" t="s">
        <v>5263</v>
      </c>
      <c r="C775" s="9"/>
      <c r="D775" s="9"/>
      <c r="E775" s="9"/>
      <c r="F775" s="10" t="b">
        <v>0</v>
      </c>
      <c r="G775" s="10" t="b">
        <v>1</v>
      </c>
      <c r="H775" s="9"/>
      <c r="I775" s="9" t="str">
        <f t="array" ref="I775">IF(H775="","",VLOOKUP(H775,_xludf.HSTACK(#REF!,#REF!),2,FALSE))</f>
        <v/>
      </c>
      <c r="J775" s="9"/>
    </row>
    <row r="776" spans="1:10" x14ac:dyDescent="0.25">
      <c r="A776" s="9" t="s">
        <v>5155</v>
      </c>
      <c r="B776" s="9" t="s">
        <v>5264</v>
      </c>
      <c r="C776" s="9"/>
      <c r="D776" s="9"/>
      <c r="E776" s="9"/>
      <c r="F776" s="10" t="b">
        <v>0</v>
      </c>
      <c r="G776" s="10" t="b">
        <v>1</v>
      </c>
      <c r="H776" s="9"/>
      <c r="I776" s="9" t="str">
        <f t="array" ref="I776">IF(H776="","",VLOOKUP(H776,_xludf.HSTACK(#REF!,#REF!),2,FALSE))</f>
        <v/>
      </c>
      <c r="J776" s="9"/>
    </row>
    <row r="777" spans="1:10" x14ac:dyDescent="0.25">
      <c r="A777" s="9" t="s">
        <v>5155</v>
      </c>
      <c r="B777" s="9" t="s">
        <v>5265</v>
      </c>
      <c r="C777" s="9"/>
      <c r="D777" s="9"/>
      <c r="E777" s="9"/>
      <c r="F777" s="10" t="b">
        <v>0</v>
      </c>
      <c r="G777" s="10" t="b">
        <v>1</v>
      </c>
      <c r="H777" s="9"/>
      <c r="I777" s="9" t="str">
        <f t="array" ref="I777">IF(H777="","",VLOOKUP(H777,_xludf.HSTACK(#REF!,#REF!),2,FALSE))</f>
        <v/>
      </c>
      <c r="J777" s="9"/>
    </row>
    <row r="778" spans="1:10" x14ac:dyDescent="0.25">
      <c r="A778" s="9" t="s">
        <v>5155</v>
      </c>
      <c r="B778" s="9" t="s">
        <v>5266</v>
      </c>
      <c r="C778" s="9"/>
      <c r="D778" s="9"/>
      <c r="E778" s="9"/>
      <c r="F778" s="10" t="b">
        <v>0</v>
      </c>
      <c r="G778" s="10" t="b">
        <v>1</v>
      </c>
      <c r="H778" s="9"/>
      <c r="I778" s="9" t="str">
        <f t="array" ref="I778">IF(H778="","",VLOOKUP(H778,_xludf.HSTACK(#REF!,#REF!),2,FALSE))</f>
        <v/>
      </c>
      <c r="J778" s="9"/>
    </row>
    <row r="779" spans="1:10" x14ac:dyDescent="0.25">
      <c r="A779" s="9" t="s">
        <v>5155</v>
      </c>
      <c r="B779" s="9" t="s">
        <v>5267</v>
      </c>
      <c r="C779" s="9"/>
      <c r="D779" s="9"/>
      <c r="E779" s="9"/>
      <c r="F779" s="10" t="b">
        <v>0</v>
      </c>
      <c r="G779" s="10" t="b">
        <v>1</v>
      </c>
      <c r="H779" s="9"/>
      <c r="I779" s="9" t="str">
        <f t="array" ref="I779">IF(H779="","",VLOOKUP(H779,_xludf.HSTACK(#REF!,#REF!),2,FALSE))</f>
        <v/>
      </c>
      <c r="J779" s="9"/>
    </row>
    <row r="780" spans="1:10" x14ac:dyDescent="0.25">
      <c r="A780" s="11" t="s">
        <v>1536</v>
      </c>
      <c r="B780" s="11" t="s">
        <v>5268</v>
      </c>
      <c r="C780" s="11" t="s">
        <v>192</v>
      </c>
      <c r="D780" s="12" t="s">
        <v>5269</v>
      </c>
      <c r="E780" s="12" t="s">
        <v>5270</v>
      </c>
      <c r="F780" s="13" t="b">
        <v>0</v>
      </c>
      <c r="G780" s="13" t="b">
        <v>0</v>
      </c>
      <c r="H780" s="11"/>
      <c r="I780" s="11" t="str">
        <f t="array" ref="I780">IF(H780="","",VLOOKUP(H780,_xludf.HSTACK(#REF!,#REF!),2,FALSE))</f>
        <v/>
      </c>
      <c r="J780" s="11"/>
    </row>
    <row r="781" spans="1:10" x14ac:dyDescent="0.25">
      <c r="A781" s="11" t="s">
        <v>1536</v>
      </c>
      <c r="B781" s="11" t="s">
        <v>5271</v>
      </c>
      <c r="C781" s="11"/>
      <c r="D781" s="11"/>
      <c r="E781" s="11"/>
      <c r="F781" s="13" t="b">
        <v>0</v>
      </c>
      <c r="G781" s="13" t="b">
        <v>1</v>
      </c>
      <c r="H781" s="11"/>
      <c r="I781" s="11" t="str">
        <f t="array" ref="I781">IF(H781="","",VLOOKUP(H781,_xludf.HSTACK(#REF!,#REF!),2,FALSE))</f>
        <v/>
      </c>
      <c r="J781" s="11"/>
    </row>
    <row r="782" spans="1:10" x14ac:dyDescent="0.25">
      <c r="A782" s="11" t="s">
        <v>1536</v>
      </c>
      <c r="B782" s="11" t="s">
        <v>5272</v>
      </c>
      <c r="C782" s="11"/>
      <c r="D782" s="11"/>
      <c r="E782" s="11"/>
      <c r="F782" s="13" t="b">
        <v>0</v>
      </c>
      <c r="G782" s="13" t="b">
        <v>1</v>
      </c>
      <c r="H782" s="11"/>
      <c r="I782" s="11" t="str">
        <f t="array" ref="I782">IF(H782="","",VLOOKUP(H782,_xludf.HSTACK(#REF!,#REF!),2,FALSE))</f>
        <v/>
      </c>
      <c r="J782" s="11"/>
    </row>
    <row r="783" spans="1:10" x14ac:dyDescent="0.25">
      <c r="A783" s="11" t="s">
        <v>1536</v>
      </c>
      <c r="B783" s="11" t="s">
        <v>5273</v>
      </c>
      <c r="C783" s="11" t="s">
        <v>192</v>
      </c>
      <c r="D783" s="12" t="s">
        <v>5274</v>
      </c>
      <c r="E783" s="12" t="s">
        <v>5275</v>
      </c>
      <c r="F783" s="13" t="b">
        <v>0</v>
      </c>
      <c r="G783" s="13" t="b">
        <v>0</v>
      </c>
      <c r="H783" s="11"/>
      <c r="I783" s="11" t="str">
        <f t="array" ref="I783">IF(H783="","",VLOOKUP(H783,_xludf.HSTACK(#REF!,#REF!),2,FALSE))</f>
        <v/>
      </c>
      <c r="J783" s="11"/>
    </row>
    <row r="784" spans="1:10" x14ac:dyDescent="0.25">
      <c r="A784" s="11" t="s">
        <v>1536</v>
      </c>
      <c r="B784" s="11" t="s">
        <v>5276</v>
      </c>
      <c r="C784" s="11"/>
      <c r="D784" s="11"/>
      <c r="E784" s="11"/>
      <c r="F784" s="13" t="b">
        <v>0</v>
      </c>
      <c r="G784" s="13" t="b">
        <v>1</v>
      </c>
      <c r="H784" s="11"/>
      <c r="I784" s="11" t="str">
        <f t="array" ref="I784">IF(H784="","",VLOOKUP(H784,_xludf.HSTACK(#REF!,#REF!),2,FALSE))</f>
        <v/>
      </c>
      <c r="J784" s="11"/>
    </row>
    <row r="785" spans="1:10" x14ac:dyDescent="0.25">
      <c r="A785" s="11" t="s">
        <v>1536</v>
      </c>
      <c r="B785" s="11" t="s">
        <v>5277</v>
      </c>
      <c r="C785" s="11" t="s">
        <v>219</v>
      </c>
      <c r="D785" s="11"/>
      <c r="E785" s="12" t="s">
        <v>5278</v>
      </c>
      <c r="F785" s="13" t="b">
        <v>0</v>
      </c>
      <c r="G785" s="13" t="b">
        <v>0</v>
      </c>
      <c r="H785" s="11"/>
      <c r="I785" s="11" t="str">
        <f t="array" ref="I785">IF(H785="","",VLOOKUP(H785,_xludf.HSTACK(#REF!,#REF!),2,FALSE))</f>
        <v/>
      </c>
      <c r="J785" s="11"/>
    </row>
    <row r="786" spans="1:10" x14ac:dyDescent="0.25">
      <c r="A786" s="11" t="s">
        <v>1536</v>
      </c>
      <c r="B786" s="11" t="s">
        <v>5279</v>
      </c>
      <c r="C786" s="11" t="s">
        <v>27</v>
      </c>
      <c r="D786" s="12" t="s">
        <v>5280</v>
      </c>
      <c r="E786" s="12" t="s">
        <v>5281</v>
      </c>
      <c r="F786" s="13" t="b">
        <v>0</v>
      </c>
      <c r="G786" s="13" t="b">
        <v>0</v>
      </c>
      <c r="H786" s="11"/>
      <c r="I786" s="11" t="str">
        <f t="array" ref="I786">IF(H786="","",VLOOKUP(H786,_xludf.HSTACK(#REF!,#REF!),2,FALSE))</f>
        <v/>
      </c>
      <c r="J786" s="11"/>
    </row>
    <row r="787" spans="1:10" x14ac:dyDescent="0.25">
      <c r="A787" s="11" t="s">
        <v>1536</v>
      </c>
      <c r="B787" s="11" t="s">
        <v>5282</v>
      </c>
      <c r="C787" s="11"/>
      <c r="D787" s="11"/>
      <c r="E787" s="11"/>
      <c r="F787" s="13" t="b">
        <v>0</v>
      </c>
      <c r="G787" s="13" t="b">
        <v>1</v>
      </c>
      <c r="H787" s="11"/>
      <c r="I787" s="11" t="str">
        <f t="array" ref="I787">IF(H787="","",VLOOKUP(H787,_xludf.HSTACK(#REF!,#REF!),2,FALSE))</f>
        <v/>
      </c>
      <c r="J787" s="11"/>
    </row>
    <row r="788" spans="1:10" x14ac:dyDescent="0.25">
      <c r="A788" s="11" t="s">
        <v>1536</v>
      </c>
      <c r="B788" s="11" t="s">
        <v>5283</v>
      </c>
      <c r="C788" s="11"/>
      <c r="D788" s="11"/>
      <c r="E788" s="11"/>
      <c r="F788" s="13" t="b">
        <v>0</v>
      </c>
      <c r="G788" s="13" t="b">
        <v>1</v>
      </c>
      <c r="H788" s="11"/>
      <c r="I788" s="11" t="str">
        <f t="array" ref="I788">IF(H788="","",VLOOKUP(H788,_xludf.HSTACK(#REF!,#REF!),2,FALSE))</f>
        <v/>
      </c>
      <c r="J788" s="11"/>
    </row>
    <row r="789" spans="1:10" x14ac:dyDescent="0.25">
      <c r="A789" s="11" t="s">
        <v>1536</v>
      </c>
      <c r="B789" s="11" t="s">
        <v>5284</v>
      </c>
      <c r="C789" s="11" t="s">
        <v>1583</v>
      </c>
      <c r="D789" s="11"/>
      <c r="E789" s="12" t="s">
        <v>5285</v>
      </c>
      <c r="F789" s="13" t="b">
        <v>0</v>
      </c>
      <c r="G789" s="13" t="b">
        <v>0</v>
      </c>
      <c r="H789" s="11" t="s">
        <v>62</v>
      </c>
      <c r="I789" s="11" t="e">
        <f t="array" aca="1" ref="I789" ca="1">IF(H789="","",VLOOKUP(H789,_xludf.HSTACK(#REF!,#REF!),2,FALSE))</f>
        <v>#NAME?</v>
      </c>
      <c r="J789" s="11"/>
    </row>
    <row r="790" spans="1:10" x14ac:dyDescent="0.25">
      <c r="A790" s="11" t="s">
        <v>1536</v>
      </c>
      <c r="B790" s="11" t="s">
        <v>43</v>
      </c>
      <c r="C790" s="11" t="s">
        <v>23</v>
      </c>
      <c r="D790" s="11"/>
      <c r="E790" s="12" t="s">
        <v>5286</v>
      </c>
      <c r="F790" s="13" t="b">
        <v>0</v>
      </c>
      <c r="G790" s="13" t="b">
        <v>0</v>
      </c>
      <c r="H790" s="11" t="s">
        <v>22</v>
      </c>
      <c r="I790" s="11" t="e">
        <f t="array" aca="1" ref="I790" ca="1">IF(H790="","",VLOOKUP(H790,_xludf.HSTACK(#REF!,#REF!),2,FALSE))</f>
        <v>#NAME?</v>
      </c>
      <c r="J790" s="11"/>
    </row>
    <row r="791" spans="1:10" x14ac:dyDescent="0.25">
      <c r="A791" s="11" t="s">
        <v>1536</v>
      </c>
      <c r="B791" s="11" t="s">
        <v>5287</v>
      </c>
      <c r="C791" s="11" t="s">
        <v>192</v>
      </c>
      <c r="D791" s="12" t="s">
        <v>5288</v>
      </c>
      <c r="E791" s="12" t="s">
        <v>5289</v>
      </c>
      <c r="F791" s="13" t="b">
        <v>0</v>
      </c>
      <c r="G791" s="13" t="b">
        <v>0</v>
      </c>
      <c r="H791" s="11"/>
      <c r="I791" s="11" t="str">
        <f t="array" ref="I791">IF(H791="","",VLOOKUP(H791,_xludf.HSTACK(#REF!,#REF!),2,FALSE))</f>
        <v/>
      </c>
      <c r="J791" s="11"/>
    </row>
    <row r="792" spans="1:10" x14ac:dyDescent="0.25">
      <c r="A792" s="11" t="s">
        <v>1536</v>
      </c>
      <c r="B792" s="11" t="s">
        <v>5290</v>
      </c>
      <c r="C792" s="11"/>
      <c r="D792" s="11"/>
      <c r="E792" s="11"/>
      <c r="F792" s="13" t="b">
        <v>0</v>
      </c>
      <c r="G792" s="13" t="b">
        <v>1</v>
      </c>
      <c r="H792" s="11"/>
      <c r="I792" s="11" t="str">
        <f t="array" ref="I792">IF(H792="","",VLOOKUP(H792,_xludf.HSTACK(#REF!,#REF!),2,FALSE))</f>
        <v/>
      </c>
      <c r="J792" s="11"/>
    </row>
    <row r="793" spans="1:10" x14ac:dyDescent="0.25">
      <c r="A793" s="11" t="s">
        <v>1536</v>
      </c>
      <c r="B793" s="11" t="s">
        <v>5291</v>
      </c>
      <c r="C793" s="11" t="s">
        <v>27</v>
      </c>
      <c r="D793" s="12" t="s">
        <v>5292</v>
      </c>
      <c r="E793" s="12" t="s">
        <v>5293</v>
      </c>
      <c r="F793" s="13" t="b">
        <v>0</v>
      </c>
      <c r="G793" s="13" t="b">
        <v>0</v>
      </c>
      <c r="H793" s="11"/>
      <c r="I793" s="11" t="str">
        <f t="array" ref="I793">IF(H793="","",VLOOKUP(H793,_xludf.HSTACK(#REF!,#REF!),2,FALSE))</f>
        <v/>
      </c>
      <c r="J793" s="11"/>
    </row>
    <row r="794" spans="1:10" x14ac:dyDescent="0.25">
      <c r="A794" s="11" t="s">
        <v>1536</v>
      </c>
      <c r="B794" s="11" t="s">
        <v>5294</v>
      </c>
      <c r="C794" s="11"/>
      <c r="D794" s="11"/>
      <c r="E794" s="11"/>
      <c r="F794" s="13" t="b">
        <v>0</v>
      </c>
      <c r="G794" s="13" t="b">
        <v>1</v>
      </c>
      <c r="H794" s="11"/>
      <c r="I794" s="11" t="str">
        <f t="array" ref="I794">IF(H794="","",VLOOKUP(H794,_xludf.HSTACK(#REF!,#REF!),2,FALSE))</f>
        <v/>
      </c>
      <c r="J794" s="11"/>
    </row>
    <row r="795" spans="1:10" x14ac:dyDescent="0.25">
      <c r="A795" s="11" t="s">
        <v>1536</v>
      </c>
      <c r="B795" s="11" t="s">
        <v>5295</v>
      </c>
      <c r="C795" s="11" t="s">
        <v>219</v>
      </c>
      <c r="D795" s="11"/>
      <c r="E795" s="12" t="s">
        <v>5296</v>
      </c>
      <c r="F795" s="13" t="b">
        <v>1</v>
      </c>
      <c r="G795" s="13" t="b">
        <v>0</v>
      </c>
      <c r="H795" s="11"/>
      <c r="I795" s="11" t="str">
        <f t="array" ref="I795">IF(H795="","",VLOOKUP(H795,_xludf.HSTACK(#REF!,#REF!),2,FALSE))</f>
        <v/>
      </c>
      <c r="J795" s="11"/>
    </row>
    <row r="796" spans="1:10" x14ac:dyDescent="0.25">
      <c r="A796" s="11" t="s">
        <v>1536</v>
      </c>
      <c r="B796" s="11" t="s">
        <v>5297</v>
      </c>
      <c r="C796" s="11" t="s">
        <v>104</v>
      </c>
      <c r="D796" s="12" t="s">
        <v>5298</v>
      </c>
      <c r="E796" s="12" t="s">
        <v>5299</v>
      </c>
      <c r="F796" s="13" t="b">
        <v>1</v>
      </c>
      <c r="G796" s="13" t="b">
        <v>0</v>
      </c>
      <c r="H796" s="11" t="s">
        <v>35</v>
      </c>
      <c r="I796" s="11" t="e">
        <f t="array" aca="1" ref="I796" ca="1">IF(H796="","",VLOOKUP(H796,_xludf.HSTACK(#REF!,#REF!),2,FALSE))</f>
        <v>#NAME?</v>
      </c>
      <c r="J796" s="11"/>
    </row>
    <row r="797" spans="1:10" x14ac:dyDescent="0.25">
      <c r="A797" s="11" t="s">
        <v>1536</v>
      </c>
      <c r="B797" s="11" t="s">
        <v>5300</v>
      </c>
      <c r="C797" s="11" t="s">
        <v>192</v>
      </c>
      <c r="D797" s="12" t="s">
        <v>5301</v>
      </c>
      <c r="E797" s="12" t="s">
        <v>5302</v>
      </c>
      <c r="F797" s="13" t="b">
        <v>0</v>
      </c>
      <c r="G797" s="13" t="b">
        <v>0</v>
      </c>
      <c r="H797" s="11"/>
      <c r="I797" s="11" t="str">
        <f t="array" ref="I797">IF(H797="","",VLOOKUP(H797,_xludf.HSTACK(#REF!,#REF!),2,FALSE))</f>
        <v/>
      </c>
      <c r="J797" s="11"/>
    </row>
    <row r="798" spans="1:10" x14ac:dyDescent="0.25">
      <c r="A798" s="11" t="s">
        <v>1536</v>
      </c>
      <c r="B798" s="11" t="s">
        <v>5303</v>
      </c>
      <c r="C798" s="11"/>
      <c r="D798" s="11"/>
      <c r="E798" s="11"/>
      <c r="F798" s="13" t="b">
        <v>0</v>
      </c>
      <c r="G798" s="13" t="b">
        <v>1</v>
      </c>
      <c r="H798" s="11"/>
      <c r="I798" s="11" t="str">
        <f t="array" ref="I798">IF(H798="","",VLOOKUP(H798,_xludf.HSTACK(#REF!,#REF!),2,FALSE))</f>
        <v/>
      </c>
      <c r="J798" s="11"/>
    </row>
    <row r="799" spans="1:10" x14ac:dyDescent="0.25">
      <c r="A799" s="11" t="s">
        <v>1536</v>
      </c>
      <c r="B799" s="11" t="s">
        <v>5304</v>
      </c>
      <c r="C799" s="11"/>
      <c r="D799" s="11"/>
      <c r="E799" s="11"/>
      <c r="F799" s="13" t="b">
        <v>0</v>
      </c>
      <c r="G799" s="13" t="b">
        <v>1</v>
      </c>
      <c r="H799" s="11"/>
      <c r="I799" s="11" t="str">
        <f t="array" ref="I799">IF(H799="","",VLOOKUP(H799,_xludf.HSTACK(#REF!,#REF!),2,FALSE))</f>
        <v/>
      </c>
      <c r="J799" s="11"/>
    </row>
    <row r="800" spans="1:10" x14ac:dyDescent="0.25">
      <c r="A800" s="11" t="s">
        <v>1536</v>
      </c>
      <c r="B800" s="11" t="s">
        <v>5305</v>
      </c>
      <c r="C800" s="11" t="s">
        <v>27</v>
      </c>
      <c r="D800" s="12" t="s">
        <v>5306</v>
      </c>
      <c r="E800" s="12" t="s">
        <v>5307</v>
      </c>
      <c r="F800" s="13" t="b">
        <v>0</v>
      </c>
      <c r="G800" s="13" t="b">
        <v>0</v>
      </c>
      <c r="H800" s="11" t="s">
        <v>26</v>
      </c>
      <c r="I800" s="11" t="e">
        <f t="array" aca="1" ref="I800" ca="1">IF(H800="","",VLOOKUP(H800,_xludf.HSTACK(#REF!,#REF!),2,FALSE))</f>
        <v>#NAME?</v>
      </c>
      <c r="J800" s="11"/>
    </row>
    <row r="801" spans="1:10" x14ac:dyDescent="0.25">
      <c r="A801" s="11" t="s">
        <v>1536</v>
      </c>
      <c r="B801" s="11" t="s">
        <v>5308</v>
      </c>
      <c r="C801" s="11" t="s">
        <v>208</v>
      </c>
      <c r="D801" s="12" t="s">
        <v>5309</v>
      </c>
      <c r="E801" s="12" t="s">
        <v>5310</v>
      </c>
      <c r="F801" s="13" t="b">
        <v>1</v>
      </c>
      <c r="G801" s="13" t="b">
        <v>0</v>
      </c>
      <c r="H801" s="11" t="s">
        <v>50</v>
      </c>
      <c r="I801" s="11" t="e">
        <f t="array" aca="1" ref="I801" ca="1">IF(H801="","",VLOOKUP(H801,_xludf.HSTACK(#REF!,#REF!),2,FALSE))</f>
        <v>#NAME?</v>
      </c>
      <c r="J801" s="11"/>
    </row>
    <row r="802" spans="1:10" x14ac:dyDescent="0.25">
      <c r="A802" s="11" t="s">
        <v>1536</v>
      </c>
      <c r="B802" s="11" t="s">
        <v>5311</v>
      </c>
      <c r="C802" s="11" t="s">
        <v>219</v>
      </c>
      <c r="D802" s="11"/>
      <c r="E802" s="12" t="s">
        <v>5312</v>
      </c>
      <c r="F802" s="13" t="b">
        <v>0</v>
      </c>
      <c r="G802" s="13" t="b">
        <v>0</v>
      </c>
      <c r="H802" s="11" t="s">
        <v>65</v>
      </c>
      <c r="I802" s="11" t="e">
        <f t="array" aca="1" ref="I802" ca="1">IF(H802="","",VLOOKUP(H802,_xludf.HSTACK(#REF!,#REF!),2,FALSE))</f>
        <v>#NAME?</v>
      </c>
      <c r="J802" s="11"/>
    </row>
    <row r="803" spans="1:10" x14ac:dyDescent="0.25">
      <c r="A803" s="11" t="s">
        <v>1536</v>
      </c>
      <c r="B803" s="11" t="s">
        <v>5313</v>
      </c>
      <c r="C803" s="11" t="s">
        <v>27</v>
      </c>
      <c r="D803" s="12" t="s">
        <v>5314</v>
      </c>
      <c r="E803" s="12" t="s">
        <v>5315</v>
      </c>
      <c r="F803" s="13" t="b">
        <v>0</v>
      </c>
      <c r="G803" s="13" t="b">
        <v>0</v>
      </c>
      <c r="H803" s="11" t="s">
        <v>28</v>
      </c>
      <c r="I803" s="11" t="e">
        <f t="array" aca="1" ref="I803" ca="1">IF(H803="","",VLOOKUP(H803,_xludf.HSTACK(#REF!,#REF!),2,FALSE))</f>
        <v>#NAME?</v>
      </c>
      <c r="J803" s="11"/>
    </row>
    <row r="804" spans="1:10" x14ac:dyDescent="0.25">
      <c r="A804" s="11" t="s">
        <v>1536</v>
      </c>
      <c r="B804" s="11" t="s">
        <v>5316</v>
      </c>
      <c r="C804" s="11"/>
      <c r="D804" s="11"/>
      <c r="E804" s="11"/>
      <c r="F804" s="13" t="b">
        <v>0</v>
      </c>
      <c r="G804" s="13" t="b">
        <v>1</v>
      </c>
      <c r="H804" s="11" t="s">
        <v>51</v>
      </c>
      <c r="I804" s="11" t="e">
        <f t="array" aca="1" ref="I804" ca="1">IF(H804="","",VLOOKUP(H804,_xludf.HSTACK(#REF!,#REF!),2,FALSE))</f>
        <v>#NAME?</v>
      </c>
      <c r="J804" s="11"/>
    </row>
    <row r="805" spans="1:10" x14ac:dyDescent="0.25">
      <c r="A805" s="11" t="s">
        <v>1536</v>
      </c>
      <c r="B805" s="11" t="s">
        <v>5317</v>
      </c>
      <c r="C805" s="11"/>
      <c r="D805" s="11"/>
      <c r="E805" s="11"/>
      <c r="F805" s="13" t="b">
        <v>0</v>
      </c>
      <c r="G805" s="13" t="b">
        <v>1</v>
      </c>
      <c r="H805" s="11" t="s">
        <v>66</v>
      </c>
      <c r="I805" s="11" t="e">
        <f t="array" aca="1" ref="I805" ca="1">IF(H805="","",VLOOKUP(H805,_xludf.HSTACK(#REF!,#REF!),2,FALSE))</f>
        <v>#NAME?</v>
      </c>
      <c r="J805" s="11"/>
    </row>
    <row r="806" spans="1:10" x14ac:dyDescent="0.25">
      <c r="A806" s="11" t="s">
        <v>1536</v>
      </c>
      <c r="B806" s="11" t="s">
        <v>5318</v>
      </c>
      <c r="C806" s="11" t="s">
        <v>27</v>
      </c>
      <c r="D806" s="12" t="s">
        <v>5319</v>
      </c>
      <c r="E806" s="12" t="s">
        <v>5320</v>
      </c>
      <c r="F806" s="13" t="b">
        <v>0</v>
      </c>
      <c r="G806" s="13" t="b">
        <v>0</v>
      </c>
      <c r="H806" s="11" t="s">
        <v>29</v>
      </c>
      <c r="I806" s="11" t="e">
        <f t="array" aca="1" ref="I806" ca="1">IF(H806="","",VLOOKUP(H806,_xludf.HSTACK(#REF!,#REF!),2,FALSE))</f>
        <v>#NAME?</v>
      </c>
      <c r="J806" s="11"/>
    </row>
    <row r="807" spans="1:10" x14ac:dyDescent="0.25">
      <c r="A807" s="11" t="s">
        <v>1536</v>
      </c>
      <c r="B807" s="11" t="s">
        <v>5321</v>
      </c>
      <c r="C807" s="11"/>
      <c r="D807" s="11"/>
      <c r="E807" s="11"/>
      <c r="F807" s="13" t="b">
        <v>0</v>
      </c>
      <c r="G807" s="13" t="b">
        <v>1</v>
      </c>
      <c r="H807" s="11" t="s">
        <v>54</v>
      </c>
      <c r="I807" s="11" t="e">
        <f t="array" aca="1" ref="I807" ca="1">IF(H807="","",VLOOKUP(H807,_xludf.HSTACK(#REF!,#REF!),2,FALSE))</f>
        <v>#NAME?</v>
      </c>
      <c r="J807" s="11"/>
    </row>
    <row r="808" spans="1:10" x14ac:dyDescent="0.25">
      <c r="A808" s="11" t="s">
        <v>1536</v>
      </c>
      <c r="B808" s="11" t="s">
        <v>5322</v>
      </c>
      <c r="C808" s="11"/>
      <c r="D808" s="11"/>
      <c r="E808" s="11"/>
      <c r="F808" s="13" t="b">
        <v>0</v>
      </c>
      <c r="G808" s="13" t="b">
        <v>1</v>
      </c>
      <c r="H808" s="11" t="s">
        <v>69</v>
      </c>
      <c r="I808" s="11" t="e">
        <f t="array" aca="1" ref="I808" ca="1">IF(H808="","",VLOOKUP(H808,_xludf.HSTACK(#REF!,#REF!),2,FALSE))</f>
        <v>#NAME?</v>
      </c>
      <c r="J808" s="11"/>
    </row>
    <row r="809" spans="1:10" x14ac:dyDescent="0.25">
      <c r="A809" s="11" t="s">
        <v>1536</v>
      </c>
      <c r="B809" s="11" t="s">
        <v>5323</v>
      </c>
      <c r="C809" s="11" t="s">
        <v>25</v>
      </c>
      <c r="D809" s="12" t="s">
        <v>5324</v>
      </c>
      <c r="E809" s="12" t="s">
        <v>5325</v>
      </c>
      <c r="F809" s="13" t="b">
        <v>0</v>
      </c>
      <c r="G809" s="13" t="b">
        <v>0</v>
      </c>
      <c r="H809" s="11" t="s">
        <v>24</v>
      </c>
      <c r="I809" s="11" t="e">
        <f t="array" aca="1" ref="I809" ca="1">IF(H809="","",VLOOKUP(H809,_xludf.HSTACK(#REF!,#REF!),2,FALSE))</f>
        <v>#NAME?</v>
      </c>
      <c r="J809" s="11"/>
    </row>
    <row r="810" spans="1:10" x14ac:dyDescent="0.25">
      <c r="A810" s="11" t="s">
        <v>1536</v>
      </c>
      <c r="B810" s="11" t="s">
        <v>5326</v>
      </c>
      <c r="C810" s="11" t="s">
        <v>14</v>
      </c>
      <c r="D810" s="12" t="s">
        <v>5327</v>
      </c>
      <c r="E810" s="12" t="s">
        <v>5328</v>
      </c>
      <c r="F810" s="13" t="b">
        <v>0</v>
      </c>
      <c r="G810" s="13" t="b">
        <v>0</v>
      </c>
      <c r="H810" s="11" t="s">
        <v>13</v>
      </c>
      <c r="I810" s="11" t="e">
        <f t="array" aca="1" ref="I810" ca="1">IF(H810="","",VLOOKUP(H810,_xludf.HSTACK(#REF!,#REF!),2,FALSE))</f>
        <v>#NAME?</v>
      </c>
      <c r="J810" s="11"/>
    </row>
    <row r="811" spans="1:10" x14ac:dyDescent="0.25">
      <c r="A811" s="11" t="s">
        <v>1536</v>
      </c>
      <c r="B811" s="11" t="s">
        <v>5329</v>
      </c>
      <c r="C811" s="11" t="s">
        <v>27</v>
      </c>
      <c r="D811" s="12" t="s">
        <v>5330</v>
      </c>
      <c r="E811" s="12" t="s">
        <v>5331</v>
      </c>
      <c r="F811" s="13" t="b">
        <v>0</v>
      </c>
      <c r="G811" s="13" t="b">
        <v>0</v>
      </c>
      <c r="H811" s="11" t="s">
        <v>32</v>
      </c>
      <c r="I811" s="11" t="e">
        <f t="array" aca="1" ref="I811" ca="1">IF(H811="","",VLOOKUP(H811,_xludf.HSTACK(#REF!,#REF!),2,FALSE))</f>
        <v>#NAME?</v>
      </c>
      <c r="J811" s="11"/>
    </row>
    <row r="812" spans="1:10" x14ac:dyDescent="0.25">
      <c r="A812" s="11" t="s">
        <v>1536</v>
      </c>
      <c r="B812" s="11" t="s">
        <v>5332</v>
      </c>
      <c r="C812" s="11" t="s">
        <v>208</v>
      </c>
      <c r="D812" s="12" t="s">
        <v>5309</v>
      </c>
      <c r="E812" s="12" t="s">
        <v>5333</v>
      </c>
      <c r="F812" s="13" t="b">
        <v>0</v>
      </c>
      <c r="G812" s="13" t="b">
        <v>0</v>
      </c>
      <c r="H812" s="11" t="s">
        <v>58</v>
      </c>
      <c r="I812" s="11" t="e">
        <f t="array" aca="1" ref="I812" ca="1">IF(H812="","",VLOOKUP(H812,_xludf.HSTACK(#REF!,#REF!),2,FALSE))</f>
        <v>#NAME?</v>
      </c>
      <c r="J812" s="11"/>
    </row>
    <row r="813" spans="1:10" x14ac:dyDescent="0.25">
      <c r="A813" s="11" t="s">
        <v>1536</v>
      </c>
      <c r="B813" s="11" t="s">
        <v>5334</v>
      </c>
      <c r="C813" s="11"/>
      <c r="D813" s="11"/>
      <c r="E813" s="11"/>
      <c r="F813" s="13" t="b">
        <v>0</v>
      </c>
      <c r="G813" s="13" t="b">
        <v>1</v>
      </c>
      <c r="H813" s="11" t="s">
        <v>67</v>
      </c>
      <c r="I813" s="11" t="e">
        <f t="array" aca="1" ref="I813" ca="1">IF(H813="","",VLOOKUP(H813,_xludf.HSTACK(#REF!,#REF!),2,FALSE))</f>
        <v>#NAME?</v>
      </c>
      <c r="J813" s="11"/>
    </row>
    <row r="814" spans="1:10" x14ac:dyDescent="0.25">
      <c r="A814" s="11" t="s">
        <v>1536</v>
      </c>
      <c r="B814" s="11" t="s">
        <v>5335</v>
      </c>
      <c r="C814" s="11" t="s">
        <v>201</v>
      </c>
      <c r="D814" s="12" t="s">
        <v>5336</v>
      </c>
      <c r="E814" s="12" t="s">
        <v>5337</v>
      </c>
      <c r="F814" s="13" t="b">
        <v>0</v>
      </c>
      <c r="G814" s="13" t="b">
        <v>0</v>
      </c>
      <c r="H814" s="11" t="s">
        <v>47</v>
      </c>
      <c r="I814" s="11" t="e">
        <f t="array" aca="1" ref="I814" ca="1">IF(H814="","",VLOOKUP(H814,_xludf.HSTACK(#REF!,#REF!),2,FALSE))</f>
        <v>#NAME?</v>
      </c>
      <c r="J814" s="11"/>
    </row>
    <row r="815" spans="1:10" x14ac:dyDescent="0.25">
      <c r="A815" s="11" t="s">
        <v>1536</v>
      </c>
      <c r="B815" s="11" t="s">
        <v>5338</v>
      </c>
      <c r="C815" s="11" t="s">
        <v>201</v>
      </c>
      <c r="D815" s="12" t="s">
        <v>5339</v>
      </c>
      <c r="E815" s="12" t="s">
        <v>5340</v>
      </c>
      <c r="F815" s="13" t="b">
        <v>0</v>
      </c>
      <c r="G815" s="13" t="b">
        <v>0</v>
      </c>
      <c r="H815" s="11" t="s">
        <v>46</v>
      </c>
      <c r="I815" s="11" t="e">
        <f t="array" aca="1" ref="I815" ca="1">IF(H815="","",VLOOKUP(H815,_xludf.HSTACK(#REF!,#REF!),2,FALSE))</f>
        <v>#NAME?</v>
      </c>
      <c r="J815" s="11"/>
    </row>
    <row r="816" spans="1:10" x14ac:dyDescent="0.25">
      <c r="A816" s="11" t="s">
        <v>1536</v>
      </c>
      <c r="B816" s="11" t="s">
        <v>5341</v>
      </c>
      <c r="C816" s="11" t="s">
        <v>192</v>
      </c>
      <c r="D816" s="12" t="s">
        <v>5342</v>
      </c>
      <c r="E816" s="12" t="s">
        <v>5343</v>
      </c>
      <c r="F816" s="13" t="b">
        <v>0</v>
      </c>
      <c r="G816" s="13" t="b">
        <v>0</v>
      </c>
      <c r="H816" s="11" t="s">
        <v>30</v>
      </c>
      <c r="I816" s="11" t="e">
        <f t="array" aca="1" ref="I816" ca="1">IF(H816="","",VLOOKUP(H816,_xludf.HSTACK(#REF!,#REF!),2,FALSE))</f>
        <v>#NAME?</v>
      </c>
      <c r="J816" s="11"/>
    </row>
    <row r="817" spans="1:10" x14ac:dyDescent="0.25">
      <c r="A817" s="11" t="s">
        <v>1536</v>
      </c>
      <c r="B817" s="11" t="s">
        <v>5344</v>
      </c>
      <c r="C817" s="11" t="s">
        <v>208</v>
      </c>
      <c r="D817" s="12" t="s">
        <v>5309</v>
      </c>
      <c r="E817" s="12" t="s">
        <v>5345</v>
      </c>
      <c r="F817" s="13" t="b">
        <v>1</v>
      </c>
      <c r="G817" s="13" t="b">
        <v>0</v>
      </c>
      <c r="H817" s="11" t="s">
        <v>55</v>
      </c>
      <c r="I817" s="11" t="e">
        <f t="array" aca="1" ref="I817" ca="1">IF(H817="","",VLOOKUP(H817,_xludf.HSTACK(#REF!,#REF!),2,FALSE))</f>
        <v>#NAME?</v>
      </c>
      <c r="J817" s="11"/>
    </row>
    <row r="818" spans="1:10" x14ac:dyDescent="0.25">
      <c r="A818" s="11" t="s">
        <v>1536</v>
      </c>
      <c r="B818" s="11" t="s">
        <v>5346</v>
      </c>
      <c r="C818" s="11"/>
      <c r="D818" s="11"/>
      <c r="E818" s="11"/>
      <c r="F818" s="13" t="b">
        <v>0</v>
      </c>
      <c r="G818" s="13" t="b">
        <v>1</v>
      </c>
      <c r="H818" s="11" t="s">
        <v>70</v>
      </c>
      <c r="I818" s="11" t="e">
        <f t="array" aca="1" ref="I818" ca="1">IF(H818="","",VLOOKUP(H818,_xludf.HSTACK(#REF!,#REF!),2,FALSE))</f>
        <v>#NAME?</v>
      </c>
      <c r="J818" s="11"/>
    </row>
    <row r="819" spans="1:10" x14ac:dyDescent="0.25">
      <c r="A819" s="11" t="s">
        <v>1536</v>
      </c>
      <c r="B819" s="11" t="s">
        <v>5347</v>
      </c>
      <c r="C819" s="11" t="s">
        <v>1576</v>
      </c>
      <c r="D819" s="12" t="s">
        <v>5348</v>
      </c>
      <c r="E819" s="12" t="s">
        <v>5349</v>
      </c>
      <c r="F819" s="13" t="b">
        <v>0</v>
      </c>
      <c r="G819" s="13" t="b">
        <v>0</v>
      </c>
      <c r="H819" s="11" t="s">
        <v>33</v>
      </c>
      <c r="I819" s="11" t="e">
        <f t="array" aca="1" ref="I819" ca="1">IF(H819="","",VLOOKUP(H819,_xludf.HSTACK(#REF!,#REF!),2,FALSE))</f>
        <v>#NAME?</v>
      </c>
      <c r="J819" s="11"/>
    </row>
    <row r="820" spans="1:10" x14ac:dyDescent="0.25">
      <c r="A820" s="9" t="s">
        <v>1619</v>
      </c>
      <c r="B820" s="9" t="s">
        <v>5350</v>
      </c>
      <c r="C820" s="9" t="s">
        <v>23</v>
      </c>
      <c r="D820" s="9"/>
      <c r="E820" s="7" t="s">
        <v>5351</v>
      </c>
      <c r="F820" s="10" t="b">
        <v>0</v>
      </c>
      <c r="G820" s="10" t="b">
        <v>0</v>
      </c>
      <c r="H820" s="9" t="s">
        <v>22</v>
      </c>
      <c r="I820" s="9" t="e">
        <f t="array" aca="1" ref="I820" ca="1">IF(H820="","",VLOOKUP(H820,_xludf.HSTACK(#REF!,#REF!),2,FALSE))</f>
        <v>#NAME?</v>
      </c>
      <c r="J820" s="9"/>
    </row>
    <row r="821" spans="1:10" x14ac:dyDescent="0.25">
      <c r="A821" s="9" t="s">
        <v>1619</v>
      </c>
      <c r="B821" s="9" t="s">
        <v>5352</v>
      </c>
      <c r="C821" s="9" t="s">
        <v>36</v>
      </c>
      <c r="D821" s="7" t="s">
        <v>5353</v>
      </c>
      <c r="E821" s="7" t="s">
        <v>5354</v>
      </c>
      <c r="F821" s="10" t="b">
        <v>0</v>
      </c>
      <c r="G821" s="10" t="b">
        <v>0</v>
      </c>
      <c r="H821" s="9" t="s">
        <v>35</v>
      </c>
      <c r="I821" s="9" t="e">
        <f t="array" aca="1" ref="I821" ca="1">IF(H821="","",VLOOKUP(H821,_xludf.HSTACK(#REF!,#REF!),2,FALSE))</f>
        <v>#NAME?</v>
      </c>
      <c r="J821" s="9"/>
    </row>
    <row r="822" spans="1:10" x14ac:dyDescent="0.25">
      <c r="A822" s="9" t="s">
        <v>1619</v>
      </c>
      <c r="B822" s="9" t="s">
        <v>5355</v>
      </c>
      <c r="C822" s="9" t="s">
        <v>219</v>
      </c>
      <c r="D822" s="7" t="s">
        <v>5356</v>
      </c>
      <c r="E822" s="7" t="s">
        <v>5357</v>
      </c>
      <c r="F822" s="10" t="b">
        <v>0</v>
      </c>
      <c r="G822" s="10" t="b">
        <v>0</v>
      </c>
      <c r="H822" s="9" t="s">
        <v>65</v>
      </c>
      <c r="I822" s="9" t="e">
        <f t="array" aca="1" ref="I822" ca="1">IF(H822="","",VLOOKUP(H822,_xludf.HSTACK(#REF!,#REF!),2,FALSE))</f>
        <v>#NAME?</v>
      </c>
      <c r="J822" s="9"/>
    </row>
    <row r="823" spans="1:10" x14ac:dyDescent="0.25">
      <c r="A823" s="9" t="s">
        <v>1619</v>
      </c>
      <c r="B823" s="9" t="s">
        <v>5358</v>
      </c>
      <c r="C823" s="9" t="s">
        <v>219</v>
      </c>
      <c r="D823" s="7" t="s">
        <v>5356</v>
      </c>
      <c r="E823" s="7" t="s">
        <v>5359</v>
      </c>
      <c r="F823" s="10" t="b">
        <v>1</v>
      </c>
      <c r="G823" s="10" t="b">
        <v>0</v>
      </c>
      <c r="H823" s="9"/>
      <c r="I823" s="9" t="str">
        <f t="array" ref="I823">IF(H823="","",VLOOKUP(H823,_xludf.HSTACK(#REF!,#REF!),2,FALSE))</f>
        <v/>
      </c>
      <c r="J823" s="9"/>
    </row>
    <row r="824" spans="1:10" x14ac:dyDescent="0.25">
      <c r="A824" s="9" t="s">
        <v>1619</v>
      </c>
      <c r="B824" s="9" t="s">
        <v>5360</v>
      </c>
      <c r="C824" s="9" t="s">
        <v>219</v>
      </c>
      <c r="D824" s="7" t="s">
        <v>5356</v>
      </c>
      <c r="E824" s="7" t="s">
        <v>5361</v>
      </c>
      <c r="F824" s="10" t="b">
        <v>0</v>
      </c>
      <c r="G824" s="10" t="b">
        <v>0</v>
      </c>
      <c r="H824" s="9" t="s">
        <v>70</v>
      </c>
      <c r="I824" s="9" t="e">
        <f t="array" aca="1" ref="I824" ca="1">IF(H824="","",VLOOKUP(H824,_xludf.HSTACK(#REF!,#REF!),2,FALSE))</f>
        <v>#NAME?</v>
      </c>
      <c r="J824" s="9"/>
    </row>
    <row r="825" spans="1:10" x14ac:dyDescent="0.25">
      <c r="A825" s="9" t="s">
        <v>1619</v>
      </c>
      <c r="B825" s="9" t="s">
        <v>5362</v>
      </c>
      <c r="C825" s="9" t="s">
        <v>4267</v>
      </c>
      <c r="D825" s="7" t="s">
        <v>5363</v>
      </c>
      <c r="E825" s="7" t="s">
        <v>5364</v>
      </c>
      <c r="F825" s="10" t="b">
        <v>1</v>
      </c>
      <c r="G825" s="10" t="b">
        <v>0</v>
      </c>
      <c r="H825" s="9" t="s">
        <v>38</v>
      </c>
      <c r="I825" s="9" t="e">
        <f t="array" aca="1" ref="I825" ca="1">IF(H825="","",VLOOKUP(H825,_xludf.HSTACK(#REF!,#REF!),2,FALSE))</f>
        <v>#NAME?</v>
      </c>
      <c r="J825" s="9"/>
    </row>
    <row r="826" spans="1:10" x14ac:dyDescent="0.25">
      <c r="A826" s="9" t="s">
        <v>1619</v>
      </c>
      <c r="B826" s="9" t="s">
        <v>5365</v>
      </c>
      <c r="C826" s="9" t="s">
        <v>27</v>
      </c>
      <c r="D826" s="7" t="s">
        <v>5366</v>
      </c>
      <c r="E826" s="7" t="s">
        <v>5367</v>
      </c>
      <c r="F826" s="10" t="b">
        <v>0</v>
      </c>
      <c r="G826" s="10" t="b">
        <v>0</v>
      </c>
      <c r="H826" s="9" t="s">
        <v>26</v>
      </c>
      <c r="I826" s="9" t="e">
        <f t="array" aca="1" ref="I826" ca="1">IF(H826="","",VLOOKUP(H826,_xludf.HSTACK(#REF!,#REF!),2,FALSE))</f>
        <v>#NAME?</v>
      </c>
      <c r="J826" s="9"/>
    </row>
    <row r="827" spans="1:10" x14ac:dyDescent="0.25">
      <c r="A827" s="9" t="s">
        <v>1619</v>
      </c>
      <c r="B827" s="9" t="s">
        <v>5368</v>
      </c>
      <c r="C827" s="9" t="s">
        <v>4267</v>
      </c>
      <c r="D827" s="7" t="s">
        <v>5369</v>
      </c>
      <c r="E827" s="7" t="s">
        <v>5370</v>
      </c>
      <c r="F827" s="10" t="b">
        <v>0</v>
      </c>
      <c r="G827" s="10" t="b">
        <v>0</v>
      </c>
      <c r="H827" s="9" t="s">
        <v>50</v>
      </c>
      <c r="I827" s="9" t="e">
        <f t="array" aca="1" ref="I827" ca="1">IF(H827="","",VLOOKUP(H827,_xludf.HSTACK(#REF!,#REF!),2,FALSE))</f>
        <v>#NAME?</v>
      </c>
      <c r="J827" s="9"/>
    </row>
    <row r="828" spans="1:10" x14ac:dyDescent="0.25">
      <c r="A828" s="9" t="s">
        <v>1619</v>
      </c>
      <c r="B828" s="9" t="s">
        <v>5371</v>
      </c>
      <c r="C828" s="9" t="s">
        <v>27</v>
      </c>
      <c r="D828" s="9"/>
      <c r="E828" s="7" t="s">
        <v>5372</v>
      </c>
      <c r="F828" s="10" t="b">
        <v>0</v>
      </c>
      <c r="G828" s="10" t="b">
        <v>0</v>
      </c>
      <c r="H828" s="9" t="s">
        <v>31</v>
      </c>
      <c r="I828" s="9" t="e">
        <f t="array" aca="1" ref="I828" ca="1">IF(H828="","",VLOOKUP(H828,_xludf.HSTACK(#REF!,#REF!),2,FALSE))</f>
        <v>#NAME?</v>
      </c>
      <c r="J828" s="9"/>
    </row>
    <row r="829" spans="1:10" x14ac:dyDescent="0.25">
      <c r="A829" s="9" t="s">
        <v>1619</v>
      </c>
      <c r="B829" s="9" t="s">
        <v>5373</v>
      </c>
      <c r="C829" s="9" t="s">
        <v>125</v>
      </c>
      <c r="D829" s="7" t="s">
        <v>5374</v>
      </c>
      <c r="E829" s="7" t="s">
        <v>5375</v>
      </c>
      <c r="F829" s="10" t="b">
        <v>0</v>
      </c>
      <c r="G829" s="10" t="b">
        <v>0</v>
      </c>
      <c r="H829" s="9"/>
      <c r="I829" s="9" t="str">
        <f t="array" ref="I829">IF(H829="","",VLOOKUP(H829,_xludf.HSTACK(#REF!,#REF!),2,FALSE))</f>
        <v/>
      </c>
      <c r="J829" s="9"/>
    </row>
    <row r="830" spans="1:10" x14ac:dyDescent="0.25">
      <c r="A830" s="9" t="s">
        <v>1619</v>
      </c>
      <c r="B830" s="9" t="s">
        <v>5376</v>
      </c>
      <c r="C830" s="9" t="s">
        <v>4411</v>
      </c>
      <c r="D830" s="7" t="s">
        <v>5369</v>
      </c>
      <c r="E830" s="7" t="s">
        <v>5377</v>
      </c>
      <c r="F830" s="10" t="b">
        <v>0</v>
      </c>
      <c r="G830" s="10" t="b">
        <v>0</v>
      </c>
      <c r="H830" s="9"/>
      <c r="I830" s="9" t="str">
        <f t="array" ref="I830">IF(H830="","",VLOOKUP(H830,_xludf.HSTACK(#REF!,#REF!),2,FALSE))</f>
        <v/>
      </c>
      <c r="J830" s="9"/>
    </row>
    <row r="831" spans="1:10" x14ac:dyDescent="0.25">
      <c r="A831" s="9" t="s">
        <v>1619</v>
      </c>
      <c r="B831" s="9" t="s">
        <v>5378</v>
      </c>
      <c r="C831" s="9" t="s">
        <v>27</v>
      </c>
      <c r="D831" s="7" t="s">
        <v>5379</v>
      </c>
      <c r="E831" s="7" t="s">
        <v>5380</v>
      </c>
      <c r="F831" s="10" t="b">
        <v>0</v>
      </c>
      <c r="G831" s="10" t="b">
        <v>0</v>
      </c>
      <c r="H831" s="9" t="s">
        <v>28</v>
      </c>
      <c r="I831" s="9" t="e">
        <f t="array" aca="1" ref="I831" ca="1">IF(H831="","",VLOOKUP(H831,_xludf.HSTACK(#REF!,#REF!),2,FALSE))</f>
        <v>#NAME?</v>
      </c>
      <c r="J831" s="9"/>
    </row>
    <row r="832" spans="1:10" x14ac:dyDescent="0.25">
      <c r="A832" s="9" t="s">
        <v>1619</v>
      </c>
      <c r="B832" s="9" t="s">
        <v>5381</v>
      </c>
      <c r="C832" s="9" t="s">
        <v>4267</v>
      </c>
      <c r="D832" s="7" t="s">
        <v>5369</v>
      </c>
      <c r="E832" s="7" t="s">
        <v>5382</v>
      </c>
      <c r="F832" s="10" t="b">
        <v>0</v>
      </c>
      <c r="G832" s="10" t="b">
        <v>0</v>
      </c>
      <c r="H832" s="9" t="s">
        <v>51</v>
      </c>
      <c r="I832" s="9" t="e">
        <f t="array" aca="1" ref="I832" ca="1">IF(H832="","",VLOOKUP(H832,_xludf.HSTACK(#REF!,#REF!),2,FALSE))</f>
        <v>#NAME?</v>
      </c>
      <c r="J832" s="9"/>
    </row>
    <row r="833" spans="1:10" x14ac:dyDescent="0.25">
      <c r="A833" s="9" t="s">
        <v>1619</v>
      </c>
      <c r="B833" s="9" t="s">
        <v>5383</v>
      </c>
      <c r="C833" s="9" t="s">
        <v>27</v>
      </c>
      <c r="D833" s="9"/>
      <c r="E833" s="7" t="s">
        <v>5384</v>
      </c>
      <c r="F833" s="10" t="b">
        <v>0</v>
      </c>
      <c r="G833" s="10" t="b">
        <v>0</v>
      </c>
      <c r="H833" s="9" t="s">
        <v>32</v>
      </c>
      <c r="I833" s="9" t="e">
        <f t="array" aca="1" ref="I833" ca="1">IF(H833="","",VLOOKUP(H833,_xludf.HSTACK(#REF!,#REF!),2,FALSE))</f>
        <v>#NAME?</v>
      </c>
      <c r="J833" s="9"/>
    </row>
    <row r="834" spans="1:10" x14ac:dyDescent="0.25">
      <c r="A834" s="9" t="s">
        <v>1619</v>
      </c>
      <c r="B834" s="9" t="s">
        <v>5385</v>
      </c>
      <c r="C834" s="9" t="s">
        <v>201</v>
      </c>
      <c r="D834" s="7" t="s">
        <v>5336</v>
      </c>
      <c r="E834" s="7" t="s">
        <v>5386</v>
      </c>
      <c r="F834" s="10" t="b">
        <v>0</v>
      </c>
      <c r="G834" s="10" t="b">
        <v>0</v>
      </c>
      <c r="H834" s="9" t="s">
        <v>47</v>
      </c>
      <c r="I834" s="9" t="e">
        <f t="array" aca="1" ref="I834" ca="1">IF(H834="","",VLOOKUP(H834,_xludf.HSTACK(#REF!,#REF!),2,FALSE))</f>
        <v>#NAME?</v>
      </c>
      <c r="J834" s="9"/>
    </row>
    <row r="835" spans="1:10" x14ac:dyDescent="0.25">
      <c r="A835" s="9" t="s">
        <v>1619</v>
      </c>
      <c r="B835" s="9" t="s">
        <v>5387</v>
      </c>
      <c r="C835" s="9" t="s">
        <v>201</v>
      </c>
      <c r="D835" s="7" t="s">
        <v>5339</v>
      </c>
      <c r="E835" s="7" t="s">
        <v>5388</v>
      </c>
      <c r="F835" s="10" t="b">
        <v>0</v>
      </c>
      <c r="G835" s="10" t="b">
        <v>0</v>
      </c>
      <c r="H835" s="9" t="s">
        <v>46</v>
      </c>
      <c r="I835" s="9" t="e">
        <f t="array" aca="1" ref="I835" ca="1">IF(H835="","",VLOOKUP(H835,_xludf.HSTACK(#REF!,#REF!),2,FALSE))</f>
        <v>#NAME?</v>
      </c>
      <c r="J835" s="9"/>
    </row>
    <row r="836" spans="1:10" x14ac:dyDescent="0.25">
      <c r="A836" s="9" t="s">
        <v>1619</v>
      </c>
      <c r="B836" s="9" t="s">
        <v>5389</v>
      </c>
      <c r="C836" s="9" t="s">
        <v>219</v>
      </c>
      <c r="D836" s="7" t="s">
        <v>5390</v>
      </c>
      <c r="E836" s="7" t="s">
        <v>5391</v>
      </c>
      <c r="F836" s="10" t="b">
        <v>0</v>
      </c>
      <c r="G836" s="10" t="b">
        <v>0</v>
      </c>
      <c r="H836" s="9" t="s">
        <v>20</v>
      </c>
      <c r="I836" s="9" t="e">
        <f t="array" aca="1" ref="I836" ca="1">IF(H836="","",VLOOKUP(H836,_xludf.HSTACK(#REF!,#REF!),2,FALSE))</f>
        <v>#NAME?</v>
      </c>
      <c r="J836" s="9"/>
    </row>
    <row r="837" spans="1:10" x14ac:dyDescent="0.25">
      <c r="A837" s="9" t="s">
        <v>1619</v>
      </c>
      <c r="B837" s="9" t="s">
        <v>5392</v>
      </c>
      <c r="C837" s="9" t="s">
        <v>201</v>
      </c>
      <c r="D837" s="7" t="s">
        <v>5393</v>
      </c>
      <c r="E837" s="7" t="s">
        <v>5394</v>
      </c>
      <c r="F837" s="10" t="b">
        <v>0</v>
      </c>
      <c r="G837" s="10" t="b">
        <v>0</v>
      </c>
      <c r="H837" s="9" t="s">
        <v>15</v>
      </c>
      <c r="I837" s="9" t="e">
        <f t="array" aca="1" ref="I837" ca="1">IF(H837="","",VLOOKUP(H837,_xludf.HSTACK(#REF!,#REF!),2,FALSE))</f>
        <v>#NAME?</v>
      </c>
      <c r="J837" s="9"/>
    </row>
    <row r="838" spans="1:10" x14ac:dyDescent="0.25">
      <c r="A838" s="9" t="s">
        <v>1619</v>
      </c>
      <c r="B838" s="9" t="s">
        <v>5395</v>
      </c>
      <c r="C838" s="9" t="s">
        <v>201</v>
      </c>
      <c r="D838" s="7" t="s">
        <v>5396</v>
      </c>
      <c r="E838" s="7" t="s">
        <v>5397</v>
      </c>
      <c r="F838" s="10" t="b">
        <v>0</v>
      </c>
      <c r="G838" s="10" t="b">
        <v>0</v>
      </c>
      <c r="H838" s="9" t="s">
        <v>16</v>
      </c>
      <c r="I838" s="9" t="e">
        <f t="array" aca="1" ref="I838" ca="1">IF(H838="","",VLOOKUP(H838,_xludf.HSTACK(#REF!,#REF!),2,FALSE))</f>
        <v>#NAME?</v>
      </c>
      <c r="J838" s="9"/>
    </row>
    <row r="839" spans="1:10" x14ac:dyDescent="0.25">
      <c r="A839" s="9" t="s">
        <v>1619</v>
      </c>
      <c r="B839" s="9" t="s">
        <v>5398</v>
      </c>
      <c r="C839" s="9" t="s">
        <v>14</v>
      </c>
      <c r="D839" s="7" t="s">
        <v>5399</v>
      </c>
      <c r="E839" s="7" t="s">
        <v>5400</v>
      </c>
      <c r="F839" s="10" t="b">
        <v>0</v>
      </c>
      <c r="G839" s="10" t="b">
        <v>0</v>
      </c>
      <c r="H839" s="9" t="s">
        <v>13</v>
      </c>
      <c r="I839" s="9" t="e">
        <f t="array" aca="1" ref="I839" ca="1">IF(H839="","",VLOOKUP(H839,_xludf.HSTACK(#REF!,#REF!),2,FALSE))</f>
        <v>#NAME?</v>
      </c>
      <c r="J839" s="9"/>
    </row>
    <row r="840" spans="1:10" x14ac:dyDescent="0.25">
      <c r="A840" s="9" t="s">
        <v>1619</v>
      </c>
      <c r="B840" s="9" t="s">
        <v>5401</v>
      </c>
      <c r="C840" s="9" t="s">
        <v>25</v>
      </c>
      <c r="D840" s="7" t="s">
        <v>5402</v>
      </c>
      <c r="E840" s="7" t="s">
        <v>5403</v>
      </c>
      <c r="F840" s="10" t="b">
        <v>0</v>
      </c>
      <c r="G840" s="10" t="b">
        <v>0</v>
      </c>
      <c r="H840" s="9" t="s">
        <v>24</v>
      </c>
      <c r="I840" s="9" t="e">
        <f t="array" aca="1" ref="I840" ca="1">IF(H840="","",VLOOKUP(H840,_xludf.HSTACK(#REF!,#REF!),2,FALSE))</f>
        <v>#NAME?</v>
      </c>
      <c r="J840" s="9"/>
    </row>
    <row r="841" spans="1:10" x14ac:dyDescent="0.25">
      <c r="A841" s="11" t="s">
        <v>1672</v>
      </c>
      <c r="B841" s="11" t="s">
        <v>5404</v>
      </c>
      <c r="C841" s="11" t="s">
        <v>1218</v>
      </c>
      <c r="D841" s="11"/>
      <c r="E841" s="12" t="s">
        <v>5405</v>
      </c>
      <c r="F841" s="13" t="b">
        <v>0</v>
      </c>
      <c r="G841" s="13" t="b">
        <v>0</v>
      </c>
      <c r="H841" s="11"/>
      <c r="I841" s="11" t="str">
        <f t="array" ref="I841">IF(H841="","",VLOOKUP(H841,_xludf.HSTACK(#REF!,#REF!),2,FALSE))</f>
        <v/>
      </c>
      <c r="J841" s="11"/>
    </row>
    <row r="842" spans="1:10" x14ac:dyDescent="0.25">
      <c r="A842" s="11" t="s">
        <v>1672</v>
      </c>
      <c r="B842" s="11" t="s">
        <v>5406</v>
      </c>
      <c r="C842" s="11" t="s">
        <v>605</v>
      </c>
      <c r="D842" s="12" t="s">
        <v>5407</v>
      </c>
      <c r="E842" s="12" t="s">
        <v>5408</v>
      </c>
      <c r="F842" s="13" t="b">
        <v>0</v>
      </c>
      <c r="G842" s="13" t="b">
        <v>0</v>
      </c>
      <c r="H842" s="11"/>
      <c r="I842" s="11" t="str">
        <f t="array" ref="I842">IF(H842="","",VLOOKUP(H842,_xludf.HSTACK(#REF!,#REF!),2,FALSE))</f>
        <v/>
      </c>
      <c r="J842" s="11"/>
    </row>
    <row r="843" spans="1:10" x14ac:dyDescent="0.25">
      <c r="A843" s="11" t="s">
        <v>1672</v>
      </c>
      <c r="B843" s="11" t="s">
        <v>5409</v>
      </c>
      <c r="C843" s="11" t="s">
        <v>195</v>
      </c>
      <c r="D843" s="11"/>
      <c r="E843" s="12" t="s">
        <v>5410</v>
      </c>
      <c r="F843" s="13" t="b">
        <v>0</v>
      </c>
      <c r="G843" s="13" t="b">
        <v>0</v>
      </c>
      <c r="H843" s="11"/>
      <c r="I843" s="11" t="str">
        <f t="array" ref="I843">IF(H843="","",VLOOKUP(H843,_xludf.HSTACK(#REF!,#REF!),2,FALSE))</f>
        <v/>
      </c>
      <c r="J843" s="11"/>
    </row>
    <row r="844" spans="1:10" x14ac:dyDescent="0.25">
      <c r="A844" s="11" t="s">
        <v>1672</v>
      </c>
      <c r="B844" s="11" t="s">
        <v>5411</v>
      </c>
      <c r="C844" s="11" t="s">
        <v>192</v>
      </c>
      <c r="D844" s="12" t="s">
        <v>5412</v>
      </c>
      <c r="E844" s="12" t="s">
        <v>5413</v>
      </c>
      <c r="F844" s="13" t="b">
        <v>0</v>
      </c>
      <c r="G844" s="13" t="b">
        <v>0</v>
      </c>
      <c r="H844" s="11"/>
      <c r="I844" s="11" t="str">
        <f t="array" ref="I844">IF(H844="","",VLOOKUP(H844,_xludf.HSTACK(#REF!,#REF!),2,FALSE))</f>
        <v/>
      </c>
      <c r="J844" s="11"/>
    </row>
    <row r="845" spans="1:10" x14ac:dyDescent="0.25">
      <c r="A845" s="11" t="s">
        <v>1672</v>
      </c>
      <c r="B845" s="11" t="s">
        <v>5414</v>
      </c>
      <c r="C845" s="11"/>
      <c r="D845" s="11"/>
      <c r="E845" s="11"/>
      <c r="F845" s="13" t="b">
        <v>0</v>
      </c>
      <c r="G845" s="13" t="b">
        <v>1</v>
      </c>
      <c r="H845" s="11"/>
      <c r="I845" s="11" t="str">
        <f t="array" ref="I845">IF(H845="","",VLOOKUP(H845,_xludf.HSTACK(#REF!,#REF!),2,FALSE))</f>
        <v/>
      </c>
      <c r="J845" s="11"/>
    </row>
    <row r="846" spans="1:10" x14ac:dyDescent="0.25">
      <c r="A846" s="11" t="s">
        <v>1672</v>
      </c>
      <c r="B846" s="11" t="s">
        <v>5415</v>
      </c>
      <c r="C846" s="11" t="s">
        <v>201</v>
      </c>
      <c r="D846" s="12" t="s">
        <v>5416</v>
      </c>
      <c r="E846" s="12" t="s">
        <v>5417</v>
      </c>
      <c r="F846" s="13" t="b">
        <v>0</v>
      </c>
      <c r="G846" s="13" t="b">
        <v>0</v>
      </c>
      <c r="H846" s="11"/>
      <c r="I846" s="11" t="str">
        <f t="array" ref="I846">IF(H846="","",VLOOKUP(H846,_xludf.HSTACK(#REF!,#REF!),2,FALSE))</f>
        <v/>
      </c>
      <c r="J846" s="11"/>
    </row>
    <row r="847" spans="1:10" x14ac:dyDescent="0.25">
      <c r="A847" s="11" t="s">
        <v>1672</v>
      </c>
      <c r="B847" s="11" t="s">
        <v>5418</v>
      </c>
      <c r="C847" s="11" t="s">
        <v>208</v>
      </c>
      <c r="D847" s="12" t="s">
        <v>5419</v>
      </c>
      <c r="E847" s="12" t="s">
        <v>5420</v>
      </c>
      <c r="F847" s="13" t="b">
        <v>0</v>
      </c>
      <c r="G847" s="13" t="b">
        <v>0</v>
      </c>
      <c r="H847" s="11"/>
      <c r="I847" s="11" t="str">
        <f t="array" ref="I847">IF(H847="","",VLOOKUP(H847,_xludf.HSTACK(#REF!,#REF!),2,FALSE))</f>
        <v/>
      </c>
      <c r="J847" s="11"/>
    </row>
    <row r="848" spans="1:10" x14ac:dyDescent="0.25">
      <c r="A848" s="11" t="s">
        <v>1672</v>
      </c>
      <c r="B848" s="11" t="s">
        <v>5421</v>
      </c>
      <c r="C848" s="11" t="s">
        <v>208</v>
      </c>
      <c r="D848" s="12" t="s">
        <v>5422</v>
      </c>
      <c r="E848" s="12" t="s">
        <v>5423</v>
      </c>
      <c r="F848" s="13" t="b">
        <v>0</v>
      </c>
      <c r="G848" s="13" t="b">
        <v>0</v>
      </c>
      <c r="H848" s="11"/>
      <c r="I848" s="11" t="str">
        <f t="array" ref="I848">IF(H848="","",VLOOKUP(H848,_xludf.HSTACK(#REF!,#REF!),2,FALSE))</f>
        <v/>
      </c>
      <c r="J848" s="11"/>
    </row>
    <row r="849" spans="1:10" x14ac:dyDescent="0.25">
      <c r="A849" s="11" t="s">
        <v>1672</v>
      </c>
      <c r="B849" s="11" t="s">
        <v>5424</v>
      </c>
      <c r="C849" s="11" t="s">
        <v>219</v>
      </c>
      <c r="D849" s="12" t="s">
        <v>5425</v>
      </c>
      <c r="E849" s="12" t="s">
        <v>5426</v>
      </c>
      <c r="F849" s="13" t="b">
        <v>0</v>
      </c>
      <c r="G849" s="13" t="b">
        <v>0</v>
      </c>
      <c r="H849" s="11"/>
      <c r="I849" s="11" t="str">
        <f t="array" ref="I849">IF(H849="","",VLOOKUP(H849,_xludf.HSTACK(#REF!,#REF!),2,FALSE))</f>
        <v/>
      </c>
      <c r="J849" s="11"/>
    </row>
    <row r="850" spans="1:10" x14ac:dyDescent="0.25">
      <c r="A850" s="11" t="s">
        <v>1672</v>
      </c>
      <c r="B850" s="11" t="s">
        <v>5427</v>
      </c>
      <c r="C850" s="11" t="s">
        <v>27</v>
      </c>
      <c r="D850" s="12" t="s">
        <v>5428</v>
      </c>
      <c r="E850" s="12" t="s">
        <v>5429</v>
      </c>
      <c r="F850" s="13" t="b">
        <v>0</v>
      </c>
      <c r="G850" s="13" t="b">
        <v>0</v>
      </c>
      <c r="H850" s="11"/>
      <c r="I850" s="11" t="str">
        <f t="array" ref="I850">IF(H850="","",VLOOKUP(H850,_xludf.HSTACK(#REF!,#REF!),2,FALSE))</f>
        <v/>
      </c>
      <c r="J850" s="11"/>
    </row>
    <row r="851" spans="1:10" x14ac:dyDescent="0.25">
      <c r="A851" s="11" t="s">
        <v>1672</v>
      </c>
      <c r="B851" s="11" t="s">
        <v>5430</v>
      </c>
      <c r="C851" s="11" t="s">
        <v>208</v>
      </c>
      <c r="D851" s="12" t="s">
        <v>5431</v>
      </c>
      <c r="E851" s="12" t="s">
        <v>5432</v>
      </c>
      <c r="F851" s="13" t="b">
        <v>0</v>
      </c>
      <c r="G851" s="13" t="b">
        <v>0</v>
      </c>
      <c r="H851" s="11"/>
      <c r="I851" s="11" t="str">
        <f t="array" ref="I851">IF(H851="","",VLOOKUP(H851,_xludf.HSTACK(#REF!,#REF!),2,FALSE))</f>
        <v/>
      </c>
      <c r="J851" s="11"/>
    </row>
    <row r="852" spans="1:10" x14ac:dyDescent="0.25">
      <c r="A852" s="11" t="s">
        <v>1672</v>
      </c>
      <c r="B852" s="11" t="s">
        <v>5433</v>
      </c>
      <c r="C852" s="11" t="s">
        <v>27</v>
      </c>
      <c r="D852" s="12" t="s">
        <v>5434</v>
      </c>
      <c r="E852" s="12" t="s">
        <v>5435</v>
      </c>
      <c r="F852" s="13" t="b">
        <v>0</v>
      </c>
      <c r="G852" s="13" t="b">
        <v>0</v>
      </c>
      <c r="H852" s="11"/>
      <c r="I852" s="11" t="str">
        <f t="array" ref="I852">IF(H852="","",VLOOKUP(H852,_xludf.HSTACK(#REF!,#REF!),2,FALSE))</f>
        <v/>
      </c>
      <c r="J852" s="11"/>
    </row>
    <row r="853" spans="1:10" x14ac:dyDescent="0.25">
      <c r="A853" s="11" t="s">
        <v>1672</v>
      </c>
      <c r="B853" s="11" t="s">
        <v>5436</v>
      </c>
      <c r="C853" s="11" t="s">
        <v>201</v>
      </c>
      <c r="D853" s="12" t="s">
        <v>5416</v>
      </c>
      <c r="E853" s="12" t="s">
        <v>5437</v>
      </c>
      <c r="F853" s="13" t="b">
        <v>0</v>
      </c>
      <c r="G853" s="13" t="b">
        <v>0</v>
      </c>
      <c r="H853" s="11"/>
      <c r="I853" s="11" t="str">
        <f t="array" ref="I853">IF(H853="","",VLOOKUP(H853,_xludf.HSTACK(#REF!,#REF!),2,FALSE))</f>
        <v/>
      </c>
      <c r="J853" s="11"/>
    </row>
    <row r="854" spans="1:10" x14ac:dyDescent="0.25">
      <c r="A854" s="11" t="s">
        <v>1672</v>
      </c>
      <c r="B854" s="11" t="s">
        <v>5438</v>
      </c>
      <c r="C854" s="11" t="s">
        <v>208</v>
      </c>
      <c r="D854" s="12" t="s">
        <v>5439</v>
      </c>
      <c r="E854" s="12" t="s">
        <v>5440</v>
      </c>
      <c r="F854" s="13" t="b">
        <v>0</v>
      </c>
      <c r="G854" s="13" t="b">
        <v>0</v>
      </c>
      <c r="H854" s="11"/>
      <c r="I854" s="11" t="str">
        <f t="array" ref="I854">IF(H854="","",VLOOKUP(H854,_xludf.HSTACK(#REF!,#REF!),2,FALSE))</f>
        <v/>
      </c>
      <c r="J854" s="11"/>
    </row>
    <row r="855" spans="1:10" x14ac:dyDescent="0.25">
      <c r="A855" s="11" t="s">
        <v>1672</v>
      </c>
      <c r="B855" s="11" t="s">
        <v>5441</v>
      </c>
      <c r="C855" s="11" t="s">
        <v>208</v>
      </c>
      <c r="D855" s="12" t="s">
        <v>5442</v>
      </c>
      <c r="E855" s="12" t="s">
        <v>5443</v>
      </c>
      <c r="F855" s="13" t="b">
        <v>0</v>
      </c>
      <c r="G855" s="13" t="b">
        <v>0</v>
      </c>
      <c r="H855" s="11"/>
      <c r="I855" s="11" t="str">
        <f t="array" ref="I855">IF(H855="","",VLOOKUP(H855,_xludf.HSTACK(#REF!,#REF!),2,FALSE))</f>
        <v/>
      </c>
      <c r="J855" s="11"/>
    </row>
    <row r="856" spans="1:10" x14ac:dyDescent="0.25">
      <c r="A856" s="11" t="s">
        <v>1672</v>
      </c>
      <c r="B856" s="11" t="s">
        <v>5444</v>
      </c>
      <c r="C856" s="11" t="s">
        <v>219</v>
      </c>
      <c r="D856" s="12" t="s">
        <v>5445</v>
      </c>
      <c r="E856" s="12" t="s">
        <v>5446</v>
      </c>
      <c r="F856" s="13" t="b">
        <v>0</v>
      </c>
      <c r="G856" s="13" t="b">
        <v>0</v>
      </c>
      <c r="H856" s="11"/>
      <c r="I856" s="11" t="str">
        <f t="array" ref="I856">IF(H856="","",VLOOKUP(H856,_xludf.HSTACK(#REF!,#REF!),2,FALSE))</f>
        <v/>
      </c>
      <c r="J856" s="11"/>
    </row>
    <row r="857" spans="1:10" x14ac:dyDescent="0.25">
      <c r="A857" s="11" t="s">
        <v>1672</v>
      </c>
      <c r="B857" s="11" t="s">
        <v>5447</v>
      </c>
      <c r="C857" s="11" t="s">
        <v>27</v>
      </c>
      <c r="D857" s="12" t="s">
        <v>5448</v>
      </c>
      <c r="E857" s="12" t="s">
        <v>5449</v>
      </c>
      <c r="F857" s="13" t="b">
        <v>0</v>
      </c>
      <c r="G857" s="13" t="b">
        <v>0</v>
      </c>
      <c r="H857" s="11"/>
      <c r="I857" s="11" t="str">
        <f t="array" ref="I857">IF(H857="","",VLOOKUP(H857,_xludf.HSTACK(#REF!,#REF!),2,FALSE))</f>
        <v/>
      </c>
      <c r="J857" s="11"/>
    </row>
    <row r="858" spans="1:10" x14ac:dyDescent="0.25">
      <c r="A858" s="11" t="s">
        <v>1672</v>
      </c>
      <c r="B858" s="11" t="s">
        <v>5450</v>
      </c>
      <c r="C858" s="11" t="s">
        <v>201</v>
      </c>
      <c r="D858" s="12" t="s">
        <v>5416</v>
      </c>
      <c r="E858" s="12" t="s">
        <v>5451</v>
      </c>
      <c r="F858" s="13" t="b">
        <v>0</v>
      </c>
      <c r="G858" s="13" t="b">
        <v>0</v>
      </c>
      <c r="H858" s="11"/>
      <c r="I858" s="11" t="str">
        <f t="array" ref="I858">IF(H858="","",VLOOKUP(H858,_xludf.HSTACK(#REF!,#REF!),2,FALSE))</f>
        <v/>
      </c>
      <c r="J858" s="11"/>
    </row>
    <row r="859" spans="1:10" x14ac:dyDescent="0.25">
      <c r="A859" s="11" t="s">
        <v>1672</v>
      </c>
      <c r="B859" s="11" t="s">
        <v>5452</v>
      </c>
      <c r="C859" s="11" t="s">
        <v>208</v>
      </c>
      <c r="D859" s="12" t="s">
        <v>5453</v>
      </c>
      <c r="E859" s="12" t="s">
        <v>5454</v>
      </c>
      <c r="F859" s="13" t="b">
        <v>0</v>
      </c>
      <c r="G859" s="13" t="b">
        <v>0</v>
      </c>
      <c r="H859" s="11"/>
      <c r="I859" s="11" t="str">
        <f t="array" ref="I859">IF(H859="","",VLOOKUP(H859,_xludf.HSTACK(#REF!,#REF!),2,FALSE))</f>
        <v/>
      </c>
      <c r="J859" s="11"/>
    </row>
    <row r="860" spans="1:10" x14ac:dyDescent="0.25">
      <c r="A860" s="11" t="s">
        <v>1672</v>
      </c>
      <c r="B860" s="11" t="s">
        <v>5455</v>
      </c>
      <c r="C860" s="11" t="s">
        <v>208</v>
      </c>
      <c r="D860" s="12" t="s">
        <v>5456</v>
      </c>
      <c r="E860" s="12" t="s">
        <v>5457</v>
      </c>
      <c r="F860" s="13" t="b">
        <v>0</v>
      </c>
      <c r="G860" s="13" t="b">
        <v>0</v>
      </c>
      <c r="H860" s="11"/>
      <c r="I860" s="11" t="str">
        <f t="array" ref="I860">IF(H860="","",VLOOKUP(H860,_xludf.HSTACK(#REF!,#REF!),2,FALSE))</f>
        <v/>
      </c>
      <c r="J860" s="11"/>
    </row>
    <row r="861" spans="1:10" x14ac:dyDescent="0.25">
      <c r="A861" s="11" t="s">
        <v>1672</v>
      </c>
      <c r="B861" s="11" t="s">
        <v>5458</v>
      </c>
      <c r="C861" s="11" t="s">
        <v>219</v>
      </c>
      <c r="D861" s="12" t="s">
        <v>5459</v>
      </c>
      <c r="E861" s="12" t="s">
        <v>5460</v>
      </c>
      <c r="F861" s="13" t="b">
        <v>0</v>
      </c>
      <c r="G861" s="13" t="b">
        <v>0</v>
      </c>
      <c r="H861" s="11"/>
      <c r="I861" s="11" t="str">
        <f t="array" ref="I861">IF(H861="","",VLOOKUP(H861,_xludf.HSTACK(#REF!,#REF!),2,FALSE))</f>
        <v/>
      </c>
      <c r="J861" s="11"/>
    </row>
    <row r="862" spans="1:10" x14ac:dyDescent="0.25">
      <c r="A862" s="11" t="s">
        <v>1672</v>
      </c>
      <c r="B862" s="11" t="s">
        <v>5461</v>
      </c>
      <c r="C862" s="11" t="s">
        <v>192</v>
      </c>
      <c r="D862" s="12" t="s">
        <v>5462</v>
      </c>
      <c r="E862" s="12" t="s">
        <v>5463</v>
      </c>
      <c r="F862" s="13" t="b">
        <v>0</v>
      </c>
      <c r="G862" s="13" t="b">
        <v>0</v>
      </c>
      <c r="H862" s="11"/>
      <c r="I862" s="11" t="str">
        <f t="array" ref="I862">IF(H862="","",VLOOKUP(H862,_xludf.HSTACK(#REF!,#REF!),2,FALSE))</f>
        <v/>
      </c>
      <c r="J862" s="11"/>
    </row>
    <row r="863" spans="1:10" x14ac:dyDescent="0.25">
      <c r="A863" s="11" t="s">
        <v>1672</v>
      </c>
      <c r="B863" s="11" t="s">
        <v>5464</v>
      </c>
      <c r="C863" s="11" t="s">
        <v>192</v>
      </c>
      <c r="D863" s="12" t="s">
        <v>5465</v>
      </c>
      <c r="E863" s="12" t="s">
        <v>5466</v>
      </c>
      <c r="F863" s="13" t="b">
        <v>0</v>
      </c>
      <c r="G863" s="13" t="b">
        <v>0</v>
      </c>
      <c r="H863" s="11"/>
      <c r="I863" s="11" t="str">
        <f t="array" ref="I863">IF(H863="","",VLOOKUP(H863,_xludf.HSTACK(#REF!,#REF!),2,FALSE))</f>
        <v/>
      </c>
      <c r="J863" s="11"/>
    </row>
    <row r="864" spans="1:10" x14ac:dyDescent="0.25">
      <c r="A864" s="11" t="s">
        <v>1672</v>
      </c>
      <c r="B864" s="11" t="s">
        <v>5467</v>
      </c>
      <c r="C864" s="11"/>
      <c r="D864" s="11"/>
      <c r="E864" s="11"/>
      <c r="F864" s="13" t="b">
        <v>0</v>
      </c>
      <c r="G864" s="13" t="b">
        <v>1</v>
      </c>
      <c r="H864" s="11"/>
      <c r="I864" s="11" t="str">
        <f t="array" ref="I864">IF(H864="","",VLOOKUP(H864,_xludf.HSTACK(#REF!,#REF!),2,FALSE))</f>
        <v/>
      </c>
      <c r="J864" s="11"/>
    </row>
    <row r="865" spans="1:10" x14ac:dyDescent="0.25">
      <c r="A865" s="11" t="s">
        <v>1672</v>
      </c>
      <c r="B865" s="11" t="s">
        <v>5468</v>
      </c>
      <c r="C865" s="11" t="s">
        <v>201</v>
      </c>
      <c r="D865" s="12" t="s">
        <v>5416</v>
      </c>
      <c r="E865" s="12" t="s">
        <v>5469</v>
      </c>
      <c r="F865" s="13" t="b">
        <v>0</v>
      </c>
      <c r="G865" s="13" t="b">
        <v>0</v>
      </c>
      <c r="H865" s="11"/>
      <c r="I865" s="11" t="str">
        <f t="array" ref="I865">IF(H865="","",VLOOKUP(H865,_xludf.HSTACK(#REF!,#REF!),2,FALSE))</f>
        <v/>
      </c>
      <c r="J865" s="11"/>
    </row>
    <row r="866" spans="1:10" x14ac:dyDescent="0.25">
      <c r="A866" s="11" t="s">
        <v>1672</v>
      </c>
      <c r="B866" s="11" t="s">
        <v>5470</v>
      </c>
      <c r="C866" s="11" t="s">
        <v>208</v>
      </c>
      <c r="D866" s="12" t="s">
        <v>5471</v>
      </c>
      <c r="E866" s="12" t="s">
        <v>5472</v>
      </c>
      <c r="F866" s="13" t="b">
        <v>0</v>
      </c>
      <c r="G866" s="13" t="b">
        <v>0</v>
      </c>
      <c r="H866" s="11"/>
      <c r="I866" s="11" t="str">
        <f t="array" ref="I866">IF(H866="","",VLOOKUP(H866,_xludf.HSTACK(#REF!,#REF!),2,FALSE))</f>
        <v/>
      </c>
      <c r="J866" s="11"/>
    </row>
    <row r="867" spans="1:10" x14ac:dyDescent="0.25">
      <c r="A867" s="11" t="s">
        <v>1672</v>
      </c>
      <c r="B867" s="11" t="s">
        <v>5473</v>
      </c>
      <c r="C867" s="11"/>
      <c r="D867" s="11"/>
      <c r="E867" s="11"/>
      <c r="F867" s="13" t="b">
        <v>0</v>
      </c>
      <c r="G867" s="13" t="b">
        <v>1</v>
      </c>
      <c r="H867" s="11"/>
      <c r="I867" s="11" t="str">
        <f t="array" ref="I867">IF(H867="","",VLOOKUP(H867,_xludf.HSTACK(#REF!,#REF!),2,FALSE))</f>
        <v/>
      </c>
      <c r="J867" s="11"/>
    </row>
    <row r="868" spans="1:10" x14ac:dyDescent="0.25">
      <c r="A868" s="11" t="s">
        <v>1672</v>
      </c>
      <c r="B868" s="11" t="s">
        <v>5474</v>
      </c>
      <c r="C868" s="11" t="s">
        <v>208</v>
      </c>
      <c r="D868" s="12" t="s">
        <v>5475</v>
      </c>
      <c r="E868" s="12" t="s">
        <v>5476</v>
      </c>
      <c r="F868" s="13" t="b">
        <v>0</v>
      </c>
      <c r="G868" s="13" t="b">
        <v>0</v>
      </c>
      <c r="H868" s="11"/>
      <c r="I868" s="11" t="str">
        <f t="array" ref="I868">IF(H868="","",VLOOKUP(H868,_xludf.HSTACK(#REF!,#REF!),2,FALSE))</f>
        <v/>
      </c>
      <c r="J868" s="11"/>
    </row>
    <row r="869" spans="1:10" x14ac:dyDescent="0.25">
      <c r="A869" s="11" t="s">
        <v>1672</v>
      </c>
      <c r="B869" s="11" t="s">
        <v>5477</v>
      </c>
      <c r="C869" s="11" t="s">
        <v>208</v>
      </c>
      <c r="D869" s="12" t="s">
        <v>5478</v>
      </c>
      <c r="E869" s="12" t="s">
        <v>5479</v>
      </c>
      <c r="F869" s="13" t="b">
        <v>0</v>
      </c>
      <c r="G869" s="13" t="b">
        <v>0</v>
      </c>
      <c r="H869" s="11"/>
      <c r="I869" s="11" t="str">
        <f t="array" ref="I869">IF(H869="","",VLOOKUP(H869,_xludf.HSTACK(#REF!,#REF!),2,FALSE))</f>
        <v/>
      </c>
      <c r="J869" s="11"/>
    </row>
    <row r="870" spans="1:10" x14ac:dyDescent="0.25">
      <c r="A870" s="11" t="s">
        <v>1672</v>
      </c>
      <c r="B870" s="11" t="s">
        <v>5480</v>
      </c>
      <c r="C870" s="11" t="s">
        <v>219</v>
      </c>
      <c r="D870" s="12" t="s">
        <v>5481</v>
      </c>
      <c r="E870" s="12" t="s">
        <v>5482</v>
      </c>
      <c r="F870" s="13" t="b">
        <v>0</v>
      </c>
      <c r="G870" s="13" t="b">
        <v>0</v>
      </c>
      <c r="H870" s="11"/>
      <c r="I870" s="11" t="str">
        <f t="array" ref="I870">IF(H870="","",VLOOKUP(H870,_xludf.HSTACK(#REF!,#REF!),2,FALSE))</f>
        <v/>
      </c>
      <c r="J870" s="11"/>
    </row>
    <row r="871" spans="1:10" x14ac:dyDescent="0.25">
      <c r="A871" s="11" t="s">
        <v>1672</v>
      </c>
      <c r="B871" s="11" t="s">
        <v>5483</v>
      </c>
      <c r="C871" s="11" t="s">
        <v>27</v>
      </c>
      <c r="D871" s="12" t="s">
        <v>5484</v>
      </c>
      <c r="E871" s="12" t="s">
        <v>5485</v>
      </c>
      <c r="F871" s="13" t="b">
        <v>0</v>
      </c>
      <c r="G871" s="13" t="b">
        <v>0</v>
      </c>
      <c r="H871" s="11"/>
      <c r="I871" s="11" t="str">
        <f t="array" ref="I871">IF(H871="","",VLOOKUP(H871,_xludf.HSTACK(#REF!,#REF!),2,FALSE))</f>
        <v/>
      </c>
      <c r="J871" s="11"/>
    </row>
    <row r="872" spans="1:10" x14ac:dyDescent="0.25">
      <c r="A872" s="11" t="s">
        <v>1672</v>
      </c>
      <c r="B872" s="11" t="s">
        <v>5486</v>
      </c>
      <c r="C872" s="11" t="s">
        <v>208</v>
      </c>
      <c r="D872" s="12" t="s">
        <v>5487</v>
      </c>
      <c r="E872" s="12" t="s">
        <v>5488</v>
      </c>
      <c r="F872" s="13" t="b">
        <v>0</v>
      </c>
      <c r="G872" s="13" t="b">
        <v>0</v>
      </c>
      <c r="H872" s="11"/>
      <c r="I872" s="11" t="str">
        <f t="array" ref="I872">IF(H872="","",VLOOKUP(H872,_xludf.HSTACK(#REF!,#REF!),2,FALSE))</f>
        <v/>
      </c>
      <c r="J872" s="11"/>
    </row>
    <row r="873" spans="1:10" x14ac:dyDescent="0.25">
      <c r="A873" s="11" t="s">
        <v>1672</v>
      </c>
      <c r="B873" s="11" t="s">
        <v>5489</v>
      </c>
      <c r="C873" s="11" t="s">
        <v>27</v>
      </c>
      <c r="D873" s="12" t="s">
        <v>5490</v>
      </c>
      <c r="E873" s="12" t="s">
        <v>5491</v>
      </c>
      <c r="F873" s="13" t="b">
        <v>0</v>
      </c>
      <c r="G873" s="13" t="b">
        <v>0</v>
      </c>
      <c r="H873" s="11"/>
      <c r="I873" s="11" t="str">
        <f t="array" ref="I873">IF(H873="","",VLOOKUP(H873,_xludf.HSTACK(#REF!,#REF!),2,FALSE))</f>
        <v/>
      </c>
      <c r="J873" s="11"/>
    </row>
    <row r="874" spans="1:10" x14ac:dyDescent="0.25">
      <c r="A874" s="11" t="s">
        <v>1672</v>
      </c>
      <c r="B874" s="11" t="s">
        <v>5492</v>
      </c>
      <c r="C874" s="11" t="s">
        <v>201</v>
      </c>
      <c r="D874" s="12" t="s">
        <v>5416</v>
      </c>
      <c r="E874" s="12" t="s">
        <v>5493</v>
      </c>
      <c r="F874" s="13" t="b">
        <v>0</v>
      </c>
      <c r="G874" s="13" t="b">
        <v>0</v>
      </c>
      <c r="H874" s="11"/>
      <c r="I874" s="11" t="str">
        <f t="array" ref="I874">IF(H874="","",VLOOKUP(H874,_xludf.HSTACK(#REF!,#REF!),2,FALSE))</f>
        <v/>
      </c>
      <c r="J874" s="11"/>
    </row>
    <row r="875" spans="1:10" x14ac:dyDescent="0.25">
      <c r="A875" s="11" t="s">
        <v>1672</v>
      </c>
      <c r="B875" s="11" t="s">
        <v>5494</v>
      </c>
      <c r="C875" s="11" t="s">
        <v>208</v>
      </c>
      <c r="D875" s="12" t="s">
        <v>5495</v>
      </c>
      <c r="E875" s="12" t="s">
        <v>5496</v>
      </c>
      <c r="F875" s="13" t="b">
        <v>0</v>
      </c>
      <c r="G875" s="13" t="b">
        <v>0</v>
      </c>
      <c r="H875" s="11"/>
      <c r="I875" s="11" t="str">
        <f t="array" ref="I875">IF(H875="","",VLOOKUP(H875,_xludf.HSTACK(#REF!,#REF!),2,FALSE))</f>
        <v/>
      </c>
      <c r="J875" s="11"/>
    </row>
    <row r="876" spans="1:10" x14ac:dyDescent="0.25">
      <c r="A876" s="11" t="s">
        <v>1672</v>
      </c>
      <c r="B876" s="11" t="s">
        <v>5497</v>
      </c>
      <c r="C876" s="11" t="s">
        <v>208</v>
      </c>
      <c r="D876" s="12" t="s">
        <v>5498</v>
      </c>
      <c r="E876" s="12" t="s">
        <v>5499</v>
      </c>
      <c r="F876" s="13" t="b">
        <v>0</v>
      </c>
      <c r="G876" s="13" t="b">
        <v>0</v>
      </c>
      <c r="H876" s="11"/>
      <c r="I876" s="11" t="str">
        <f t="array" ref="I876">IF(H876="","",VLOOKUP(H876,_xludf.HSTACK(#REF!,#REF!),2,FALSE))</f>
        <v/>
      </c>
      <c r="J876" s="11"/>
    </row>
    <row r="877" spans="1:10" x14ac:dyDescent="0.25">
      <c r="A877" s="11" t="s">
        <v>1672</v>
      </c>
      <c r="B877" s="11" t="s">
        <v>5500</v>
      </c>
      <c r="C877" s="11" t="s">
        <v>219</v>
      </c>
      <c r="D877" s="12" t="s">
        <v>5501</v>
      </c>
      <c r="E877" s="12" t="s">
        <v>5502</v>
      </c>
      <c r="F877" s="13" t="b">
        <v>0</v>
      </c>
      <c r="G877" s="13" t="b">
        <v>0</v>
      </c>
      <c r="H877" s="11"/>
      <c r="I877" s="11" t="str">
        <f t="array" ref="I877">IF(H877="","",VLOOKUP(H877,_xludf.HSTACK(#REF!,#REF!),2,FALSE))</f>
        <v/>
      </c>
      <c r="J877" s="11"/>
    </row>
    <row r="878" spans="1:10" x14ac:dyDescent="0.25">
      <c r="A878" s="11" t="s">
        <v>1672</v>
      </c>
      <c r="B878" s="11" t="s">
        <v>5503</v>
      </c>
      <c r="C878" s="11" t="s">
        <v>192</v>
      </c>
      <c r="D878" s="12" t="s">
        <v>5504</v>
      </c>
      <c r="E878" s="12" t="s">
        <v>5505</v>
      </c>
      <c r="F878" s="13" t="b">
        <v>0</v>
      </c>
      <c r="G878" s="13" t="b">
        <v>0</v>
      </c>
      <c r="H878" s="11"/>
      <c r="I878" s="11" t="str">
        <f t="array" ref="I878">IF(H878="","",VLOOKUP(H878,_xludf.HSTACK(#REF!,#REF!),2,FALSE))</f>
        <v/>
      </c>
      <c r="J878" s="11"/>
    </row>
    <row r="879" spans="1:10" x14ac:dyDescent="0.25">
      <c r="A879" s="11" t="s">
        <v>1672</v>
      </c>
      <c r="B879" s="11" t="s">
        <v>5506</v>
      </c>
      <c r="C879" s="11" t="s">
        <v>192</v>
      </c>
      <c r="D879" s="12" t="s">
        <v>5507</v>
      </c>
      <c r="E879" s="12" t="s">
        <v>5508</v>
      </c>
      <c r="F879" s="13" t="b">
        <v>0</v>
      </c>
      <c r="G879" s="13" t="b">
        <v>0</v>
      </c>
      <c r="H879" s="11"/>
      <c r="I879" s="11" t="str">
        <f t="array" ref="I879">IF(H879="","",VLOOKUP(H879,_xludf.HSTACK(#REF!,#REF!),2,FALSE))</f>
        <v/>
      </c>
      <c r="J879" s="11"/>
    </row>
    <row r="880" spans="1:10" x14ac:dyDescent="0.25">
      <c r="A880" s="11" t="s">
        <v>1672</v>
      </c>
      <c r="B880" s="11" t="s">
        <v>5509</v>
      </c>
      <c r="C880" s="11"/>
      <c r="D880" s="11"/>
      <c r="E880" s="11"/>
      <c r="F880" s="13" t="b">
        <v>0</v>
      </c>
      <c r="G880" s="13" t="b">
        <v>1</v>
      </c>
      <c r="H880" s="11"/>
      <c r="I880" s="11" t="str">
        <f t="array" ref="I880">IF(H880="","",VLOOKUP(H880,_xludf.HSTACK(#REF!,#REF!),2,FALSE))</f>
        <v/>
      </c>
      <c r="J880" s="11"/>
    </row>
    <row r="881" spans="1:10" x14ac:dyDescent="0.25">
      <c r="A881" s="11" t="s">
        <v>1672</v>
      </c>
      <c r="B881" s="11" t="s">
        <v>5510</v>
      </c>
      <c r="C881" s="11" t="s">
        <v>201</v>
      </c>
      <c r="D881" s="12" t="s">
        <v>5416</v>
      </c>
      <c r="E881" s="12" t="s">
        <v>5511</v>
      </c>
      <c r="F881" s="13" t="b">
        <v>0</v>
      </c>
      <c r="G881" s="13" t="b">
        <v>0</v>
      </c>
      <c r="H881" s="11"/>
      <c r="I881" s="11" t="str">
        <f t="array" ref="I881">IF(H881="","",VLOOKUP(H881,_xludf.HSTACK(#REF!,#REF!),2,FALSE))</f>
        <v/>
      </c>
      <c r="J881" s="11"/>
    </row>
    <row r="882" spans="1:10" x14ac:dyDescent="0.25">
      <c r="A882" s="11" t="s">
        <v>1672</v>
      </c>
      <c r="B882" s="11" t="s">
        <v>5512</v>
      </c>
      <c r="C882" s="11" t="s">
        <v>208</v>
      </c>
      <c r="D882" s="12" t="s">
        <v>5513</v>
      </c>
      <c r="E882" s="12" t="s">
        <v>5514</v>
      </c>
      <c r="F882" s="13" t="b">
        <v>0</v>
      </c>
      <c r="G882" s="13" t="b">
        <v>0</v>
      </c>
      <c r="H882" s="11"/>
      <c r="I882" s="11" t="str">
        <f t="array" ref="I882">IF(H882="","",VLOOKUP(H882,_xludf.HSTACK(#REF!,#REF!),2,FALSE))</f>
        <v/>
      </c>
      <c r="J882" s="11"/>
    </row>
    <row r="883" spans="1:10" x14ac:dyDescent="0.25">
      <c r="A883" s="11" t="s">
        <v>1672</v>
      </c>
      <c r="B883" s="11" t="s">
        <v>5515</v>
      </c>
      <c r="C883" s="11"/>
      <c r="D883" s="11"/>
      <c r="E883" s="11"/>
      <c r="F883" s="13" t="b">
        <v>0</v>
      </c>
      <c r="G883" s="13" t="b">
        <v>1</v>
      </c>
      <c r="H883" s="11"/>
      <c r="I883" s="11" t="str">
        <f t="array" ref="I883">IF(H883="","",VLOOKUP(H883,_xludf.HSTACK(#REF!,#REF!),2,FALSE))</f>
        <v/>
      </c>
      <c r="J883" s="11"/>
    </row>
    <row r="884" spans="1:10" x14ac:dyDescent="0.25">
      <c r="A884" s="11" t="s">
        <v>1672</v>
      </c>
      <c r="B884" s="11" t="s">
        <v>5516</v>
      </c>
      <c r="C884" s="11" t="s">
        <v>208</v>
      </c>
      <c r="D884" s="12" t="s">
        <v>5517</v>
      </c>
      <c r="E884" s="12" t="s">
        <v>5518</v>
      </c>
      <c r="F884" s="13" t="b">
        <v>0</v>
      </c>
      <c r="G884" s="13" t="b">
        <v>0</v>
      </c>
      <c r="H884" s="11"/>
      <c r="I884" s="11" t="str">
        <f t="array" ref="I884">IF(H884="","",VLOOKUP(H884,_xludf.HSTACK(#REF!,#REF!),2,FALSE))</f>
        <v/>
      </c>
      <c r="J884" s="11"/>
    </row>
    <row r="885" spans="1:10" x14ac:dyDescent="0.25">
      <c r="A885" s="11" t="s">
        <v>1672</v>
      </c>
      <c r="B885" s="11" t="s">
        <v>5519</v>
      </c>
      <c r="C885" s="11" t="s">
        <v>208</v>
      </c>
      <c r="D885" s="12" t="s">
        <v>5520</v>
      </c>
      <c r="E885" s="12" t="s">
        <v>5521</v>
      </c>
      <c r="F885" s="13" t="b">
        <v>0</v>
      </c>
      <c r="G885" s="13" t="b">
        <v>0</v>
      </c>
      <c r="H885" s="11"/>
      <c r="I885" s="11" t="str">
        <f t="array" ref="I885">IF(H885="","",VLOOKUP(H885,_xludf.HSTACK(#REF!,#REF!),2,FALSE))</f>
        <v/>
      </c>
      <c r="J885" s="11"/>
    </row>
    <row r="886" spans="1:10" x14ac:dyDescent="0.25">
      <c r="A886" s="11" t="s">
        <v>1672</v>
      </c>
      <c r="B886" s="11" t="s">
        <v>5522</v>
      </c>
      <c r="C886" s="11" t="s">
        <v>219</v>
      </c>
      <c r="D886" s="12" t="s">
        <v>5523</v>
      </c>
      <c r="E886" s="12" t="s">
        <v>5524</v>
      </c>
      <c r="F886" s="13" t="b">
        <v>0</v>
      </c>
      <c r="G886" s="13" t="b">
        <v>0</v>
      </c>
      <c r="H886" s="11"/>
      <c r="I886" s="11" t="str">
        <f t="array" ref="I886">IF(H886="","",VLOOKUP(H886,_xludf.HSTACK(#REF!,#REF!),2,FALSE))</f>
        <v/>
      </c>
      <c r="J886" s="11"/>
    </row>
    <row r="887" spans="1:10" x14ac:dyDescent="0.25">
      <c r="A887" s="11" t="s">
        <v>1672</v>
      </c>
      <c r="B887" s="11" t="s">
        <v>5525</v>
      </c>
      <c r="C887" s="11" t="s">
        <v>27</v>
      </c>
      <c r="D887" s="12" t="s">
        <v>5526</v>
      </c>
      <c r="E887" s="12" t="s">
        <v>5527</v>
      </c>
      <c r="F887" s="13" t="b">
        <v>0</v>
      </c>
      <c r="G887" s="13" t="b">
        <v>0</v>
      </c>
      <c r="H887" s="11"/>
      <c r="I887" s="11" t="str">
        <f t="array" ref="I887">IF(H887="","",VLOOKUP(H887,_xludf.HSTACK(#REF!,#REF!),2,FALSE))</f>
        <v/>
      </c>
      <c r="J887" s="11"/>
    </row>
    <row r="888" spans="1:10" x14ac:dyDescent="0.25">
      <c r="A888" s="11" t="s">
        <v>1672</v>
      </c>
      <c r="B888" s="11" t="s">
        <v>5528</v>
      </c>
      <c r="C888" s="11" t="s">
        <v>208</v>
      </c>
      <c r="D888" s="12" t="s">
        <v>5529</v>
      </c>
      <c r="E888" s="12" t="s">
        <v>5530</v>
      </c>
      <c r="F888" s="13" t="b">
        <v>0</v>
      </c>
      <c r="G888" s="13" t="b">
        <v>0</v>
      </c>
      <c r="H888" s="11"/>
      <c r="I888" s="11" t="str">
        <f t="array" ref="I888">IF(H888="","",VLOOKUP(H888,_xludf.HSTACK(#REF!,#REF!),2,FALSE))</f>
        <v/>
      </c>
      <c r="J888" s="11"/>
    </row>
    <row r="889" spans="1:10" x14ac:dyDescent="0.25">
      <c r="A889" s="11" t="s">
        <v>1672</v>
      </c>
      <c r="B889" s="11" t="s">
        <v>5531</v>
      </c>
      <c r="C889" s="11" t="s">
        <v>27</v>
      </c>
      <c r="D889" s="12" t="s">
        <v>5532</v>
      </c>
      <c r="E889" s="12" t="s">
        <v>5533</v>
      </c>
      <c r="F889" s="13" t="b">
        <v>0</v>
      </c>
      <c r="G889" s="13" t="b">
        <v>0</v>
      </c>
      <c r="H889" s="11"/>
      <c r="I889" s="11" t="str">
        <f t="array" ref="I889">IF(H889="","",VLOOKUP(H889,_xludf.HSTACK(#REF!,#REF!),2,FALSE))</f>
        <v/>
      </c>
      <c r="J889" s="11"/>
    </row>
    <row r="890" spans="1:10" x14ac:dyDescent="0.25">
      <c r="A890" s="11" t="s">
        <v>1672</v>
      </c>
      <c r="B890" s="11" t="s">
        <v>5534</v>
      </c>
      <c r="C890" s="11" t="s">
        <v>201</v>
      </c>
      <c r="D890" s="12" t="s">
        <v>5416</v>
      </c>
      <c r="E890" s="12" t="s">
        <v>5535</v>
      </c>
      <c r="F890" s="13" t="b">
        <v>0</v>
      </c>
      <c r="G890" s="13" t="b">
        <v>0</v>
      </c>
      <c r="H890" s="11"/>
      <c r="I890" s="11" t="str">
        <f t="array" ref="I890">IF(H890="","",VLOOKUP(H890,_xludf.HSTACK(#REF!,#REF!),2,FALSE))</f>
        <v/>
      </c>
      <c r="J890" s="11"/>
    </row>
    <row r="891" spans="1:10" x14ac:dyDescent="0.25">
      <c r="A891" s="11" t="s">
        <v>1672</v>
      </c>
      <c r="B891" s="11" t="s">
        <v>5536</v>
      </c>
      <c r="C891" s="11" t="s">
        <v>208</v>
      </c>
      <c r="D891" s="12" t="s">
        <v>5537</v>
      </c>
      <c r="E891" s="12" t="s">
        <v>5538</v>
      </c>
      <c r="F891" s="13" t="b">
        <v>0</v>
      </c>
      <c r="G891" s="13" t="b">
        <v>0</v>
      </c>
      <c r="H891" s="11"/>
      <c r="I891" s="11" t="str">
        <f t="array" ref="I891">IF(H891="","",VLOOKUP(H891,_xludf.HSTACK(#REF!,#REF!),2,FALSE))</f>
        <v/>
      </c>
      <c r="J891" s="11"/>
    </row>
    <row r="892" spans="1:10" x14ac:dyDescent="0.25">
      <c r="A892" s="11" t="s">
        <v>1672</v>
      </c>
      <c r="B892" s="11" t="s">
        <v>5539</v>
      </c>
      <c r="C892" s="11" t="s">
        <v>208</v>
      </c>
      <c r="D892" s="12" t="s">
        <v>5540</v>
      </c>
      <c r="E892" s="12" t="s">
        <v>5541</v>
      </c>
      <c r="F892" s="13" t="b">
        <v>0</v>
      </c>
      <c r="G892" s="13" t="b">
        <v>0</v>
      </c>
      <c r="H892" s="11"/>
      <c r="I892" s="11" t="str">
        <f t="array" ref="I892">IF(H892="","",VLOOKUP(H892,_xludf.HSTACK(#REF!,#REF!),2,FALSE))</f>
        <v/>
      </c>
      <c r="J892" s="11"/>
    </row>
    <row r="893" spans="1:10" x14ac:dyDescent="0.25">
      <c r="A893" s="11" t="s">
        <v>1672</v>
      </c>
      <c r="B893" s="11" t="s">
        <v>5542</v>
      </c>
      <c r="C893" s="11" t="s">
        <v>219</v>
      </c>
      <c r="D893" s="12" t="s">
        <v>5543</v>
      </c>
      <c r="E893" s="12" t="s">
        <v>5544</v>
      </c>
      <c r="F893" s="13" t="b">
        <v>0</v>
      </c>
      <c r="G893" s="13" t="b">
        <v>0</v>
      </c>
      <c r="H893" s="11"/>
      <c r="I893" s="11" t="str">
        <f t="array" ref="I893">IF(H893="","",VLOOKUP(H893,_xludf.HSTACK(#REF!,#REF!),2,FALSE))</f>
        <v/>
      </c>
      <c r="J893" s="11"/>
    </row>
    <row r="894" spans="1:10" x14ac:dyDescent="0.25">
      <c r="A894" s="11" t="s">
        <v>1672</v>
      </c>
      <c r="B894" s="11" t="s">
        <v>5545</v>
      </c>
      <c r="C894" s="11" t="s">
        <v>27</v>
      </c>
      <c r="D894" s="12" t="s">
        <v>5546</v>
      </c>
      <c r="E894" s="12" t="s">
        <v>5547</v>
      </c>
      <c r="F894" s="13" t="b">
        <v>0</v>
      </c>
      <c r="G894" s="13" t="b">
        <v>0</v>
      </c>
      <c r="H894" s="11" t="s">
        <v>26</v>
      </c>
      <c r="I894" s="11" t="e">
        <f t="array" aca="1" ref="I894" ca="1">IF(H894="","",VLOOKUP(H894,_xludf.HSTACK(#REF!,#REF!),2,FALSE))</f>
        <v>#NAME?</v>
      </c>
      <c r="J894" s="11"/>
    </row>
    <row r="895" spans="1:10" x14ac:dyDescent="0.25">
      <c r="A895" s="11" t="s">
        <v>1672</v>
      </c>
      <c r="B895" s="11" t="s">
        <v>5548</v>
      </c>
      <c r="C895" s="11" t="s">
        <v>208</v>
      </c>
      <c r="D895" s="12" t="s">
        <v>5549</v>
      </c>
      <c r="E895" s="12" t="s">
        <v>5550</v>
      </c>
      <c r="F895" s="13" t="b">
        <v>1</v>
      </c>
      <c r="G895" s="13" t="b">
        <v>0</v>
      </c>
      <c r="H895" s="11" t="s">
        <v>50</v>
      </c>
      <c r="I895" s="11" t="e">
        <f t="array" aca="1" ref="I895" ca="1">IF(H895="","",VLOOKUP(H895,_xludf.HSTACK(#REF!,#REF!),2,FALSE))</f>
        <v>#NAME?</v>
      </c>
      <c r="J895" s="11"/>
    </row>
    <row r="896" spans="1:10" x14ac:dyDescent="0.25">
      <c r="A896" s="11" t="s">
        <v>1672</v>
      </c>
      <c r="B896" s="11" t="s">
        <v>5551</v>
      </c>
      <c r="C896" s="11" t="s">
        <v>27</v>
      </c>
      <c r="D896" s="12" t="s">
        <v>5552</v>
      </c>
      <c r="E896" s="12" t="s">
        <v>5553</v>
      </c>
      <c r="F896" s="13" t="b">
        <v>0</v>
      </c>
      <c r="G896" s="13" t="b">
        <v>0</v>
      </c>
      <c r="H896" s="11" t="s">
        <v>26</v>
      </c>
      <c r="I896" s="11" t="e">
        <f t="array" aca="1" ref="I896" ca="1">IF(H896="","",VLOOKUP(H896,_xludf.HSTACK(#REF!,#REF!),2,FALSE))</f>
        <v>#NAME?</v>
      </c>
      <c r="J896" s="11"/>
    </row>
    <row r="897" spans="1:10" x14ac:dyDescent="0.25">
      <c r="A897" s="11" t="s">
        <v>1672</v>
      </c>
      <c r="B897" s="11" t="s">
        <v>5554</v>
      </c>
      <c r="C897" s="11" t="s">
        <v>201</v>
      </c>
      <c r="D897" s="12" t="s">
        <v>5416</v>
      </c>
      <c r="E897" s="12" t="s">
        <v>5555</v>
      </c>
      <c r="F897" s="13" t="b">
        <v>0</v>
      </c>
      <c r="G897" s="13" t="b">
        <v>0</v>
      </c>
      <c r="H897" s="11" t="s">
        <v>50</v>
      </c>
      <c r="I897" s="11" t="e">
        <f t="array" aca="1" ref="I897" ca="1">IF(H897="","",VLOOKUP(H897,_xludf.HSTACK(#REF!,#REF!),2,FALSE))</f>
        <v>#NAME?</v>
      </c>
      <c r="J897" s="11" t="s">
        <v>5556</v>
      </c>
    </row>
    <row r="898" spans="1:10" x14ac:dyDescent="0.25">
      <c r="A898" s="11" t="s">
        <v>1672</v>
      </c>
      <c r="B898" s="11" t="s">
        <v>5557</v>
      </c>
      <c r="C898" s="11" t="s">
        <v>208</v>
      </c>
      <c r="D898" s="12" t="s">
        <v>5558</v>
      </c>
      <c r="E898" s="12" t="s">
        <v>5559</v>
      </c>
      <c r="F898" s="13" t="b">
        <v>1</v>
      </c>
      <c r="G898" s="13" t="b">
        <v>0</v>
      </c>
      <c r="H898" s="11" t="s">
        <v>50</v>
      </c>
      <c r="I898" s="11" t="e">
        <f t="array" aca="1" ref="I898" ca="1">IF(H898="","",VLOOKUP(H898,_xludf.HSTACK(#REF!,#REF!),2,FALSE))</f>
        <v>#NAME?</v>
      </c>
      <c r="J898" s="11"/>
    </row>
    <row r="899" spans="1:10" x14ac:dyDescent="0.25">
      <c r="A899" s="11" t="s">
        <v>1672</v>
      </c>
      <c r="B899" s="11" t="s">
        <v>5560</v>
      </c>
      <c r="C899" s="11" t="s">
        <v>208</v>
      </c>
      <c r="D899" s="12" t="s">
        <v>5561</v>
      </c>
      <c r="E899" s="12" t="s">
        <v>5562</v>
      </c>
      <c r="F899" s="13" t="b">
        <v>1</v>
      </c>
      <c r="G899" s="13" t="b">
        <v>0</v>
      </c>
      <c r="H899" s="11"/>
      <c r="I899" s="11" t="str">
        <f t="array" ref="I899">IF(H899="","",VLOOKUP(H899,_xludf.HSTACK(#REF!,#REF!),2,FALSE))</f>
        <v/>
      </c>
      <c r="J899" s="11"/>
    </row>
    <row r="900" spans="1:10" x14ac:dyDescent="0.25">
      <c r="A900" s="11" t="s">
        <v>1672</v>
      </c>
      <c r="B900" s="11" t="s">
        <v>5563</v>
      </c>
      <c r="C900" s="11" t="s">
        <v>219</v>
      </c>
      <c r="D900" s="12" t="s">
        <v>5564</v>
      </c>
      <c r="E900" s="12" t="s">
        <v>5565</v>
      </c>
      <c r="F900" s="13" t="b">
        <v>0</v>
      </c>
      <c r="G900" s="13" t="b">
        <v>0</v>
      </c>
      <c r="H900" s="11" t="s">
        <v>65</v>
      </c>
      <c r="I900" s="11" t="e">
        <f t="array" aca="1" ref="I900" ca="1">IF(H900="","",VLOOKUP(H900,_xludf.HSTACK(#REF!,#REF!),2,FALSE))</f>
        <v>#NAME?</v>
      </c>
      <c r="J900" s="11"/>
    </row>
    <row r="901" spans="1:10" x14ac:dyDescent="0.25">
      <c r="A901" s="11" t="s">
        <v>1672</v>
      </c>
      <c r="B901" s="11" t="s">
        <v>5566</v>
      </c>
      <c r="C901" s="11" t="s">
        <v>208</v>
      </c>
      <c r="D901" s="12" t="s">
        <v>5369</v>
      </c>
      <c r="E901" s="12" t="s">
        <v>5567</v>
      </c>
      <c r="F901" s="13" t="b">
        <v>0</v>
      </c>
      <c r="G901" s="13" t="b">
        <v>0</v>
      </c>
      <c r="H901" s="11"/>
      <c r="I901" s="11" t="str">
        <f t="array" ref="I901">IF(H901="","",VLOOKUP(H901,_xludf.HSTACK(#REF!,#REF!),2,FALSE))</f>
        <v/>
      </c>
      <c r="J901" s="11"/>
    </row>
    <row r="902" spans="1:10" x14ac:dyDescent="0.25">
      <c r="A902" s="11" t="s">
        <v>1672</v>
      </c>
      <c r="B902" s="11" t="s">
        <v>5568</v>
      </c>
      <c r="C902" s="11" t="s">
        <v>192</v>
      </c>
      <c r="D902" s="12" t="s">
        <v>5569</v>
      </c>
      <c r="E902" s="12" t="s">
        <v>5570</v>
      </c>
      <c r="F902" s="13" t="b">
        <v>0</v>
      </c>
      <c r="G902" s="13" t="b">
        <v>0</v>
      </c>
      <c r="H902" s="11"/>
      <c r="I902" s="11" t="str">
        <f t="array" ref="I902">IF(H902="","",VLOOKUP(H902,_xludf.HSTACK(#REF!,#REF!),2,FALSE))</f>
        <v/>
      </c>
      <c r="J902" s="11"/>
    </row>
    <row r="903" spans="1:10" x14ac:dyDescent="0.25">
      <c r="A903" s="11" t="s">
        <v>1672</v>
      </c>
      <c r="B903" s="11" t="s">
        <v>5571</v>
      </c>
      <c r="C903" s="11" t="s">
        <v>192</v>
      </c>
      <c r="D903" s="12" t="s">
        <v>5572</v>
      </c>
      <c r="E903" s="12" t="s">
        <v>5573</v>
      </c>
      <c r="F903" s="13" t="b">
        <v>0</v>
      </c>
      <c r="G903" s="13" t="b">
        <v>0</v>
      </c>
      <c r="H903" s="11"/>
      <c r="I903" s="11" t="str">
        <f t="array" ref="I903">IF(H903="","",VLOOKUP(H903,_xludf.HSTACK(#REF!,#REF!),2,FALSE))</f>
        <v/>
      </c>
      <c r="J903" s="11"/>
    </row>
    <row r="904" spans="1:10" x14ac:dyDescent="0.25">
      <c r="A904" s="11" t="s">
        <v>1672</v>
      </c>
      <c r="B904" s="11" t="s">
        <v>5574</v>
      </c>
      <c r="C904" s="11"/>
      <c r="D904" s="11"/>
      <c r="E904" s="11"/>
      <c r="F904" s="13" t="b">
        <v>0</v>
      </c>
      <c r="G904" s="13" t="b">
        <v>1</v>
      </c>
      <c r="H904" s="11"/>
      <c r="I904" s="11" t="str">
        <f t="array" ref="I904">IF(H904="","",VLOOKUP(H904,_xludf.HSTACK(#REF!,#REF!),2,FALSE))</f>
        <v/>
      </c>
      <c r="J904" s="11"/>
    </row>
    <row r="905" spans="1:10" x14ac:dyDescent="0.25">
      <c r="A905" s="11" t="s">
        <v>1672</v>
      </c>
      <c r="B905" s="11" t="s">
        <v>5575</v>
      </c>
      <c r="C905" s="11" t="s">
        <v>201</v>
      </c>
      <c r="D905" s="12" t="s">
        <v>5416</v>
      </c>
      <c r="E905" s="12" t="s">
        <v>5576</v>
      </c>
      <c r="F905" s="13" t="b">
        <v>0</v>
      </c>
      <c r="G905" s="13" t="b">
        <v>0</v>
      </c>
      <c r="H905" s="11"/>
      <c r="I905" s="11" t="str">
        <f t="array" ref="I905">IF(H905="","",VLOOKUP(H905,_xludf.HSTACK(#REF!,#REF!),2,FALSE))</f>
        <v/>
      </c>
      <c r="J905" s="11"/>
    </row>
    <row r="906" spans="1:10" x14ac:dyDescent="0.25">
      <c r="A906" s="11" t="s">
        <v>1672</v>
      </c>
      <c r="B906" s="11" t="s">
        <v>5577</v>
      </c>
      <c r="C906" s="11" t="s">
        <v>208</v>
      </c>
      <c r="D906" s="12" t="s">
        <v>5578</v>
      </c>
      <c r="E906" s="12" t="s">
        <v>5579</v>
      </c>
      <c r="F906" s="13" t="b">
        <v>0</v>
      </c>
      <c r="G906" s="13" t="b">
        <v>0</v>
      </c>
      <c r="H906" s="11"/>
      <c r="I906" s="11" t="str">
        <f t="array" ref="I906">IF(H906="","",VLOOKUP(H906,_xludf.HSTACK(#REF!,#REF!),2,FALSE))</f>
        <v/>
      </c>
      <c r="J906" s="11"/>
    </row>
    <row r="907" spans="1:10" x14ac:dyDescent="0.25">
      <c r="A907" s="11" t="s">
        <v>1672</v>
      </c>
      <c r="B907" s="11" t="s">
        <v>5580</v>
      </c>
      <c r="C907" s="11"/>
      <c r="D907" s="11"/>
      <c r="E907" s="11"/>
      <c r="F907" s="13" t="b">
        <v>0</v>
      </c>
      <c r="G907" s="13" t="b">
        <v>1</v>
      </c>
      <c r="H907" s="11"/>
      <c r="I907" s="11" t="str">
        <f t="array" ref="I907">IF(H907="","",VLOOKUP(H907,_xludf.HSTACK(#REF!,#REF!),2,FALSE))</f>
        <v/>
      </c>
      <c r="J907" s="11"/>
    </row>
    <row r="908" spans="1:10" x14ac:dyDescent="0.25">
      <c r="A908" s="11" t="s">
        <v>1672</v>
      </c>
      <c r="B908" s="11" t="s">
        <v>5581</v>
      </c>
      <c r="C908" s="11" t="s">
        <v>208</v>
      </c>
      <c r="D908" s="12" t="s">
        <v>5582</v>
      </c>
      <c r="E908" s="12" t="s">
        <v>5583</v>
      </c>
      <c r="F908" s="13" t="b">
        <v>0</v>
      </c>
      <c r="G908" s="13" t="b">
        <v>0</v>
      </c>
      <c r="H908" s="11"/>
      <c r="I908" s="11" t="str">
        <f t="array" ref="I908">IF(H908="","",VLOOKUP(H908,_xludf.HSTACK(#REF!,#REF!),2,FALSE))</f>
        <v/>
      </c>
      <c r="J908" s="11"/>
    </row>
    <row r="909" spans="1:10" x14ac:dyDescent="0.25">
      <c r="A909" s="11" t="s">
        <v>1672</v>
      </c>
      <c r="B909" s="11" t="s">
        <v>5584</v>
      </c>
      <c r="C909" s="11" t="s">
        <v>208</v>
      </c>
      <c r="D909" s="12" t="s">
        <v>5585</v>
      </c>
      <c r="E909" s="12" t="s">
        <v>5586</v>
      </c>
      <c r="F909" s="13" t="b">
        <v>0</v>
      </c>
      <c r="G909" s="13" t="b">
        <v>0</v>
      </c>
      <c r="H909" s="11"/>
      <c r="I909" s="11" t="str">
        <f t="array" ref="I909">IF(H909="","",VLOOKUP(H909,_xludf.HSTACK(#REF!,#REF!),2,FALSE))</f>
        <v/>
      </c>
      <c r="J909" s="11"/>
    </row>
    <row r="910" spans="1:10" x14ac:dyDescent="0.25">
      <c r="A910" s="11" t="s">
        <v>1672</v>
      </c>
      <c r="B910" s="11" t="s">
        <v>5587</v>
      </c>
      <c r="C910" s="11" t="s">
        <v>219</v>
      </c>
      <c r="D910" s="12" t="s">
        <v>5588</v>
      </c>
      <c r="E910" s="12" t="s">
        <v>5589</v>
      </c>
      <c r="F910" s="13" t="b">
        <v>0</v>
      </c>
      <c r="G910" s="13" t="b">
        <v>0</v>
      </c>
      <c r="H910" s="11"/>
      <c r="I910" s="11" t="str">
        <f t="array" ref="I910">IF(H910="","",VLOOKUP(H910,_xludf.HSTACK(#REF!,#REF!),2,FALSE))</f>
        <v/>
      </c>
      <c r="J910" s="11"/>
    </row>
    <row r="911" spans="1:10" x14ac:dyDescent="0.25">
      <c r="A911" s="11" t="s">
        <v>1672</v>
      </c>
      <c r="B911" s="11" t="s">
        <v>5590</v>
      </c>
      <c r="C911" s="11" t="s">
        <v>27</v>
      </c>
      <c r="D911" s="12" t="s">
        <v>5591</v>
      </c>
      <c r="E911" s="12" t="s">
        <v>5592</v>
      </c>
      <c r="F911" s="13" t="b">
        <v>0</v>
      </c>
      <c r="G911" s="13" t="b">
        <v>0</v>
      </c>
      <c r="H911" s="11"/>
      <c r="I911" s="11" t="str">
        <f t="array" ref="I911">IF(H911="","",VLOOKUP(H911,_xludf.HSTACK(#REF!,#REF!),2,FALSE))</f>
        <v/>
      </c>
      <c r="J911" s="11"/>
    </row>
    <row r="912" spans="1:10" x14ac:dyDescent="0.25">
      <c r="A912" s="11" t="s">
        <v>1672</v>
      </c>
      <c r="B912" s="11" t="s">
        <v>5593</v>
      </c>
      <c r="C912" s="11" t="s">
        <v>201</v>
      </c>
      <c r="D912" s="12" t="s">
        <v>5416</v>
      </c>
      <c r="E912" s="12" t="s">
        <v>5594</v>
      </c>
      <c r="F912" s="13" t="b">
        <v>0</v>
      </c>
      <c r="G912" s="13" t="b">
        <v>0</v>
      </c>
      <c r="H912" s="11"/>
      <c r="I912" s="11" t="str">
        <f t="array" ref="I912">IF(H912="","",VLOOKUP(H912,_xludf.HSTACK(#REF!,#REF!),2,FALSE))</f>
        <v/>
      </c>
      <c r="J912" s="11"/>
    </row>
    <row r="913" spans="1:10" x14ac:dyDescent="0.25">
      <c r="A913" s="11" t="s">
        <v>1672</v>
      </c>
      <c r="B913" s="11" t="s">
        <v>5595</v>
      </c>
      <c r="C913" s="11" t="s">
        <v>208</v>
      </c>
      <c r="D913" s="12" t="s">
        <v>5596</v>
      </c>
      <c r="E913" s="12" t="s">
        <v>5597</v>
      </c>
      <c r="F913" s="13" t="b">
        <v>0</v>
      </c>
      <c r="G913" s="13" t="b">
        <v>0</v>
      </c>
      <c r="H913" s="11"/>
      <c r="I913" s="11" t="str">
        <f t="array" ref="I913">IF(H913="","",VLOOKUP(H913,_xludf.HSTACK(#REF!,#REF!),2,FALSE))</f>
        <v/>
      </c>
      <c r="J913" s="11"/>
    </row>
    <row r="914" spans="1:10" x14ac:dyDescent="0.25">
      <c r="A914" s="11" t="s">
        <v>1672</v>
      </c>
      <c r="B914" s="11" t="s">
        <v>5598</v>
      </c>
      <c r="C914" s="11" t="s">
        <v>208</v>
      </c>
      <c r="D914" s="12" t="s">
        <v>5599</v>
      </c>
      <c r="E914" s="12" t="s">
        <v>5600</v>
      </c>
      <c r="F914" s="13" t="b">
        <v>0</v>
      </c>
      <c r="G914" s="13" t="b">
        <v>0</v>
      </c>
      <c r="H914" s="11"/>
      <c r="I914" s="11" t="str">
        <f t="array" ref="I914">IF(H914="","",VLOOKUP(H914,_xludf.HSTACK(#REF!,#REF!),2,FALSE))</f>
        <v/>
      </c>
      <c r="J914" s="11"/>
    </row>
    <row r="915" spans="1:10" x14ac:dyDescent="0.25">
      <c r="A915" s="11" t="s">
        <v>1672</v>
      </c>
      <c r="B915" s="11" t="s">
        <v>5601</v>
      </c>
      <c r="C915" s="11" t="s">
        <v>219</v>
      </c>
      <c r="D915" s="12" t="s">
        <v>5602</v>
      </c>
      <c r="E915" s="12" t="s">
        <v>5603</v>
      </c>
      <c r="F915" s="13" t="b">
        <v>0</v>
      </c>
      <c r="G915" s="13" t="b">
        <v>0</v>
      </c>
      <c r="H915" s="11"/>
      <c r="I915" s="11" t="str">
        <f t="array" ref="I915">IF(H915="","",VLOOKUP(H915,_xludf.HSTACK(#REF!,#REF!),2,FALSE))</f>
        <v/>
      </c>
      <c r="J915" s="11"/>
    </row>
    <row r="916" spans="1:10" x14ac:dyDescent="0.25">
      <c r="A916" s="11" t="s">
        <v>1672</v>
      </c>
      <c r="B916" s="11" t="s">
        <v>5604</v>
      </c>
      <c r="C916" s="11" t="s">
        <v>27</v>
      </c>
      <c r="D916" s="12" t="s">
        <v>5605</v>
      </c>
      <c r="E916" s="12" t="s">
        <v>5606</v>
      </c>
      <c r="F916" s="13" t="b">
        <v>0</v>
      </c>
      <c r="G916" s="13" t="b">
        <v>0</v>
      </c>
      <c r="H916" s="11" t="s">
        <v>32</v>
      </c>
      <c r="I916" s="11" t="e">
        <f t="array" aca="1" ref="I916" ca="1">IF(H916="","",VLOOKUP(H916,_xludf.HSTACK(#REF!,#REF!),2,FALSE))</f>
        <v>#NAME?</v>
      </c>
      <c r="J916" s="11"/>
    </row>
    <row r="917" spans="1:10" x14ac:dyDescent="0.25">
      <c r="A917" s="11" t="s">
        <v>1672</v>
      </c>
      <c r="B917" s="11" t="s">
        <v>5607</v>
      </c>
      <c r="C917" s="11" t="s">
        <v>208</v>
      </c>
      <c r="D917" s="12" t="s">
        <v>5608</v>
      </c>
      <c r="E917" s="12" t="s">
        <v>5609</v>
      </c>
      <c r="F917" s="13" t="b">
        <v>0</v>
      </c>
      <c r="G917" s="13" t="b">
        <v>0</v>
      </c>
      <c r="H917" s="11" t="s">
        <v>58</v>
      </c>
      <c r="I917" s="11" t="e">
        <f t="array" aca="1" ref="I917" ca="1">IF(H917="","",VLOOKUP(H917,_xludf.HSTACK(#REF!,#REF!),2,FALSE))</f>
        <v>#NAME?</v>
      </c>
      <c r="J917" s="11"/>
    </row>
    <row r="918" spans="1:10" x14ac:dyDescent="0.25">
      <c r="A918" s="11" t="s">
        <v>1672</v>
      </c>
      <c r="B918" s="11" t="s">
        <v>5610</v>
      </c>
      <c r="C918" s="11" t="s">
        <v>27</v>
      </c>
      <c r="D918" s="12" t="s">
        <v>5611</v>
      </c>
      <c r="E918" s="12" t="s">
        <v>5612</v>
      </c>
      <c r="F918" s="13" t="b">
        <v>0</v>
      </c>
      <c r="G918" s="13" t="b">
        <v>0</v>
      </c>
      <c r="H918" s="11" t="s">
        <v>32</v>
      </c>
      <c r="I918" s="11" t="e">
        <f t="array" aca="1" ref="I918" ca="1">IF(H918="","",VLOOKUP(H918,_xludf.HSTACK(#REF!,#REF!),2,FALSE))</f>
        <v>#NAME?</v>
      </c>
      <c r="J918" s="11"/>
    </row>
    <row r="919" spans="1:10" x14ac:dyDescent="0.25">
      <c r="A919" s="11" t="s">
        <v>1672</v>
      </c>
      <c r="B919" s="11" t="s">
        <v>5613</v>
      </c>
      <c r="C919" s="11" t="s">
        <v>201</v>
      </c>
      <c r="D919" s="12" t="s">
        <v>5416</v>
      </c>
      <c r="E919" s="12" t="s">
        <v>5614</v>
      </c>
      <c r="F919" s="13" t="b">
        <v>0</v>
      </c>
      <c r="G919" s="13" t="b">
        <v>0</v>
      </c>
      <c r="H919" s="11" t="s">
        <v>58</v>
      </c>
      <c r="I919" s="11" t="e">
        <f t="array" aca="1" ref="I919" ca="1">IF(H919="","",VLOOKUP(H919,_xludf.HSTACK(#REF!,#REF!),2,FALSE))</f>
        <v>#NAME?</v>
      </c>
      <c r="J919" s="11"/>
    </row>
    <row r="920" spans="1:10" x14ac:dyDescent="0.25">
      <c r="A920" s="11" t="s">
        <v>1672</v>
      </c>
      <c r="B920" s="11" t="s">
        <v>5615</v>
      </c>
      <c r="C920" s="11" t="s">
        <v>208</v>
      </c>
      <c r="D920" s="12" t="s">
        <v>5616</v>
      </c>
      <c r="E920" s="12" t="s">
        <v>5617</v>
      </c>
      <c r="F920" s="13" t="b">
        <v>0</v>
      </c>
      <c r="G920" s="13" t="b">
        <v>0</v>
      </c>
      <c r="H920" s="11" t="s">
        <v>58</v>
      </c>
      <c r="I920" s="11" t="e">
        <f t="array" aca="1" ref="I920" ca="1">IF(H920="","",VLOOKUP(H920,_xludf.HSTACK(#REF!,#REF!),2,FALSE))</f>
        <v>#NAME?</v>
      </c>
      <c r="J920" s="11"/>
    </row>
    <row r="921" spans="1:10" x14ac:dyDescent="0.25">
      <c r="A921" s="11" t="s">
        <v>1672</v>
      </c>
      <c r="B921" s="11" t="s">
        <v>5618</v>
      </c>
      <c r="C921" s="11" t="s">
        <v>208</v>
      </c>
      <c r="D921" s="12" t="s">
        <v>5619</v>
      </c>
      <c r="E921" s="12" t="s">
        <v>5620</v>
      </c>
      <c r="F921" s="13" t="b">
        <v>0</v>
      </c>
      <c r="G921" s="13" t="b">
        <v>0</v>
      </c>
      <c r="H921" s="11"/>
      <c r="I921" s="11" t="str">
        <f t="array" ref="I921">IF(H921="","",VLOOKUP(H921,_xludf.HSTACK(#REF!,#REF!),2,FALSE))</f>
        <v/>
      </c>
      <c r="J921" s="11"/>
    </row>
    <row r="922" spans="1:10" x14ac:dyDescent="0.25">
      <c r="A922" s="11" t="s">
        <v>1672</v>
      </c>
      <c r="B922" s="11" t="s">
        <v>5621</v>
      </c>
      <c r="C922" s="11" t="s">
        <v>219</v>
      </c>
      <c r="D922" s="12" t="s">
        <v>5622</v>
      </c>
      <c r="E922" s="12" t="s">
        <v>5623</v>
      </c>
      <c r="F922" s="13" t="b">
        <v>1</v>
      </c>
      <c r="G922" s="13" t="b">
        <v>0</v>
      </c>
      <c r="H922" s="11" t="s">
        <v>67</v>
      </c>
      <c r="I922" s="11" t="e">
        <f t="array" aca="1" ref="I922" ca="1">IF(H922="","",VLOOKUP(H922,_xludf.HSTACK(#REF!,#REF!),2,FALSE))</f>
        <v>#NAME?</v>
      </c>
      <c r="J922" s="11"/>
    </row>
    <row r="923" spans="1:10" x14ac:dyDescent="0.25">
      <c r="A923" s="11" t="s">
        <v>1672</v>
      </c>
      <c r="B923" s="11" t="s">
        <v>5624</v>
      </c>
      <c r="C923" s="11" t="s">
        <v>192</v>
      </c>
      <c r="D923" s="12" t="s">
        <v>5625</v>
      </c>
      <c r="E923" s="12" t="s">
        <v>5626</v>
      </c>
      <c r="F923" s="13" t="b">
        <v>0</v>
      </c>
      <c r="G923" s="13" t="b">
        <v>0</v>
      </c>
      <c r="H923" s="11"/>
      <c r="I923" s="11" t="str">
        <f t="array" ref="I923">IF(H923="","",VLOOKUP(H923,_xludf.HSTACK(#REF!,#REF!),2,FALSE))</f>
        <v/>
      </c>
      <c r="J923" s="11"/>
    </row>
    <row r="924" spans="1:10" x14ac:dyDescent="0.25">
      <c r="A924" s="11" t="s">
        <v>1672</v>
      </c>
      <c r="B924" s="11" t="s">
        <v>5627</v>
      </c>
      <c r="C924" s="11" t="s">
        <v>192</v>
      </c>
      <c r="D924" s="12" t="s">
        <v>5628</v>
      </c>
      <c r="E924" s="12" t="s">
        <v>5629</v>
      </c>
      <c r="F924" s="13" t="b">
        <v>0</v>
      </c>
      <c r="G924" s="13" t="b">
        <v>0</v>
      </c>
      <c r="H924" s="11"/>
      <c r="I924" s="11" t="str">
        <f t="array" ref="I924">IF(H924="","",VLOOKUP(H924,_xludf.HSTACK(#REF!,#REF!),2,FALSE))</f>
        <v/>
      </c>
      <c r="J924" s="11"/>
    </row>
    <row r="925" spans="1:10" x14ac:dyDescent="0.25">
      <c r="A925" s="11" t="s">
        <v>1672</v>
      </c>
      <c r="B925" s="11" t="s">
        <v>5630</v>
      </c>
      <c r="C925" s="11"/>
      <c r="D925" s="11"/>
      <c r="E925" s="11"/>
      <c r="F925" s="13" t="b">
        <v>0</v>
      </c>
      <c r="G925" s="13" t="b">
        <v>1</v>
      </c>
      <c r="H925" s="11"/>
      <c r="I925" s="11" t="str">
        <f t="array" ref="I925">IF(H925="","",VLOOKUP(H925,_xludf.HSTACK(#REF!,#REF!),2,FALSE))</f>
        <v/>
      </c>
      <c r="J925" s="11"/>
    </row>
    <row r="926" spans="1:10" x14ac:dyDescent="0.25">
      <c r="A926" s="11" t="s">
        <v>1672</v>
      </c>
      <c r="B926" s="11" t="s">
        <v>5631</v>
      </c>
      <c r="C926" s="11" t="s">
        <v>201</v>
      </c>
      <c r="D926" s="12" t="s">
        <v>5416</v>
      </c>
      <c r="E926" s="12" t="s">
        <v>5632</v>
      </c>
      <c r="F926" s="13" t="b">
        <v>0</v>
      </c>
      <c r="G926" s="13" t="b">
        <v>0</v>
      </c>
      <c r="H926" s="11"/>
      <c r="I926" s="11" t="str">
        <f t="array" ref="I926">IF(H926="","",VLOOKUP(H926,_xludf.HSTACK(#REF!,#REF!),2,FALSE))</f>
        <v/>
      </c>
      <c r="J926" s="11"/>
    </row>
    <row r="927" spans="1:10" x14ac:dyDescent="0.25">
      <c r="A927" s="11" t="s">
        <v>1672</v>
      </c>
      <c r="B927" s="11" t="s">
        <v>5633</v>
      </c>
      <c r="C927" s="11" t="s">
        <v>208</v>
      </c>
      <c r="D927" s="12" t="s">
        <v>5634</v>
      </c>
      <c r="E927" s="12" t="s">
        <v>5635</v>
      </c>
      <c r="F927" s="13" t="b">
        <v>0</v>
      </c>
      <c r="G927" s="13" t="b">
        <v>0</v>
      </c>
      <c r="H927" s="11"/>
      <c r="I927" s="11" t="str">
        <f t="array" ref="I927">IF(H927="","",VLOOKUP(H927,_xludf.HSTACK(#REF!,#REF!),2,FALSE))</f>
        <v/>
      </c>
      <c r="J927" s="11"/>
    </row>
    <row r="928" spans="1:10" x14ac:dyDescent="0.25">
      <c r="A928" s="11" t="s">
        <v>1672</v>
      </c>
      <c r="B928" s="11" t="s">
        <v>5636</v>
      </c>
      <c r="C928" s="11"/>
      <c r="D928" s="11"/>
      <c r="E928" s="11"/>
      <c r="F928" s="13" t="b">
        <v>0</v>
      </c>
      <c r="G928" s="13" t="b">
        <v>1</v>
      </c>
      <c r="H928" s="11"/>
      <c r="I928" s="11" t="str">
        <f t="array" ref="I928">IF(H928="","",VLOOKUP(H928,_xludf.HSTACK(#REF!,#REF!),2,FALSE))</f>
        <v/>
      </c>
      <c r="J928" s="11"/>
    </row>
    <row r="929" spans="1:10" x14ac:dyDescent="0.25">
      <c r="A929" s="11" t="s">
        <v>1672</v>
      </c>
      <c r="B929" s="11" t="s">
        <v>5637</v>
      </c>
      <c r="C929" s="11" t="s">
        <v>208</v>
      </c>
      <c r="D929" s="12" t="s">
        <v>5638</v>
      </c>
      <c r="E929" s="12" t="s">
        <v>5639</v>
      </c>
      <c r="F929" s="13" t="b">
        <v>0</v>
      </c>
      <c r="G929" s="13" t="b">
        <v>0</v>
      </c>
      <c r="H929" s="11"/>
      <c r="I929" s="11" t="str">
        <f t="array" ref="I929">IF(H929="","",VLOOKUP(H929,_xludf.HSTACK(#REF!,#REF!),2,FALSE))</f>
        <v/>
      </c>
      <c r="J929" s="11"/>
    </row>
    <row r="930" spans="1:10" x14ac:dyDescent="0.25">
      <c r="A930" s="11" t="s">
        <v>1672</v>
      </c>
      <c r="B930" s="11" t="s">
        <v>5640</v>
      </c>
      <c r="C930" s="11" t="s">
        <v>208</v>
      </c>
      <c r="D930" s="12" t="s">
        <v>5641</v>
      </c>
      <c r="E930" s="12" t="s">
        <v>5642</v>
      </c>
      <c r="F930" s="13" t="b">
        <v>0</v>
      </c>
      <c r="G930" s="13" t="b">
        <v>0</v>
      </c>
      <c r="H930" s="11"/>
      <c r="I930" s="11" t="str">
        <f t="array" ref="I930">IF(H930="","",VLOOKUP(H930,_xludf.HSTACK(#REF!,#REF!),2,FALSE))</f>
        <v/>
      </c>
      <c r="J930" s="11"/>
    </row>
    <row r="931" spans="1:10" x14ac:dyDescent="0.25">
      <c r="A931" s="11" t="s">
        <v>1672</v>
      </c>
      <c r="B931" s="11" t="s">
        <v>5643</v>
      </c>
      <c r="C931" s="11" t="s">
        <v>219</v>
      </c>
      <c r="D931" s="12" t="s">
        <v>5644</v>
      </c>
      <c r="E931" s="12" t="s">
        <v>5645</v>
      </c>
      <c r="F931" s="13" t="b">
        <v>0</v>
      </c>
      <c r="G931" s="13" t="b">
        <v>0</v>
      </c>
      <c r="H931" s="11"/>
      <c r="I931" s="11" t="str">
        <f t="array" ref="I931">IF(H931="","",VLOOKUP(H931,_xludf.HSTACK(#REF!,#REF!),2,FALSE))</f>
        <v/>
      </c>
      <c r="J931" s="11"/>
    </row>
    <row r="932" spans="1:10" x14ac:dyDescent="0.25">
      <c r="A932" s="11" t="s">
        <v>1672</v>
      </c>
      <c r="B932" s="11" t="s">
        <v>5646</v>
      </c>
      <c r="C932" s="11" t="s">
        <v>192</v>
      </c>
      <c r="D932" s="12" t="s">
        <v>5647</v>
      </c>
      <c r="E932" s="12" t="s">
        <v>5648</v>
      </c>
      <c r="F932" s="13" t="b">
        <v>0</v>
      </c>
      <c r="G932" s="13" t="b">
        <v>0</v>
      </c>
      <c r="H932" s="11" t="s">
        <v>30</v>
      </c>
      <c r="I932" s="11" t="e">
        <f t="array" aca="1" ref="I932" ca="1">IF(H932="","",VLOOKUP(H932,_xludf.HSTACK(#REF!,#REF!),2,FALSE))</f>
        <v>#NAME?</v>
      </c>
      <c r="J932" s="11"/>
    </row>
    <row r="933" spans="1:10" x14ac:dyDescent="0.25">
      <c r="A933" s="11" t="s">
        <v>1672</v>
      </c>
      <c r="B933" s="11" t="s">
        <v>5649</v>
      </c>
      <c r="C933" s="11" t="s">
        <v>192</v>
      </c>
      <c r="D933" s="12" t="s">
        <v>5650</v>
      </c>
      <c r="E933" s="12" t="s">
        <v>5651</v>
      </c>
      <c r="F933" s="13" t="b">
        <v>0</v>
      </c>
      <c r="G933" s="13" t="b">
        <v>0</v>
      </c>
      <c r="H933" s="11" t="s">
        <v>30</v>
      </c>
      <c r="I933" s="11" t="e">
        <f t="array" aca="1" ref="I933" ca="1">IF(H933="","",VLOOKUP(H933,_xludf.HSTACK(#REF!,#REF!),2,FALSE))</f>
        <v>#NAME?</v>
      </c>
      <c r="J933" s="11"/>
    </row>
    <row r="934" spans="1:10" x14ac:dyDescent="0.25">
      <c r="A934" s="11" t="s">
        <v>1672</v>
      </c>
      <c r="B934" s="11" t="s">
        <v>5652</v>
      </c>
      <c r="C934" s="11"/>
      <c r="D934" s="11"/>
      <c r="E934" s="11"/>
      <c r="F934" s="13" t="b">
        <v>0</v>
      </c>
      <c r="G934" s="13" t="b">
        <v>1</v>
      </c>
      <c r="H934" s="11" t="s">
        <v>55</v>
      </c>
      <c r="I934" s="11" t="e">
        <f t="array" aca="1" ref="I934" ca="1">IF(H934="","",VLOOKUP(H934,_xludf.HSTACK(#REF!,#REF!),2,FALSE))</f>
        <v>#NAME?</v>
      </c>
      <c r="J934" s="11"/>
    </row>
    <row r="935" spans="1:10" x14ac:dyDescent="0.25">
      <c r="A935" s="11" t="s">
        <v>1672</v>
      </c>
      <c r="B935" s="11" t="s">
        <v>5653</v>
      </c>
      <c r="C935" s="11" t="s">
        <v>201</v>
      </c>
      <c r="D935" s="12" t="s">
        <v>5416</v>
      </c>
      <c r="E935" s="12" t="s">
        <v>5654</v>
      </c>
      <c r="F935" s="13" t="b">
        <v>0</v>
      </c>
      <c r="G935" s="13" t="b">
        <v>0</v>
      </c>
      <c r="H935" s="11" t="s">
        <v>55</v>
      </c>
      <c r="I935" s="11" t="e">
        <f t="array" aca="1" ref="I935" ca="1">IF(H935="","",VLOOKUP(H935,_xludf.HSTACK(#REF!,#REF!),2,FALSE))</f>
        <v>#NAME?</v>
      </c>
      <c r="J935" s="11"/>
    </row>
    <row r="936" spans="1:10" x14ac:dyDescent="0.25">
      <c r="A936" s="11" t="s">
        <v>1672</v>
      </c>
      <c r="B936" s="11" t="s">
        <v>5655</v>
      </c>
      <c r="C936" s="11" t="s">
        <v>208</v>
      </c>
      <c r="D936" s="12" t="s">
        <v>5656</v>
      </c>
      <c r="E936" s="12" t="s">
        <v>5657</v>
      </c>
      <c r="F936" s="13" t="b">
        <v>1</v>
      </c>
      <c r="G936" s="13" t="b">
        <v>0</v>
      </c>
      <c r="H936" s="11" t="s">
        <v>55</v>
      </c>
      <c r="I936" s="11" t="e">
        <f t="array" aca="1" ref="I936" ca="1">IF(H936="","",VLOOKUP(H936,_xludf.HSTACK(#REF!,#REF!),2,FALSE))</f>
        <v>#NAME?</v>
      </c>
      <c r="J936" s="11"/>
    </row>
    <row r="937" spans="1:10" x14ac:dyDescent="0.25">
      <c r="A937" s="11" t="s">
        <v>1672</v>
      </c>
      <c r="B937" s="11" t="s">
        <v>5658</v>
      </c>
      <c r="C937" s="11"/>
      <c r="D937" s="11"/>
      <c r="E937" s="11"/>
      <c r="F937" s="13" t="b">
        <v>0</v>
      </c>
      <c r="G937" s="13" t="b">
        <v>1</v>
      </c>
      <c r="H937" s="11" t="s">
        <v>55</v>
      </c>
      <c r="I937" s="11" t="e">
        <f t="array" aca="1" ref="I937" ca="1">IF(H937="","",VLOOKUP(H937,_xludf.HSTACK(#REF!,#REF!),2,FALSE))</f>
        <v>#NAME?</v>
      </c>
      <c r="J937" s="11"/>
    </row>
    <row r="938" spans="1:10" x14ac:dyDescent="0.25">
      <c r="A938" s="11" t="s">
        <v>1672</v>
      </c>
      <c r="B938" s="11" t="s">
        <v>5659</v>
      </c>
      <c r="C938" s="11" t="s">
        <v>208</v>
      </c>
      <c r="D938" s="12" t="s">
        <v>5660</v>
      </c>
      <c r="E938" s="12" t="s">
        <v>5661</v>
      </c>
      <c r="F938" s="13" t="b">
        <v>1</v>
      </c>
      <c r="G938" s="13" t="b">
        <v>0</v>
      </c>
      <c r="H938" s="11" t="s">
        <v>55</v>
      </c>
      <c r="I938" s="11" t="e">
        <f t="array" aca="1" ref="I938" ca="1">IF(H938="","",VLOOKUP(H938,_xludf.HSTACK(#REF!,#REF!),2,FALSE))</f>
        <v>#NAME?</v>
      </c>
      <c r="J938" s="11"/>
    </row>
    <row r="939" spans="1:10" x14ac:dyDescent="0.25">
      <c r="A939" s="11" t="s">
        <v>1672</v>
      </c>
      <c r="B939" s="11" t="s">
        <v>5662</v>
      </c>
      <c r="C939" s="11" t="s">
        <v>208</v>
      </c>
      <c r="D939" s="12" t="s">
        <v>5663</v>
      </c>
      <c r="E939" s="12" t="s">
        <v>5664</v>
      </c>
      <c r="F939" s="13" t="b">
        <v>1</v>
      </c>
      <c r="G939" s="13" t="b">
        <v>0</v>
      </c>
      <c r="H939" s="11"/>
      <c r="I939" s="11" t="str">
        <f t="array" ref="I939">IF(H939="","",VLOOKUP(H939,_xludf.HSTACK(#REF!,#REF!),2,FALSE))</f>
        <v/>
      </c>
      <c r="J939" s="11"/>
    </row>
    <row r="940" spans="1:10" x14ac:dyDescent="0.25">
      <c r="A940" s="11" t="s">
        <v>1672</v>
      </c>
      <c r="B940" s="11" t="s">
        <v>5665</v>
      </c>
      <c r="C940" s="11"/>
      <c r="D940" s="11"/>
      <c r="E940" s="11"/>
      <c r="F940" s="13" t="b">
        <v>0</v>
      </c>
      <c r="G940" s="13" t="b">
        <v>1</v>
      </c>
      <c r="H940" s="11" t="s">
        <v>70</v>
      </c>
      <c r="I940" s="11" t="e">
        <f t="array" aca="1" ref="I940" ca="1">IF(H940="","",VLOOKUP(H940,_xludf.HSTACK(#REF!,#REF!),2,FALSE))</f>
        <v>#NAME?</v>
      </c>
      <c r="J940" s="11"/>
    </row>
    <row r="941" spans="1:10" x14ac:dyDescent="0.25">
      <c r="A941" s="11" t="s">
        <v>1672</v>
      </c>
      <c r="B941" s="11" t="s">
        <v>5666</v>
      </c>
      <c r="C941" s="11" t="s">
        <v>23</v>
      </c>
      <c r="D941" s="12" t="s">
        <v>5667</v>
      </c>
      <c r="E941" s="12" t="s">
        <v>5668</v>
      </c>
      <c r="F941" s="13" t="b">
        <v>0</v>
      </c>
      <c r="G941" s="13" t="b">
        <v>0</v>
      </c>
      <c r="H941" s="11"/>
      <c r="I941" s="11" t="str">
        <f t="array" ref="I941">IF(H941="","",VLOOKUP(H941,_xludf.HSTACK(#REF!,#REF!),2,FALSE))</f>
        <v/>
      </c>
      <c r="J941" s="11"/>
    </row>
    <row r="942" spans="1:10" x14ac:dyDescent="0.25">
      <c r="A942" s="11" t="s">
        <v>1672</v>
      </c>
      <c r="B942" s="11" t="s">
        <v>5669</v>
      </c>
      <c r="C942" s="11" t="s">
        <v>195</v>
      </c>
      <c r="D942" s="11"/>
      <c r="E942" s="12" t="s">
        <v>5670</v>
      </c>
      <c r="F942" s="13" t="b">
        <v>0</v>
      </c>
      <c r="G942" s="13" t="b">
        <v>0</v>
      </c>
      <c r="H942" s="11"/>
      <c r="I942" s="11" t="str">
        <f t="array" ref="I942">IF(H942="","",VLOOKUP(H942,_xludf.HSTACK(#REF!,#REF!),2,FALSE))</f>
        <v/>
      </c>
      <c r="J942" s="11"/>
    </row>
    <row r="943" spans="1:10" x14ac:dyDescent="0.25">
      <c r="A943" s="11" t="s">
        <v>1672</v>
      </c>
      <c r="B943" s="11" t="s">
        <v>5671</v>
      </c>
      <c r="C943" s="11" t="s">
        <v>25</v>
      </c>
      <c r="D943" s="12" t="s">
        <v>5672</v>
      </c>
      <c r="E943" s="12" t="s">
        <v>5673</v>
      </c>
      <c r="F943" s="13" t="b">
        <v>0</v>
      </c>
      <c r="G943" s="13" t="b">
        <v>0</v>
      </c>
      <c r="H943" s="11"/>
      <c r="I943" s="11" t="str">
        <f t="array" ref="I943">IF(H943="","",VLOOKUP(H943,_xludf.HSTACK(#REF!,#REF!),2,FALSE))</f>
        <v/>
      </c>
      <c r="J943" s="11"/>
    </row>
    <row r="944" spans="1:10" x14ac:dyDescent="0.25">
      <c r="A944" s="11" t="s">
        <v>1672</v>
      </c>
      <c r="B944" s="11" t="s">
        <v>5674</v>
      </c>
      <c r="C944" s="11" t="s">
        <v>195</v>
      </c>
      <c r="D944" s="11"/>
      <c r="E944" s="12" t="s">
        <v>5675</v>
      </c>
      <c r="F944" s="13" t="b">
        <v>0</v>
      </c>
      <c r="G944" s="13" t="b">
        <v>0</v>
      </c>
      <c r="H944" s="11"/>
      <c r="I944" s="11" t="str">
        <f t="array" ref="I944">IF(H944="","",VLOOKUP(H944,_xludf.HSTACK(#REF!,#REF!),2,FALSE))</f>
        <v/>
      </c>
      <c r="J944" s="11"/>
    </row>
    <row r="945" spans="1:10" x14ac:dyDescent="0.25">
      <c r="A945" s="11" t="s">
        <v>1672</v>
      </c>
      <c r="B945" s="11" t="s">
        <v>5676</v>
      </c>
      <c r="C945" s="11" t="s">
        <v>201</v>
      </c>
      <c r="D945" s="12" t="s">
        <v>5336</v>
      </c>
      <c r="E945" s="12" t="s">
        <v>5677</v>
      </c>
      <c r="F945" s="13" t="b">
        <v>0</v>
      </c>
      <c r="G945" s="13" t="b">
        <v>0</v>
      </c>
      <c r="H945" s="11"/>
      <c r="I945" s="11" t="str">
        <f t="array" ref="I945">IF(H945="","",VLOOKUP(H945,_xludf.HSTACK(#REF!,#REF!),2,FALSE))</f>
        <v/>
      </c>
      <c r="J945" s="11"/>
    </row>
    <row r="946" spans="1:10" x14ac:dyDescent="0.25">
      <c r="A946" s="11" t="s">
        <v>1672</v>
      </c>
      <c r="B946" s="11" t="s">
        <v>5678</v>
      </c>
      <c r="C946" s="11" t="s">
        <v>201</v>
      </c>
      <c r="D946" s="12" t="s">
        <v>5339</v>
      </c>
      <c r="E946" s="12" t="s">
        <v>5679</v>
      </c>
      <c r="F946" s="13" t="b">
        <v>0</v>
      </c>
      <c r="G946" s="13" t="b">
        <v>0</v>
      </c>
      <c r="H946" s="11"/>
      <c r="I946" s="11" t="str">
        <f t="array" ref="I946">IF(H946="","",VLOOKUP(H946,_xludf.HSTACK(#REF!,#REF!),2,FALSE))</f>
        <v/>
      </c>
      <c r="J946" s="11"/>
    </row>
    <row r="947" spans="1:10" x14ac:dyDescent="0.25">
      <c r="A947" s="11" t="s">
        <v>1672</v>
      </c>
      <c r="B947" s="11" t="s">
        <v>5680</v>
      </c>
      <c r="C947" s="11" t="s">
        <v>1218</v>
      </c>
      <c r="D947" s="11"/>
      <c r="E947" s="12" t="s">
        <v>5681</v>
      </c>
      <c r="F947" s="13" t="b">
        <v>0</v>
      </c>
      <c r="G947" s="13" t="b">
        <v>0</v>
      </c>
      <c r="H947" s="11"/>
      <c r="I947" s="11" t="str">
        <f t="array" ref="I947">IF(H947="","",VLOOKUP(H947,_xludf.HSTACK(#REF!,#REF!),2,FALSE))</f>
        <v/>
      </c>
      <c r="J947" s="11"/>
    </row>
    <row r="948" spans="1:10" x14ac:dyDescent="0.25">
      <c r="A948" s="11" t="s">
        <v>1672</v>
      </c>
      <c r="B948" s="11" t="s">
        <v>5682</v>
      </c>
      <c r="C948" s="11" t="s">
        <v>1218</v>
      </c>
      <c r="D948" s="11"/>
      <c r="E948" s="12" t="s">
        <v>5683</v>
      </c>
      <c r="F948" s="13" t="b">
        <v>0</v>
      </c>
      <c r="G948" s="13" t="b">
        <v>0</v>
      </c>
      <c r="H948" s="11"/>
      <c r="I948" s="11" t="str">
        <f t="array" ref="I948">IF(H948="","",VLOOKUP(H948,_xludf.HSTACK(#REF!,#REF!),2,FALSE))</f>
        <v/>
      </c>
      <c r="J948" s="11"/>
    </row>
    <row r="949" spans="1:10" x14ac:dyDescent="0.25">
      <c r="A949" s="11" t="s">
        <v>1672</v>
      </c>
      <c r="B949" s="11" t="s">
        <v>5684</v>
      </c>
      <c r="C949" s="11" t="s">
        <v>1218</v>
      </c>
      <c r="D949" s="11"/>
      <c r="E949" s="12" t="s">
        <v>5685</v>
      </c>
      <c r="F949" s="13" t="b">
        <v>0</v>
      </c>
      <c r="G949" s="13" t="b">
        <v>0</v>
      </c>
      <c r="H949" s="11"/>
      <c r="I949" s="11" t="str">
        <f t="array" ref="I949">IF(H949="","",VLOOKUP(H949,_xludf.HSTACK(#REF!,#REF!),2,FALSE))</f>
        <v/>
      </c>
      <c r="J949" s="11"/>
    </row>
    <row r="950" spans="1:10" x14ac:dyDescent="0.25">
      <c r="A950" s="11" t="s">
        <v>1672</v>
      </c>
      <c r="B950" s="11" t="s">
        <v>5686</v>
      </c>
      <c r="C950" s="11" t="s">
        <v>61</v>
      </c>
      <c r="D950" s="12" t="s">
        <v>5687</v>
      </c>
      <c r="E950" s="12" t="s">
        <v>5688</v>
      </c>
      <c r="F950" s="13" t="b">
        <v>0</v>
      </c>
      <c r="G950" s="13" t="b">
        <v>0</v>
      </c>
      <c r="H950" s="11"/>
      <c r="I950" s="11" t="str">
        <f t="array" ref="I950">IF(H950="","",VLOOKUP(H950,_xludf.HSTACK(#REF!,#REF!),2,FALSE))</f>
        <v/>
      </c>
      <c r="J950" s="11"/>
    </row>
    <row r="951" spans="1:10" x14ac:dyDescent="0.25">
      <c r="A951" s="11" t="s">
        <v>1672</v>
      </c>
      <c r="B951" s="11" t="s">
        <v>5689</v>
      </c>
      <c r="C951" s="11" t="s">
        <v>195</v>
      </c>
      <c r="D951" s="11"/>
      <c r="E951" s="12" t="s">
        <v>5690</v>
      </c>
      <c r="F951" s="13" t="b">
        <v>0</v>
      </c>
      <c r="G951" s="13" t="b">
        <v>0</v>
      </c>
      <c r="H951" s="11"/>
      <c r="I951" s="11" t="str">
        <f t="array" ref="I951">IF(H951="","",VLOOKUP(H951,_xludf.HSTACK(#REF!,#REF!),2,FALSE))</f>
        <v/>
      </c>
      <c r="J951" s="11"/>
    </row>
    <row r="952" spans="1:10" x14ac:dyDescent="0.25">
      <c r="A952" s="11" t="s">
        <v>1672</v>
      </c>
      <c r="B952" s="11" t="s">
        <v>5691</v>
      </c>
      <c r="C952" s="11" t="s">
        <v>201</v>
      </c>
      <c r="D952" s="12" t="s">
        <v>5692</v>
      </c>
      <c r="E952" s="12" t="s">
        <v>5693</v>
      </c>
      <c r="F952" s="13" t="b">
        <v>0</v>
      </c>
      <c r="G952" s="13" t="b">
        <v>0</v>
      </c>
      <c r="H952" s="11"/>
      <c r="I952" s="11" t="str">
        <f t="array" ref="I952">IF(H952="","",VLOOKUP(H952,_xludf.HSTACK(#REF!,#REF!),2,FALSE))</f>
        <v/>
      </c>
      <c r="J952" s="11"/>
    </row>
    <row r="953" spans="1:10" x14ac:dyDescent="0.25">
      <c r="A953" s="11" t="s">
        <v>1672</v>
      </c>
      <c r="B953" s="11" t="s">
        <v>5694</v>
      </c>
      <c r="C953" s="11"/>
      <c r="D953" s="11"/>
      <c r="E953" s="11"/>
      <c r="F953" s="13" t="b">
        <v>0</v>
      </c>
      <c r="G953" s="13" t="b">
        <v>1</v>
      </c>
      <c r="H953" s="11"/>
      <c r="I953" s="11" t="str">
        <f t="array" ref="I953">IF(H953="","",VLOOKUP(H953,_xludf.HSTACK(#REF!,#REF!),2,FALSE))</f>
        <v/>
      </c>
      <c r="J953" s="11"/>
    </row>
    <row r="954" spans="1:10" x14ac:dyDescent="0.25">
      <c r="A954" s="11" t="s">
        <v>1672</v>
      </c>
      <c r="B954" s="11" t="s">
        <v>5695</v>
      </c>
      <c r="C954" s="11" t="s">
        <v>1583</v>
      </c>
      <c r="D954" s="12" t="s">
        <v>5696</v>
      </c>
      <c r="E954" s="12" t="s">
        <v>5697</v>
      </c>
      <c r="F954" s="13" t="b">
        <v>0</v>
      </c>
      <c r="G954" s="13" t="b">
        <v>0</v>
      </c>
      <c r="H954" s="11"/>
      <c r="I954" s="11" t="str">
        <f t="array" ref="I954">IF(H954="","",VLOOKUP(H954,_xludf.HSTACK(#REF!,#REF!),2,FALSE))</f>
        <v/>
      </c>
      <c r="J954" s="11"/>
    </row>
    <row r="955" spans="1:10" x14ac:dyDescent="0.25">
      <c r="A955" s="11" t="s">
        <v>1672</v>
      </c>
      <c r="B955" s="11" t="s">
        <v>5698</v>
      </c>
      <c r="C955" s="11" t="s">
        <v>195</v>
      </c>
      <c r="D955" s="11"/>
      <c r="E955" s="12" t="s">
        <v>5699</v>
      </c>
      <c r="F955" s="13" t="b">
        <v>0</v>
      </c>
      <c r="G955" s="13" t="b">
        <v>0</v>
      </c>
      <c r="H955" s="11"/>
      <c r="I955" s="11" t="str">
        <f t="array" ref="I955">IF(H955="","",VLOOKUP(H955,_xludf.HSTACK(#REF!,#REF!),2,FALSE))</f>
        <v/>
      </c>
      <c r="J955" s="11"/>
    </row>
    <row r="956" spans="1:10" x14ac:dyDescent="0.25">
      <c r="A956" s="11" t="s">
        <v>1672</v>
      </c>
      <c r="B956" s="11" t="s">
        <v>5700</v>
      </c>
      <c r="C956" s="11" t="s">
        <v>201</v>
      </c>
      <c r="D956" s="12" t="s">
        <v>5701</v>
      </c>
      <c r="E956" s="12" t="s">
        <v>5702</v>
      </c>
      <c r="F956" s="13" t="b">
        <v>0</v>
      </c>
      <c r="G956" s="13" t="b">
        <v>0</v>
      </c>
      <c r="H956" s="11"/>
      <c r="I956" s="11" t="str">
        <f t="array" ref="I956">IF(H956="","",VLOOKUP(H956,_xludf.HSTACK(#REF!,#REF!),2,FALSE))</f>
        <v/>
      </c>
      <c r="J956" s="11"/>
    </row>
    <row r="957" spans="1:10" x14ac:dyDescent="0.25">
      <c r="A957" s="11" t="s">
        <v>1672</v>
      </c>
      <c r="B957" s="11" t="s">
        <v>5703</v>
      </c>
      <c r="C957" s="11" t="s">
        <v>1942</v>
      </c>
      <c r="D957" s="12" t="s">
        <v>5704</v>
      </c>
      <c r="E957" s="12" t="s">
        <v>5705</v>
      </c>
      <c r="F957" s="13" t="b">
        <v>0</v>
      </c>
      <c r="G957" s="13" t="b">
        <v>0</v>
      </c>
      <c r="H957" s="11"/>
      <c r="I957" s="11" t="str">
        <f t="array" ref="I957">IF(H957="","",VLOOKUP(H957,_xludf.HSTACK(#REF!,#REF!),2,FALSE))</f>
        <v/>
      </c>
      <c r="J957" s="11"/>
    </row>
    <row r="958" spans="1:10" x14ac:dyDescent="0.25">
      <c r="A958" s="11" t="s">
        <v>1672</v>
      </c>
      <c r="B958" s="11" t="s">
        <v>5706</v>
      </c>
      <c r="C958" s="11" t="s">
        <v>605</v>
      </c>
      <c r="D958" s="12" t="s">
        <v>5707</v>
      </c>
      <c r="E958" s="12" t="s">
        <v>5708</v>
      </c>
      <c r="F958" s="13" t="b">
        <v>0</v>
      </c>
      <c r="G958" s="13" t="b">
        <v>0</v>
      </c>
      <c r="H958" s="11"/>
      <c r="I958" s="11" t="str">
        <f t="array" ref="I958">IF(H958="","",VLOOKUP(H958,_xludf.HSTACK(#REF!,#REF!),2,FALSE))</f>
        <v/>
      </c>
      <c r="J958" s="11"/>
    </row>
    <row r="959" spans="1:10" x14ac:dyDescent="0.25">
      <c r="A959" s="11" t="s">
        <v>1672</v>
      </c>
      <c r="B959" s="11" t="s">
        <v>5709</v>
      </c>
      <c r="C959" s="11" t="s">
        <v>195</v>
      </c>
      <c r="D959" s="11"/>
      <c r="E959" s="12" t="s">
        <v>5710</v>
      </c>
      <c r="F959" s="13" t="b">
        <v>0</v>
      </c>
      <c r="G959" s="13" t="b">
        <v>0</v>
      </c>
      <c r="H959" s="11"/>
      <c r="I959" s="11" t="str">
        <f t="array" ref="I959">IF(H959="","",VLOOKUP(H959,_xludf.HSTACK(#REF!,#REF!),2,FALSE))</f>
        <v/>
      </c>
      <c r="J959" s="11"/>
    </row>
    <row r="960" spans="1:10" x14ac:dyDescent="0.25">
      <c r="A960" s="11" t="s">
        <v>1672</v>
      </c>
      <c r="B960" s="11" t="s">
        <v>5711</v>
      </c>
      <c r="C960" s="11" t="s">
        <v>201</v>
      </c>
      <c r="D960" s="12" t="s">
        <v>5701</v>
      </c>
      <c r="E960" s="12" t="s">
        <v>5712</v>
      </c>
      <c r="F960" s="13" t="b">
        <v>0</v>
      </c>
      <c r="G960" s="13" t="b">
        <v>0</v>
      </c>
      <c r="H960" s="11"/>
      <c r="I960" s="11" t="str">
        <f t="array" ref="I960">IF(H960="","",VLOOKUP(H960,_xludf.HSTACK(#REF!,#REF!),2,FALSE))</f>
        <v/>
      </c>
      <c r="J960" s="11"/>
    </row>
    <row r="961" spans="1:10" x14ac:dyDescent="0.25">
      <c r="A961" s="11" t="s">
        <v>1672</v>
      </c>
      <c r="B961" s="11" t="s">
        <v>4621</v>
      </c>
      <c r="C961" s="11" t="s">
        <v>104</v>
      </c>
      <c r="D961" s="12" t="s">
        <v>5713</v>
      </c>
      <c r="E961" s="12" t="s">
        <v>5714</v>
      </c>
      <c r="F961" s="13" t="b">
        <v>0</v>
      </c>
      <c r="G961" s="13" t="b">
        <v>0</v>
      </c>
      <c r="H961" s="11"/>
      <c r="I961" s="11" t="str">
        <f t="array" ref="I961">IF(H961="","",VLOOKUP(H961,_xludf.HSTACK(#REF!,#REF!),2,FALSE))</f>
        <v/>
      </c>
      <c r="J961" s="11"/>
    </row>
    <row r="962" spans="1:10" x14ac:dyDescent="0.25">
      <c r="A962" s="11" t="s">
        <v>1672</v>
      </c>
      <c r="B962" s="11" t="s">
        <v>5715</v>
      </c>
      <c r="C962" s="11" t="s">
        <v>61</v>
      </c>
      <c r="D962" s="12" t="s">
        <v>5716</v>
      </c>
      <c r="E962" s="12" t="s">
        <v>5717</v>
      </c>
      <c r="F962" s="13" t="b">
        <v>0</v>
      </c>
      <c r="G962" s="13" t="b">
        <v>0</v>
      </c>
      <c r="H962" s="11"/>
      <c r="I962" s="11" t="str">
        <f t="array" ref="I962">IF(H962="","",VLOOKUP(H962,_xludf.HSTACK(#REF!,#REF!),2,FALSE))</f>
        <v/>
      </c>
      <c r="J962" s="11"/>
    </row>
    <row r="963" spans="1:10" x14ac:dyDescent="0.25">
      <c r="A963" s="11" t="s">
        <v>1672</v>
      </c>
      <c r="B963" s="11" t="s">
        <v>5718</v>
      </c>
      <c r="C963" s="11" t="s">
        <v>195</v>
      </c>
      <c r="D963" s="11"/>
      <c r="E963" s="12" t="s">
        <v>5719</v>
      </c>
      <c r="F963" s="13" t="b">
        <v>0</v>
      </c>
      <c r="G963" s="13" t="b">
        <v>0</v>
      </c>
      <c r="H963" s="11"/>
      <c r="I963" s="11" t="str">
        <f t="array" ref="I963">IF(H963="","",VLOOKUP(H963,_xludf.HSTACK(#REF!,#REF!),2,FALSE))</f>
        <v/>
      </c>
      <c r="J963" s="11"/>
    </row>
    <row r="964" spans="1:10" x14ac:dyDescent="0.25">
      <c r="A964" s="11" t="s">
        <v>1672</v>
      </c>
      <c r="B964" s="11" t="s">
        <v>5720</v>
      </c>
      <c r="C964" s="11" t="s">
        <v>201</v>
      </c>
      <c r="D964" s="12" t="s">
        <v>5692</v>
      </c>
      <c r="E964" s="12" t="s">
        <v>5721</v>
      </c>
      <c r="F964" s="13" t="b">
        <v>0</v>
      </c>
      <c r="G964" s="13" t="b">
        <v>0</v>
      </c>
      <c r="H964" s="11"/>
      <c r="I964" s="11" t="str">
        <f t="array" ref="I964">IF(H964="","",VLOOKUP(H964,_xludf.HSTACK(#REF!,#REF!),2,FALSE))</f>
        <v/>
      </c>
      <c r="J964" s="11"/>
    </row>
    <row r="965" spans="1:10" x14ac:dyDescent="0.25">
      <c r="A965" s="11" t="s">
        <v>1672</v>
      </c>
      <c r="B965" s="11" t="s">
        <v>5722</v>
      </c>
      <c r="C965" s="11"/>
      <c r="D965" s="11"/>
      <c r="E965" s="11"/>
      <c r="F965" s="13" t="b">
        <v>0</v>
      </c>
      <c r="G965" s="13" t="b">
        <v>1</v>
      </c>
      <c r="H965" s="11"/>
      <c r="I965" s="11" t="str">
        <f t="array" ref="I965">IF(H965="","",VLOOKUP(H965,_xludf.HSTACK(#REF!,#REF!),2,FALSE))</f>
        <v/>
      </c>
      <c r="J965" s="11"/>
    </row>
    <row r="966" spans="1:10" x14ac:dyDescent="0.25">
      <c r="A966" s="11" t="s">
        <v>1672</v>
      </c>
      <c r="B966" s="11" t="s">
        <v>5723</v>
      </c>
      <c r="C966" s="11" t="s">
        <v>1583</v>
      </c>
      <c r="D966" s="12" t="s">
        <v>5724</v>
      </c>
      <c r="E966" s="12" t="s">
        <v>5725</v>
      </c>
      <c r="F966" s="13" t="b">
        <v>0</v>
      </c>
      <c r="G966" s="13" t="b">
        <v>0</v>
      </c>
      <c r="H966" s="11"/>
      <c r="I966" s="11" t="str">
        <f t="array" ref="I966">IF(H966="","",VLOOKUP(H966,_xludf.HSTACK(#REF!,#REF!),2,FALSE))</f>
        <v/>
      </c>
      <c r="J966" s="11"/>
    </row>
    <row r="967" spans="1:10" x14ac:dyDescent="0.25">
      <c r="A967" s="11" t="s">
        <v>1672</v>
      </c>
      <c r="B967" s="11" t="s">
        <v>5726</v>
      </c>
      <c r="C967" s="11" t="s">
        <v>195</v>
      </c>
      <c r="D967" s="11"/>
      <c r="E967" s="12" t="s">
        <v>5727</v>
      </c>
      <c r="F967" s="13" t="b">
        <v>0</v>
      </c>
      <c r="G967" s="13" t="b">
        <v>0</v>
      </c>
      <c r="H967" s="11"/>
      <c r="I967" s="11" t="str">
        <f t="array" ref="I967">IF(H967="","",VLOOKUP(H967,_xludf.HSTACK(#REF!,#REF!),2,FALSE))</f>
        <v/>
      </c>
      <c r="J967" s="11"/>
    </row>
    <row r="968" spans="1:10" x14ac:dyDescent="0.25">
      <c r="A968" s="11" t="s">
        <v>1672</v>
      </c>
      <c r="B968" s="11" t="s">
        <v>5728</v>
      </c>
      <c r="C968" s="11" t="s">
        <v>201</v>
      </c>
      <c r="D968" s="12" t="s">
        <v>5701</v>
      </c>
      <c r="E968" s="12" t="s">
        <v>5729</v>
      </c>
      <c r="F968" s="13" t="b">
        <v>0</v>
      </c>
      <c r="G968" s="13" t="b">
        <v>0</v>
      </c>
      <c r="H968" s="11"/>
      <c r="I968" s="11" t="str">
        <f t="array" ref="I968">IF(H968="","",VLOOKUP(H968,_xludf.HSTACK(#REF!,#REF!),2,FALSE))</f>
        <v/>
      </c>
      <c r="J968" s="11"/>
    </row>
    <row r="969" spans="1:10" x14ac:dyDescent="0.25">
      <c r="A969" s="11" t="s">
        <v>1672</v>
      </c>
      <c r="B969" s="11" t="s">
        <v>5730</v>
      </c>
      <c r="C969" s="11" t="s">
        <v>1942</v>
      </c>
      <c r="D969" s="12" t="s">
        <v>5731</v>
      </c>
      <c r="E969" s="12" t="s">
        <v>5732</v>
      </c>
      <c r="F969" s="13" t="b">
        <v>0</v>
      </c>
      <c r="G969" s="13" t="b">
        <v>0</v>
      </c>
      <c r="H969" s="11"/>
      <c r="I969" s="11" t="str">
        <f t="array" ref="I969">IF(H969="","",VLOOKUP(H969,_xludf.HSTACK(#REF!,#REF!),2,FALSE))</f>
        <v/>
      </c>
      <c r="J969" s="11"/>
    </row>
    <row r="970" spans="1:10" x14ac:dyDescent="0.25">
      <c r="A970" s="11" t="s">
        <v>1672</v>
      </c>
      <c r="B970" s="11" t="s">
        <v>5733</v>
      </c>
      <c r="C970" s="11" t="s">
        <v>605</v>
      </c>
      <c r="D970" s="12" t="s">
        <v>5734</v>
      </c>
      <c r="E970" s="12" t="s">
        <v>5735</v>
      </c>
      <c r="F970" s="13" t="b">
        <v>0</v>
      </c>
      <c r="G970" s="13" t="b">
        <v>0</v>
      </c>
      <c r="H970" s="11"/>
      <c r="I970" s="11" t="str">
        <f t="array" ref="I970">IF(H970="","",VLOOKUP(H970,_xludf.HSTACK(#REF!,#REF!),2,FALSE))</f>
        <v/>
      </c>
      <c r="J970" s="11"/>
    </row>
    <row r="971" spans="1:10" x14ac:dyDescent="0.25">
      <c r="A971" s="11" t="s">
        <v>1672</v>
      </c>
      <c r="B971" s="11" t="s">
        <v>5736</v>
      </c>
      <c r="C971" s="11" t="s">
        <v>195</v>
      </c>
      <c r="D971" s="11"/>
      <c r="E971" s="12" t="s">
        <v>5737</v>
      </c>
      <c r="F971" s="13" t="b">
        <v>0</v>
      </c>
      <c r="G971" s="13" t="b">
        <v>0</v>
      </c>
      <c r="H971" s="11"/>
      <c r="I971" s="11" t="str">
        <f t="array" ref="I971">IF(H971="","",VLOOKUP(H971,_xludf.HSTACK(#REF!,#REF!),2,FALSE))</f>
        <v/>
      </c>
      <c r="J971" s="11"/>
    </row>
    <row r="972" spans="1:10" x14ac:dyDescent="0.25">
      <c r="A972" s="9" t="s">
        <v>2015</v>
      </c>
      <c r="B972" s="9" t="s">
        <v>5738</v>
      </c>
      <c r="C972" s="9" t="s">
        <v>3</v>
      </c>
      <c r="D972" s="7" t="s">
        <v>5309</v>
      </c>
      <c r="E972" s="7" t="s">
        <v>5739</v>
      </c>
      <c r="F972" s="10" t="b">
        <v>0</v>
      </c>
      <c r="G972" s="10" t="b">
        <v>0</v>
      </c>
      <c r="H972" s="9"/>
      <c r="I972" s="9" t="str">
        <f t="array" ref="I972">IF(H972="","",VLOOKUP(H972,_xludf.HSTACK(#REF!,#REF!),2,FALSE))</f>
        <v/>
      </c>
      <c r="J972" s="9"/>
    </row>
    <row r="973" spans="1:10" x14ac:dyDescent="0.25">
      <c r="A973" s="9" t="s">
        <v>2015</v>
      </c>
      <c r="B973" s="9" t="s">
        <v>5740</v>
      </c>
      <c r="C973" s="9" t="s">
        <v>4</v>
      </c>
      <c r="D973" s="7" t="s">
        <v>5309</v>
      </c>
      <c r="E973" s="7" t="s">
        <v>5741</v>
      </c>
      <c r="F973" s="10" t="b">
        <v>0</v>
      </c>
      <c r="G973" s="10" t="b">
        <v>0</v>
      </c>
      <c r="H973" s="9"/>
      <c r="I973" s="9" t="str">
        <f t="array" ref="I973">IF(H973="","",VLOOKUP(H973,_xludf.HSTACK(#REF!,#REF!),2,FALSE))</f>
        <v/>
      </c>
      <c r="J973" s="9"/>
    </row>
    <row r="974" spans="1:10" x14ac:dyDescent="0.25">
      <c r="A974" s="9" t="s">
        <v>2015</v>
      </c>
      <c r="B974" s="9" t="s">
        <v>5742</v>
      </c>
      <c r="C974" s="9" t="s">
        <v>3</v>
      </c>
      <c r="D974" s="7" t="s">
        <v>5309</v>
      </c>
      <c r="E974" s="7" t="s">
        <v>5743</v>
      </c>
      <c r="F974" s="10" t="b">
        <v>0</v>
      </c>
      <c r="G974" s="10" t="b">
        <v>0</v>
      </c>
      <c r="H974" s="9"/>
      <c r="I974" s="9" t="str">
        <f t="array" ref="I974">IF(H974="","",VLOOKUP(H974,_xludf.HSTACK(#REF!,#REF!),2,FALSE))</f>
        <v/>
      </c>
      <c r="J974" s="9"/>
    </row>
    <row r="975" spans="1:10" x14ac:dyDescent="0.25">
      <c r="A975" s="9" t="s">
        <v>2015</v>
      </c>
      <c r="B975" s="9" t="s">
        <v>5744</v>
      </c>
      <c r="C975" s="9" t="s">
        <v>3</v>
      </c>
      <c r="D975" s="7" t="s">
        <v>5309</v>
      </c>
      <c r="E975" s="7" t="s">
        <v>5745</v>
      </c>
      <c r="F975" s="10" t="b">
        <v>0</v>
      </c>
      <c r="G975" s="10" t="b">
        <v>0</v>
      </c>
      <c r="H975" s="9"/>
      <c r="I975" s="9" t="str">
        <f t="array" ref="I975">IF(H975="","",VLOOKUP(H975,_xludf.HSTACK(#REF!,#REF!),2,FALSE))</f>
        <v/>
      </c>
      <c r="J975" s="9"/>
    </row>
    <row r="976" spans="1:10" x14ac:dyDescent="0.25">
      <c r="A976" s="9" t="s">
        <v>2015</v>
      </c>
      <c r="B976" s="9" t="s">
        <v>5746</v>
      </c>
      <c r="C976" s="9" t="s">
        <v>3</v>
      </c>
      <c r="D976" s="7" t="s">
        <v>5309</v>
      </c>
      <c r="E976" s="7" t="s">
        <v>5747</v>
      </c>
      <c r="F976" s="10" t="b">
        <v>0</v>
      </c>
      <c r="G976" s="10" t="b">
        <v>0</v>
      </c>
      <c r="H976" s="9"/>
      <c r="I976" s="9" t="str">
        <f t="array" ref="I976">IF(H976="","",VLOOKUP(H976,_xludf.HSTACK(#REF!,#REF!),2,FALSE))</f>
        <v/>
      </c>
      <c r="J976" s="9"/>
    </row>
    <row r="977" spans="1:10" x14ac:dyDescent="0.25">
      <c r="A977" s="9" t="s">
        <v>2015</v>
      </c>
      <c r="B977" s="9" t="s">
        <v>5748</v>
      </c>
      <c r="C977" s="9" t="s">
        <v>3</v>
      </c>
      <c r="D977" s="7" t="s">
        <v>5309</v>
      </c>
      <c r="E977" s="7" t="s">
        <v>5749</v>
      </c>
      <c r="F977" s="10" t="b">
        <v>0</v>
      </c>
      <c r="G977" s="10" t="b">
        <v>0</v>
      </c>
      <c r="H977" s="9"/>
      <c r="I977" s="9" t="str">
        <f t="array" ref="I977">IF(H977="","",VLOOKUP(H977,_xludf.HSTACK(#REF!,#REF!),2,FALSE))</f>
        <v/>
      </c>
      <c r="J977" s="9"/>
    </row>
    <row r="978" spans="1:10" x14ac:dyDescent="0.25">
      <c r="A978" s="9" t="s">
        <v>2015</v>
      </c>
      <c r="B978" s="9" t="s">
        <v>5750</v>
      </c>
      <c r="C978" s="9" t="s">
        <v>4</v>
      </c>
      <c r="D978" s="7" t="s">
        <v>5309</v>
      </c>
      <c r="E978" s="7" t="s">
        <v>5751</v>
      </c>
      <c r="F978" s="10" t="b">
        <v>1</v>
      </c>
      <c r="G978" s="10" t="b">
        <v>0</v>
      </c>
      <c r="H978" s="9"/>
      <c r="I978" s="9" t="str">
        <f t="array" ref="I978">IF(H978="","",VLOOKUP(H978,_xludf.HSTACK(#REF!,#REF!),2,FALSE))</f>
        <v/>
      </c>
      <c r="J978" s="9"/>
    </row>
    <row r="979" spans="1:10" x14ac:dyDescent="0.25">
      <c r="A979" s="9" t="s">
        <v>2015</v>
      </c>
      <c r="B979" s="9" t="s">
        <v>5752</v>
      </c>
      <c r="C979" s="9" t="s">
        <v>3</v>
      </c>
      <c r="D979" s="7" t="s">
        <v>5309</v>
      </c>
      <c r="E979" s="7" t="s">
        <v>5753</v>
      </c>
      <c r="F979" s="10" t="b">
        <v>0</v>
      </c>
      <c r="G979" s="10" t="b">
        <v>0</v>
      </c>
      <c r="H979" s="9"/>
      <c r="I979" s="9" t="str">
        <f t="array" ref="I979">IF(H979="","",VLOOKUP(H979,_xludf.HSTACK(#REF!,#REF!),2,FALSE))</f>
        <v/>
      </c>
      <c r="J979" s="9"/>
    </row>
    <row r="980" spans="1:10" x14ac:dyDescent="0.25">
      <c r="A980" s="9" t="s">
        <v>2015</v>
      </c>
      <c r="B980" s="9" t="s">
        <v>5754</v>
      </c>
      <c r="C980" s="9" t="s">
        <v>4</v>
      </c>
      <c r="D980" s="7" t="s">
        <v>5309</v>
      </c>
      <c r="E980" s="7" t="s">
        <v>5755</v>
      </c>
      <c r="F980" s="10" t="b">
        <v>0</v>
      </c>
      <c r="G980" s="10" t="b">
        <v>0</v>
      </c>
      <c r="H980" s="9"/>
      <c r="I980" s="9" t="str">
        <f t="array" ref="I980">IF(H980="","",VLOOKUP(H980,_xludf.HSTACK(#REF!,#REF!),2,FALSE))</f>
        <v/>
      </c>
      <c r="J980" s="9"/>
    </row>
    <row r="981" spans="1:10" x14ac:dyDescent="0.25">
      <c r="A981" s="9" t="s">
        <v>2015</v>
      </c>
      <c r="B981" s="9" t="s">
        <v>5756</v>
      </c>
      <c r="C981" s="9" t="s">
        <v>3</v>
      </c>
      <c r="D981" s="7" t="s">
        <v>5309</v>
      </c>
      <c r="E981" s="7" t="s">
        <v>5757</v>
      </c>
      <c r="F981" s="10" t="b">
        <v>0</v>
      </c>
      <c r="G981" s="10" t="b">
        <v>0</v>
      </c>
      <c r="H981" s="9"/>
      <c r="I981" s="9" t="str">
        <f t="array" ref="I981">IF(H981="","",VLOOKUP(H981,_xludf.HSTACK(#REF!,#REF!),2,FALSE))</f>
        <v/>
      </c>
      <c r="J981" s="9"/>
    </row>
    <row r="982" spans="1:10" x14ac:dyDescent="0.25">
      <c r="A982" s="9" t="s">
        <v>2015</v>
      </c>
      <c r="B982" s="9" t="s">
        <v>5758</v>
      </c>
      <c r="C982" s="9" t="s">
        <v>4411</v>
      </c>
      <c r="D982" s="7" t="s">
        <v>5363</v>
      </c>
      <c r="E982" s="7" t="s">
        <v>5759</v>
      </c>
      <c r="F982" s="10" t="b">
        <v>0</v>
      </c>
      <c r="G982" s="10" t="b">
        <v>0</v>
      </c>
      <c r="H982" s="9"/>
      <c r="I982" s="9" t="str">
        <f t="array" ref="I982">IF(H982="","",VLOOKUP(H982,_xludf.HSTACK(#REF!,#REF!),2,FALSE))</f>
        <v/>
      </c>
      <c r="J982" s="9"/>
    </row>
    <row r="983" spans="1:10" x14ac:dyDescent="0.25">
      <c r="A983" s="9" t="s">
        <v>2015</v>
      </c>
      <c r="B983" s="9" t="s">
        <v>5760</v>
      </c>
      <c r="C983" s="9" t="s">
        <v>4267</v>
      </c>
      <c r="D983" s="7" t="s">
        <v>5363</v>
      </c>
      <c r="E983" s="7" t="s">
        <v>5761</v>
      </c>
      <c r="F983" s="10" t="b">
        <v>0</v>
      </c>
      <c r="G983" s="10" t="b">
        <v>0</v>
      </c>
      <c r="H983" s="9"/>
      <c r="I983" s="9" t="str">
        <f t="array" ref="I983">IF(H983="","",VLOOKUP(H983,_xludf.HSTACK(#REF!,#REF!),2,FALSE))</f>
        <v/>
      </c>
      <c r="J983" s="9"/>
    </row>
    <row r="984" spans="1:10" x14ac:dyDescent="0.25">
      <c r="A984" s="9" t="s">
        <v>2015</v>
      </c>
      <c r="B984" s="9" t="s">
        <v>5762</v>
      </c>
      <c r="C984" s="9" t="s">
        <v>4267</v>
      </c>
      <c r="D984" s="7" t="s">
        <v>5363</v>
      </c>
      <c r="E984" s="7" t="s">
        <v>5763</v>
      </c>
      <c r="F984" s="10" t="b">
        <v>0</v>
      </c>
      <c r="G984" s="10" t="b">
        <v>0</v>
      </c>
      <c r="H984" s="9"/>
      <c r="I984" s="9" t="str">
        <f t="array" ref="I984">IF(H984="","",VLOOKUP(H984,_xludf.HSTACK(#REF!,#REF!),2,FALSE))</f>
        <v/>
      </c>
      <c r="J984" s="9"/>
    </row>
    <row r="985" spans="1:10" x14ac:dyDescent="0.25">
      <c r="A985" s="9" t="s">
        <v>2015</v>
      </c>
      <c r="B985" s="9" t="s">
        <v>5764</v>
      </c>
      <c r="C985" s="9" t="s">
        <v>4411</v>
      </c>
      <c r="D985" s="7" t="s">
        <v>5363</v>
      </c>
      <c r="E985" s="7" t="s">
        <v>5765</v>
      </c>
      <c r="F985" s="10" t="b">
        <v>0</v>
      </c>
      <c r="G985" s="10" t="b">
        <v>0</v>
      </c>
      <c r="H985" s="9"/>
      <c r="I985" s="9" t="str">
        <f t="array" ref="I985">IF(H985="","",VLOOKUP(H985,_xludf.HSTACK(#REF!,#REF!),2,FALSE))</f>
        <v/>
      </c>
      <c r="J985" s="9"/>
    </row>
    <row r="986" spans="1:10" x14ac:dyDescent="0.25">
      <c r="A986" s="9" t="s">
        <v>2015</v>
      </c>
      <c r="B986" s="9" t="s">
        <v>5766</v>
      </c>
      <c r="C986" s="9" t="s">
        <v>4267</v>
      </c>
      <c r="D986" s="7" t="s">
        <v>5363</v>
      </c>
      <c r="E986" s="7" t="s">
        <v>5767</v>
      </c>
      <c r="F986" s="10" t="b">
        <v>0</v>
      </c>
      <c r="G986" s="10" t="b">
        <v>0</v>
      </c>
      <c r="H986" s="9"/>
      <c r="I986" s="9" t="str">
        <f t="array" ref="I986">IF(H986="","",VLOOKUP(H986,_xludf.HSTACK(#REF!,#REF!),2,FALSE))</f>
        <v/>
      </c>
      <c r="J986" s="9"/>
    </row>
    <row r="987" spans="1:10" x14ac:dyDescent="0.25">
      <c r="A987" s="9" t="s">
        <v>2015</v>
      </c>
      <c r="B987" s="9" t="s">
        <v>5768</v>
      </c>
      <c r="C987" s="9" t="s">
        <v>4411</v>
      </c>
      <c r="D987" s="7" t="s">
        <v>5363</v>
      </c>
      <c r="E987" s="7" t="s">
        <v>5769</v>
      </c>
      <c r="F987" s="10" t="b">
        <v>0</v>
      </c>
      <c r="G987" s="10" t="b">
        <v>0</v>
      </c>
      <c r="H987" s="9"/>
      <c r="I987" s="9" t="str">
        <f t="array" ref="I987">IF(H987="","",VLOOKUP(H987,_xludf.HSTACK(#REF!,#REF!),2,FALSE))</f>
        <v/>
      </c>
      <c r="J987" s="9"/>
    </row>
    <row r="988" spans="1:10" x14ac:dyDescent="0.25">
      <c r="A988" s="9" t="s">
        <v>2015</v>
      </c>
      <c r="B988" s="9" t="s">
        <v>5770</v>
      </c>
      <c r="C988" s="9" t="s">
        <v>36</v>
      </c>
      <c r="D988" s="7" t="s">
        <v>5771</v>
      </c>
      <c r="E988" s="7" t="s">
        <v>5772</v>
      </c>
      <c r="F988" s="10" t="b">
        <v>0</v>
      </c>
      <c r="G988" s="10" t="b">
        <v>0</v>
      </c>
      <c r="H988" s="9"/>
      <c r="I988" s="9" t="str">
        <f t="array" ref="I988">IF(H988="","",VLOOKUP(H988,_xludf.HSTACK(#REF!,#REF!),2,FALSE))</f>
        <v/>
      </c>
      <c r="J988" s="9"/>
    </row>
    <row r="989" spans="1:10" x14ac:dyDescent="0.25">
      <c r="A989" s="9" t="s">
        <v>2015</v>
      </c>
      <c r="B989" s="9" t="s">
        <v>5773</v>
      </c>
      <c r="C989" s="9"/>
      <c r="D989" s="9"/>
      <c r="E989" s="9"/>
      <c r="F989" s="10" t="b">
        <v>0</v>
      </c>
      <c r="G989" s="10" t="b">
        <v>1</v>
      </c>
      <c r="H989" s="9"/>
      <c r="I989" s="9" t="str">
        <f t="array" ref="I989">IF(H989="","",VLOOKUP(H989,_xludf.HSTACK(#REF!,#REF!),2,FALSE))</f>
        <v/>
      </c>
      <c r="J989" s="9"/>
    </row>
    <row r="990" spans="1:10" x14ac:dyDescent="0.25">
      <c r="A990" s="9" t="s">
        <v>2015</v>
      </c>
      <c r="B990" s="9" t="s">
        <v>5774</v>
      </c>
      <c r="C990" s="9" t="s">
        <v>219</v>
      </c>
      <c r="D990" s="7" t="s">
        <v>5356</v>
      </c>
      <c r="E990" s="7" t="s">
        <v>5775</v>
      </c>
      <c r="F990" s="10" t="b">
        <v>0</v>
      </c>
      <c r="G990" s="10" t="b">
        <v>0</v>
      </c>
      <c r="H990" s="9"/>
      <c r="I990" s="9" t="str">
        <f t="array" ref="I990">IF(H990="","",VLOOKUP(H990,_xludf.HSTACK(#REF!,#REF!),2,FALSE))</f>
        <v/>
      </c>
      <c r="J990" s="9"/>
    </row>
    <row r="991" spans="1:10" x14ac:dyDescent="0.25">
      <c r="A991" s="9" t="s">
        <v>2015</v>
      </c>
      <c r="B991" s="9" t="s">
        <v>5776</v>
      </c>
      <c r="C991" s="9" t="s">
        <v>219</v>
      </c>
      <c r="D991" s="7" t="s">
        <v>5356</v>
      </c>
      <c r="E991" s="7" t="s">
        <v>5777</v>
      </c>
      <c r="F991" s="10" t="b">
        <v>0</v>
      </c>
      <c r="G991" s="10" t="b">
        <v>0</v>
      </c>
      <c r="H991" s="9"/>
      <c r="I991" s="9" t="str">
        <f t="array" ref="I991">IF(H991="","",VLOOKUP(H991,_xludf.HSTACK(#REF!,#REF!),2,FALSE))</f>
        <v/>
      </c>
      <c r="J991" s="9"/>
    </row>
    <row r="992" spans="1:10" x14ac:dyDescent="0.25">
      <c r="A992" s="9" t="s">
        <v>2015</v>
      </c>
      <c r="B992" s="9" t="s">
        <v>5778</v>
      </c>
      <c r="C992" s="9" t="s">
        <v>219</v>
      </c>
      <c r="D992" s="7" t="s">
        <v>5356</v>
      </c>
      <c r="E992" s="7" t="s">
        <v>5779</v>
      </c>
      <c r="F992" s="10" t="b">
        <v>0</v>
      </c>
      <c r="G992" s="10" t="b">
        <v>0</v>
      </c>
      <c r="H992" s="9"/>
      <c r="I992" s="9" t="str">
        <f t="array" ref="I992">IF(H992="","",VLOOKUP(H992,_xludf.HSTACK(#REF!,#REF!),2,FALSE))</f>
        <v/>
      </c>
      <c r="J992" s="9"/>
    </row>
    <row r="993" spans="1:10" x14ac:dyDescent="0.25">
      <c r="A993" s="9" t="s">
        <v>2015</v>
      </c>
      <c r="B993" s="9" t="s">
        <v>5780</v>
      </c>
      <c r="C993" s="9" t="s">
        <v>219</v>
      </c>
      <c r="D993" s="7" t="s">
        <v>5356</v>
      </c>
      <c r="E993" s="7" t="s">
        <v>5781</v>
      </c>
      <c r="F993" s="10" t="b">
        <v>0</v>
      </c>
      <c r="G993" s="10" t="b">
        <v>0</v>
      </c>
      <c r="H993" s="9"/>
      <c r="I993" s="9" t="str">
        <f t="array" ref="I993">IF(H993="","",VLOOKUP(H993,_xludf.HSTACK(#REF!,#REF!),2,FALSE))</f>
        <v/>
      </c>
      <c r="J993" s="9"/>
    </row>
    <row r="994" spans="1:10" x14ac:dyDescent="0.25">
      <c r="A994" s="9" t="s">
        <v>2015</v>
      </c>
      <c r="B994" s="9" t="s">
        <v>5782</v>
      </c>
      <c r="C994" s="9" t="s">
        <v>219</v>
      </c>
      <c r="D994" s="7" t="s">
        <v>5356</v>
      </c>
      <c r="E994" s="7" t="s">
        <v>5783</v>
      </c>
      <c r="F994" s="10" t="b">
        <v>0</v>
      </c>
      <c r="G994" s="10" t="b">
        <v>0</v>
      </c>
      <c r="H994" s="9"/>
      <c r="I994" s="9" t="str">
        <f t="array" ref="I994">IF(H994="","",VLOOKUP(H994,_xludf.HSTACK(#REF!,#REF!),2,FALSE))</f>
        <v/>
      </c>
      <c r="J994" s="9"/>
    </row>
    <row r="995" spans="1:10" x14ac:dyDescent="0.25">
      <c r="A995" s="9" t="s">
        <v>2015</v>
      </c>
      <c r="B995" s="9" t="s">
        <v>5784</v>
      </c>
      <c r="C995" s="9" t="s">
        <v>219</v>
      </c>
      <c r="D995" s="7" t="s">
        <v>5356</v>
      </c>
      <c r="E995" s="7" t="s">
        <v>5785</v>
      </c>
      <c r="F995" s="10" t="b">
        <v>0</v>
      </c>
      <c r="G995" s="10" t="b">
        <v>0</v>
      </c>
      <c r="H995" s="9"/>
      <c r="I995" s="9" t="str">
        <f t="array" ref="I995">IF(H995="","",VLOOKUP(H995,_xludf.HSTACK(#REF!,#REF!),2,FALSE))</f>
        <v/>
      </c>
      <c r="J995" s="9"/>
    </row>
    <row r="996" spans="1:10" x14ac:dyDescent="0.25">
      <c r="A996" s="9" t="s">
        <v>2015</v>
      </c>
      <c r="B996" s="9" t="s">
        <v>5786</v>
      </c>
      <c r="C996" s="9" t="s">
        <v>219</v>
      </c>
      <c r="D996" s="7" t="s">
        <v>5356</v>
      </c>
      <c r="E996" s="7" t="s">
        <v>5787</v>
      </c>
      <c r="F996" s="10" t="b">
        <v>1</v>
      </c>
      <c r="G996" s="10" t="b">
        <v>0</v>
      </c>
      <c r="H996" s="9" t="s">
        <v>65</v>
      </c>
      <c r="I996" s="9" t="e">
        <f t="array" aca="1" ref="I996" ca="1">IF(H996="","",VLOOKUP(H996,_xludf.HSTACK(#REF!,#REF!),2,FALSE))</f>
        <v>#NAME?</v>
      </c>
      <c r="J996" s="9"/>
    </row>
    <row r="997" spans="1:10" x14ac:dyDescent="0.25">
      <c r="A997" s="9" t="s">
        <v>2015</v>
      </c>
      <c r="B997" s="9" t="s">
        <v>5788</v>
      </c>
      <c r="C997" s="9" t="s">
        <v>1218</v>
      </c>
      <c r="D997" s="9"/>
      <c r="E997" s="7" t="s">
        <v>5789</v>
      </c>
      <c r="F997" s="10" t="b">
        <v>0</v>
      </c>
      <c r="G997" s="10" t="b">
        <v>0</v>
      </c>
      <c r="H997" s="9"/>
      <c r="I997" s="9" t="str">
        <f t="array" ref="I997">IF(H997="","",VLOOKUP(H997,_xludf.HSTACK(#REF!,#REF!),2,FALSE))</f>
        <v/>
      </c>
      <c r="J997" s="9"/>
    </row>
    <row r="998" spans="1:10" x14ac:dyDescent="0.25">
      <c r="A998" s="9" t="s">
        <v>2015</v>
      </c>
      <c r="B998" s="9" t="s">
        <v>5790</v>
      </c>
      <c r="C998" s="9" t="s">
        <v>1218</v>
      </c>
      <c r="D998" s="9"/>
      <c r="E998" s="7" t="s">
        <v>5791</v>
      </c>
      <c r="F998" s="10" t="b">
        <v>0</v>
      </c>
      <c r="G998" s="10" t="b">
        <v>0</v>
      </c>
      <c r="H998" s="9"/>
      <c r="I998" s="9" t="str">
        <f t="array" ref="I998">IF(H998="","",VLOOKUP(H998,_xludf.HSTACK(#REF!,#REF!),2,FALSE))</f>
        <v/>
      </c>
      <c r="J998" s="9"/>
    </row>
    <row r="999" spans="1:10" x14ac:dyDescent="0.25">
      <c r="A999" s="9" t="s">
        <v>2015</v>
      </c>
      <c r="B999" s="9" t="s">
        <v>5792</v>
      </c>
      <c r="C999" s="9" t="s">
        <v>1218</v>
      </c>
      <c r="D999" s="9"/>
      <c r="E999" s="7" t="s">
        <v>5793</v>
      </c>
      <c r="F999" s="10" t="b">
        <v>0</v>
      </c>
      <c r="G999" s="10" t="b">
        <v>0</v>
      </c>
      <c r="H999" s="9"/>
      <c r="I999" s="9" t="str">
        <f t="array" ref="I999">IF(H999="","",VLOOKUP(H999,_xludf.HSTACK(#REF!,#REF!),2,FALSE))</f>
        <v/>
      </c>
      <c r="J999" s="9"/>
    </row>
    <row r="1000" spans="1:10" x14ac:dyDescent="0.25">
      <c r="A1000" s="9" t="s">
        <v>2015</v>
      </c>
      <c r="B1000" s="9" t="s">
        <v>5794</v>
      </c>
      <c r="C1000" s="9" t="s">
        <v>1218</v>
      </c>
      <c r="D1000" s="9"/>
      <c r="E1000" s="7" t="s">
        <v>5795</v>
      </c>
      <c r="F1000" s="10" t="b">
        <v>0</v>
      </c>
      <c r="G1000" s="10" t="b">
        <v>0</v>
      </c>
      <c r="H1000" s="9"/>
      <c r="I1000" s="9" t="str">
        <f t="array" ref="I1000">IF(H1000="","",VLOOKUP(H1000,_xludf.HSTACK(#REF!,#REF!),2,FALSE))</f>
        <v/>
      </c>
      <c r="J1000" s="9"/>
    </row>
    <row r="1001" spans="1:10" x14ac:dyDescent="0.25">
      <c r="A1001" s="9" t="s">
        <v>2015</v>
      </c>
      <c r="B1001" s="9" t="s">
        <v>5796</v>
      </c>
      <c r="C1001" s="9" t="s">
        <v>61</v>
      </c>
      <c r="D1001" s="7" t="s">
        <v>5797</v>
      </c>
      <c r="E1001" s="7" t="s">
        <v>5798</v>
      </c>
      <c r="F1001" s="10" t="b">
        <v>0</v>
      </c>
      <c r="G1001" s="10" t="b">
        <v>0</v>
      </c>
      <c r="H1001" s="9"/>
      <c r="I1001" s="9" t="str">
        <f t="array" ref="I1001">IF(H1001="","",VLOOKUP(H1001,_xludf.HSTACK(#REF!,#REF!),2,FALSE))</f>
        <v/>
      </c>
      <c r="J1001" s="9"/>
    </row>
    <row r="1002" spans="1:10" x14ac:dyDescent="0.25">
      <c r="A1002" s="9" t="s">
        <v>2015</v>
      </c>
      <c r="B1002" s="9" t="s">
        <v>5799</v>
      </c>
      <c r="C1002" s="9" t="s">
        <v>61</v>
      </c>
      <c r="D1002" s="7" t="s">
        <v>5800</v>
      </c>
      <c r="E1002" s="7" t="s">
        <v>5801</v>
      </c>
      <c r="F1002" s="10" t="b">
        <v>0</v>
      </c>
      <c r="G1002" s="10" t="b">
        <v>0</v>
      </c>
      <c r="H1002" s="9"/>
      <c r="I1002" s="9" t="str">
        <f t="array" ref="I1002">IF(H1002="","",VLOOKUP(H1002,_xludf.HSTACK(#REF!,#REF!),2,FALSE))</f>
        <v/>
      </c>
      <c r="J1002" s="9"/>
    </row>
    <row r="1003" spans="1:10" x14ac:dyDescent="0.25">
      <c r="A1003" s="9" t="s">
        <v>2015</v>
      </c>
      <c r="B1003" s="9" t="s">
        <v>5802</v>
      </c>
      <c r="C1003" s="9" t="s">
        <v>1942</v>
      </c>
      <c r="D1003" s="7" t="s">
        <v>5803</v>
      </c>
      <c r="E1003" s="7" t="s">
        <v>5804</v>
      </c>
      <c r="F1003" s="10" t="b">
        <v>0</v>
      </c>
      <c r="G1003" s="10" t="b">
        <v>0</v>
      </c>
      <c r="H1003" s="9"/>
      <c r="I1003" s="9" t="str">
        <f t="array" ref="I1003">IF(H1003="","",VLOOKUP(H1003,_xludf.HSTACK(#REF!,#REF!),2,FALSE))</f>
        <v/>
      </c>
      <c r="J1003" s="9"/>
    </row>
    <row r="1004" spans="1:10" x14ac:dyDescent="0.25">
      <c r="A1004" s="9" t="s">
        <v>2015</v>
      </c>
      <c r="B1004" s="9" t="s">
        <v>5805</v>
      </c>
      <c r="C1004" s="9" t="s">
        <v>1942</v>
      </c>
      <c r="D1004" s="7" t="s">
        <v>5806</v>
      </c>
      <c r="E1004" s="7" t="s">
        <v>5807</v>
      </c>
      <c r="F1004" s="10" t="b">
        <v>0</v>
      </c>
      <c r="G1004" s="10" t="b">
        <v>0</v>
      </c>
      <c r="H1004" s="9"/>
      <c r="I1004" s="9" t="str">
        <f t="array" ref="I1004">IF(H1004="","",VLOOKUP(H1004,_xludf.HSTACK(#REF!,#REF!),2,FALSE))</f>
        <v/>
      </c>
      <c r="J1004" s="9"/>
    </row>
    <row r="1005" spans="1:10" x14ac:dyDescent="0.25">
      <c r="A1005" s="9" t="s">
        <v>2015</v>
      </c>
      <c r="B1005" s="9" t="s">
        <v>5808</v>
      </c>
      <c r="C1005" s="9" t="s">
        <v>1942</v>
      </c>
      <c r="D1005" s="7" t="s">
        <v>5809</v>
      </c>
      <c r="E1005" s="7" t="s">
        <v>5810</v>
      </c>
      <c r="F1005" s="10" t="b">
        <v>0</v>
      </c>
      <c r="G1005" s="10" t="b">
        <v>0</v>
      </c>
      <c r="H1005" s="9"/>
      <c r="I1005" s="9" t="str">
        <f t="array" ref="I1005">IF(H1005="","",VLOOKUP(H1005,_xludf.HSTACK(#REF!,#REF!),2,FALSE))</f>
        <v/>
      </c>
      <c r="J1005" s="9"/>
    </row>
    <row r="1006" spans="1:10" x14ac:dyDescent="0.25">
      <c r="A1006" s="9" t="s">
        <v>2015</v>
      </c>
      <c r="B1006" s="9" t="s">
        <v>5811</v>
      </c>
      <c r="C1006" s="9" t="s">
        <v>1942</v>
      </c>
      <c r="D1006" s="7" t="s">
        <v>5812</v>
      </c>
      <c r="E1006" s="7" t="s">
        <v>5813</v>
      </c>
      <c r="F1006" s="10" t="b">
        <v>0</v>
      </c>
      <c r="G1006" s="10" t="b">
        <v>0</v>
      </c>
      <c r="H1006" s="9"/>
      <c r="I1006" s="9" t="str">
        <f t="array" ref="I1006">IF(H1006="","",VLOOKUP(H1006,_xludf.HSTACK(#REF!,#REF!),2,FALSE))</f>
        <v/>
      </c>
      <c r="J1006" s="9"/>
    </row>
    <row r="1007" spans="1:10" x14ac:dyDescent="0.25">
      <c r="A1007" s="9" t="s">
        <v>2015</v>
      </c>
      <c r="B1007" s="9" t="s">
        <v>5814</v>
      </c>
      <c r="C1007" s="9" t="s">
        <v>1942</v>
      </c>
      <c r="D1007" s="7" t="s">
        <v>5812</v>
      </c>
      <c r="E1007" s="7" t="s">
        <v>5815</v>
      </c>
      <c r="F1007" s="10" t="b">
        <v>0</v>
      </c>
      <c r="G1007" s="10" t="b">
        <v>0</v>
      </c>
      <c r="H1007" s="9"/>
      <c r="I1007" s="9" t="str">
        <f t="array" ref="I1007">IF(H1007="","",VLOOKUP(H1007,_xludf.HSTACK(#REF!,#REF!),2,FALSE))</f>
        <v/>
      </c>
      <c r="J1007" s="9"/>
    </row>
    <row r="1008" spans="1:10" x14ac:dyDescent="0.25">
      <c r="A1008" s="9" t="s">
        <v>2015</v>
      </c>
      <c r="B1008" s="9" t="s">
        <v>5816</v>
      </c>
      <c r="C1008" s="9" t="s">
        <v>605</v>
      </c>
      <c r="D1008" s="9"/>
      <c r="E1008" s="7" t="s">
        <v>5817</v>
      </c>
      <c r="F1008" s="10" t="b">
        <v>0</v>
      </c>
      <c r="G1008" s="10" t="b">
        <v>0</v>
      </c>
      <c r="H1008" s="9"/>
      <c r="I1008" s="9" t="str">
        <f t="array" ref="I1008">IF(H1008="","",VLOOKUP(H1008,_xludf.HSTACK(#REF!,#REF!),2,FALSE))</f>
        <v/>
      </c>
      <c r="J1008" s="9"/>
    </row>
    <row r="1009" spans="1:10" x14ac:dyDescent="0.25">
      <c r="A1009" s="9" t="s">
        <v>2015</v>
      </c>
      <c r="B1009" s="9" t="s">
        <v>5818</v>
      </c>
      <c r="C1009" s="9" t="s">
        <v>23</v>
      </c>
      <c r="D1009" s="9"/>
      <c r="E1009" s="7" t="s">
        <v>5819</v>
      </c>
      <c r="F1009" s="10" t="b">
        <v>0</v>
      </c>
      <c r="G1009" s="10" t="b">
        <v>0</v>
      </c>
      <c r="H1009" s="9"/>
      <c r="I1009" s="9" t="str">
        <f t="array" ref="I1009">IF(H1009="","",VLOOKUP(H1009,_xludf.HSTACK(#REF!,#REF!),2,FALSE))</f>
        <v/>
      </c>
      <c r="J1009" s="9"/>
    </row>
    <row r="1010" spans="1:10" x14ac:dyDescent="0.25">
      <c r="A1010" s="9" t="s">
        <v>2015</v>
      </c>
      <c r="B1010" s="9" t="s">
        <v>5820</v>
      </c>
      <c r="C1010" s="9" t="s">
        <v>23</v>
      </c>
      <c r="D1010" s="9"/>
      <c r="E1010" s="7" t="s">
        <v>5821</v>
      </c>
      <c r="F1010" s="10" t="b">
        <v>0</v>
      </c>
      <c r="G1010" s="10" t="b">
        <v>0</v>
      </c>
      <c r="H1010" s="9"/>
      <c r="I1010" s="9" t="str">
        <f t="array" ref="I1010">IF(H1010="","",VLOOKUP(H1010,_xludf.HSTACK(#REF!,#REF!),2,FALSE))</f>
        <v/>
      </c>
      <c r="J1010" s="9"/>
    </row>
    <row r="1011" spans="1:10" x14ac:dyDescent="0.25">
      <c r="A1011" s="9" t="s">
        <v>2015</v>
      </c>
      <c r="B1011" s="9" t="s">
        <v>5822</v>
      </c>
      <c r="C1011" s="9" t="s">
        <v>605</v>
      </c>
      <c r="D1011" s="9"/>
      <c r="E1011" s="7" t="s">
        <v>5823</v>
      </c>
      <c r="F1011" s="10" t="b">
        <v>0</v>
      </c>
      <c r="G1011" s="10" t="b">
        <v>0</v>
      </c>
      <c r="H1011" s="9"/>
      <c r="I1011" s="9" t="str">
        <f t="array" ref="I1011">IF(H1011="","",VLOOKUP(H1011,_xludf.HSTACK(#REF!,#REF!),2,FALSE))</f>
        <v/>
      </c>
      <c r="J1011" s="9"/>
    </row>
    <row r="1012" spans="1:10" x14ac:dyDescent="0.25">
      <c r="A1012" s="9" t="s">
        <v>2015</v>
      </c>
      <c r="B1012" s="9" t="s">
        <v>5824</v>
      </c>
      <c r="C1012" s="9" t="s">
        <v>25</v>
      </c>
      <c r="D1012" s="9"/>
      <c r="E1012" s="7" t="s">
        <v>5825</v>
      </c>
      <c r="F1012" s="10" t="b">
        <v>0</v>
      </c>
      <c r="G1012" s="10" t="b">
        <v>0</v>
      </c>
      <c r="H1012" s="9"/>
      <c r="I1012" s="9" t="str">
        <f t="array" ref="I1012">IF(H1012="","",VLOOKUP(H1012,_xludf.HSTACK(#REF!,#REF!),2,FALSE))</f>
        <v/>
      </c>
      <c r="J1012" s="9"/>
    </row>
    <row r="1013" spans="1:10" x14ac:dyDescent="0.25">
      <c r="A1013" s="9" t="s">
        <v>2015</v>
      </c>
      <c r="B1013" s="9" t="s">
        <v>5826</v>
      </c>
      <c r="C1013" s="9" t="s">
        <v>192</v>
      </c>
      <c r="D1013" s="7" t="s">
        <v>5827</v>
      </c>
      <c r="E1013" s="7" t="s">
        <v>5828</v>
      </c>
      <c r="F1013" s="10" t="b">
        <v>0</v>
      </c>
      <c r="G1013" s="10" t="b">
        <v>0</v>
      </c>
      <c r="H1013" s="9"/>
      <c r="I1013" s="9" t="str">
        <f t="array" ref="I1013">IF(H1013="","",VLOOKUP(H1013,_xludf.HSTACK(#REF!,#REF!),2,FALSE))</f>
        <v/>
      </c>
      <c r="J1013" s="9"/>
    </row>
    <row r="1014" spans="1:10" x14ac:dyDescent="0.25">
      <c r="A1014" s="9" t="s">
        <v>2015</v>
      </c>
      <c r="B1014" s="9" t="s">
        <v>5829</v>
      </c>
      <c r="C1014" s="9"/>
      <c r="D1014" s="9"/>
      <c r="E1014" s="9"/>
      <c r="F1014" s="10" t="b">
        <v>0</v>
      </c>
      <c r="G1014" s="10" t="b">
        <v>1</v>
      </c>
      <c r="H1014" s="9"/>
      <c r="I1014" s="9" t="str">
        <f t="array" ref="I1014">IF(H1014="","",VLOOKUP(H1014,_xludf.HSTACK(#REF!,#REF!),2,FALSE))</f>
        <v/>
      </c>
      <c r="J1014" s="9"/>
    </row>
    <row r="1015" spans="1:10" x14ac:dyDescent="0.25">
      <c r="A1015" s="9" t="s">
        <v>2015</v>
      </c>
      <c r="B1015" s="9" t="s">
        <v>5830</v>
      </c>
      <c r="C1015" s="9"/>
      <c r="D1015" s="9"/>
      <c r="E1015" s="9"/>
      <c r="F1015" s="10" t="b">
        <v>0</v>
      </c>
      <c r="G1015" s="10" t="b">
        <v>1</v>
      </c>
      <c r="H1015" s="9"/>
      <c r="I1015" s="9" t="str">
        <f t="array" ref="I1015">IF(H1015="","",VLOOKUP(H1015,_xludf.HSTACK(#REF!,#REF!),2,FALSE))</f>
        <v/>
      </c>
      <c r="J1015" s="9"/>
    </row>
    <row r="1016" spans="1:10" x14ac:dyDescent="0.25">
      <c r="A1016" s="9" t="s">
        <v>2015</v>
      </c>
      <c r="B1016" s="9" t="s">
        <v>5831</v>
      </c>
      <c r="C1016" s="9" t="s">
        <v>192</v>
      </c>
      <c r="D1016" s="7" t="s">
        <v>5832</v>
      </c>
      <c r="E1016" s="7" t="s">
        <v>5833</v>
      </c>
      <c r="F1016" s="10" t="b">
        <v>0</v>
      </c>
      <c r="G1016" s="10" t="b">
        <v>0</v>
      </c>
      <c r="H1016" s="9"/>
      <c r="I1016" s="9" t="str">
        <f t="array" ref="I1016">IF(H1016="","",VLOOKUP(H1016,_xludf.HSTACK(#REF!,#REF!),2,FALSE))</f>
        <v/>
      </c>
      <c r="J1016" s="9"/>
    </row>
    <row r="1017" spans="1:10" x14ac:dyDescent="0.25">
      <c r="A1017" s="9" t="s">
        <v>2015</v>
      </c>
      <c r="B1017" s="9" t="s">
        <v>5834</v>
      </c>
      <c r="C1017" s="9" t="s">
        <v>192</v>
      </c>
      <c r="D1017" s="7" t="s">
        <v>5835</v>
      </c>
      <c r="E1017" s="7" t="s">
        <v>5836</v>
      </c>
      <c r="F1017" s="10" t="b">
        <v>0</v>
      </c>
      <c r="G1017" s="10" t="b">
        <v>0</v>
      </c>
      <c r="H1017" s="9"/>
      <c r="I1017" s="9" t="str">
        <f t="array" ref="I1017">IF(H1017="","",VLOOKUP(H1017,_xludf.HSTACK(#REF!,#REF!),2,FALSE))</f>
        <v/>
      </c>
      <c r="J1017" s="9"/>
    </row>
    <row r="1018" spans="1:10" x14ac:dyDescent="0.25">
      <c r="A1018" s="9" t="s">
        <v>2015</v>
      </c>
      <c r="B1018" s="9" t="s">
        <v>5837</v>
      </c>
      <c r="C1018" s="9" t="s">
        <v>4</v>
      </c>
      <c r="D1018" s="7" t="s">
        <v>5309</v>
      </c>
      <c r="E1018" s="7" t="s">
        <v>5838</v>
      </c>
      <c r="F1018" s="10" t="b">
        <v>0</v>
      </c>
      <c r="G1018" s="10" t="b">
        <v>0</v>
      </c>
      <c r="H1018" s="9"/>
      <c r="I1018" s="9" t="str">
        <f t="array" ref="I1018">IF(H1018="","",VLOOKUP(H1018,_xludf.HSTACK(#REF!,#REF!),2,FALSE))</f>
        <v/>
      </c>
      <c r="J1018" s="9"/>
    </row>
    <row r="1019" spans="1:10" x14ac:dyDescent="0.25">
      <c r="A1019" s="9" t="s">
        <v>2015</v>
      </c>
      <c r="B1019" s="9" t="s">
        <v>5839</v>
      </c>
      <c r="C1019" s="9" t="s">
        <v>4</v>
      </c>
      <c r="D1019" s="7" t="s">
        <v>5840</v>
      </c>
      <c r="E1019" s="7" t="s">
        <v>5841</v>
      </c>
      <c r="F1019" s="10" t="b">
        <v>0</v>
      </c>
      <c r="G1019" s="10" t="b">
        <v>0</v>
      </c>
      <c r="H1019" s="9"/>
      <c r="I1019" s="9" t="str">
        <f t="array" ref="I1019">IF(H1019="","",VLOOKUP(H1019,_xludf.HSTACK(#REF!,#REF!),2,FALSE))</f>
        <v/>
      </c>
      <c r="J1019" s="9"/>
    </row>
    <row r="1020" spans="1:10" x14ac:dyDescent="0.25">
      <c r="A1020" s="9" t="s">
        <v>2015</v>
      </c>
      <c r="B1020" s="9" t="s">
        <v>5842</v>
      </c>
      <c r="C1020" s="9" t="s">
        <v>4</v>
      </c>
      <c r="D1020" s="7" t="s">
        <v>5393</v>
      </c>
      <c r="E1020" s="7" t="s">
        <v>5843</v>
      </c>
      <c r="F1020" s="10" t="b">
        <v>0</v>
      </c>
      <c r="G1020" s="10" t="b">
        <v>0</v>
      </c>
      <c r="H1020" s="9"/>
      <c r="I1020" s="9" t="str">
        <f t="array" ref="I1020">IF(H1020="","",VLOOKUP(H1020,_xludf.HSTACK(#REF!,#REF!),2,FALSE))</f>
        <v/>
      </c>
      <c r="J1020" s="9"/>
    </row>
    <row r="1021" spans="1:10" x14ac:dyDescent="0.25">
      <c r="A1021" s="9" t="s">
        <v>2015</v>
      </c>
      <c r="B1021" s="9" t="s">
        <v>5844</v>
      </c>
      <c r="C1021" s="9" t="s">
        <v>3</v>
      </c>
      <c r="D1021" s="7" t="s">
        <v>5840</v>
      </c>
      <c r="E1021" s="7" t="s">
        <v>5845</v>
      </c>
      <c r="F1021" s="10" t="b">
        <v>0</v>
      </c>
      <c r="G1021" s="10" t="b">
        <v>0</v>
      </c>
      <c r="H1021" s="9"/>
      <c r="I1021" s="9" t="str">
        <f t="array" ref="I1021">IF(H1021="","",VLOOKUP(H1021,_xludf.HSTACK(#REF!,#REF!),2,FALSE))</f>
        <v/>
      </c>
      <c r="J1021" s="9"/>
    </row>
    <row r="1022" spans="1:10" x14ac:dyDescent="0.25">
      <c r="A1022" s="9" t="s">
        <v>2015</v>
      </c>
      <c r="B1022" s="9" t="s">
        <v>5846</v>
      </c>
      <c r="C1022" s="9" t="s">
        <v>192</v>
      </c>
      <c r="D1022" s="7" t="s">
        <v>5847</v>
      </c>
      <c r="E1022" s="7" t="s">
        <v>5848</v>
      </c>
      <c r="F1022" s="10" t="b">
        <v>0</v>
      </c>
      <c r="G1022" s="10" t="b">
        <v>0</v>
      </c>
      <c r="H1022" s="9"/>
      <c r="I1022" s="9" t="str">
        <f t="array" ref="I1022">IF(H1022="","",VLOOKUP(H1022,_xludf.HSTACK(#REF!,#REF!),2,FALSE))</f>
        <v/>
      </c>
      <c r="J1022" s="9"/>
    </row>
    <row r="1023" spans="1:10" x14ac:dyDescent="0.25">
      <c r="A1023" s="9" t="s">
        <v>2015</v>
      </c>
      <c r="B1023" s="9" t="s">
        <v>5849</v>
      </c>
      <c r="C1023" s="9"/>
      <c r="D1023" s="9"/>
      <c r="E1023" s="9"/>
      <c r="F1023" s="10" t="b">
        <v>0</v>
      </c>
      <c r="G1023" s="10" t="b">
        <v>1</v>
      </c>
      <c r="H1023" s="9"/>
      <c r="I1023" s="9" t="str">
        <f t="array" ref="I1023">IF(H1023="","",VLOOKUP(H1023,_xludf.HSTACK(#REF!,#REF!),2,FALSE))</f>
        <v/>
      </c>
      <c r="J1023" s="9"/>
    </row>
    <row r="1024" spans="1:10" x14ac:dyDescent="0.25">
      <c r="A1024" s="9" t="s">
        <v>2015</v>
      </c>
      <c r="B1024" s="9" t="s">
        <v>5850</v>
      </c>
      <c r="C1024" s="9"/>
      <c r="D1024" s="9"/>
      <c r="E1024" s="9"/>
      <c r="F1024" s="10" t="b">
        <v>0</v>
      </c>
      <c r="G1024" s="10" t="b">
        <v>1</v>
      </c>
      <c r="H1024" s="9"/>
      <c r="I1024" s="9" t="str">
        <f t="array" ref="I1024">IF(H1024="","",VLOOKUP(H1024,_xludf.HSTACK(#REF!,#REF!),2,FALSE))</f>
        <v/>
      </c>
      <c r="J1024" s="9"/>
    </row>
    <row r="1025" spans="1:10" x14ac:dyDescent="0.25">
      <c r="A1025" s="9" t="s">
        <v>2015</v>
      </c>
      <c r="B1025" s="9" t="s">
        <v>5851</v>
      </c>
      <c r="C1025" s="9" t="s">
        <v>192</v>
      </c>
      <c r="D1025" s="7" t="s">
        <v>5852</v>
      </c>
      <c r="E1025" s="7" t="s">
        <v>5853</v>
      </c>
      <c r="F1025" s="10" t="b">
        <v>0</v>
      </c>
      <c r="G1025" s="10" t="b">
        <v>0</v>
      </c>
      <c r="H1025" s="9"/>
      <c r="I1025" s="9" t="str">
        <f t="array" ref="I1025">IF(H1025="","",VLOOKUP(H1025,_xludf.HSTACK(#REF!,#REF!),2,FALSE))</f>
        <v/>
      </c>
      <c r="J1025" s="9"/>
    </row>
    <row r="1026" spans="1:10" x14ac:dyDescent="0.25">
      <c r="A1026" s="9" t="s">
        <v>2015</v>
      </c>
      <c r="B1026" s="9" t="s">
        <v>5854</v>
      </c>
      <c r="C1026" s="9"/>
      <c r="D1026" s="9"/>
      <c r="E1026" s="9"/>
      <c r="F1026" s="10" t="b">
        <v>0</v>
      </c>
      <c r="G1026" s="10" t="b">
        <v>1</v>
      </c>
      <c r="H1026" s="9"/>
      <c r="I1026" s="9" t="str">
        <f t="array" ref="I1026">IF(H1026="","",VLOOKUP(H1026,_xludf.HSTACK(#REF!,#REF!),2,FALSE))</f>
        <v/>
      </c>
      <c r="J1026" s="9"/>
    </row>
    <row r="1027" spans="1:10" x14ac:dyDescent="0.25">
      <c r="A1027" s="9" t="s">
        <v>2015</v>
      </c>
      <c r="B1027" s="9" t="s">
        <v>5855</v>
      </c>
      <c r="C1027" s="9"/>
      <c r="D1027" s="9"/>
      <c r="E1027" s="9"/>
      <c r="F1027" s="10" t="b">
        <v>0</v>
      </c>
      <c r="G1027" s="10" t="b">
        <v>1</v>
      </c>
      <c r="H1027" s="9"/>
      <c r="I1027" s="9" t="str">
        <f t="array" ref="I1027">IF(H1027="","",VLOOKUP(H1027,_xludf.HSTACK(#REF!,#REF!),2,FALSE))</f>
        <v/>
      </c>
      <c r="J1027" s="9"/>
    </row>
    <row r="1028" spans="1:10" x14ac:dyDescent="0.25">
      <c r="A1028" s="9" t="s">
        <v>2015</v>
      </c>
      <c r="B1028" s="9" t="s">
        <v>5856</v>
      </c>
      <c r="C1028" s="9" t="s">
        <v>192</v>
      </c>
      <c r="D1028" s="7" t="s">
        <v>5857</v>
      </c>
      <c r="E1028" s="7" t="s">
        <v>5858</v>
      </c>
      <c r="F1028" s="10" t="b">
        <v>0</v>
      </c>
      <c r="G1028" s="10" t="b">
        <v>0</v>
      </c>
      <c r="H1028" s="9"/>
      <c r="I1028" s="9" t="str">
        <f t="array" ref="I1028">IF(H1028="","",VLOOKUP(H1028,_xludf.HSTACK(#REF!,#REF!),2,FALSE))</f>
        <v/>
      </c>
      <c r="J1028" s="9"/>
    </row>
    <row r="1029" spans="1:10" x14ac:dyDescent="0.25">
      <c r="A1029" s="9" t="s">
        <v>2015</v>
      </c>
      <c r="B1029" s="9" t="s">
        <v>5859</v>
      </c>
      <c r="C1029" s="9"/>
      <c r="D1029" s="9"/>
      <c r="E1029" s="9"/>
      <c r="F1029" s="10" t="b">
        <v>0</v>
      </c>
      <c r="G1029" s="10" t="b">
        <v>1</v>
      </c>
      <c r="H1029" s="9"/>
      <c r="I1029" s="9" t="str">
        <f t="array" ref="I1029">IF(H1029="","",VLOOKUP(H1029,_xludf.HSTACK(#REF!,#REF!),2,FALSE))</f>
        <v/>
      </c>
      <c r="J1029" s="9"/>
    </row>
    <row r="1030" spans="1:10" x14ac:dyDescent="0.25">
      <c r="A1030" s="9" t="s">
        <v>2015</v>
      </c>
      <c r="B1030" s="9" t="s">
        <v>5860</v>
      </c>
      <c r="C1030" s="9"/>
      <c r="D1030" s="9"/>
      <c r="E1030" s="9"/>
      <c r="F1030" s="10" t="b">
        <v>0</v>
      </c>
      <c r="G1030" s="10" t="b">
        <v>1</v>
      </c>
      <c r="H1030" s="9"/>
      <c r="I1030" s="9" t="str">
        <f t="array" ref="I1030">IF(H1030="","",VLOOKUP(H1030,_xludf.HSTACK(#REF!,#REF!),2,FALSE))</f>
        <v/>
      </c>
      <c r="J1030" s="9"/>
    </row>
    <row r="1031" spans="1:10" x14ac:dyDescent="0.25">
      <c r="A1031" s="9" t="s">
        <v>2015</v>
      </c>
      <c r="B1031" s="9" t="s">
        <v>5861</v>
      </c>
      <c r="C1031" s="9" t="s">
        <v>27</v>
      </c>
      <c r="D1031" s="9"/>
      <c r="E1031" s="7" t="s">
        <v>5862</v>
      </c>
      <c r="F1031" s="10" t="b">
        <v>0</v>
      </c>
      <c r="G1031" s="10" t="b">
        <v>0</v>
      </c>
      <c r="H1031" s="9"/>
      <c r="I1031" s="9" t="str">
        <f t="array" ref="I1031">IF(H1031="","",VLOOKUP(H1031,_xludf.HSTACK(#REF!,#REF!),2,FALSE))</f>
        <v/>
      </c>
      <c r="J1031" s="9"/>
    </row>
    <row r="1032" spans="1:10" x14ac:dyDescent="0.25">
      <c r="A1032" s="9" t="s">
        <v>2015</v>
      </c>
      <c r="B1032" s="9" t="s">
        <v>5863</v>
      </c>
      <c r="C1032" s="9" t="s">
        <v>27</v>
      </c>
      <c r="D1032" s="9"/>
      <c r="E1032" s="7" t="s">
        <v>5864</v>
      </c>
      <c r="F1032" s="10" t="b">
        <v>0</v>
      </c>
      <c r="G1032" s="10" t="b">
        <v>0</v>
      </c>
      <c r="H1032" s="9"/>
      <c r="I1032" s="9" t="str">
        <f t="array" ref="I1032">IF(H1032="","",VLOOKUP(H1032,_xludf.HSTACK(#REF!,#REF!),2,FALSE))</f>
        <v/>
      </c>
      <c r="J1032" s="9"/>
    </row>
    <row r="1033" spans="1:10" x14ac:dyDescent="0.25">
      <c r="A1033" s="9" t="s">
        <v>2015</v>
      </c>
      <c r="B1033" s="9" t="s">
        <v>5865</v>
      </c>
      <c r="C1033" s="9" t="s">
        <v>27</v>
      </c>
      <c r="D1033" s="9"/>
      <c r="E1033" s="7" t="s">
        <v>5866</v>
      </c>
      <c r="F1033" s="10" t="b">
        <v>0</v>
      </c>
      <c r="G1033" s="10" t="b">
        <v>0</v>
      </c>
      <c r="H1033" s="9"/>
      <c r="I1033" s="9" t="str">
        <f t="array" ref="I1033">IF(H1033="","",VLOOKUP(H1033,_xludf.HSTACK(#REF!,#REF!),2,FALSE))</f>
        <v/>
      </c>
      <c r="J1033" s="9"/>
    </row>
    <row r="1034" spans="1:10" x14ac:dyDescent="0.25">
      <c r="A1034" s="9" t="s">
        <v>2015</v>
      </c>
      <c r="B1034" s="9" t="s">
        <v>5867</v>
      </c>
      <c r="C1034" s="9" t="s">
        <v>27</v>
      </c>
      <c r="D1034" s="9"/>
      <c r="E1034" s="7" t="s">
        <v>5868</v>
      </c>
      <c r="F1034" s="10" t="b">
        <v>0</v>
      </c>
      <c r="G1034" s="10" t="b">
        <v>0</v>
      </c>
      <c r="H1034" s="9"/>
      <c r="I1034" s="9" t="str">
        <f t="array" ref="I1034">IF(H1034="","",VLOOKUP(H1034,_xludf.HSTACK(#REF!,#REF!),2,FALSE))</f>
        <v/>
      </c>
      <c r="J1034" s="9"/>
    </row>
    <row r="1035" spans="1:10" x14ac:dyDescent="0.25">
      <c r="A1035" s="9" t="s">
        <v>2015</v>
      </c>
      <c r="B1035" s="9" t="s">
        <v>5869</v>
      </c>
      <c r="C1035" s="9" t="s">
        <v>27</v>
      </c>
      <c r="D1035" s="9"/>
      <c r="E1035" s="7" t="s">
        <v>5870</v>
      </c>
      <c r="F1035" s="10" t="b">
        <v>0</v>
      </c>
      <c r="G1035" s="10" t="b">
        <v>0</v>
      </c>
      <c r="H1035" s="9"/>
      <c r="I1035" s="9" t="str">
        <f t="array" ref="I1035">IF(H1035="","",VLOOKUP(H1035,_xludf.HSTACK(#REF!,#REF!),2,FALSE))</f>
        <v/>
      </c>
      <c r="J1035" s="9"/>
    </row>
    <row r="1036" spans="1:10" x14ac:dyDescent="0.25">
      <c r="A1036" s="9" t="s">
        <v>2015</v>
      </c>
      <c r="B1036" s="9" t="s">
        <v>5871</v>
      </c>
      <c r="C1036" s="9" t="s">
        <v>27</v>
      </c>
      <c r="D1036" s="9"/>
      <c r="E1036" s="7" t="s">
        <v>5872</v>
      </c>
      <c r="F1036" s="10" t="b">
        <v>0</v>
      </c>
      <c r="G1036" s="10" t="b">
        <v>0</v>
      </c>
      <c r="H1036" s="9"/>
      <c r="I1036" s="9" t="str">
        <f t="array" ref="I1036">IF(H1036="","",VLOOKUP(H1036,_xludf.HSTACK(#REF!,#REF!),2,FALSE))</f>
        <v/>
      </c>
      <c r="J1036" s="9"/>
    </row>
    <row r="1037" spans="1:10" x14ac:dyDescent="0.25">
      <c r="A1037" s="9" t="s">
        <v>2015</v>
      </c>
      <c r="B1037" s="9" t="s">
        <v>5873</v>
      </c>
      <c r="C1037" s="9" t="s">
        <v>27</v>
      </c>
      <c r="D1037" s="9"/>
      <c r="E1037" s="7" t="s">
        <v>5874</v>
      </c>
      <c r="F1037" s="10" t="b">
        <v>0</v>
      </c>
      <c r="G1037" s="10" t="b">
        <v>0</v>
      </c>
      <c r="H1037" s="9"/>
      <c r="I1037" s="9" t="str">
        <f t="array" ref="I1037">IF(H1037="","",VLOOKUP(H1037,_xludf.HSTACK(#REF!,#REF!),2,FALSE))</f>
        <v/>
      </c>
      <c r="J1037" s="9"/>
    </row>
    <row r="1038" spans="1:10" x14ac:dyDescent="0.25">
      <c r="A1038" s="9" t="s">
        <v>2015</v>
      </c>
      <c r="B1038" s="9" t="s">
        <v>5875</v>
      </c>
      <c r="C1038" s="9" t="s">
        <v>27</v>
      </c>
      <c r="D1038" s="9"/>
      <c r="E1038" s="7" t="s">
        <v>5876</v>
      </c>
      <c r="F1038" s="10" t="b">
        <v>0</v>
      </c>
      <c r="G1038" s="10" t="b">
        <v>0</v>
      </c>
      <c r="H1038" s="9"/>
      <c r="I1038" s="9" t="str">
        <f t="array" ref="I1038">IF(H1038="","",VLOOKUP(H1038,_xludf.HSTACK(#REF!,#REF!),2,FALSE))</f>
        <v/>
      </c>
      <c r="J1038" s="9"/>
    </row>
    <row r="1039" spans="1:10" x14ac:dyDescent="0.25">
      <c r="A1039" s="9" t="s">
        <v>2015</v>
      </c>
      <c r="B1039" s="9" t="s">
        <v>5877</v>
      </c>
      <c r="C1039" s="9" t="s">
        <v>27</v>
      </c>
      <c r="D1039" s="9"/>
      <c r="E1039" s="7" t="s">
        <v>5878</v>
      </c>
      <c r="F1039" s="10" t="b">
        <v>0</v>
      </c>
      <c r="G1039" s="10" t="b">
        <v>0</v>
      </c>
      <c r="H1039" s="9"/>
      <c r="I1039" s="9" t="str">
        <f t="array" ref="I1039">IF(H1039="","",VLOOKUP(H1039,_xludf.HSTACK(#REF!,#REF!),2,FALSE))</f>
        <v/>
      </c>
      <c r="J1039" s="9"/>
    </row>
    <row r="1040" spans="1:10" x14ac:dyDescent="0.25">
      <c r="A1040" s="9" t="s">
        <v>2015</v>
      </c>
      <c r="B1040" s="9" t="s">
        <v>5879</v>
      </c>
      <c r="C1040" s="9" t="s">
        <v>27</v>
      </c>
      <c r="D1040" s="9"/>
      <c r="E1040" s="7" t="s">
        <v>5880</v>
      </c>
      <c r="F1040" s="10" t="b">
        <v>0</v>
      </c>
      <c r="G1040" s="10" t="b">
        <v>0</v>
      </c>
      <c r="H1040" s="9"/>
      <c r="I1040" s="9" t="str">
        <f t="array" ref="I1040">IF(H1040="","",VLOOKUP(H1040,_xludf.HSTACK(#REF!,#REF!),2,FALSE))</f>
        <v/>
      </c>
      <c r="J1040" s="9"/>
    </row>
    <row r="1041" spans="1:10" x14ac:dyDescent="0.25">
      <c r="A1041" s="9" t="s">
        <v>2015</v>
      </c>
      <c r="B1041" s="9" t="s">
        <v>5881</v>
      </c>
      <c r="C1041" s="9" t="s">
        <v>27</v>
      </c>
      <c r="D1041" s="7" t="s">
        <v>5882</v>
      </c>
      <c r="E1041" s="7" t="s">
        <v>5883</v>
      </c>
      <c r="F1041" s="10" t="b">
        <v>0</v>
      </c>
      <c r="G1041" s="10" t="b">
        <v>0</v>
      </c>
      <c r="H1041" s="9"/>
      <c r="I1041" s="9" t="str">
        <f t="array" ref="I1041">IF(H1041="","",VLOOKUP(H1041,_xludf.HSTACK(#REF!,#REF!),2,FALSE))</f>
        <v/>
      </c>
      <c r="J1041" s="9"/>
    </row>
    <row r="1042" spans="1:10" x14ac:dyDescent="0.25">
      <c r="A1042" s="9" t="s">
        <v>2015</v>
      </c>
      <c r="B1042" s="9" t="s">
        <v>5884</v>
      </c>
      <c r="C1042" s="9" t="s">
        <v>3</v>
      </c>
      <c r="D1042" s="7" t="s">
        <v>5396</v>
      </c>
      <c r="E1042" s="7" t="s">
        <v>5885</v>
      </c>
      <c r="F1042" s="10" t="b">
        <v>0</v>
      </c>
      <c r="G1042" s="10" t="b">
        <v>0</v>
      </c>
      <c r="H1042" s="9"/>
      <c r="I1042" s="9" t="str">
        <f t="array" ref="I1042">IF(H1042="","",VLOOKUP(H1042,_xludf.HSTACK(#REF!,#REF!),2,FALSE))</f>
        <v/>
      </c>
      <c r="J1042" s="9"/>
    </row>
    <row r="1043" spans="1:10" x14ac:dyDescent="0.25">
      <c r="A1043" s="9" t="s">
        <v>2015</v>
      </c>
      <c r="B1043" s="9" t="s">
        <v>5886</v>
      </c>
      <c r="C1043" s="9" t="s">
        <v>125</v>
      </c>
      <c r="D1043" s="7" t="s">
        <v>5887</v>
      </c>
      <c r="E1043" s="7" t="s">
        <v>5888</v>
      </c>
      <c r="F1043" s="10" t="b">
        <v>0</v>
      </c>
      <c r="G1043" s="10" t="b">
        <v>0</v>
      </c>
      <c r="H1043" s="9"/>
      <c r="I1043" s="9" t="str">
        <f t="array" ref="I1043">IF(H1043="","",VLOOKUP(H1043,_xludf.HSTACK(#REF!,#REF!),2,FALSE))</f>
        <v/>
      </c>
      <c r="J1043" s="9"/>
    </row>
    <row r="1044" spans="1:10" x14ac:dyDescent="0.25">
      <c r="A1044" s="9" t="s">
        <v>2015</v>
      </c>
      <c r="B1044" s="9" t="s">
        <v>5889</v>
      </c>
      <c r="C1044" s="9" t="s">
        <v>3</v>
      </c>
      <c r="D1044" s="7" t="s">
        <v>5309</v>
      </c>
      <c r="E1044" s="7" t="s">
        <v>5890</v>
      </c>
      <c r="F1044" s="10" t="b">
        <v>0</v>
      </c>
      <c r="G1044" s="10" t="b">
        <v>0</v>
      </c>
      <c r="H1044" s="9"/>
      <c r="I1044" s="9" t="str">
        <f t="array" ref="I1044">IF(H1044="","",VLOOKUP(H1044,_xludf.HSTACK(#REF!,#REF!),2,FALSE))</f>
        <v/>
      </c>
      <c r="J1044" s="9"/>
    </row>
    <row r="1045" spans="1:10" x14ac:dyDescent="0.25">
      <c r="A1045" s="9" t="s">
        <v>2015</v>
      </c>
      <c r="B1045" s="9" t="s">
        <v>5891</v>
      </c>
      <c r="C1045" s="9" t="s">
        <v>27</v>
      </c>
      <c r="D1045" s="7" t="s">
        <v>5892</v>
      </c>
      <c r="E1045" s="7" t="s">
        <v>5893</v>
      </c>
      <c r="F1045" s="10" t="b">
        <v>0</v>
      </c>
      <c r="G1045" s="10" t="b">
        <v>0</v>
      </c>
      <c r="H1045" s="9"/>
      <c r="I1045" s="9" t="str">
        <f t="array" ref="I1045">IF(H1045="","",VLOOKUP(H1045,_xludf.HSTACK(#REF!,#REF!),2,FALSE))</f>
        <v/>
      </c>
      <c r="J1045" s="9"/>
    </row>
    <row r="1046" spans="1:10" x14ac:dyDescent="0.25">
      <c r="A1046" s="9" t="s">
        <v>2015</v>
      </c>
      <c r="B1046" s="9" t="s">
        <v>5894</v>
      </c>
      <c r="C1046" s="9" t="s">
        <v>3</v>
      </c>
      <c r="D1046" s="7" t="s">
        <v>5396</v>
      </c>
      <c r="E1046" s="7" t="s">
        <v>5895</v>
      </c>
      <c r="F1046" s="10" t="b">
        <v>0</v>
      </c>
      <c r="G1046" s="10" t="b">
        <v>0</v>
      </c>
      <c r="H1046" s="9"/>
      <c r="I1046" s="9" t="str">
        <f t="array" ref="I1046">IF(H1046="","",VLOOKUP(H1046,_xludf.HSTACK(#REF!,#REF!),2,FALSE))</f>
        <v/>
      </c>
      <c r="J1046" s="9"/>
    </row>
    <row r="1047" spans="1:10" x14ac:dyDescent="0.25">
      <c r="A1047" s="9" t="s">
        <v>2015</v>
      </c>
      <c r="B1047" s="9" t="s">
        <v>5896</v>
      </c>
      <c r="C1047" s="9" t="s">
        <v>125</v>
      </c>
      <c r="D1047" s="9"/>
      <c r="E1047" s="7" t="s">
        <v>5897</v>
      </c>
      <c r="F1047" s="10" t="b">
        <v>0</v>
      </c>
      <c r="G1047" s="10" t="b">
        <v>0</v>
      </c>
      <c r="H1047" s="9"/>
      <c r="I1047" s="9" t="str">
        <f t="array" ref="I1047">IF(H1047="","",VLOOKUP(H1047,_xludf.HSTACK(#REF!,#REF!),2,FALSE))</f>
        <v/>
      </c>
      <c r="J1047" s="9"/>
    </row>
    <row r="1048" spans="1:10" x14ac:dyDescent="0.25">
      <c r="A1048" s="9" t="s">
        <v>2015</v>
      </c>
      <c r="B1048" s="9" t="s">
        <v>5898</v>
      </c>
      <c r="C1048" s="9" t="s">
        <v>27</v>
      </c>
      <c r="D1048" s="7" t="s">
        <v>5899</v>
      </c>
      <c r="E1048" s="7" t="s">
        <v>5900</v>
      </c>
      <c r="F1048" s="10" t="b">
        <v>0</v>
      </c>
      <c r="G1048" s="10" t="b">
        <v>0</v>
      </c>
      <c r="H1048" s="9"/>
      <c r="I1048" s="9" t="str">
        <f t="array" ref="I1048">IF(H1048="","",VLOOKUP(H1048,_xludf.HSTACK(#REF!,#REF!),2,FALSE))</f>
        <v/>
      </c>
      <c r="J1048" s="9"/>
    </row>
    <row r="1049" spans="1:10" x14ac:dyDescent="0.25">
      <c r="A1049" s="9" t="s">
        <v>2015</v>
      </c>
      <c r="B1049" s="9" t="s">
        <v>5901</v>
      </c>
      <c r="C1049" s="9" t="s">
        <v>4</v>
      </c>
      <c r="D1049" s="7" t="s">
        <v>5396</v>
      </c>
      <c r="E1049" s="7" t="s">
        <v>5902</v>
      </c>
      <c r="F1049" s="10" t="b">
        <v>0</v>
      </c>
      <c r="G1049" s="10" t="b">
        <v>0</v>
      </c>
      <c r="H1049" s="9"/>
      <c r="I1049" s="9" t="str">
        <f t="array" ref="I1049">IF(H1049="","",VLOOKUP(H1049,_xludf.HSTACK(#REF!,#REF!),2,FALSE))</f>
        <v/>
      </c>
      <c r="J1049" s="9"/>
    </row>
    <row r="1050" spans="1:10" x14ac:dyDescent="0.25">
      <c r="A1050" s="9" t="s">
        <v>2015</v>
      </c>
      <c r="B1050" s="9" t="s">
        <v>5903</v>
      </c>
      <c r="C1050" s="9" t="s">
        <v>4</v>
      </c>
      <c r="D1050" s="7" t="s">
        <v>5904</v>
      </c>
      <c r="E1050" s="7" t="s">
        <v>5905</v>
      </c>
      <c r="F1050" s="10" t="b">
        <v>0</v>
      </c>
      <c r="G1050" s="10" t="b">
        <v>0</v>
      </c>
      <c r="H1050" s="9"/>
      <c r="I1050" s="9" t="str">
        <f t="array" ref="I1050">IF(H1050="","",VLOOKUP(H1050,_xludf.HSTACK(#REF!,#REF!),2,FALSE))</f>
        <v/>
      </c>
      <c r="J1050" s="9"/>
    </row>
    <row r="1051" spans="1:10" x14ac:dyDescent="0.25">
      <c r="A1051" s="9" t="s">
        <v>2015</v>
      </c>
      <c r="B1051" s="9" t="s">
        <v>5906</v>
      </c>
      <c r="C1051" s="9" t="s">
        <v>3</v>
      </c>
      <c r="D1051" s="7" t="s">
        <v>5904</v>
      </c>
      <c r="E1051" s="7" t="s">
        <v>5907</v>
      </c>
      <c r="F1051" s="10" t="b">
        <v>0</v>
      </c>
      <c r="G1051" s="10" t="b">
        <v>0</v>
      </c>
      <c r="H1051" s="9"/>
      <c r="I1051" s="9" t="str">
        <f t="array" ref="I1051">IF(H1051="","",VLOOKUP(H1051,_xludf.HSTACK(#REF!,#REF!),2,FALSE))</f>
        <v/>
      </c>
      <c r="J1051" s="9"/>
    </row>
    <row r="1052" spans="1:10" x14ac:dyDescent="0.25">
      <c r="A1052" s="9" t="s">
        <v>2015</v>
      </c>
      <c r="B1052" s="9" t="s">
        <v>5908</v>
      </c>
      <c r="C1052" s="9" t="s">
        <v>4</v>
      </c>
      <c r="D1052" s="7" t="s">
        <v>5904</v>
      </c>
      <c r="E1052" s="7" t="s">
        <v>5909</v>
      </c>
      <c r="F1052" s="10" t="b">
        <v>0</v>
      </c>
      <c r="G1052" s="10" t="b">
        <v>0</v>
      </c>
      <c r="H1052" s="9"/>
      <c r="I1052" s="9" t="str">
        <f t="array" ref="I1052">IF(H1052="","",VLOOKUP(H1052,_xludf.HSTACK(#REF!,#REF!),2,FALSE))</f>
        <v/>
      </c>
      <c r="J1052" s="9"/>
    </row>
    <row r="1053" spans="1:10" x14ac:dyDescent="0.25">
      <c r="A1053" s="9" t="s">
        <v>2015</v>
      </c>
      <c r="B1053" s="9" t="s">
        <v>5910</v>
      </c>
      <c r="C1053" s="9" t="s">
        <v>4</v>
      </c>
      <c r="D1053" s="7" t="s">
        <v>5904</v>
      </c>
      <c r="E1053" s="7" t="s">
        <v>5911</v>
      </c>
      <c r="F1053" s="10" t="b">
        <v>0</v>
      </c>
      <c r="G1053" s="10" t="b">
        <v>0</v>
      </c>
      <c r="H1053" s="9"/>
      <c r="I1053" s="9" t="str">
        <f t="array" ref="I1053">IF(H1053="","",VLOOKUP(H1053,_xludf.HSTACK(#REF!,#REF!),2,FALSE))</f>
        <v/>
      </c>
      <c r="J1053" s="9"/>
    </row>
    <row r="1054" spans="1:10" x14ac:dyDescent="0.25">
      <c r="A1054" s="9" t="s">
        <v>2015</v>
      </c>
      <c r="B1054" s="9" t="s">
        <v>5912</v>
      </c>
      <c r="C1054" s="9" t="s">
        <v>3</v>
      </c>
      <c r="D1054" s="7" t="s">
        <v>5904</v>
      </c>
      <c r="E1054" s="7" t="s">
        <v>5913</v>
      </c>
      <c r="F1054" s="10" t="b">
        <v>0</v>
      </c>
      <c r="G1054" s="10" t="b">
        <v>0</v>
      </c>
      <c r="H1054" s="9"/>
      <c r="I1054" s="9" t="str">
        <f t="array" ref="I1054">IF(H1054="","",VLOOKUP(H1054,_xludf.HSTACK(#REF!,#REF!),2,FALSE))</f>
        <v/>
      </c>
      <c r="J1054" s="9"/>
    </row>
    <row r="1055" spans="1:10" x14ac:dyDescent="0.25">
      <c r="A1055" s="9" t="s">
        <v>2015</v>
      </c>
      <c r="B1055" s="9" t="s">
        <v>5914</v>
      </c>
      <c r="C1055" s="9" t="s">
        <v>3</v>
      </c>
      <c r="D1055" s="7" t="s">
        <v>5904</v>
      </c>
      <c r="E1055" s="7" t="s">
        <v>5915</v>
      </c>
      <c r="F1055" s="10" t="b">
        <v>0</v>
      </c>
      <c r="G1055" s="10" t="b">
        <v>0</v>
      </c>
      <c r="H1055" s="9"/>
      <c r="I1055" s="9" t="str">
        <f t="array" ref="I1055">IF(H1055="","",VLOOKUP(H1055,_xludf.HSTACK(#REF!,#REF!),2,FALSE))</f>
        <v/>
      </c>
      <c r="J1055" s="9"/>
    </row>
    <row r="1056" spans="1:10" x14ac:dyDescent="0.25">
      <c r="A1056" s="9" t="s">
        <v>2015</v>
      </c>
      <c r="B1056" s="9" t="s">
        <v>5916</v>
      </c>
      <c r="C1056" s="9" t="s">
        <v>3</v>
      </c>
      <c r="D1056" s="7" t="s">
        <v>5904</v>
      </c>
      <c r="E1056" s="7" t="s">
        <v>5917</v>
      </c>
      <c r="F1056" s="10" t="b">
        <v>0</v>
      </c>
      <c r="G1056" s="10" t="b">
        <v>0</v>
      </c>
      <c r="H1056" s="9"/>
      <c r="I1056" s="9" t="str">
        <f t="array" ref="I1056">IF(H1056="","",VLOOKUP(H1056,_xludf.HSTACK(#REF!,#REF!),2,FALSE))</f>
        <v/>
      </c>
      <c r="J1056" s="9"/>
    </row>
    <row r="1057" spans="1:10" x14ac:dyDescent="0.25">
      <c r="A1057" s="9" t="s">
        <v>2015</v>
      </c>
      <c r="B1057" s="9" t="s">
        <v>5918</v>
      </c>
      <c r="C1057" s="9" t="s">
        <v>4</v>
      </c>
      <c r="D1057" s="7" t="s">
        <v>5904</v>
      </c>
      <c r="E1057" s="7" t="s">
        <v>5919</v>
      </c>
      <c r="F1057" s="10" t="b">
        <v>0</v>
      </c>
      <c r="G1057" s="10" t="b">
        <v>0</v>
      </c>
      <c r="H1057" s="9"/>
      <c r="I1057" s="9" t="str">
        <f t="array" ref="I1057">IF(H1057="","",VLOOKUP(H1057,_xludf.HSTACK(#REF!,#REF!),2,FALSE))</f>
        <v/>
      </c>
      <c r="J1057" s="9"/>
    </row>
    <row r="1058" spans="1:10" x14ac:dyDescent="0.25">
      <c r="A1058" s="9" t="s">
        <v>2015</v>
      </c>
      <c r="B1058" s="9" t="s">
        <v>5920</v>
      </c>
      <c r="C1058" s="9" t="s">
        <v>4</v>
      </c>
      <c r="D1058" s="7" t="s">
        <v>5904</v>
      </c>
      <c r="E1058" s="7" t="s">
        <v>5921</v>
      </c>
      <c r="F1058" s="10" t="b">
        <v>0</v>
      </c>
      <c r="G1058" s="10" t="b">
        <v>0</v>
      </c>
      <c r="H1058" s="9"/>
      <c r="I1058" s="9" t="str">
        <f t="array" ref="I1058">IF(H1058="","",VLOOKUP(H1058,_xludf.HSTACK(#REF!,#REF!),2,FALSE))</f>
        <v/>
      </c>
      <c r="J1058" s="9"/>
    </row>
    <row r="1059" spans="1:10" x14ac:dyDescent="0.25">
      <c r="A1059" s="9" t="s">
        <v>2015</v>
      </c>
      <c r="B1059" s="9" t="s">
        <v>5922</v>
      </c>
      <c r="C1059" s="9" t="s">
        <v>3</v>
      </c>
      <c r="D1059" s="7" t="s">
        <v>5904</v>
      </c>
      <c r="E1059" s="7" t="s">
        <v>5923</v>
      </c>
      <c r="F1059" s="10" t="b">
        <v>0</v>
      </c>
      <c r="G1059" s="10" t="b">
        <v>0</v>
      </c>
      <c r="H1059" s="9"/>
      <c r="I1059" s="9" t="str">
        <f t="array" ref="I1059">IF(H1059="","",VLOOKUP(H1059,_xludf.HSTACK(#REF!,#REF!),2,FALSE))</f>
        <v/>
      </c>
      <c r="J1059" s="9"/>
    </row>
    <row r="1060" spans="1:10" x14ac:dyDescent="0.25">
      <c r="A1060" s="9" t="s">
        <v>2015</v>
      </c>
      <c r="B1060" s="9" t="s">
        <v>5924</v>
      </c>
      <c r="C1060" s="9" t="s">
        <v>3</v>
      </c>
      <c r="D1060" s="7" t="s">
        <v>5904</v>
      </c>
      <c r="E1060" s="7" t="s">
        <v>5925</v>
      </c>
      <c r="F1060" s="10" t="b">
        <v>0</v>
      </c>
      <c r="G1060" s="10" t="b">
        <v>0</v>
      </c>
      <c r="H1060" s="9"/>
      <c r="I1060" s="9" t="str">
        <f t="array" ref="I1060">IF(H1060="","",VLOOKUP(H1060,_xludf.HSTACK(#REF!,#REF!),2,FALSE))</f>
        <v/>
      </c>
      <c r="J1060" s="9"/>
    </row>
    <row r="1061" spans="1:10" x14ac:dyDescent="0.25">
      <c r="A1061" s="9" t="s">
        <v>2015</v>
      </c>
      <c r="B1061" s="9" t="s">
        <v>5926</v>
      </c>
      <c r="C1061" s="9" t="s">
        <v>4</v>
      </c>
      <c r="D1061" s="7" t="s">
        <v>5904</v>
      </c>
      <c r="E1061" s="7" t="s">
        <v>5927</v>
      </c>
      <c r="F1061" s="10" t="b">
        <v>0</v>
      </c>
      <c r="G1061" s="10" t="b">
        <v>0</v>
      </c>
      <c r="H1061" s="9"/>
      <c r="I1061" s="9" t="str">
        <f t="array" ref="I1061">IF(H1061="","",VLOOKUP(H1061,_xludf.HSTACK(#REF!,#REF!),2,FALSE))</f>
        <v/>
      </c>
      <c r="J1061" s="9"/>
    </row>
    <row r="1062" spans="1:10" x14ac:dyDescent="0.25">
      <c r="A1062" s="9" t="s">
        <v>2015</v>
      </c>
      <c r="B1062" s="9" t="s">
        <v>5928</v>
      </c>
      <c r="C1062" s="9" t="s">
        <v>4</v>
      </c>
      <c r="D1062" s="7" t="s">
        <v>5904</v>
      </c>
      <c r="E1062" s="7" t="s">
        <v>5929</v>
      </c>
      <c r="F1062" s="10" t="b">
        <v>0</v>
      </c>
      <c r="G1062" s="10" t="b">
        <v>0</v>
      </c>
      <c r="H1062" s="9"/>
      <c r="I1062" s="9" t="str">
        <f t="array" ref="I1062">IF(H1062="","",VLOOKUP(H1062,_xludf.HSTACK(#REF!,#REF!),2,FALSE))</f>
        <v/>
      </c>
      <c r="J1062" s="9"/>
    </row>
    <row r="1063" spans="1:10" x14ac:dyDescent="0.25">
      <c r="A1063" s="9" t="s">
        <v>2015</v>
      </c>
      <c r="B1063" s="9" t="s">
        <v>5930</v>
      </c>
      <c r="C1063" s="9" t="s">
        <v>4</v>
      </c>
      <c r="D1063" s="7" t="s">
        <v>5393</v>
      </c>
      <c r="E1063" s="7" t="s">
        <v>5931</v>
      </c>
      <c r="F1063" s="10" t="b">
        <v>0</v>
      </c>
      <c r="G1063" s="10" t="b">
        <v>0</v>
      </c>
      <c r="H1063" s="9"/>
      <c r="I1063" s="9" t="str">
        <f t="array" ref="I1063">IF(H1063="","",VLOOKUP(H1063,_xludf.HSTACK(#REF!,#REF!),2,FALSE))</f>
        <v/>
      </c>
      <c r="J1063" s="9"/>
    </row>
    <row r="1064" spans="1:10" x14ac:dyDescent="0.25">
      <c r="A1064" s="9" t="s">
        <v>2015</v>
      </c>
      <c r="B1064" s="9" t="s">
        <v>5932</v>
      </c>
      <c r="C1064" s="9" t="s">
        <v>4</v>
      </c>
      <c r="D1064" s="7" t="s">
        <v>5393</v>
      </c>
      <c r="E1064" s="7" t="s">
        <v>5933</v>
      </c>
      <c r="F1064" s="10" t="b">
        <v>0</v>
      </c>
      <c r="G1064" s="10" t="b">
        <v>0</v>
      </c>
      <c r="H1064" s="9"/>
      <c r="I1064" s="9" t="str">
        <f t="array" ref="I1064">IF(H1064="","",VLOOKUP(H1064,_xludf.HSTACK(#REF!,#REF!),2,FALSE))</f>
        <v/>
      </c>
      <c r="J1064" s="9"/>
    </row>
    <row r="1065" spans="1:10" x14ac:dyDescent="0.25">
      <c r="A1065" s="9" t="s">
        <v>2015</v>
      </c>
      <c r="B1065" s="9" t="s">
        <v>5934</v>
      </c>
      <c r="C1065" s="9" t="s">
        <v>4</v>
      </c>
      <c r="D1065" s="7" t="s">
        <v>5840</v>
      </c>
      <c r="E1065" s="7" t="s">
        <v>5935</v>
      </c>
      <c r="F1065" s="10" t="b">
        <v>0</v>
      </c>
      <c r="G1065" s="10" t="b">
        <v>0</v>
      </c>
      <c r="H1065" s="9"/>
      <c r="I1065" s="9" t="str">
        <f t="array" ref="I1065">IF(H1065="","",VLOOKUP(H1065,_xludf.HSTACK(#REF!,#REF!),2,FALSE))</f>
        <v/>
      </c>
      <c r="J1065" s="9"/>
    </row>
    <row r="1066" spans="1:10" x14ac:dyDescent="0.25">
      <c r="A1066" s="9" t="s">
        <v>2015</v>
      </c>
      <c r="B1066" s="9" t="s">
        <v>5936</v>
      </c>
      <c r="C1066" s="9" t="s">
        <v>3</v>
      </c>
      <c r="D1066" s="7" t="s">
        <v>5840</v>
      </c>
      <c r="E1066" s="7" t="s">
        <v>5937</v>
      </c>
      <c r="F1066" s="10" t="b">
        <v>0</v>
      </c>
      <c r="G1066" s="10" t="b">
        <v>0</v>
      </c>
      <c r="H1066" s="9"/>
      <c r="I1066" s="9" t="str">
        <f t="array" ref="I1066">IF(H1066="","",VLOOKUP(H1066,_xludf.HSTACK(#REF!,#REF!),2,FALSE))</f>
        <v/>
      </c>
      <c r="J1066" s="9"/>
    </row>
    <row r="1067" spans="1:10" x14ac:dyDescent="0.25">
      <c r="A1067" s="9" t="s">
        <v>2015</v>
      </c>
      <c r="B1067" s="9" t="s">
        <v>5938</v>
      </c>
      <c r="C1067" s="9" t="s">
        <v>4</v>
      </c>
      <c r="D1067" s="7" t="s">
        <v>5309</v>
      </c>
      <c r="E1067" s="7" t="s">
        <v>5939</v>
      </c>
      <c r="F1067" s="10" t="b">
        <v>0</v>
      </c>
      <c r="G1067" s="10" t="b">
        <v>0</v>
      </c>
      <c r="H1067" s="9"/>
      <c r="I1067" s="9" t="str">
        <f t="array" ref="I1067">IF(H1067="","",VLOOKUP(H1067,_xludf.HSTACK(#REF!,#REF!),2,FALSE))</f>
        <v/>
      </c>
      <c r="J1067" s="9"/>
    </row>
    <row r="1068" spans="1:10" x14ac:dyDescent="0.25">
      <c r="A1068" s="9" t="s">
        <v>2015</v>
      </c>
      <c r="B1068" s="9" t="s">
        <v>5940</v>
      </c>
      <c r="C1068" s="9" t="s">
        <v>4</v>
      </c>
      <c r="D1068" s="7" t="s">
        <v>5309</v>
      </c>
      <c r="E1068" s="7" t="s">
        <v>5941</v>
      </c>
      <c r="F1068" s="10" t="b">
        <v>0</v>
      </c>
      <c r="G1068" s="10" t="b">
        <v>0</v>
      </c>
      <c r="H1068" s="9"/>
      <c r="I1068" s="9" t="str">
        <f t="array" ref="I1068">IF(H1068="","",VLOOKUP(H1068,_xludf.HSTACK(#REF!,#REF!),2,FALSE))</f>
        <v/>
      </c>
      <c r="J1068" s="9"/>
    </row>
    <row r="1069" spans="1:10" x14ac:dyDescent="0.25">
      <c r="A1069" s="9" t="s">
        <v>2015</v>
      </c>
      <c r="B1069" s="9" t="s">
        <v>5942</v>
      </c>
      <c r="C1069" s="9" t="s">
        <v>4</v>
      </c>
      <c r="D1069" s="7" t="s">
        <v>5309</v>
      </c>
      <c r="E1069" s="7" t="s">
        <v>5943</v>
      </c>
      <c r="F1069" s="10" t="b">
        <v>0</v>
      </c>
      <c r="G1069" s="10" t="b">
        <v>0</v>
      </c>
      <c r="H1069" s="9"/>
      <c r="I1069" s="9" t="str">
        <f t="array" ref="I1069">IF(H1069="","",VLOOKUP(H1069,_xludf.HSTACK(#REF!,#REF!),2,FALSE))</f>
        <v/>
      </c>
      <c r="J1069" s="9"/>
    </row>
    <row r="1070" spans="1:10" x14ac:dyDescent="0.25">
      <c r="A1070" s="9" t="s">
        <v>2015</v>
      </c>
      <c r="B1070" s="9" t="s">
        <v>5944</v>
      </c>
      <c r="C1070" s="9" t="s">
        <v>3</v>
      </c>
      <c r="D1070" s="7" t="s">
        <v>5309</v>
      </c>
      <c r="E1070" s="7" t="s">
        <v>5945</v>
      </c>
      <c r="F1070" s="10" t="b">
        <v>0</v>
      </c>
      <c r="G1070" s="10" t="b">
        <v>0</v>
      </c>
      <c r="H1070" s="9"/>
      <c r="I1070" s="9" t="str">
        <f t="array" ref="I1070">IF(H1070="","",VLOOKUP(H1070,_xludf.HSTACK(#REF!,#REF!),2,FALSE))</f>
        <v/>
      </c>
      <c r="J1070" s="9"/>
    </row>
    <row r="1071" spans="1:10" x14ac:dyDescent="0.25">
      <c r="A1071" s="9" t="s">
        <v>2015</v>
      </c>
      <c r="B1071" s="9" t="s">
        <v>5946</v>
      </c>
      <c r="C1071" s="9" t="s">
        <v>4</v>
      </c>
      <c r="D1071" s="7" t="s">
        <v>5309</v>
      </c>
      <c r="E1071" s="7" t="s">
        <v>5947</v>
      </c>
      <c r="F1071" s="10" t="b">
        <v>0</v>
      </c>
      <c r="G1071" s="10" t="b">
        <v>0</v>
      </c>
      <c r="H1071" s="9"/>
      <c r="I1071" s="9" t="str">
        <f t="array" ref="I1071">IF(H1071="","",VLOOKUP(H1071,_xludf.HSTACK(#REF!,#REF!),2,FALSE))</f>
        <v/>
      </c>
      <c r="J1071" s="9"/>
    </row>
    <row r="1072" spans="1:10" x14ac:dyDescent="0.25">
      <c r="A1072" s="9" t="s">
        <v>2015</v>
      </c>
      <c r="B1072" s="9" t="s">
        <v>5948</v>
      </c>
      <c r="C1072" s="9" t="s">
        <v>4</v>
      </c>
      <c r="D1072" s="7" t="s">
        <v>5309</v>
      </c>
      <c r="E1072" s="7" t="s">
        <v>5949</v>
      </c>
      <c r="F1072" s="10" t="b">
        <v>0</v>
      </c>
      <c r="G1072" s="10" t="b">
        <v>0</v>
      </c>
      <c r="H1072" s="9"/>
      <c r="I1072" s="9" t="str">
        <f t="array" ref="I1072">IF(H1072="","",VLOOKUP(H1072,_xludf.HSTACK(#REF!,#REF!),2,FALSE))</f>
        <v/>
      </c>
      <c r="J1072" s="9"/>
    </row>
    <row r="1073" spans="1:10" x14ac:dyDescent="0.25">
      <c r="A1073" s="9" t="s">
        <v>2015</v>
      </c>
      <c r="B1073" s="9" t="s">
        <v>5950</v>
      </c>
      <c r="C1073" s="9" t="s">
        <v>4</v>
      </c>
      <c r="D1073" s="7" t="s">
        <v>5309</v>
      </c>
      <c r="E1073" s="7" t="s">
        <v>5951</v>
      </c>
      <c r="F1073" s="10" t="b">
        <v>0</v>
      </c>
      <c r="G1073" s="10" t="b">
        <v>0</v>
      </c>
      <c r="H1073" s="9"/>
      <c r="I1073" s="9" t="str">
        <f t="array" ref="I1073">IF(H1073="","",VLOOKUP(H1073,_xludf.HSTACK(#REF!,#REF!),2,FALSE))</f>
        <v/>
      </c>
      <c r="J1073" s="9"/>
    </row>
    <row r="1074" spans="1:10" x14ac:dyDescent="0.25">
      <c r="A1074" s="9" t="s">
        <v>2015</v>
      </c>
      <c r="B1074" s="9" t="s">
        <v>5952</v>
      </c>
      <c r="C1074" s="9" t="s">
        <v>4</v>
      </c>
      <c r="D1074" s="7" t="s">
        <v>5309</v>
      </c>
      <c r="E1074" s="7" t="s">
        <v>5953</v>
      </c>
      <c r="F1074" s="10" t="b">
        <v>0</v>
      </c>
      <c r="G1074" s="10" t="b">
        <v>0</v>
      </c>
      <c r="H1074" s="9" t="s">
        <v>50</v>
      </c>
      <c r="I1074" s="9" t="e">
        <f t="array" aca="1" ref="I1074" ca="1">IF(H1074="","",VLOOKUP(H1074,_xludf.HSTACK(#REF!,#REF!),2,FALSE))</f>
        <v>#NAME?</v>
      </c>
      <c r="J1074" s="9"/>
    </row>
    <row r="1075" spans="1:10" x14ac:dyDescent="0.25">
      <c r="A1075" s="9" t="s">
        <v>2015</v>
      </c>
      <c r="B1075" s="9" t="s">
        <v>5954</v>
      </c>
      <c r="C1075" s="9" t="s">
        <v>3</v>
      </c>
      <c r="D1075" s="7" t="s">
        <v>5309</v>
      </c>
      <c r="E1075" s="7" t="s">
        <v>5955</v>
      </c>
      <c r="F1075" s="10" t="b">
        <v>0</v>
      </c>
      <c r="G1075" s="10" t="b">
        <v>0</v>
      </c>
      <c r="H1075" s="9"/>
      <c r="I1075" s="9" t="str">
        <f t="array" ref="I1075">IF(H1075="","",VLOOKUP(H1075,_xludf.HSTACK(#REF!,#REF!),2,FALSE))</f>
        <v/>
      </c>
      <c r="J1075" s="9"/>
    </row>
    <row r="1076" spans="1:10" x14ac:dyDescent="0.25">
      <c r="A1076" s="9" t="s">
        <v>2015</v>
      </c>
      <c r="B1076" s="9" t="s">
        <v>5956</v>
      </c>
      <c r="C1076" s="9" t="s">
        <v>3</v>
      </c>
      <c r="D1076" s="7" t="s">
        <v>5309</v>
      </c>
      <c r="E1076" s="7" t="s">
        <v>5957</v>
      </c>
      <c r="F1076" s="10" t="b">
        <v>0</v>
      </c>
      <c r="G1076" s="10" t="b">
        <v>0</v>
      </c>
      <c r="H1076" s="9"/>
      <c r="I1076" s="9" t="str">
        <f t="array" ref="I1076">IF(H1076="","",VLOOKUP(H1076,_xludf.HSTACK(#REF!,#REF!),2,FALSE))</f>
        <v/>
      </c>
      <c r="J1076" s="9"/>
    </row>
    <row r="1077" spans="1:10" x14ac:dyDescent="0.25">
      <c r="A1077" s="9" t="s">
        <v>2015</v>
      </c>
      <c r="B1077" s="9" t="s">
        <v>5958</v>
      </c>
      <c r="C1077" s="9" t="s">
        <v>3</v>
      </c>
      <c r="D1077" s="7" t="s">
        <v>5309</v>
      </c>
      <c r="E1077" s="7" t="s">
        <v>5959</v>
      </c>
      <c r="F1077" s="10" t="b">
        <v>0</v>
      </c>
      <c r="G1077" s="10" t="b">
        <v>0</v>
      </c>
      <c r="H1077" s="9"/>
      <c r="I1077" s="9" t="str">
        <f t="array" ref="I1077">IF(H1077="","",VLOOKUP(H1077,_xludf.HSTACK(#REF!,#REF!),2,FALSE))</f>
        <v/>
      </c>
      <c r="J1077" s="9"/>
    </row>
    <row r="1078" spans="1:10" x14ac:dyDescent="0.25">
      <c r="A1078" s="9" t="s">
        <v>2015</v>
      </c>
      <c r="B1078" s="9" t="s">
        <v>5960</v>
      </c>
      <c r="C1078" s="9" t="s">
        <v>581</v>
      </c>
      <c r="D1078" s="7" t="s">
        <v>5961</v>
      </c>
      <c r="E1078" s="7" t="s">
        <v>5962</v>
      </c>
      <c r="F1078" s="10" t="b">
        <v>0</v>
      </c>
      <c r="G1078" s="10" t="b">
        <v>0</v>
      </c>
      <c r="H1078" s="9"/>
      <c r="I1078" s="9" t="str">
        <f t="array" ref="I1078">IF(H1078="","",VLOOKUP(H1078,_xludf.HSTACK(#REF!,#REF!),2,FALSE))</f>
        <v/>
      </c>
      <c r="J1078" s="9"/>
    </row>
    <row r="1079" spans="1:10" x14ac:dyDescent="0.25">
      <c r="A1079" s="9" t="s">
        <v>2015</v>
      </c>
      <c r="B1079" s="9" t="s">
        <v>5963</v>
      </c>
      <c r="C1079" s="9" t="s">
        <v>581</v>
      </c>
      <c r="D1079" s="7" t="s">
        <v>5964</v>
      </c>
      <c r="E1079" s="7" t="s">
        <v>5965</v>
      </c>
      <c r="F1079" s="10" t="b">
        <v>0</v>
      </c>
      <c r="G1079" s="10" t="b">
        <v>0</v>
      </c>
      <c r="H1079" s="9"/>
      <c r="I1079" s="9" t="str">
        <f t="array" ref="I1079">IF(H1079="","",VLOOKUP(H1079,_xludf.HSTACK(#REF!,#REF!),2,FALSE))</f>
        <v/>
      </c>
      <c r="J1079" s="9"/>
    </row>
    <row r="1080" spans="1:10" x14ac:dyDescent="0.25">
      <c r="A1080" s="9" t="s">
        <v>2015</v>
      </c>
      <c r="B1080" s="9" t="s">
        <v>5966</v>
      </c>
      <c r="C1080" s="9" t="s">
        <v>581</v>
      </c>
      <c r="D1080" s="7" t="s">
        <v>5967</v>
      </c>
      <c r="E1080" s="7" t="s">
        <v>5968</v>
      </c>
      <c r="F1080" s="10" t="b">
        <v>0</v>
      </c>
      <c r="G1080" s="10" t="b">
        <v>0</v>
      </c>
      <c r="H1080" s="9"/>
      <c r="I1080" s="9" t="str">
        <f t="array" ref="I1080">IF(H1080="","",VLOOKUP(H1080,_xludf.HSTACK(#REF!,#REF!),2,FALSE))</f>
        <v/>
      </c>
      <c r="J1080" s="9"/>
    </row>
    <row r="1081" spans="1:10" x14ac:dyDescent="0.25">
      <c r="A1081" s="9" t="s">
        <v>2015</v>
      </c>
      <c r="B1081" s="9" t="s">
        <v>5969</v>
      </c>
      <c r="C1081" s="9" t="s">
        <v>1308</v>
      </c>
      <c r="D1081" s="7" t="s">
        <v>5970</v>
      </c>
      <c r="E1081" s="7" t="s">
        <v>5971</v>
      </c>
      <c r="F1081" s="10" t="b">
        <v>0</v>
      </c>
      <c r="G1081" s="10" t="b">
        <v>0</v>
      </c>
      <c r="H1081" s="9"/>
      <c r="I1081" s="9" t="str">
        <f t="array" ref="I1081">IF(H1081="","",VLOOKUP(H1081,_xludf.HSTACK(#REF!,#REF!),2,FALSE))</f>
        <v/>
      </c>
      <c r="J1081" s="9"/>
    </row>
    <row r="1082" spans="1:10" x14ac:dyDescent="0.25">
      <c r="A1082" s="9" t="s">
        <v>2015</v>
      </c>
      <c r="B1082" s="9" t="s">
        <v>5972</v>
      </c>
      <c r="C1082" s="9" t="s">
        <v>1308</v>
      </c>
      <c r="D1082" s="7" t="s">
        <v>5973</v>
      </c>
      <c r="E1082" s="7" t="s">
        <v>5974</v>
      </c>
      <c r="F1082" s="10" t="b">
        <v>0</v>
      </c>
      <c r="G1082" s="10" t="b">
        <v>0</v>
      </c>
      <c r="H1082" s="9"/>
      <c r="I1082" s="9" t="str">
        <f t="array" ref="I1082">IF(H1082="","",VLOOKUP(H1082,_xludf.HSTACK(#REF!,#REF!),2,FALSE))</f>
        <v/>
      </c>
      <c r="J1082" s="9"/>
    </row>
    <row r="1083" spans="1:10" x14ac:dyDescent="0.25">
      <c r="A1083" s="9" t="s">
        <v>2015</v>
      </c>
      <c r="B1083" s="9" t="s">
        <v>5975</v>
      </c>
      <c r="C1083" s="9" t="s">
        <v>219</v>
      </c>
      <c r="D1083" s="7" t="s">
        <v>5390</v>
      </c>
      <c r="E1083" s="7" t="s">
        <v>5976</v>
      </c>
      <c r="F1083" s="10" t="b">
        <v>0</v>
      </c>
      <c r="G1083" s="10" t="b">
        <v>0</v>
      </c>
      <c r="H1083" s="9"/>
      <c r="I1083" s="9" t="str">
        <f t="array" ref="I1083">IF(H1083="","",VLOOKUP(H1083,_xludf.HSTACK(#REF!,#REF!),2,FALSE))</f>
        <v/>
      </c>
      <c r="J1083" s="9"/>
    </row>
    <row r="1084" spans="1:10" x14ac:dyDescent="0.25">
      <c r="A1084" s="9" t="s">
        <v>2015</v>
      </c>
      <c r="B1084" s="9" t="s">
        <v>5977</v>
      </c>
      <c r="C1084" s="9" t="s">
        <v>219</v>
      </c>
      <c r="D1084" s="7" t="s">
        <v>5390</v>
      </c>
      <c r="E1084" s="7" t="s">
        <v>5978</v>
      </c>
      <c r="F1084" s="10" t="b">
        <v>0</v>
      </c>
      <c r="G1084" s="10" t="b">
        <v>0</v>
      </c>
      <c r="H1084" s="9"/>
      <c r="I1084" s="9" t="str">
        <f t="array" ref="I1084">IF(H1084="","",VLOOKUP(H1084,_xludf.HSTACK(#REF!,#REF!),2,FALSE))</f>
        <v/>
      </c>
      <c r="J1084" s="9"/>
    </row>
    <row r="1085" spans="1:10" x14ac:dyDescent="0.25">
      <c r="A1085" s="9" t="s">
        <v>2015</v>
      </c>
      <c r="B1085" s="9" t="s">
        <v>5979</v>
      </c>
      <c r="C1085" s="9" t="s">
        <v>219</v>
      </c>
      <c r="D1085" s="7" t="s">
        <v>5390</v>
      </c>
      <c r="E1085" s="7" t="s">
        <v>5980</v>
      </c>
      <c r="F1085" s="10" t="b">
        <v>0</v>
      </c>
      <c r="G1085" s="10" t="b">
        <v>0</v>
      </c>
      <c r="H1085" s="9"/>
      <c r="I1085" s="9" t="str">
        <f t="array" ref="I1085">IF(H1085="","",VLOOKUP(H1085,_xludf.HSTACK(#REF!,#REF!),2,FALSE))</f>
        <v/>
      </c>
      <c r="J1085" s="9"/>
    </row>
    <row r="1086" spans="1:10" x14ac:dyDescent="0.25">
      <c r="A1086" s="11" t="s">
        <v>1104</v>
      </c>
      <c r="B1086" s="11" t="s">
        <v>5981</v>
      </c>
      <c r="C1086" s="11"/>
      <c r="D1086" s="12" t="s">
        <v>5982</v>
      </c>
      <c r="E1086" s="12" t="s">
        <v>5983</v>
      </c>
      <c r="F1086" s="13" t="b">
        <v>0</v>
      </c>
      <c r="G1086" s="13" t="b">
        <v>1</v>
      </c>
      <c r="H1086" s="11" t="s">
        <v>35</v>
      </c>
      <c r="I1086" s="11" t="e">
        <f t="array" aca="1" ref="I1086" ca="1">IF(H1086="","",VLOOKUP(H1086,_xludf.HSTACK(#REF!,#REF!),2,FALSE))</f>
        <v>#NAME?</v>
      </c>
      <c r="J1086" s="11"/>
    </row>
    <row r="1087" spans="1:10" x14ac:dyDescent="0.25">
      <c r="A1087" s="11" t="s">
        <v>1104</v>
      </c>
      <c r="B1087" s="11" t="s">
        <v>5984</v>
      </c>
      <c r="C1087" s="11"/>
      <c r="D1087" s="11"/>
      <c r="E1087" s="12" t="s">
        <v>5985</v>
      </c>
      <c r="F1087" s="13" t="b">
        <v>0</v>
      </c>
      <c r="G1087" s="13" t="b">
        <v>1</v>
      </c>
      <c r="H1087" s="11"/>
      <c r="I1087" s="11" t="str">
        <f t="array" ref="I1087">IF(H1087="","",VLOOKUP(H1087,_xludf.HSTACK(#REF!,#REF!),2,FALSE))</f>
        <v/>
      </c>
      <c r="J1087" s="11"/>
    </row>
    <row r="1088" spans="1:10" x14ac:dyDescent="0.25">
      <c r="A1088" s="11" t="s">
        <v>1104</v>
      </c>
      <c r="B1088" s="11" t="s">
        <v>5986</v>
      </c>
      <c r="C1088" s="11"/>
      <c r="D1088" s="11"/>
      <c r="E1088" s="12" t="s">
        <v>5987</v>
      </c>
      <c r="F1088" s="13" t="b">
        <v>0</v>
      </c>
      <c r="G1088" s="13" t="b">
        <v>1</v>
      </c>
      <c r="H1088" s="11"/>
      <c r="I1088" s="11" t="str">
        <f t="array" ref="I1088">IF(H1088="","",VLOOKUP(H1088,_xludf.HSTACK(#REF!,#REF!),2,FALSE))</f>
        <v/>
      </c>
      <c r="J1088" s="11"/>
    </row>
    <row r="1089" spans="1:10" x14ac:dyDescent="0.25">
      <c r="A1089" s="11" t="s">
        <v>1104</v>
      </c>
      <c r="B1089" s="11" t="s">
        <v>5988</v>
      </c>
      <c r="C1089" s="11"/>
      <c r="D1089" s="11"/>
      <c r="E1089" s="12" t="s">
        <v>5281</v>
      </c>
      <c r="F1089" s="13" t="b">
        <v>0</v>
      </c>
      <c r="G1089" s="13" t="b">
        <v>1</v>
      </c>
      <c r="H1089" s="11"/>
      <c r="I1089" s="11" t="str">
        <f t="array" ref="I1089">IF(H1089="","",VLOOKUP(H1089,_xludf.HSTACK(#REF!,#REF!),2,FALSE))</f>
        <v/>
      </c>
      <c r="J1089" s="11"/>
    </row>
    <row r="1090" spans="1:10" x14ac:dyDescent="0.25">
      <c r="A1090" s="11" t="s">
        <v>1104</v>
      </c>
      <c r="B1090" s="11" t="s">
        <v>5989</v>
      </c>
      <c r="C1090" s="11"/>
      <c r="D1090" s="11"/>
      <c r="E1090" s="12" t="s">
        <v>5990</v>
      </c>
      <c r="F1090" s="13" t="b">
        <v>0</v>
      </c>
      <c r="G1090" s="13" t="b">
        <v>1</v>
      </c>
      <c r="H1090" s="11" t="s">
        <v>32</v>
      </c>
      <c r="I1090" s="11" t="e">
        <f t="array" aca="1" ref="I1090" ca="1">IF(H1090="","",VLOOKUP(H1090,_xludf.HSTACK(#REF!,#REF!),2,FALSE))</f>
        <v>#NAME?</v>
      </c>
      <c r="J1090" s="11"/>
    </row>
    <row r="1091" spans="1:10" x14ac:dyDescent="0.25">
      <c r="A1091" s="11" t="s">
        <v>1104</v>
      </c>
      <c r="B1091" s="11" t="s">
        <v>5991</v>
      </c>
      <c r="C1091" s="11"/>
      <c r="D1091" s="11"/>
      <c r="E1091" s="12" t="s">
        <v>5992</v>
      </c>
      <c r="F1091" s="13" t="b">
        <v>0</v>
      </c>
      <c r="G1091" s="13" t="b">
        <v>1</v>
      </c>
      <c r="H1091" s="11" t="s">
        <v>30</v>
      </c>
      <c r="I1091" s="11" t="e">
        <f t="array" aca="1" ref="I1091" ca="1">IF(H1091="","",VLOOKUP(H1091,_xludf.HSTACK(#REF!,#REF!),2,FALSE))</f>
        <v>#NAME?</v>
      </c>
      <c r="J1091" s="11"/>
    </row>
    <row r="1092" spans="1:10" x14ac:dyDescent="0.25">
      <c r="A1092" s="11" t="s">
        <v>1104</v>
      </c>
      <c r="B1092" s="11" t="s">
        <v>5993</v>
      </c>
      <c r="C1092" s="11"/>
      <c r="D1092" s="11"/>
      <c r="E1092" s="12" t="s">
        <v>5994</v>
      </c>
      <c r="F1092" s="13" t="b">
        <v>0</v>
      </c>
      <c r="G1092" s="13" t="b">
        <v>1</v>
      </c>
      <c r="H1092" s="11" t="s">
        <v>31</v>
      </c>
      <c r="I1092" s="11" t="e">
        <f t="array" aca="1" ref="I1092" ca="1">IF(H1092="","",VLOOKUP(H1092,_xludf.HSTACK(#REF!,#REF!),2,FALSE))</f>
        <v>#NAME?</v>
      </c>
      <c r="J1092" s="11"/>
    </row>
    <row r="1093" spans="1:10" x14ac:dyDescent="0.25">
      <c r="A1093" s="11" t="s">
        <v>1104</v>
      </c>
      <c r="B1093" s="11" t="s">
        <v>5995</v>
      </c>
      <c r="C1093" s="11"/>
      <c r="D1093" s="11"/>
      <c r="E1093" s="12" t="s">
        <v>5996</v>
      </c>
      <c r="F1093" s="13" t="b">
        <v>0</v>
      </c>
      <c r="G1093" s="13" t="b">
        <v>1</v>
      </c>
      <c r="H1093" s="11" t="s">
        <v>28</v>
      </c>
      <c r="I1093" s="11" t="e">
        <f t="array" aca="1" ref="I1093" ca="1">IF(H1093="","",VLOOKUP(H1093,_xludf.HSTACK(#REF!,#REF!),2,FALSE))</f>
        <v>#NAME?</v>
      </c>
      <c r="J1093" s="11"/>
    </row>
    <row r="1094" spans="1:10" x14ac:dyDescent="0.25">
      <c r="A1094" s="11" t="s">
        <v>1104</v>
      </c>
      <c r="B1094" s="11" t="s">
        <v>5997</v>
      </c>
      <c r="C1094" s="11"/>
      <c r="D1094" s="11"/>
      <c r="E1094" s="12" t="s">
        <v>5998</v>
      </c>
      <c r="F1094" s="13" t="b">
        <v>0</v>
      </c>
      <c r="G1094" s="13" t="b">
        <v>1</v>
      </c>
      <c r="H1094" s="11" t="s">
        <v>26</v>
      </c>
      <c r="I1094" s="11" t="e">
        <f t="array" aca="1" ref="I1094" ca="1">IF(H1094="","",VLOOKUP(H1094,_xludf.HSTACK(#REF!,#REF!),2,FALSE))</f>
        <v>#NAME?</v>
      </c>
      <c r="J1094" s="11"/>
    </row>
    <row r="1095" spans="1:10" x14ac:dyDescent="0.25">
      <c r="A1095" s="11" t="s">
        <v>1104</v>
      </c>
      <c r="B1095" s="11" t="s">
        <v>5999</v>
      </c>
      <c r="C1095" s="11"/>
      <c r="D1095" s="11"/>
      <c r="E1095" s="12" t="s">
        <v>6000</v>
      </c>
      <c r="F1095" s="13" t="b">
        <v>0</v>
      </c>
      <c r="G1095" s="13" t="b">
        <v>1</v>
      </c>
      <c r="H1095" s="11"/>
      <c r="I1095" s="11" t="str">
        <f t="array" ref="I1095">IF(H1095="","",VLOOKUP(H1095,_xludf.HSTACK(#REF!,#REF!),2,FALSE))</f>
        <v/>
      </c>
      <c r="J1095" s="11"/>
    </row>
    <row r="1096" spans="1:10" x14ac:dyDescent="0.25">
      <c r="A1096" s="11" t="s">
        <v>1104</v>
      </c>
      <c r="B1096" s="11" t="s">
        <v>6001</v>
      </c>
      <c r="C1096" s="11"/>
      <c r="D1096" s="11"/>
      <c r="E1096" s="12" t="s">
        <v>6002</v>
      </c>
      <c r="F1096" s="13" t="b">
        <v>0</v>
      </c>
      <c r="G1096" s="13" t="b">
        <v>1</v>
      </c>
      <c r="H1096" s="11" t="s">
        <v>29</v>
      </c>
      <c r="I1096" s="11" t="e">
        <f t="array" aca="1" ref="I1096" ca="1">IF(H1096="","",VLOOKUP(H1096,_xludf.HSTACK(#REF!,#REF!),2,FALSE))</f>
        <v>#NAME?</v>
      </c>
      <c r="J1096" s="11"/>
    </row>
    <row r="1097" spans="1:10" x14ac:dyDescent="0.25">
      <c r="A1097" s="11" t="s">
        <v>1104</v>
      </c>
      <c r="B1097" s="11" t="s">
        <v>6003</v>
      </c>
      <c r="C1097" s="11"/>
      <c r="D1097" s="11"/>
      <c r="E1097" s="11"/>
      <c r="F1097" s="13" t="b">
        <v>0</v>
      </c>
      <c r="G1097" s="13" t="b">
        <v>1</v>
      </c>
      <c r="H1097" s="11" t="s">
        <v>33</v>
      </c>
      <c r="I1097" s="11" t="e">
        <f t="array" aca="1" ref="I1097" ca="1">IF(H1097="","",VLOOKUP(H1097,_xludf.HSTACK(#REF!,#REF!),2,FALSE))</f>
        <v>#NAME?</v>
      </c>
      <c r="J1097" s="11"/>
    </row>
    <row r="1098" spans="1:10" x14ac:dyDescent="0.25">
      <c r="A1098" s="11" t="s">
        <v>1104</v>
      </c>
      <c r="B1098" s="11" t="s">
        <v>6004</v>
      </c>
      <c r="C1098" s="11" t="s">
        <v>1109</v>
      </c>
      <c r="D1098" s="11"/>
      <c r="E1098" s="12" t="s">
        <v>6005</v>
      </c>
      <c r="F1098" s="13" t="b">
        <v>1</v>
      </c>
      <c r="G1098" s="13" t="b">
        <v>0</v>
      </c>
      <c r="H1098" s="11"/>
      <c r="I1098" s="11" t="str">
        <f t="array" ref="I1098">IF(H1098="","",VLOOKUP(H1098,_xludf.HSTACK(#REF!,#REF!),2,FALSE))</f>
        <v/>
      </c>
      <c r="J1098" s="11"/>
    </row>
    <row r="1099" spans="1:10" x14ac:dyDescent="0.25">
      <c r="A1099" s="11" t="s">
        <v>1104</v>
      </c>
      <c r="B1099" s="11" t="s">
        <v>6006</v>
      </c>
      <c r="C1099" s="11" t="s">
        <v>1109</v>
      </c>
      <c r="D1099" s="11"/>
      <c r="E1099" s="12" t="s">
        <v>6007</v>
      </c>
      <c r="F1099" s="13" t="b">
        <v>1</v>
      </c>
      <c r="G1099" s="13" t="b">
        <v>0</v>
      </c>
      <c r="H1099" s="11"/>
      <c r="I1099" s="11" t="str">
        <f t="array" ref="I1099">IF(H1099="","",VLOOKUP(H1099,_xludf.HSTACK(#REF!,#REF!),2,FALSE))</f>
        <v/>
      </c>
      <c r="J1099" s="11"/>
    </row>
    <row r="1100" spans="1:10" x14ac:dyDescent="0.25">
      <c r="A1100" s="11" t="s">
        <v>1104</v>
      </c>
      <c r="B1100" s="11" t="s">
        <v>6008</v>
      </c>
      <c r="C1100" s="11" t="s">
        <v>4676</v>
      </c>
      <c r="D1100" s="11"/>
      <c r="E1100" s="12" t="s">
        <v>6009</v>
      </c>
      <c r="F1100" s="13" t="b">
        <v>1</v>
      </c>
      <c r="G1100" s="13" t="b">
        <v>0</v>
      </c>
      <c r="H1100" s="11" t="s">
        <v>67</v>
      </c>
      <c r="I1100" s="11" t="e">
        <f t="array" aca="1" ref="I1100" ca="1">IF(H1100="","",VLOOKUP(H1100,_xludf.HSTACK(#REF!,#REF!),2,FALSE))</f>
        <v>#NAME?</v>
      </c>
      <c r="J1100" s="11"/>
    </row>
    <row r="1101" spans="1:10" x14ac:dyDescent="0.25">
      <c r="A1101" s="11" t="s">
        <v>1104</v>
      </c>
      <c r="B1101" s="11" t="s">
        <v>6010</v>
      </c>
      <c r="C1101" s="11" t="s">
        <v>21</v>
      </c>
      <c r="D1101" s="11"/>
      <c r="E1101" s="12" t="s">
        <v>6011</v>
      </c>
      <c r="F1101" s="13" t="b">
        <v>1</v>
      </c>
      <c r="G1101" s="13" t="b">
        <v>0</v>
      </c>
      <c r="H1101" s="11" t="s">
        <v>20</v>
      </c>
      <c r="I1101" s="11" t="e">
        <f t="array" aca="1" ref="I1101" ca="1">IF(H1101="","",VLOOKUP(H1101,_xludf.HSTACK(#REF!,#REF!),2,FALSE))</f>
        <v>#NAME?</v>
      </c>
      <c r="J1101" s="11"/>
    </row>
    <row r="1102" spans="1:10" x14ac:dyDescent="0.25">
      <c r="A1102" s="11" t="s">
        <v>1104</v>
      </c>
      <c r="B1102" s="11" t="s">
        <v>6012</v>
      </c>
      <c r="C1102" s="11" t="s">
        <v>21</v>
      </c>
      <c r="D1102" s="11"/>
      <c r="E1102" s="12" t="s">
        <v>6013</v>
      </c>
      <c r="F1102" s="13" t="b">
        <v>1</v>
      </c>
      <c r="G1102" s="13" t="b">
        <v>0</v>
      </c>
      <c r="H1102" s="11" t="s">
        <v>65</v>
      </c>
      <c r="I1102" s="11" t="e">
        <f t="array" aca="1" ref="I1102" ca="1">IF(H1102="","",VLOOKUP(H1102,_xludf.HSTACK(#REF!,#REF!),2,FALSE))</f>
        <v>#NAME?</v>
      </c>
      <c r="J1102" s="11"/>
    </row>
    <row r="1103" spans="1:10" x14ac:dyDescent="0.25">
      <c r="A1103" s="11" t="s">
        <v>1104</v>
      </c>
      <c r="B1103" s="11" t="s">
        <v>6014</v>
      </c>
      <c r="C1103" s="11" t="s">
        <v>4676</v>
      </c>
      <c r="D1103" s="11"/>
      <c r="E1103" s="12" t="s">
        <v>6015</v>
      </c>
      <c r="F1103" s="13" t="b">
        <v>0</v>
      </c>
      <c r="G1103" s="13" t="b">
        <v>0</v>
      </c>
      <c r="H1103" s="11" t="s">
        <v>69</v>
      </c>
      <c r="I1103" s="11" t="e">
        <f t="array" aca="1" ref="I1103" ca="1">IF(H1103="","",VLOOKUP(H1103,_xludf.HSTACK(#REF!,#REF!),2,FALSE))</f>
        <v>#NAME?</v>
      </c>
      <c r="J1103" s="11"/>
    </row>
    <row r="1104" spans="1:10" x14ac:dyDescent="0.25">
      <c r="A1104" s="9" t="s">
        <v>1144</v>
      </c>
      <c r="B1104" s="9" t="s">
        <v>6016</v>
      </c>
      <c r="C1104" s="9"/>
      <c r="D1104" s="7" t="s">
        <v>5356</v>
      </c>
      <c r="E1104" s="7" t="s">
        <v>6017</v>
      </c>
      <c r="F1104" s="10" t="b">
        <v>0</v>
      </c>
      <c r="G1104" s="10" t="b">
        <v>1</v>
      </c>
      <c r="H1104" s="9" t="s">
        <v>69</v>
      </c>
      <c r="I1104" s="9" t="e">
        <f t="array" aca="1" ref="I1104" ca="1">IF(H1104="","",VLOOKUP(H1104,_xludf.HSTACK(#REF!,#REF!),2,FALSE))</f>
        <v>#NAME?</v>
      </c>
      <c r="J1104" s="9"/>
    </row>
    <row r="1105" spans="1:10" x14ac:dyDescent="0.25">
      <c r="A1105" s="9" t="s">
        <v>1144</v>
      </c>
      <c r="B1105" s="9" t="s">
        <v>6018</v>
      </c>
      <c r="C1105" s="9"/>
      <c r="D1105" s="7" t="s">
        <v>5356</v>
      </c>
      <c r="E1105" s="7" t="s">
        <v>6019</v>
      </c>
      <c r="F1105" s="10" t="b">
        <v>0</v>
      </c>
      <c r="G1105" s="10" t="b">
        <v>1</v>
      </c>
      <c r="H1105" s="9" t="s">
        <v>65</v>
      </c>
      <c r="I1105" s="9" t="e">
        <f t="array" aca="1" ref="I1105" ca="1">IF(H1105="","",VLOOKUP(H1105,_xludf.HSTACK(#REF!,#REF!),2,FALSE))</f>
        <v>#NAME?</v>
      </c>
      <c r="J1105" s="9"/>
    </row>
    <row r="1106" spans="1:10" x14ac:dyDescent="0.25">
      <c r="A1106" s="9" t="s">
        <v>1144</v>
      </c>
      <c r="B1106" s="9" t="s">
        <v>6020</v>
      </c>
      <c r="C1106" s="9"/>
      <c r="D1106" s="7" t="s">
        <v>5356</v>
      </c>
      <c r="E1106" s="7" t="s">
        <v>6021</v>
      </c>
      <c r="F1106" s="10" t="b">
        <v>0</v>
      </c>
      <c r="G1106" s="10" t="b">
        <v>1</v>
      </c>
      <c r="H1106" s="9" t="s">
        <v>70</v>
      </c>
      <c r="I1106" s="9" t="e">
        <f t="array" aca="1" ref="I1106" ca="1">IF(H1106="","",VLOOKUP(H1106,_xludf.HSTACK(#REF!,#REF!),2,FALSE))</f>
        <v>#NAME?</v>
      </c>
      <c r="J1106" s="9"/>
    </row>
    <row r="1107" spans="1:10" x14ac:dyDescent="0.25">
      <c r="A1107" s="9" t="s">
        <v>1144</v>
      </c>
      <c r="B1107" s="9" t="s">
        <v>5158</v>
      </c>
      <c r="C1107" s="9"/>
      <c r="D1107" s="9"/>
      <c r="E1107" s="7" t="s">
        <v>6022</v>
      </c>
      <c r="F1107" s="10" t="b">
        <v>0</v>
      </c>
      <c r="G1107" s="10" t="b">
        <v>1</v>
      </c>
      <c r="H1107" s="9" t="s">
        <v>35</v>
      </c>
      <c r="I1107" s="9" t="e">
        <f t="array" aca="1" ref="I1107" ca="1">IF(H1107="","",VLOOKUP(H1107,_xludf.HSTACK(#REF!,#REF!),2,FALSE))</f>
        <v>#NAME?</v>
      </c>
      <c r="J1107" s="9"/>
    </row>
    <row r="1108" spans="1:10" x14ac:dyDescent="0.25">
      <c r="A1108" s="9" t="s">
        <v>1144</v>
      </c>
      <c r="B1108" s="9" t="s">
        <v>6023</v>
      </c>
      <c r="C1108" s="9"/>
      <c r="D1108" s="9"/>
      <c r="E1108" s="7" t="s">
        <v>6024</v>
      </c>
      <c r="F1108" s="10" t="b">
        <v>0</v>
      </c>
      <c r="G1108" s="10" t="b">
        <v>1</v>
      </c>
      <c r="H1108" s="9" t="s">
        <v>29</v>
      </c>
      <c r="I1108" s="9" t="e">
        <f t="array" aca="1" ref="I1108" ca="1">IF(H1108="","",VLOOKUP(H1108,_xludf.HSTACK(#REF!,#REF!),2,FALSE))</f>
        <v>#NAME?</v>
      </c>
      <c r="J1108" s="9"/>
    </row>
    <row r="1109" spans="1:10" x14ac:dyDescent="0.25">
      <c r="A1109" s="9" t="s">
        <v>1144</v>
      </c>
      <c r="B1109" s="9" t="s">
        <v>6025</v>
      </c>
      <c r="C1109" s="9"/>
      <c r="D1109" s="9"/>
      <c r="E1109" s="7" t="s">
        <v>6026</v>
      </c>
      <c r="F1109" s="10" t="b">
        <v>0</v>
      </c>
      <c r="G1109" s="10" t="b">
        <v>1</v>
      </c>
      <c r="H1109" s="9" t="s">
        <v>26</v>
      </c>
      <c r="I1109" s="9" t="e">
        <f t="array" aca="1" ref="I1109" ca="1">IF(H1109="","",VLOOKUP(H1109,_xludf.HSTACK(#REF!,#REF!),2,FALSE))</f>
        <v>#NAME?</v>
      </c>
      <c r="J1109" s="9"/>
    </row>
    <row r="1110" spans="1:10" x14ac:dyDescent="0.25">
      <c r="A1110" s="9" t="s">
        <v>1144</v>
      </c>
      <c r="B1110" s="9" t="s">
        <v>6027</v>
      </c>
      <c r="C1110" s="9"/>
      <c r="D1110" s="9"/>
      <c r="E1110" s="7" t="s">
        <v>6028</v>
      </c>
      <c r="F1110" s="10" t="b">
        <v>0</v>
      </c>
      <c r="G1110" s="10" t="b">
        <v>1</v>
      </c>
      <c r="H1110" s="9" t="s">
        <v>30</v>
      </c>
      <c r="I1110" s="9" t="e">
        <f t="array" aca="1" ref="I1110" ca="1">IF(H1110="","",VLOOKUP(H1110,_xludf.HSTACK(#REF!,#REF!),2,FALSE))</f>
        <v>#NAME?</v>
      </c>
      <c r="J1110" s="9"/>
    </row>
    <row r="1111" spans="1:10" x14ac:dyDescent="0.25">
      <c r="A1111" s="9" t="s">
        <v>1144</v>
      </c>
      <c r="B1111" s="9" t="s">
        <v>6029</v>
      </c>
      <c r="C1111" s="9"/>
      <c r="D1111" s="9"/>
      <c r="E1111" s="7" t="s">
        <v>6030</v>
      </c>
      <c r="F1111" s="10" t="b">
        <v>0</v>
      </c>
      <c r="G1111" s="10" t="b">
        <v>1</v>
      </c>
      <c r="H1111" s="9" t="s">
        <v>31</v>
      </c>
      <c r="I1111" s="9" t="e">
        <f t="array" aca="1" ref="I1111" ca="1">IF(H1111="","",VLOOKUP(H1111,_xludf.HSTACK(#REF!,#REF!),2,FALSE))</f>
        <v>#NAME?</v>
      </c>
      <c r="J1111" s="9"/>
    </row>
    <row r="1112" spans="1:10" x14ac:dyDescent="0.25">
      <c r="A1112" s="9" t="s">
        <v>1144</v>
      </c>
      <c r="B1112" s="9" t="s">
        <v>6031</v>
      </c>
      <c r="C1112" s="9"/>
      <c r="D1112" s="9"/>
      <c r="E1112" s="7" t="s">
        <v>6032</v>
      </c>
      <c r="F1112" s="10" t="b">
        <v>0</v>
      </c>
      <c r="G1112" s="10" t="b">
        <v>1</v>
      </c>
      <c r="H1112" s="9" t="s">
        <v>22</v>
      </c>
      <c r="I1112" s="9" t="e">
        <f t="array" aca="1" ref="I1112" ca="1">IF(H1112="","",VLOOKUP(H1112,_xludf.HSTACK(#REF!,#REF!),2,FALSE))</f>
        <v>#NAME?</v>
      </c>
      <c r="J1112" s="9"/>
    </row>
    <row r="1113" spans="1:10" x14ac:dyDescent="0.25">
      <c r="A1113" s="9" t="s">
        <v>1144</v>
      </c>
      <c r="B1113" s="9" t="s">
        <v>6033</v>
      </c>
      <c r="C1113" s="9"/>
      <c r="D1113" s="9"/>
      <c r="E1113" s="7" t="s">
        <v>6034</v>
      </c>
      <c r="F1113" s="10" t="b">
        <v>0</v>
      </c>
      <c r="G1113" s="10" t="b">
        <v>1</v>
      </c>
      <c r="H1113" s="9" t="s">
        <v>24</v>
      </c>
      <c r="I1113" s="9" t="e">
        <f t="array" aca="1" ref="I1113" ca="1">IF(H1113="","",VLOOKUP(H1113,_xludf.HSTACK(#REF!,#REF!),2,FALSE))</f>
        <v>#NAME?</v>
      </c>
      <c r="J1113" s="9"/>
    </row>
    <row r="1114" spans="1:10" x14ac:dyDescent="0.25">
      <c r="A1114" s="11" t="s">
        <v>1168</v>
      </c>
      <c r="B1114" s="11" t="s">
        <v>6035</v>
      </c>
      <c r="C1114" s="11" t="s">
        <v>1308</v>
      </c>
      <c r="D1114" s="11"/>
      <c r="E1114" s="12" t="s">
        <v>6036</v>
      </c>
      <c r="F1114" s="13" t="b">
        <v>0</v>
      </c>
      <c r="G1114" s="13" t="b">
        <v>0</v>
      </c>
      <c r="H1114" s="11"/>
      <c r="I1114" s="11" t="str">
        <f t="array" ref="I1114">IF(H1114="","",VLOOKUP(H1114,_xludf.HSTACK(#REF!,#REF!),2,FALSE))</f>
        <v/>
      </c>
      <c r="J1114" s="11"/>
    </row>
    <row r="1115" spans="1:10" x14ac:dyDescent="0.25">
      <c r="A1115" s="11" t="s">
        <v>1168</v>
      </c>
      <c r="B1115" s="11" t="s">
        <v>6037</v>
      </c>
      <c r="C1115" s="11" t="s">
        <v>44</v>
      </c>
      <c r="D1115" s="12" t="s">
        <v>6038</v>
      </c>
      <c r="E1115" s="12" t="s">
        <v>6039</v>
      </c>
      <c r="F1115" s="13" t="b">
        <v>0</v>
      </c>
      <c r="G1115" s="13" t="b">
        <v>0</v>
      </c>
      <c r="H1115" s="11"/>
      <c r="I1115" s="11" t="str">
        <f t="array" ref="I1115">IF(H1115="","",VLOOKUP(H1115,_xludf.HSTACK(#REF!,#REF!),2,FALSE))</f>
        <v/>
      </c>
      <c r="J1115" s="11"/>
    </row>
    <row r="1116" spans="1:10" x14ac:dyDescent="0.25">
      <c r="A1116" s="11" t="s">
        <v>1168</v>
      </c>
      <c r="B1116" s="11" t="s">
        <v>6040</v>
      </c>
      <c r="C1116" s="11" t="s">
        <v>23</v>
      </c>
      <c r="D1116" s="11"/>
      <c r="E1116" s="12" t="s">
        <v>6041</v>
      </c>
      <c r="F1116" s="13" t="b">
        <v>0</v>
      </c>
      <c r="G1116" s="13" t="b">
        <v>0</v>
      </c>
      <c r="H1116" s="11"/>
      <c r="I1116" s="11" t="str">
        <f t="array" ref="I1116">IF(H1116="","",VLOOKUP(H1116,_xludf.HSTACK(#REF!,#REF!),2,FALSE))</f>
        <v/>
      </c>
      <c r="J1116" s="11"/>
    </row>
    <row r="1117" spans="1:10" x14ac:dyDescent="0.25">
      <c r="A1117" s="11" t="s">
        <v>1168</v>
      </c>
      <c r="B1117" s="11" t="s">
        <v>6042</v>
      </c>
      <c r="C1117" s="11" t="s">
        <v>48</v>
      </c>
      <c r="D1117" s="12" t="s">
        <v>6038</v>
      </c>
      <c r="E1117" s="12" t="s">
        <v>6043</v>
      </c>
      <c r="F1117" s="13" t="b">
        <v>0</v>
      </c>
      <c r="G1117" s="13" t="b">
        <v>0</v>
      </c>
      <c r="H1117" s="11"/>
      <c r="I1117" s="11" t="str">
        <f t="array" ref="I1117">IF(H1117="","",VLOOKUP(H1117,_xludf.HSTACK(#REF!,#REF!),2,FALSE))</f>
        <v/>
      </c>
      <c r="J1117" s="11"/>
    </row>
    <row r="1118" spans="1:10" x14ac:dyDescent="0.25">
      <c r="A1118" s="11" t="s">
        <v>1168</v>
      </c>
      <c r="B1118" s="11" t="s">
        <v>6044</v>
      </c>
      <c r="C1118" s="11" t="s">
        <v>1308</v>
      </c>
      <c r="D1118" s="11"/>
      <c r="E1118" s="12" t="s">
        <v>6045</v>
      </c>
      <c r="F1118" s="13" t="b">
        <v>0</v>
      </c>
      <c r="G1118" s="13" t="b">
        <v>0</v>
      </c>
      <c r="H1118" s="11"/>
      <c r="I1118" s="11" t="str">
        <f t="array" ref="I1118">IF(H1118="","",VLOOKUP(H1118,_xludf.HSTACK(#REF!,#REF!),2,FALSE))</f>
        <v/>
      </c>
      <c r="J1118" s="11"/>
    </row>
    <row r="1119" spans="1:10" x14ac:dyDescent="0.25">
      <c r="A1119" s="11" t="s">
        <v>1168</v>
      </c>
      <c r="B1119" s="11" t="s">
        <v>6046</v>
      </c>
      <c r="C1119" s="11" t="s">
        <v>3</v>
      </c>
      <c r="D1119" s="12" t="s">
        <v>6047</v>
      </c>
      <c r="E1119" s="12" t="s">
        <v>6048</v>
      </c>
      <c r="F1119" s="13" t="b">
        <v>0</v>
      </c>
      <c r="G1119" s="13" t="b">
        <v>0</v>
      </c>
      <c r="H1119" s="11"/>
      <c r="I1119" s="11" t="str">
        <f t="array" ref="I1119">IF(H1119="","",VLOOKUP(H1119,_xludf.HSTACK(#REF!,#REF!),2,FALSE))</f>
        <v/>
      </c>
      <c r="J1119" s="11"/>
    </row>
    <row r="1120" spans="1:10" x14ac:dyDescent="0.25">
      <c r="A1120" s="11" t="s">
        <v>1168</v>
      </c>
      <c r="B1120" s="11" t="s">
        <v>6049</v>
      </c>
      <c r="C1120" s="11" t="s">
        <v>1218</v>
      </c>
      <c r="D1120" s="11"/>
      <c r="E1120" s="12" t="s">
        <v>6050</v>
      </c>
      <c r="F1120" s="13" t="b">
        <v>0</v>
      </c>
      <c r="G1120" s="13" t="b">
        <v>0</v>
      </c>
      <c r="H1120" s="11"/>
      <c r="I1120" s="11" t="str">
        <f t="array" ref="I1120">IF(H1120="","",VLOOKUP(H1120,_xludf.HSTACK(#REF!,#REF!),2,FALSE))</f>
        <v/>
      </c>
      <c r="J1120" s="11"/>
    </row>
    <row r="1121" spans="1:10" x14ac:dyDescent="0.25">
      <c r="A1121" s="11" t="s">
        <v>1168</v>
      </c>
      <c r="B1121" s="11" t="s">
        <v>6051</v>
      </c>
      <c r="C1121" s="11" t="s">
        <v>61</v>
      </c>
      <c r="D1121" s="12" t="s">
        <v>6052</v>
      </c>
      <c r="E1121" s="12" t="s">
        <v>6053</v>
      </c>
      <c r="F1121" s="13" t="b">
        <v>0</v>
      </c>
      <c r="G1121" s="13" t="b">
        <v>0</v>
      </c>
      <c r="H1121" s="11"/>
      <c r="I1121" s="11" t="str">
        <f t="array" ref="I1121">IF(H1121="","",VLOOKUP(H1121,_xludf.HSTACK(#REF!,#REF!),2,FALSE))</f>
        <v/>
      </c>
      <c r="J1121" s="11"/>
    </row>
    <row r="1122" spans="1:10" x14ac:dyDescent="0.25">
      <c r="A1122" s="11" t="s">
        <v>1168</v>
      </c>
      <c r="B1122" s="11" t="s">
        <v>6054</v>
      </c>
      <c r="C1122" s="11" t="s">
        <v>4</v>
      </c>
      <c r="D1122" s="12" t="s">
        <v>6055</v>
      </c>
      <c r="E1122" s="12" t="s">
        <v>6056</v>
      </c>
      <c r="F1122" s="13" t="b">
        <v>1</v>
      </c>
      <c r="G1122" s="13" t="b">
        <v>0</v>
      </c>
      <c r="H1122" s="11"/>
      <c r="I1122" s="11" t="str">
        <f t="array" ref="I1122">IF(H1122="","",VLOOKUP(H1122,_xludf.HSTACK(#REF!,#REF!),2,FALSE))</f>
        <v/>
      </c>
      <c r="J1122" s="11"/>
    </row>
    <row r="1123" spans="1:10" x14ac:dyDescent="0.25">
      <c r="A1123" s="11" t="s">
        <v>1168</v>
      </c>
      <c r="B1123" s="11" t="s">
        <v>6057</v>
      </c>
      <c r="C1123" s="11" t="s">
        <v>4</v>
      </c>
      <c r="D1123" s="12" t="s">
        <v>6058</v>
      </c>
      <c r="E1123" s="12" t="s">
        <v>6059</v>
      </c>
      <c r="F1123" s="13" t="b">
        <v>0</v>
      </c>
      <c r="G1123" s="13" t="b">
        <v>0</v>
      </c>
      <c r="H1123" s="11"/>
      <c r="I1123" s="11" t="str">
        <f t="array" ref="I1123">IF(H1123="","",VLOOKUP(H1123,_xludf.HSTACK(#REF!,#REF!),2,FALSE))</f>
        <v/>
      </c>
      <c r="J1123" s="11"/>
    </row>
    <row r="1124" spans="1:10" x14ac:dyDescent="0.25">
      <c r="A1124" s="11" t="s">
        <v>1168</v>
      </c>
      <c r="B1124" s="11" t="s">
        <v>6060</v>
      </c>
      <c r="C1124" s="11" t="s">
        <v>4</v>
      </c>
      <c r="D1124" s="12" t="s">
        <v>6061</v>
      </c>
      <c r="E1124" s="12" t="s">
        <v>6062</v>
      </c>
      <c r="F1124" s="13" t="b">
        <v>1</v>
      </c>
      <c r="G1124" s="13" t="b">
        <v>0</v>
      </c>
      <c r="H1124" s="11"/>
      <c r="I1124" s="11" t="str">
        <f t="array" ref="I1124">IF(H1124="","",VLOOKUP(H1124,_xludf.HSTACK(#REF!,#REF!),2,FALSE))</f>
        <v/>
      </c>
      <c r="J1124" s="11"/>
    </row>
    <row r="1125" spans="1:10" x14ac:dyDescent="0.25">
      <c r="A1125" s="11" t="s">
        <v>1168</v>
      </c>
      <c r="B1125" s="11" t="s">
        <v>6063</v>
      </c>
      <c r="C1125" s="11" t="s">
        <v>1308</v>
      </c>
      <c r="D1125" s="11"/>
      <c r="E1125" s="12" t="s">
        <v>6064</v>
      </c>
      <c r="F1125" s="13" t="b">
        <v>0</v>
      </c>
      <c r="G1125" s="13" t="b">
        <v>0</v>
      </c>
      <c r="H1125" s="11"/>
      <c r="I1125" s="11" t="str">
        <f t="array" ref="I1125">IF(H1125="","",VLOOKUP(H1125,_xludf.HSTACK(#REF!,#REF!),2,FALSE))</f>
        <v/>
      </c>
      <c r="J1125" s="11"/>
    </row>
    <row r="1126" spans="1:10" x14ac:dyDescent="0.25">
      <c r="A1126" s="11" t="s">
        <v>1168</v>
      </c>
      <c r="B1126" s="11" t="s">
        <v>6065</v>
      </c>
      <c r="C1126" s="11"/>
      <c r="D1126" s="11"/>
      <c r="E1126" s="11"/>
      <c r="F1126" s="13" t="b">
        <v>0</v>
      </c>
      <c r="G1126" s="13" t="b">
        <v>1</v>
      </c>
      <c r="H1126" s="11"/>
      <c r="I1126" s="11" t="str">
        <f t="array" ref="I1126">IF(H1126="","",VLOOKUP(H1126,_xludf.HSTACK(#REF!,#REF!),2,FALSE))</f>
        <v/>
      </c>
      <c r="J1126" s="11"/>
    </row>
    <row r="1127" spans="1:10" x14ac:dyDescent="0.25">
      <c r="A1127" s="11" t="s">
        <v>1168</v>
      </c>
      <c r="B1127" s="11" t="s">
        <v>6066</v>
      </c>
      <c r="C1127" s="11" t="s">
        <v>208</v>
      </c>
      <c r="D1127" s="12" t="s">
        <v>6067</v>
      </c>
      <c r="E1127" s="12" t="s">
        <v>6068</v>
      </c>
      <c r="F1127" s="13" t="b">
        <v>0</v>
      </c>
      <c r="G1127" s="13" t="b">
        <v>0</v>
      </c>
      <c r="H1127" s="11"/>
      <c r="I1127" s="11" t="str">
        <f t="array" ref="I1127">IF(H1127="","",VLOOKUP(H1127,_xludf.HSTACK(#REF!,#REF!),2,FALSE))</f>
        <v/>
      </c>
      <c r="J1127" s="11"/>
    </row>
    <row r="1128" spans="1:10" x14ac:dyDescent="0.25">
      <c r="A1128" s="11" t="s">
        <v>1168</v>
      </c>
      <c r="B1128" s="11" t="s">
        <v>6069</v>
      </c>
      <c r="C1128" s="11" t="s">
        <v>125</v>
      </c>
      <c r="D1128" s="11"/>
      <c r="E1128" s="12" t="s">
        <v>6070</v>
      </c>
      <c r="F1128" s="13" t="b">
        <v>0</v>
      </c>
      <c r="G1128" s="13" t="b">
        <v>0</v>
      </c>
      <c r="H1128" s="11"/>
      <c r="I1128" s="11" t="str">
        <f t="array" ref="I1128">IF(H1128="","",VLOOKUP(H1128,_xludf.HSTACK(#REF!,#REF!),2,FALSE))</f>
        <v/>
      </c>
      <c r="J1128" s="11"/>
    </row>
    <row r="1129" spans="1:10" x14ac:dyDescent="0.25">
      <c r="A1129" s="11" t="s">
        <v>1168</v>
      </c>
      <c r="B1129" s="11" t="s">
        <v>6071</v>
      </c>
      <c r="C1129" s="11" t="s">
        <v>125</v>
      </c>
      <c r="D1129" s="11"/>
      <c r="E1129" s="12" t="s">
        <v>6072</v>
      </c>
      <c r="F1129" s="13" t="b">
        <v>0</v>
      </c>
      <c r="G1129" s="13" t="b">
        <v>0</v>
      </c>
      <c r="H1129" s="11"/>
      <c r="I1129" s="11" t="str">
        <f t="array" ref="I1129">IF(H1129="","",VLOOKUP(H1129,_xludf.HSTACK(#REF!,#REF!),2,FALSE))</f>
        <v/>
      </c>
      <c r="J1129" s="11"/>
    </row>
    <row r="1130" spans="1:10" x14ac:dyDescent="0.25">
      <c r="A1130" s="11" t="s">
        <v>1168</v>
      </c>
      <c r="B1130" s="11" t="s">
        <v>6073</v>
      </c>
      <c r="C1130" s="11" t="s">
        <v>125</v>
      </c>
      <c r="D1130" s="11"/>
      <c r="E1130" s="12" t="s">
        <v>6074</v>
      </c>
      <c r="F1130" s="13" t="b">
        <v>0</v>
      </c>
      <c r="G1130" s="13" t="b">
        <v>0</v>
      </c>
      <c r="H1130" s="11"/>
      <c r="I1130" s="11" t="str">
        <f t="array" ref="I1130">IF(H1130="","",VLOOKUP(H1130,_xludf.HSTACK(#REF!,#REF!),2,FALSE))</f>
        <v/>
      </c>
      <c r="J1130" s="11"/>
    </row>
    <row r="1131" spans="1:10" x14ac:dyDescent="0.25">
      <c r="A1131" s="11" t="s">
        <v>1168</v>
      </c>
      <c r="B1131" s="11" t="s">
        <v>6075</v>
      </c>
      <c r="C1131" s="11" t="s">
        <v>125</v>
      </c>
      <c r="D1131" s="11"/>
      <c r="E1131" s="12" t="s">
        <v>6076</v>
      </c>
      <c r="F1131" s="13" t="b">
        <v>0</v>
      </c>
      <c r="G1131" s="13" t="b">
        <v>0</v>
      </c>
      <c r="H1131" s="11"/>
      <c r="I1131" s="11" t="str">
        <f t="array" ref="I1131">IF(H1131="","",VLOOKUP(H1131,_xludf.HSTACK(#REF!,#REF!),2,FALSE))</f>
        <v/>
      </c>
      <c r="J1131" s="11"/>
    </row>
    <row r="1132" spans="1:10" x14ac:dyDescent="0.25">
      <c r="A1132" s="11" t="s">
        <v>1168</v>
      </c>
      <c r="B1132" s="11" t="s">
        <v>6077</v>
      </c>
      <c r="C1132" s="11" t="s">
        <v>125</v>
      </c>
      <c r="D1132" s="11"/>
      <c r="E1132" s="12" t="s">
        <v>6078</v>
      </c>
      <c r="F1132" s="13" t="b">
        <v>0</v>
      </c>
      <c r="G1132" s="13" t="b">
        <v>0</v>
      </c>
      <c r="H1132" s="11"/>
      <c r="I1132" s="11" t="str">
        <f t="array" ref="I1132">IF(H1132="","",VLOOKUP(H1132,_xludf.HSTACK(#REF!,#REF!),2,FALSE))</f>
        <v/>
      </c>
      <c r="J1132" s="11"/>
    </row>
    <row r="1133" spans="1:10" x14ac:dyDescent="0.25">
      <c r="A1133" s="11" t="s">
        <v>1168</v>
      </c>
      <c r="B1133" s="11" t="s">
        <v>6079</v>
      </c>
      <c r="C1133" s="11" t="s">
        <v>125</v>
      </c>
      <c r="D1133" s="11"/>
      <c r="E1133" s="12" t="s">
        <v>6080</v>
      </c>
      <c r="F1133" s="13" t="b">
        <v>0</v>
      </c>
      <c r="G1133" s="13" t="b">
        <v>0</v>
      </c>
      <c r="H1133" s="11" t="s">
        <v>28</v>
      </c>
      <c r="I1133" s="11" t="e">
        <f t="array" aca="1" ref="I1133" ca="1">IF(H1133="","",VLOOKUP(H1133,_xludf.HSTACK(#REF!,#REF!),2,FALSE))</f>
        <v>#NAME?</v>
      </c>
      <c r="J1133" s="11"/>
    </row>
    <row r="1134" spans="1:10" x14ac:dyDescent="0.25">
      <c r="A1134" s="11" t="s">
        <v>1168</v>
      </c>
      <c r="B1134" s="11" t="s">
        <v>6081</v>
      </c>
      <c r="C1134" s="11" t="s">
        <v>125</v>
      </c>
      <c r="D1134" s="11"/>
      <c r="E1134" s="12" t="s">
        <v>6082</v>
      </c>
      <c r="F1134" s="13" t="b">
        <v>0</v>
      </c>
      <c r="G1134" s="13" t="b">
        <v>0</v>
      </c>
      <c r="H1134" s="11"/>
      <c r="I1134" s="11" t="str">
        <f t="array" ref="I1134">IF(H1134="","",VLOOKUP(H1134,_xludf.HSTACK(#REF!,#REF!),2,FALSE))</f>
        <v/>
      </c>
      <c r="J1134" s="11"/>
    </row>
    <row r="1135" spans="1:10" x14ac:dyDescent="0.25">
      <c r="A1135" s="11" t="s">
        <v>1168</v>
      </c>
      <c r="B1135" s="11" t="s">
        <v>6083</v>
      </c>
      <c r="C1135" s="11" t="s">
        <v>125</v>
      </c>
      <c r="D1135" s="11"/>
      <c r="E1135" s="12" t="s">
        <v>6084</v>
      </c>
      <c r="F1135" s="13" t="b">
        <v>0</v>
      </c>
      <c r="G1135" s="13" t="b">
        <v>0</v>
      </c>
      <c r="H1135" s="11"/>
      <c r="I1135" s="11" t="str">
        <f t="array" ref="I1135">IF(H1135="","",VLOOKUP(H1135,_xludf.HSTACK(#REF!,#REF!),2,FALSE))</f>
        <v/>
      </c>
      <c r="J1135" s="11"/>
    </row>
    <row r="1136" spans="1:10" x14ac:dyDescent="0.25">
      <c r="A1136" s="11" t="s">
        <v>1168</v>
      </c>
      <c r="B1136" s="11" t="s">
        <v>6085</v>
      </c>
      <c r="C1136" s="11" t="s">
        <v>125</v>
      </c>
      <c r="D1136" s="11"/>
      <c r="E1136" s="12" t="s">
        <v>6086</v>
      </c>
      <c r="F1136" s="13" t="b">
        <v>0</v>
      </c>
      <c r="G1136" s="13" t="b">
        <v>0</v>
      </c>
      <c r="H1136" s="11"/>
      <c r="I1136" s="11" t="str">
        <f t="array" ref="I1136">IF(H1136="","",VLOOKUP(H1136,_xludf.HSTACK(#REF!,#REF!),2,FALSE))</f>
        <v/>
      </c>
      <c r="J1136" s="11"/>
    </row>
    <row r="1137" spans="1:10" x14ac:dyDescent="0.25">
      <c r="A1137" s="11" t="s">
        <v>1168</v>
      </c>
      <c r="B1137" s="11" t="s">
        <v>6087</v>
      </c>
      <c r="C1137" s="11" t="s">
        <v>125</v>
      </c>
      <c r="D1137" s="11"/>
      <c r="E1137" s="12" t="s">
        <v>6088</v>
      </c>
      <c r="F1137" s="13" t="b">
        <v>0</v>
      </c>
      <c r="G1137" s="13" t="b">
        <v>0</v>
      </c>
      <c r="H1137" s="11" t="s">
        <v>30</v>
      </c>
      <c r="I1137" s="11" t="e">
        <f t="array" aca="1" ref="I1137" ca="1">IF(H1137="","",VLOOKUP(H1137,_xludf.HSTACK(#REF!,#REF!),2,FALSE))</f>
        <v>#NAME?</v>
      </c>
      <c r="J1137" s="11"/>
    </row>
    <row r="1138" spans="1:10" x14ac:dyDescent="0.25">
      <c r="A1138" s="11" t="s">
        <v>1168</v>
      </c>
      <c r="B1138" s="11" t="s">
        <v>6089</v>
      </c>
      <c r="C1138" s="11" t="s">
        <v>125</v>
      </c>
      <c r="D1138" s="11"/>
      <c r="E1138" s="12" t="s">
        <v>6090</v>
      </c>
      <c r="F1138" s="13" t="b">
        <v>0</v>
      </c>
      <c r="G1138" s="13" t="b">
        <v>0</v>
      </c>
      <c r="H1138" s="11"/>
      <c r="I1138" s="11" t="str">
        <f t="array" ref="I1138">IF(H1138="","",VLOOKUP(H1138,_xludf.HSTACK(#REF!,#REF!),2,FALSE))</f>
        <v/>
      </c>
      <c r="J1138" s="11"/>
    </row>
    <row r="1139" spans="1:10" x14ac:dyDescent="0.25">
      <c r="A1139" s="11" t="s">
        <v>1168</v>
      </c>
      <c r="B1139" s="11" t="s">
        <v>6091</v>
      </c>
      <c r="C1139" s="11" t="s">
        <v>125</v>
      </c>
      <c r="D1139" s="11"/>
      <c r="E1139" s="12" t="s">
        <v>6092</v>
      </c>
      <c r="F1139" s="13" t="b">
        <v>0</v>
      </c>
      <c r="G1139" s="13" t="b">
        <v>0</v>
      </c>
      <c r="H1139" s="11"/>
      <c r="I1139" s="11" t="str">
        <f t="array" ref="I1139">IF(H1139="","",VLOOKUP(H1139,_xludf.HSTACK(#REF!,#REF!),2,FALSE))</f>
        <v/>
      </c>
      <c r="J1139" s="11"/>
    </row>
    <row r="1140" spans="1:10" x14ac:dyDescent="0.25">
      <c r="A1140" s="11" t="s">
        <v>1168</v>
      </c>
      <c r="B1140" s="11" t="s">
        <v>6093</v>
      </c>
      <c r="C1140" s="11" t="s">
        <v>125</v>
      </c>
      <c r="D1140" s="11"/>
      <c r="E1140" s="12" t="s">
        <v>6094</v>
      </c>
      <c r="F1140" s="13" t="b">
        <v>0</v>
      </c>
      <c r="G1140" s="13" t="b">
        <v>0</v>
      </c>
      <c r="H1140" s="11"/>
      <c r="I1140" s="11" t="str">
        <f t="array" ref="I1140">IF(H1140="","",VLOOKUP(H1140,_xludf.HSTACK(#REF!,#REF!),2,FALSE))</f>
        <v/>
      </c>
      <c r="J1140" s="11"/>
    </row>
    <row r="1141" spans="1:10" x14ac:dyDescent="0.25">
      <c r="A1141" s="11" t="s">
        <v>1168</v>
      </c>
      <c r="B1141" s="11" t="s">
        <v>6095</v>
      </c>
      <c r="C1141" s="11" t="s">
        <v>125</v>
      </c>
      <c r="D1141" s="11"/>
      <c r="E1141" s="12" t="s">
        <v>6096</v>
      </c>
      <c r="F1141" s="13" t="b">
        <v>0</v>
      </c>
      <c r="G1141" s="13" t="b">
        <v>0</v>
      </c>
      <c r="H1141" s="11"/>
      <c r="I1141" s="11" t="str">
        <f t="array" ref="I1141">IF(H1141="","",VLOOKUP(H1141,_xludf.HSTACK(#REF!,#REF!),2,FALSE))</f>
        <v/>
      </c>
      <c r="J1141" s="11"/>
    </row>
    <row r="1142" spans="1:10" x14ac:dyDescent="0.25">
      <c r="A1142" s="11" t="s">
        <v>1168</v>
      </c>
      <c r="B1142" s="11" t="s">
        <v>6097</v>
      </c>
      <c r="C1142" s="11" t="s">
        <v>125</v>
      </c>
      <c r="D1142" s="11"/>
      <c r="E1142" s="12" t="s">
        <v>6098</v>
      </c>
      <c r="F1142" s="13" t="b">
        <v>0</v>
      </c>
      <c r="G1142" s="13" t="b">
        <v>0</v>
      </c>
      <c r="H1142" s="11" t="s">
        <v>26</v>
      </c>
      <c r="I1142" s="11" t="e">
        <f t="array" aca="1" ref="I1142" ca="1">IF(H1142="","",VLOOKUP(H1142,_xludf.HSTACK(#REF!,#REF!),2,FALSE))</f>
        <v>#NAME?</v>
      </c>
      <c r="J1142" s="11"/>
    </row>
    <row r="1143" spans="1:10" x14ac:dyDescent="0.25">
      <c r="A1143" s="11" t="s">
        <v>1168</v>
      </c>
      <c r="B1143" s="11" t="s">
        <v>6099</v>
      </c>
      <c r="C1143" s="11" t="s">
        <v>125</v>
      </c>
      <c r="D1143" s="11"/>
      <c r="E1143" s="12" t="s">
        <v>6100</v>
      </c>
      <c r="F1143" s="13" t="b">
        <v>0</v>
      </c>
      <c r="G1143" s="13" t="b">
        <v>0</v>
      </c>
      <c r="H1143" s="11"/>
      <c r="I1143" s="11" t="str">
        <f t="array" ref="I1143">IF(H1143="","",VLOOKUP(H1143,_xludf.HSTACK(#REF!,#REF!),2,FALSE))</f>
        <v/>
      </c>
      <c r="J1143" s="11"/>
    </row>
    <row r="1144" spans="1:10" x14ac:dyDescent="0.25">
      <c r="A1144" s="11" t="s">
        <v>1168</v>
      </c>
      <c r="B1144" s="11" t="s">
        <v>6101</v>
      </c>
      <c r="C1144" s="11" t="s">
        <v>125</v>
      </c>
      <c r="D1144" s="11"/>
      <c r="E1144" s="12" t="s">
        <v>6102</v>
      </c>
      <c r="F1144" s="13" t="b">
        <v>0</v>
      </c>
      <c r="G1144" s="13" t="b">
        <v>0</v>
      </c>
      <c r="H1144" s="11"/>
      <c r="I1144" s="11" t="str">
        <f t="array" ref="I1144">IF(H1144="","",VLOOKUP(H1144,_xludf.HSTACK(#REF!,#REF!),2,FALSE))</f>
        <v/>
      </c>
      <c r="J1144" s="11"/>
    </row>
    <row r="1145" spans="1:10" x14ac:dyDescent="0.25">
      <c r="A1145" s="11" t="s">
        <v>1168</v>
      </c>
      <c r="B1145" s="11" t="s">
        <v>6103</v>
      </c>
      <c r="C1145" s="11" t="s">
        <v>125</v>
      </c>
      <c r="D1145" s="11"/>
      <c r="E1145" s="12" t="s">
        <v>6104</v>
      </c>
      <c r="F1145" s="13" t="b">
        <v>0</v>
      </c>
      <c r="G1145" s="13" t="b">
        <v>0</v>
      </c>
      <c r="H1145" s="11"/>
      <c r="I1145" s="11" t="str">
        <f t="array" ref="I1145">IF(H1145="","",VLOOKUP(H1145,_xludf.HSTACK(#REF!,#REF!),2,FALSE))</f>
        <v/>
      </c>
      <c r="J1145" s="11"/>
    </row>
    <row r="1146" spans="1:10" x14ac:dyDescent="0.25">
      <c r="A1146" s="11" t="s">
        <v>1168</v>
      </c>
      <c r="B1146" s="11" t="s">
        <v>6105</v>
      </c>
      <c r="C1146" s="11" t="s">
        <v>125</v>
      </c>
      <c r="D1146" s="11"/>
      <c r="E1146" s="12" t="s">
        <v>6106</v>
      </c>
      <c r="F1146" s="13" t="b">
        <v>0</v>
      </c>
      <c r="G1146" s="13" t="b">
        <v>0</v>
      </c>
      <c r="H1146" s="11"/>
      <c r="I1146" s="11" t="str">
        <f t="array" ref="I1146">IF(H1146="","",VLOOKUP(H1146,_xludf.HSTACK(#REF!,#REF!),2,FALSE))</f>
        <v/>
      </c>
      <c r="J1146" s="11"/>
    </row>
    <row r="1147" spans="1:10" x14ac:dyDescent="0.25">
      <c r="A1147" s="11" t="s">
        <v>1168</v>
      </c>
      <c r="B1147" s="11" t="s">
        <v>6107</v>
      </c>
      <c r="C1147" s="11" t="s">
        <v>125</v>
      </c>
      <c r="D1147" s="11"/>
      <c r="E1147" s="12" t="s">
        <v>6108</v>
      </c>
      <c r="F1147" s="13" t="b">
        <v>0</v>
      </c>
      <c r="G1147" s="13" t="b">
        <v>0</v>
      </c>
      <c r="H1147" s="11"/>
      <c r="I1147" s="11" t="str">
        <f t="array" ref="I1147">IF(H1147="","",VLOOKUP(H1147,_xludf.HSTACK(#REF!,#REF!),2,FALSE))</f>
        <v/>
      </c>
      <c r="J1147" s="11"/>
    </row>
    <row r="1148" spans="1:10" x14ac:dyDescent="0.25">
      <c r="A1148" s="11" t="s">
        <v>1168</v>
      </c>
      <c r="B1148" s="11" t="s">
        <v>6109</v>
      </c>
      <c r="C1148" s="11" t="s">
        <v>125</v>
      </c>
      <c r="D1148" s="11"/>
      <c r="E1148" s="12" t="s">
        <v>6110</v>
      </c>
      <c r="F1148" s="13" t="b">
        <v>0</v>
      </c>
      <c r="G1148" s="13" t="b">
        <v>0</v>
      </c>
      <c r="H1148" s="11"/>
      <c r="I1148" s="11" t="str">
        <f t="array" ref="I1148">IF(H1148="","",VLOOKUP(H1148,_xludf.HSTACK(#REF!,#REF!),2,FALSE))</f>
        <v/>
      </c>
      <c r="J1148" s="11"/>
    </row>
    <row r="1149" spans="1:10" x14ac:dyDescent="0.25">
      <c r="A1149" s="11" t="s">
        <v>1168</v>
      </c>
      <c r="B1149" s="11" t="s">
        <v>6111</v>
      </c>
      <c r="C1149" s="11" t="s">
        <v>1218</v>
      </c>
      <c r="D1149" s="11"/>
      <c r="E1149" s="12" t="s">
        <v>6112</v>
      </c>
      <c r="F1149" s="13" t="b">
        <v>0</v>
      </c>
      <c r="G1149" s="13" t="b">
        <v>0</v>
      </c>
      <c r="H1149" s="11"/>
      <c r="I1149" s="11" t="str">
        <f t="array" ref="I1149">IF(H1149="","",VLOOKUP(H1149,_xludf.HSTACK(#REF!,#REF!),2,FALSE))</f>
        <v/>
      </c>
      <c r="J1149" s="11"/>
    </row>
    <row r="1150" spans="1:10" x14ac:dyDescent="0.25">
      <c r="A1150" s="11" t="s">
        <v>1168</v>
      </c>
      <c r="B1150" s="11" t="s">
        <v>6113</v>
      </c>
      <c r="C1150" s="11" t="s">
        <v>1218</v>
      </c>
      <c r="D1150" s="11"/>
      <c r="E1150" s="12" t="s">
        <v>6114</v>
      </c>
      <c r="F1150" s="13" t="b">
        <v>0</v>
      </c>
      <c r="G1150" s="13" t="b">
        <v>0</v>
      </c>
      <c r="H1150" s="11"/>
      <c r="I1150" s="11" t="str">
        <f t="array" ref="I1150">IF(H1150="","",VLOOKUP(H1150,_xludf.HSTACK(#REF!,#REF!),2,FALSE))</f>
        <v/>
      </c>
      <c r="J1150" s="11"/>
    </row>
    <row r="1151" spans="1:10" x14ac:dyDescent="0.25">
      <c r="A1151" s="11" t="s">
        <v>1168</v>
      </c>
      <c r="B1151" s="11" t="s">
        <v>6115</v>
      </c>
      <c r="C1151" s="11" t="s">
        <v>1218</v>
      </c>
      <c r="D1151" s="11"/>
      <c r="E1151" s="12" t="s">
        <v>6116</v>
      </c>
      <c r="F1151" s="13" t="b">
        <v>0</v>
      </c>
      <c r="G1151" s="13" t="b">
        <v>0</v>
      </c>
      <c r="H1151" s="11"/>
      <c r="I1151" s="11" t="str">
        <f t="array" ref="I1151">IF(H1151="","",VLOOKUP(H1151,_xludf.HSTACK(#REF!,#REF!),2,FALSE))</f>
        <v/>
      </c>
      <c r="J1151" s="11"/>
    </row>
    <row r="1152" spans="1:10" x14ac:dyDescent="0.25">
      <c r="A1152" s="11" t="s">
        <v>1168</v>
      </c>
      <c r="B1152" s="11" t="s">
        <v>6117</v>
      </c>
      <c r="C1152" s="11" t="s">
        <v>61</v>
      </c>
      <c r="D1152" s="12" t="s">
        <v>6118</v>
      </c>
      <c r="E1152" s="12" t="s">
        <v>6119</v>
      </c>
      <c r="F1152" s="13" t="b">
        <v>0</v>
      </c>
      <c r="G1152" s="13" t="b">
        <v>0</v>
      </c>
      <c r="H1152" s="11"/>
      <c r="I1152" s="11" t="str">
        <f t="array" ref="I1152">IF(H1152="","",VLOOKUP(H1152,_xludf.HSTACK(#REF!,#REF!),2,FALSE))</f>
        <v/>
      </c>
      <c r="J1152" s="11"/>
    </row>
    <row r="1153" spans="1:10" x14ac:dyDescent="0.25">
      <c r="A1153" s="11" t="s">
        <v>1168</v>
      </c>
      <c r="B1153" s="11" t="s">
        <v>6120</v>
      </c>
      <c r="C1153" s="11" t="s">
        <v>125</v>
      </c>
      <c r="D1153" s="11"/>
      <c r="E1153" s="12" t="s">
        <v>6121</v>
      </c>
      <c r="F1153" s="13" t="b">
        <v>0</v>
      </c>
      <c r="G1153" s="13" t="b">
        <v>0</v>
      </c>
      <c r="H1153" s="11" t="s">
        <v>26</v>
      </c>
      <c r="I1153" s="11" t="e">
        <f t="array" aca="1" ref="I1153" ca="1">IF(H1153="","",VLOOKUP(H1153,_xludf.HSTACK(#REF!,#REF!),2,FALSE))</f>
        <v>#NAME?</v>
      </c>
      <c r="J1153" s="11"/>
    </row>
    <row r="1154" spans="1:10" x14ac:dyDescent="0.25">
      <c r="A1154" s="11" t="s">
        <v>1168</v>
      </c>
      <c r="B1154" s="11" t="s">
        <v>6122</v>
      </c>
      <c r="C1154" s="11" t="s">
        <v>3</v>
      </c>
      <c r="D1154" s="12" t="s">
        <v>6123</v>
      </c>
      <c r="E1154" s="12" t="s">
        <v>6124</v>
      </c>
      <c r="F1154" s="13" t="b">
        <v>1</v>
      </c>
      <c r="G1154" s="13" t="b">
        <v>0</v>
      </c>
      <c r="H1154" s="11" t="s">
        <v>50</v>
      </c>
      <c r="I1154" s="11" t="e">
        <f t="array" aca="1" ref="I1154" ca="1">IF(H1154="","",VLOOKUP(H1154,_xludf.HSTACK(#REF!,#REF!),2,FALSE))</f>
        <v>#NAME?</v>
      </c>
      <c r="J1154" s="11"/>
    </row>
    <row r="1155" spans="1:10" x14ac:dyDescent="0.25">
      <c r="A1155" s="11" t="s">
        <v>1168</v>
      </c>
      <c r="B1155" s="11" t="s">
        <v>6125</v>
      </c>
      <c r="C1155" s="11" t="s">
        <v>3</v>
      </c>
      <c r="D1155" s="12" t="s">
        <v>6126</v>
      </c>
      <c r="E1155" s="12" t="s">
        <v>6127</v>
      </c>
      <c r="F1155" s="13" t="b">
        <v>1</v>
      </c>
      <c r="G1155" s="13" t="b">
        <v>0</v>
      </c>
      <c r="H1155" s="11" t="s">
        <v>51</v>
      </c>
      <c r="I1155" s="11" t="e">
        <f t="array" aca="1" ref="I1155" ca="1">IF(H1155="","",VLOOKUP(H1155,_xludf.HSTACK(#REF!,#REF!),2,FALSE))</f>
        <v>#NAME?</v>
      </c>
      <c r="J1155" s="11"/>
    </row>
    <row r="1156" spans="1:10" x14ac:dyDescent="0.25">
      <c r="A1156" s="11" t="s">
        <v>1168</v>
      </c>
      <c r="B1156" s="11" t="s">
        <v>6128</v>
      </c>
      <c r="C1156" s="11" t="s">
        <v>3</v>
      </c>
      <c r="D1156" s="12" t="s">
        <v>6129</v>
      </c>
      <c r="E1156" s="12" t="s">
        <v>6130</v>
      </c>
      <c r="F1156" s="13" t="b">
        <v>0</v>
      </c>
      <c r="G1156" s="13" t="b">
        <v>0</v>
      </c>
      <c r="H1156" s="11"/>
      <c r="I1156" s="11" t="str">
        <f t="array" ref="I1156">IF(H1156="","",VLOOKUP(H1156,_xludf.HSTACK(#REF!,#REF!),2,FALSE))</f>
        <v/>
      </c>
      <c r="J1156" s="11"/>
    </row>
    <row r="1157" spans="1:10" x14ac:dyDescent="0.25">
      <c r="A1157" s="11" t="s">
        <v>1168</v>
      </c>
      <c r="B1157" s="11" t="s">
        <v>6131</v>
      </c>
      <c r="C1157" s="11" t="s">
        <v>4</v>
      </c>
      <c r="D1157" s="12" t="s">
        <v>6132</v>
      </c>
      <c r="E1157" s="12" t="s">
        <v>6133</v>
      </c>
      <c r="F1157" s="13" t="b">
        <v>1</v>
      </c>
      <c r="G1157" s="13" t="b">
        <v>0</v>
      </c>
      <c r="H1157" s="11" t="s">
        <v>51</v>
      </c>
      <c r="I1157" s="11" t="e">
        <f t="array" aca="1" ref="I1157" ca="1">IF(H1157="","",VLOOKUP(H1157,_xludf.HSTACK(#REF!,#REF!),2,FALSE))</f>
        <v>#NAME?</v>
      </c>
      <c r="J1157" s="11"/>
    </row>
    <row r="1158" spans="1:10" x14ac:dyDescent="0.25">
      <c r="A1158" s="11" t="s">
        <v>1168</v>
      </c>
      <c r="B1158" s="11" t="s">
        <v>6134</v>
      </c>
      <c r="C1158" s="11" t="s">
        <v>4</v>
      </c>
      <c r="D1158" s="12" t="s">
        <v>6135</v>
      </c>
      <c r="E1158" s="12" t="s">
        <v>6136</v>
      </c>
      <c r="F1158" s="13" t="b">
        <v>0</v>
      </c>
      <c r="G1158" s="13" t="b">
        <v>0</v>
      </c>
      <c r="H1158" s="11" t="s">
        <v>55</v>
      </c>
      <c r="I1158" s="11" t="e">
        <f t="array" aca="1" ref="I1158" ca="1">IF(H1158="","",VLOOKUP(H1158,_xludf.HSTACK(#REF!,#REF!),2,FALSE))</f>
        <v>#NAME?</v>
      </c>
      <c r="J1158" s="11"/>
    </row>
    <row r="1159" spans="1:10" x14ac:dyDescent="0.25">
      <c r="A1159" s="11" t="s">
        <v>1168</v>
      </c>
      <c r="B1159" s="11" t="s">
        <v>6137</v>
      </c>
      <c r="C1159" s="11" t="s">
        <v>4</v>
      </c>
      <c r="D1159" s="12" t="s">
        <v>6138</v>
      </c>
      <c r="E1159" s="12" t="s">
        <v>6139</v>
      </c>
      <c r="F1159" s="13" t="b">
        <v>1</v>
      </c>
      <c r="G1159" s="13" t="b">
        <v>0</v>
      </c>
      <c r="H1159" s="11" t="s">
        <v>50</v>
      </c>
      <c r="I1159" s="11" t="e">
        <f t="array" aca="1" ref="I1159" ca="1">IF(H1159="","",VLOOKUP(H1159,_xludf.HSTACK(#REF!,#REF!),2,FALSE))</f>
        <v>#NAME?</v>
      </c>
      <c r="J1159" s="11"/>
    </row>
    <row r="1160" spans="1:10" x14ac:dyDescent="0.25">
      <c r="A1160" s="11" t="s">
        <v>1168</v>
      </c>
      <c r="B1160" s="11" t="s">
        <v>6140</v>
      </c>
      <c r="C1160" s="11" t="s">
        <v>3</v>
      </c>
      <c r="D1160" s="12" t="s">
        <v>6141</v>
      </c>
      <c r="E1160" s="12" t="s">
        <v>6142</v>
      </c>
      <c r="F1160" s="13" t="b">
        <v>0</v>
      </c>
      <c r="G1160" s="13" t="b">
        <v>0</v>
      </c>
      <c r="H1160" s="11" t="s">
        <v>58</v>
      </c>
      <c r="I1160" s="11" t="e">
        <f t="array" aca="1" ref="I1160" ca="1">IF(H1160="","",VLOOKUP(H1160,_xludf.HSTACK(#REF!,#REF!),2,FALSE))</f>
        <v>#NAME?</v>
      </c>
      <c r="J1160" s="11"/>
    </row>
    <row r="1161" spans="1:10" x14ac:dyDescent="0.25">
      <c r="A1161" s="11" t="s">
        <v>1168</v>
      </c>
      <c r="B1161" s="11" t="s">
        <v>6143</v>
      </c>
      <c r="C1161" s="11" t="s">
        <v>125</v>
      </c>
      <c r="D1161" s="11"/>
      <c r="E1161" s="12" t="s">
        <v>6144</v>
      </c>
      <c r="F1161" s="13" t="b">
        <v>0</v>
      </c>
      <c r="G1161" s="13" t="b">
        <v>0</v>
      </c>
      <c r="H1161" s="11" t="s">
        <v>32</v>
      </c>
      <c r="I1161" s="11" t="e">
        <f t="array" aca="1" ref="I1161" ca="1">IF(H1161="","",VLOOKUP(H1161,_xludf.HSTACK(#REF!,#REF!),2,FALSE))</f>
        <v>#NAME?</v>
      </c>
      <c r="J1161" s="11"/>
    </row>
    <row r="1162" spans="1:10" x14ac:dyDescent="0.25">
      <c r="A1162" s="11" t="s">
        <v>1168</v>
      </c>
      <c r="B1162" s="11" t="s">
        <v>6145</v>
      </c>
      <c r="C1162" s="11" t="s">
        <v>4</v>
      </c>
      <c r="D1162" s="12" t="s">
        <v>6146</v>
      </c>
      <c r="E1162" s="12" t="s">
        <v>6147</v>
      </c>
      <c r="F1162" s="13" t="b">
        <v>1</v>
      </c>
      <c r="G1162" s="13" t="b">
        <v>0</v>
      </c>
      <c r="H1162" s="11" t="s">
        <v>58</v>
      </c>
      <c r="I1162" s="11" t="e">
        <f t="array" aca="1" ref="I1162" ca="1">IF(H1162="","",VLOOKUP(H1162,_xludf.HSTACK(#REF!,#REF!),2,FALSE))</f>
        <v>#NAME?</v>
      </c>
      <c r="J1162" s="11"/>
    </row>
    <row r="1163" spans="1:10" x14ac:dyDescent="0.25">
      <c r="A1163" s="11" t="s">
        <v>1168</v>
      </c>
      <c r="B1163" s="11" t="s">
        <v>6148</v>
      </c>
      <c r="C1163" s="11" t="s">
        <v>125</v>
      </c>
      <c r="D1163" s="11"/>
      <c r="E1163" s="12" t="s">
        <v>6149</v>
      </c>
      <c r="F1163" s="13" t="b">
        <v>0</v>
      </c>
      <c r="G1163" s="13" t="b">
        <v>0</v>
      </c>
      <c r="H1163" s="11" t="s">
        <v>30</v>
      </c>
      <c r="I1163" s="11" t="e">
        <f t="array" aca="1" ref="I1163" ca="1">IF(H1163="","",VLOOKUP(H1163,_xludf.HSTACK(#REF!,#REF!),2,FALSE))</f>
        <v>#NAME?</v>
      </c>
      <c r="J1163" s="11"/>
    </row>
    <row r="1164" spans="1:10" x14ac:dyDescent="0.25">
      <c r="A1164" s="11" t="s">
        <v>1168</v>
      </c>
      <c r="B1164" s="11" t="s">
        <v>6150</v>
      </c>
      <c r="C1164" s="11" t="s">
        <v>3</v>
      </c>
      <c r="D1164" s="12" t="s">
        <v>6151</v>
      </c>
      <c r="E1164" s="12" t="s">
        <v>6152</v>
      </c>
      <c r="F1164" s="13" t="b">
        <v>1</v>
      </c>
      <c r="G1164" s="13" t="b">
        <v>0</v>
      </c>
      <c r="H1164" s="11" t="s">
        <v>55</v>
      </c>
      <c r="I1164" s="11" t="e">
        <f t="array" aca="1" ref="I1164" ca="1">IF(H1164="","",VLOOKUP(H1164,_xludf.HSTACK(#REF!,#REF!),2,FALSE))</f>
        <v>#NAME?</v>
      </c>
      <c r="J1164" s="11"/>
    </row>
    <row r="1165" spans="1:10" x14ac:dyDescent="0.25">
      <c r="A1165" s="11" t="s">
        <v>1168</v>
      </c>
      <c r="B1165" s="11" t="s">
        <v>6153</v>
      </c>
      <c r="C1165" s="11" t="s">
        <v>1308</v>
      </c>
      <c r="D1165" s="11"/>
      <c r="E1165" s="12" t="s">
        <v>6154</v>
      </c>
      <c r="F1165" s="13" t="b">
        <v>0</v>
      </c>
      <c r="G1165" s="13" t="b">
        <v>0</v>
      </c>
      <c r="H1165" s="11"/>
      <c r="I1165" s="11" t="str">
        <f t="array" ref="I1165">IF(H1165="","",VLOOKUP(H1165,_xludf.HSTACK(#REF!,#REF!),2,FALSE))</f>
        <v/>
      </c>
      <c r="J1165" s="11"/>
    </row>
    <row r="1166" spans="1:10" x14ac:dyDescent="0.25">
      <c r="A1166" s="11" t="s">
        <v>1168</v>
      </c>
      <c r="B1166" s="11" t="s">
        <v>6155</v>
      </c>
      <c r="C1166" s="11" t="s">
        <v>21</v>
      </c>
      <c r="D1166" s="11"/>
      <c r="E1166" s="12" t="s">
        <v>6156</v>
      </c>
      <c r="F1166" s="13" t="b">
        <v>0</v>
      </c>
      <c r="G1166" s="13" t="b">
        <v>0</v>
      </c>
      <c r="H1166" s="11"/>
      <c r="I1166" s="11" t="str">
        <f t="array" ref="I1166">IF(H1166="","",VLOOKUP(H1166,_xludf.HSTACK(#REF!,#REF!),2,FALSE))</f>
        <v/>
      </c>
      <c r="J1166" s="11"/>
    </row>
    <row r="1167" spans="1:10" x14ac:dyDescent="0.25">
      <c r="A1167" s="11" t="s">
        <v>1168</v>
      </c>
      <c r="B1167" s="11" t="s">
        <v>6157</v>
      </c>
      <c r="C1167" s="11" t="s">
        <v>21</v>
      </c>
      <c r="D1167" s="11"/>
      <c r="E1167" s="12" t="s">
        <v>6158</v>
      </c>
      <c r="F1167" s="13" t="b">
        <v>0</v>
      </c>
      <c r="G1167" s="13" t="b">
        <v>0</v>
      </c>
      <c r="H1167" s="11"/>
      <c r="I1167" s="11" t="str">
        <f t="array" ref="I1167">IF(H1167="","",VLOOKUP(H1167,_xludf.HSTACK(#REF!,#REF!),2,FALSE))</f>
        <v/>
      </c>
      <c r="J1167" s="11"/>
    </row>
    <row r="1168" spans="1:10" x14ac:dyDescent="0.25">
      <c r="A1168" s="11" t="s">
        <v>1168</v>
      </c>
      <c r="B1168" s="11" t="s">
        <v>6159</v>
      </c>
      <c r="C1168" s="11" t="s">
        <v>4676</v>
      </c>
      <c r="D1168" s="11"/>
      <c r="E1168" s="12" t="s">
        <v>6160</v>
      </c>
      <c r="F1168" s="13" t="b">
        <v>0</v>
      </c>
      <c r="G1168" s="13" t="b">
        <v>0</v>
      </c>
      <c r="H1168" s="11"/>
      <c r="I1168" s="11" t="str">
        <f t="array" ref="I1168">IF(H1168="","",VLOOKUP(H1168,_xludf.HSTACK(#REF!,#REF!),2,FALSE))</f>
        <v/>
      </c>
      <c r="J1168" s="11"/>
    </row>
    <row r="1169" spans="1:10" x14ac:dyDescent="0.25">
      <c r="A1169" s="11" t="s">
        <v>1168</v>
      </c>
      <c r="B1169" s="11" t="s">
        <v>6161</v>
      </c>
      <c r="C1169" s="11" t="s">
        <v>21</v>
      </c>
      <c r="D1169" s="11"/>
      <c r="E1169" s="12" t="s">
        <v>6162</v>
      </c>
      <c r="F1169" s="13" t="b">
        <v>0</v>
      </c>
      <c r="G1169" s="13" t="b">
        <v>0</v>
      </c>
      <c r="H1169" s="11"/>
      <c r="I1169" s="11" t="str">
        <f t="array" ref="I1169">IF(H1169="","",VLOOKUP(H1169,_xludf.HSTACK(#REF!,#REF!),2,FALSE))</f>
        <v/>
      </c>
      <c r="J1169" s="11"/>
    </row>
    <row r="1170" spans="1:10" x14ac:dyDescent="0.25">
      <c r="A1170" s="11" t="s">
        <v>1168</v>
      </c>
      <c r="B1170" s="11" t="s">
        <v>6163</v>
      </c>
      <c r="C1170" s="11" t="s">
        <v>21</v>
      </c>
      <c r="D1170" s="11"/>
      <c r="E1170" s="12" t="s">
        <v>6164</v>
      </c>
      <c r="F1170" s="13" t="b">
        <v>0</v>
      </c>
      <c r="G1170" s="13" t="b">
        <v>0</v>
      </c>
      <c r="H1170" s="11"/>
      <c r="I1170" s="11" t="str">
        <f t="array" ref="I1170">IF(H1170="","",VLOOKUP(H1170,_xludf.HSTACK(#REF!,#REF!),2,FALSE))</f>
        <v/>
      </c>
      <c r="J1170" s="11"/>
    </row>
    <row r="1171" spans="1:10" x14ac:dyDescent="0.25">
      <c r="A1171" s="11" t="s">
        <v>1168</v>
      </c>
      <c r="B1171" s="11" t="s">
        <v>6165</v>
      </c>
      <c r="C1171" s="11" t="s">
        <v>21</v>
      </c>
      <c r="D1171" s="11"/>
      <c r="E1171" s="12" t="s">
        <v>6166</v>
      </c>
      <c r="F1171" s="13" t="b">
        <v>1</v>
      </c>
      <c r="G1171" s="13" t="b">
        <v>0</v>
      </c>
      <c r="H1171" s="11" t="s">
        <v>65</v>
      </c>
      <c r="I1171" s="11" t="e">
        <f t="array" aca="1" ref="I1171" ca="1">IF(H1171="","",VLOOKUP(H1171,_xludf.HSTACK(#REF!,#REF!),2,FALSE))</f>
        <v>#NAME?</v>
      </c>
      <c r="J1171" s="11"/>
    </row>
    <row r="1172" spans="1:10" x14ac:dyDescent="0.25">
      <c r="A1172" s="11" t="s">
        <v>1168</v>
      </c>
      <c r="B1172" s="11" t="s">
        <v>6167</v>
      </c>
      <c r="C1172" s="11" t="s">
        <v>4676</v>
      </c>
      <c r="D1172" s="11"/>
      <c r="E1172" s="12" t="s">
        <v>6168</v>
      </c>
      <c r="F1172" s="13" t="b">
        <v>0</v>
      </c>
      <c r="G1172" s="13" t="b">
        <v>0</v>
      </c>
      <c r="H1172" s="11"/>
      <c r="I1172" s="11" t="str">
        <f t="array" ref="I1172">IF(H1172="","",VLOOKUP(H1172,_xludf.HSTACK(#REF!,#REF!),2,FALSE))</f>
        <v/>
      </c>
      <c r="J1172" s="11"/>
    </row>
    <row r="1173" spans="1:10" x14ac:dyDescent="0.25">
      <c r="A1173" s="11" t="s">
        <v>1168</v>
      </c>
      <c r="B1173" s="11" t="s">
        <v>6169</v>
      </c>
      <c r="C1173" s="11" t="s">
        <v>21</v>
      </c>
      <c r="D1173" s="11"/>
      <c r="E1173" s="12" t="s">
        <v>6170</v>
      </c>
      <c r="F1173" s="13" t="b">
        <v>0</v>
      </c>
      <c r="G1173" s="13" t="b">
        <v>0</v>
      </c>
      <c r="H1173" s="11"/>
      <c r="I1173" s="11" t="str">
        <f t="array" ref="I1173">IF(H1173="","",VLOOKUP(H1173,_xludf.HSTACK(#REF!,#REF!),2,FALSE))</f>
        <v/>
      </c>
      <c r="J1173" s="11"/>
    </row>
    <row r="1174" spans="1:10" x14ac:dyDescent="0.25">
      <c r="A1174" s="11" t="s">
        <v>1168</v>
      </c>
      <c r="B1174" s="11" t="s">
        <v>6171</v>
      </c>
      <c r="C1174" s="11" t="s">
        <v>4676</v>
      </c>
      <c r="D1174" s="11"/>
      <c r="E1174" s="12" t="s">
        <v>6172</v>
      </c>
      <c r="F1174" s="13" t="b">
        <v>1</v>
      </c>
      <c r="G1174" s="13" t="b">
        <v>0</v>
      </c>
      <c r="H1174" s="11" t="s">
        <v>67</v>
      </c>
      <c r="I1174" s="11" t="e">
        <f t="array" aca="1" ref="I1174" ca="1">IF(H1174="","",VLOOKUP(H1174,_xludf.HSTACK(#REF!,#REF!),2,FALSE))</f>
        <v>#NAME?</v>
      </c>
      <c r="J1174" s="11"/>
    </row>
    <row r="1175" spans="1:10" x14ac:dyDescent="0.25">
      <c r="A1175" s="11" t="s">
        <v>1168</v>
      </c>
      <c r="B1175" s="11" t="s">
        <v>6173</v>
      </c>
      <c r="C1175" s="11" t="s">
        <v>21</v>
      </c>
      <c r="D1175" s="11"/>
      <c r="E1175" s="12" t="s">
        <v>6174</v>
      </c>
      <c r="F1175" s="13" t="b">
        <v>1</v>
      </c>
      <c r="G1175" s="13" t="b">
        <v>0</v>
      </c>
      <c r="H1175" s="11" t="s">
        <v>70</v>
      </c>
      <c r="I1175" s="11" t="e">
        <f t="array" aca="1" ref="I1175" ca="1">IF(H1175="","",VLOOKUP(H1175,_xludf.HSTACK(#REF!,#REF!),2,FALSE))</f>
        <v>#NAME?</v>
      </c>
      <c r="J1175" s="11"/>
    </row>
    <row r="1176" spans="1:10" x14ac:dyDescent="0.25">
      <c r="A1176" s="11" t="s">
        <v>1168</v>
      </c>
      <c r="B1176" s="11" t="s">
        <v>6175</v>
      </c>
      <c r="C1176" s="11" t="s">
        <v>104</v>
      </c>
      <c r="D1176" s="12" t="s">
        <v>6176</v>
      </c>
      <c r="E1176" s="12" t="s">
        <v>6177</v>
      </c>
      <c r="F1176" s="13" t="b">
        <v>0</v>
      </c>
      <c r="G1176" s="13" t="b">
        <v>0</v>
      </c>
      <c r="H1176" s="11"/>
      <c r="I1176" s="11" t="str">
        <f t="array" ref="I1176">IF(H1176="","",VLOOKUP(H1176,_xludf.HSTACK(#REF!,#REF!),2,FALSE))</f>
        <v/>
      </c>
      <c r="J1176" s="11"/>
    </row>
    <row r="1177" spans="1:10" x14ac:dyDescent="0.25">
      <c r="A1177" s="11" t="s">
        <v>1168</v>
      </c>
      <c r="B1177" s="11" t="s">
        <v>6178</v>
      </c>
      <c r="C1177" s="11" t="s">
        <v>208</v>
      </c>
      <c r="D1177" s="12" t="s">
        <v>6179</v>
      </c>
      <c r="E1177" s="12" t="s">
        <v>6180</v>
      </c>
      <c r="F1177" s="13" t="b">
        <v>0</v>
      </c>
      <c r="G1177" s="13" t="b">
        <v>0</v>
      </c>
      <c r="H1177" s="11"/>
      <c r="I1177" s="11" t="str">
        <f t="array" ref="I1177">IF(H1177="","",VLOOKUP(H1177,_xludf.HSTACK(#REF!,#REF!),2,FALSE))</f>
        <v/>
      </c>
      <c r="J1177" s="11"/>
    </row>
    <row r="1178" spans="1:10" x14ac:dyDescent="0.25">
      <c r="A1178" s="9" t="s">
        <v>1330</v>
      </c>
      <c r="B1178" s="9" t="s">
        <v>6181</v>
      </c>
      <c r="C1178" s="9" t="s">
        <v>4411</v>
      </c>
      <c r="D1178" s="7" t="s">
        <v>6182</v>
      </c>
      <c r="E1178" s="7" t="s">
        <v>6183</v>
      </c>
      <c r="F1178" s="10" t="b">
        <v>0</v>
      </c>
      <c r="G1178" s="10" t="b">
        <v>0</v>
      </c>
      <c r="H1178" s="9"/>
      <c r="I1178" s="9" t="str">
        <f t="array" ref="I1178">IF(H1178="","",VLOOKUP(H1178,_xludf.HSTACK(#REF!,#REF!),2,FALSE))</f>
        <v/>
      </c>
      <c r="J1178" s="9"/>
    </row>
    <row r="1179" spans="1:10" x14ac:dyDescent="0.25">
      <c r="A1179" s="9" t="s">
        <v>1330</v>
      </c>
      <c r="B1179" s="9" t="s">
        <v>6184</v>
      </c>
      <c r="C1179" s="9" t="s">
        <v>104</v>
      </c>
      <c r="D1179" s="9"/>
      <c r="E1179" s="7" t="s">
        <v>6185</v>
      </c>
      <c r="F1179" s="10" t="b">
        <v>0</v>
      </c>
      <c r="G1179" s="10" t="b">
        <v>0</v>
      </c>
      <c r="H1179" s="9"/>
      <c r="I1179" s="9" t="str">
        <f t="array" ref="I1179">IF(H1179="","",VLOOKUP(H1179,_xludf.HSTACK(#REF!,#REF!),2,FALSE))</f>
        <v/>
      </c>
      <c r="J1179" s="9"/>
    </row>
    <row r="1180" spans="1:10" x14ac:dyDescent="0.25">
      <c r="A1180" s="9" t="s">
        <v>1330</v>
      </c>
      <c r="B1180" s="9" t="s">
        <v>6186</v>
      </c>
      <c r="C1180" s="9" t="s">
        <v>6187</v>
      </c>
      <c r="D1180" s="9"/>
      <c r="E1180" s="7" t="s">
        <v>6188</v>
      </c>
      <c r="F1180" s="10" t="b">
        <v>0</v>
      </c>
      <c r="G1180" s="10" t="b">
        <v>0</v>
      </c>
      <c r="H1180" s="9"/>
      <c r="I1180" s="9" t="str">
        <f t="array" ref="I1180">IF(H1180="","",VLOOKUP(H1180,_xludf.HSTACK(#REF!,#REF!),2,FALSE))</f>
        <v/>
      </c>
      <c r="J1180" s="9"/>
    </row>
    <row r="1181" spans="1:10" x14ac:dyDescent="0.25">
      <c r="A1181" s="9" t="s">
        <v>1330</v>
      </c>
      <c r="B1181" s="9" t="s">
        <v>6189</v>
      </c>
      <c r="C1181" s="9" t="s">
        <v>6187</v>
      </c>
      <c r="D1181" s="9"/>
      <c r="E1181" s="7" t="s">
        <v>6190</v>
      </c>
      <c r="F1181" s="10" t="b">
        <v>0</v>
      </c>
      <c r="G1181" s="10" t="b">
        <v>0</v>
      </c>
      <c r="H1181" s="9"/>
      <c r="I1181" s="9" t="str">
        <f t="array" ref="I1181">IF(H1181="","",VLOOKUP(H1181,_xludf.HSTACK(#REF!,#REF!),2,FALSE))</f>
        <v/>
      </c>
      <c r="J1181" s="9"/>
    </row>
    <row r="1182" spans="1:10" x14ac:dyDescent="0.25">
      <c r="A1182" s="9" t="s">
        <v>1330</v>
      </c>
      <c r="B1182" s="9" t="s">
        <v>6191</v>
      </c>
      <c r="C1182" s="9" t="s">
        <v>6192</v>
      </c>
      <c r="D1182" s="9"/>
      <c r="E1182" s="7" t="s">
        <v>6193</v>
      </c>
      <c r="F1182" s="10" t="b">
        <v>0</v>
      </c>
      <c r="G1182" s="10" t="b">
        <v>0</v>
      </c>
      <c r="H1182" s="9" t="s">
        <v>22</v>
      </c>
      <c r="I1182" s="9" t="e">
        <f t="array" aca="1" ref="I1182" ca="1">IF(H1182="","",VLOOKUP(H1182,_xludf.HSTACK(#REF!,#REF!),2,FALSE))</f>
        <v>#NAME?</v>
      </c>
      <c r="J1182" s="9"/>
    </row>
    <row r="1183" spans="1:10" x14ac:dyDescent="0.25">
      <c r="A1183" s="9" t="s">
        <v>1330</v>
      </c>
      <c r="B1183" s="9" t="s">
        <v>6194</v>
      </c>
      <c r="C1183" s="9" t="s">
        <v>6195</v>
      </c>
      <c r="D1183" s="9"/>
      <c r="E1183" s="7" t="s">
        <v>6196</v>
      </c>
      <c r="F1183" s="10" t="b">
        <v>0</v>
      </c>
      <c r="G1183" s="10" t="b">
        <v>0</v>
      </c>
      <c r="H1183" s="9"/>
      <c r="I1183" s="9" t="str">
        <f t="array" ref="I1183">IF(H1183="","",VLOOKUP(H1183,_xludf.HSTACK(#REF!,#REF!),2,FALSE))</f>
        <v/>
      </c>
      <c r="J1183" s="9"/>
    </row>
    <row r="1184" spans="1:10" x14ac:dyDescent="0.25">
      <c r="A1184" s="9" t="s">
        <v>1330</v>
      </c>
      <c r="B1184" s="9" t="s">
        <v>6197</v>
      </c>
      <c r="C1184" s="9" t="s">
        <v>6198</v>
      </c>
      <c r="D1184" s="9"/>
      <c r="E1184" s="7" t="s">
        <v>6199</v>
      </c>
      <c r="F1184" s="10" t="b">
        <v>0</v>
      </c>
      <c r="G1184" s="10" t="b">
        <v>0</v>
      </c>
      <c r="H1184" s="9" t="s">
        <v>24</v>
      </c>
      <c r="I1184" s="9" t="e">
        <f t="array" aca="1" ref="I1184" ca="1">IF(H1184="","",VLOOKUP(H1184,_xludf.HSTACK(#REF!,#REF!),2,FALSE))</f>
        <v>#NAME?</v>
      </c>
      <c r="J1184" s="9"/>
    </row>
    <row r="1185" spans="1:10" x14ac:dyDescent="0.25">
      <c r="A1185" s="9" t="s">
        <v>1330</v>
      </c>
      <c r="B1185" s="9" t="s">
        <v>6200</v>
      </c>
      <c r="C1185" s="9" t="s">
        <v>192</v>
      </c>
      <c r="D1185" s="9"/>
      <c r="E1185" s="7" t="s">
        <v>6201</v>
      </c>
      <c r="F1185" s="10" t="b">
        <v>0</v>
      </c>
      <c r="G1185" s="10" t="b">
        <v>0</v>
      </c>
      <c r="H1185" s="9"/>
      <c r="I1185" s="9" t="str">
        <f t="array" ref="I1185">IF(H1185="","",VLOOKUP(H1185,_xludf.HSTACK(#REF!,#REF!),2,FALSE))</f>
        <v/>
      </c>
      <c r="J1185" s="9"/>
    </row>
    <row r="1186" spans="1:10" x14ac:dyDescent="0.25">
      <c r="A1186" s="9" t="s">
        <v>1330</v>
      </c>
      <c r="B1186" s="9" t="s">
        <v>6202</v>
      </c>
      <c r="C1186" s="9" t="s">
        <v>192</v>
      </c>
      <c r="D1186" s="9"/>
      <c r="E1186" s="7" t="s">
        <v>6203</v>
      </c>
      <c r="F1186" s="10" t="b">
        <v>0</v>
      </c>
      <c r="G1186" s="10" t="b">
        <v>0</v>
      </c>
      <c r="H1186" s="9"/>
      <c r="I1186" s="9" t="str">
        <f t="array" ref="I1186">IF(H1186="","",VLOOKUP(H1186,_xludf.HSTACK(#REF!,#REF!),2,FALSE))</f>
        <v/>
      </c>
      <c r="J1186" s="9"/>
    </row>
    <row r="1187" spans="1:10" x14ac:dyDescent="0.25">
      <c r="A1187" s="9" t="s">
        <v>1330</v>
      </c>
      <c r="B1187" s="9" t="s">
        <v>6204</v>
      </c>
      <c r="C1187" s="9" t="s">
        <v>192</v>
      </c>
      <c r="D1187" s="9"/>
      <c r="E1187" s="7" t="s">
        <v>6205</v>
      </c>
      <c r="F1187" s="10" t="b">
        <v>0</v>
      </c>
      <c r="G1187" s="10" t="b">
        <v>0</v>
      </c>
      <c r="H1187" s="9" t="s">
        <v>28</v>
      </c>
      <c r="I1187" s="9" t="e">
        <f t="array" aca="1" ref="I1187" ca="1">IF(H1187="","",VLOOKUP(H1187,_xludf.HSTACK(#REF!,#REF!),2,FALSE))</f>
        <v>#NAME?</v>
      </c>
      <c r="J1187" s="9"/>
    </row>
    <row r="1188" spans="1:10" x14ac:dyDescent="0.25">
      <c r="A1188" s="9" t="s">
        <v>1330</v>
      </c>
      <c r="B1188" s="9" t="s">
        <v>6206</v>
      </c>
      <c r="C1188" s="9" t="s">
        <v>192</v>
      </c>
      <c r="D1188" s="9"/>
      <c r="E1188" s="7" t="s">
        <v>6207</v>
      </c>
      <c r="F1188" s="10" t="b">
        <v>0</v>
      </c>
      <c r="G1188" s="10" t="b">
        <v>0</v>
      </c>
      <c r="H1188" s="9"/>
      <c r="I1188" s="9" t="str">
        <f t="array" ref="I1188">IF(H1188="","",VLOOKUP(H1188,_xludf.HSTACK(#REF!,#REF!),2,FALSE))</f>
        <v/>
      </c>
      <c r="J1188" s="9"/>
    </row>
    <row r="1189" spans="1:10" x14ac:dyDescent="0.25">
      <c r="A1189" s="9" t="s">
        <v>1330</v>
      </c>
      <c r="B1189" s="9" t="s">
        <v>6208</v>
      </c>
      <c r="C1189" s="9" t="s">
        <v>192</v>
      </c>
      <c r="D1189" s="9"/>
      <c r="E1189" s="7" t="s">
        <v>6209</v>
      </c>
      <c r="F1189" s="10" t="b">
        <v>0</v>
      </c>
      <c r="G1189" s="10" t="b">
        <v>0</v>
      </c>
      <c r="H1189" s="9"/>
      <c r="I1189" s="9" t="str">
        <f t="array" ref="I1189">IF(H1189="","",VLOOKUP(H1189,_xludf.HSTACK(#REF!,#REF!),2,FALSE))</f>
        <v/>
      </c>
      <c r="J1189" s="9"/>
    </row>
    <row r="1190" spans="1:10" x14ac:dyDescent="0.25">
      <c r="A1190" s="9" t="s">
        <v>1330</v>
      </c>
      <c r="B1190" s="9" t="s">
        <v>6210</v>
      </c>
      <c r="C1190" s="9" t="s">
        <v>192</v>
      </c>
      <c r="D1190" s="9"/>
      <c r="E1190" s="7" t="s">
        <v>6211</v>
      </c>
      <c r="F1190" s="10" t="b">
        <v>0</v>
      </c>
      <c r="G1190" s="10" t="b">
        <v>0</v>
      </c>
      <c r="H1190" s="9" t="s">
        <v>30</v>
      </c>
      <c r="I1190" s="9" t="e">
        <f t="array" aca="1" ref="I1190" ca="1">IF(H1190="","",VLOOKUP(H1190,_xludf.HSTACK(#REF!,#REF!),2,FALSE))</f>
        <v>#NAME?</v>
      </c>
      <c r="J1190" s="9"/>
    </row>
    <row r="1191" spans="1:10" x14ac:dyDescent="0.25">
      <c r="A1191" s="9" t="s">
        <v>1330</v>
      </c>
      <c r="B1191" s="9" t="s">
        <v>6212</v>
      </c>
      <c r="C1191" s="9" t="s">
        <v>21</v>
      </c>
      <c r="D1191" s="7" t="s">
        <v>5356</v>
      </c>
      <c r="E1191" s="7" t="s">
        <v>6213</v>
      </c>
      <c r="F1191" s="10" t="b">
        <v>1</v>
      </c>
      <c r="G1191" s="10" t="b">
        <v>0</v>
      </c>
      <c r="H1191" s="9" t="s">
        <v>70</v>
      </c>
      <c r="I1191" s="9" t="e">
        <f t="array" aca="1" ref="I1191" ca="1">IF(H1191="","",VLOOKUP(H1191,_xludf.HSTACK(#REF!,#REF!),2,FALSE))</f>
        <v>#NAME?</v>
      </c>
      <c r="J1191" s="9"/>
    </row>
    <row r="1192" spans="1:10" x14ac:dyDescent="0.25">
      <c r="A1192" s="9" t="s">
        <v>1330</v>
      </c>
      <c r="B1192" s="9" t="s">
        <v>6214</v>
      </c>
      <c r="C1192" s="9" t="s">
        <v>21</v>
      </c>
      <c r="D1192" s="7" t="s">
        <v>5390</v>
      </c>
      <c r="E1192" s="7" t="s">
        <v>6215</v>
      </c>
      <c r="F1192" s="10" t="b">
        <v>1</v>
      </c>
      <c r="G1192" s="10" t="b">
        <v>0</v>
      </c>
      <c r="H1192" s="9" t="s">
        <v>70</v>
      </c>
      <c r="I1192" s="9" t="e">
        <f t="array" aca="1" ref="I1192" ca="1">IF(H1192="","",VLOOKUP(H1192,_xludf.HSTACK(#REF!,#REF!),2,FALSE))</f>
        <v>#NAME?</v>
      </c>
      <c r="J1192" s="9"/>
    </row>
    <row r="1193" spans="1:10" x14ac:dyDescent="0.25">
      <c r="A1193" s="9" t="s">
        <v>1330</v>
      </c>
      <c r="B1193" s="9" t="s">
        <v>6216</v>
      </c>
      <c r="C1193" s="9" t="s">
        <v>192</v>
      </c>
      <c r="D1193" s="9"/>
      <c r="E1193" s="7" t="s">
        <v>6217</v>
      </c>
      <c r="F1193" s="10" t="b">
        <v>0</v>
      </c>
      <c r="G1193" s="10" t="b">
        <v>0</v>
      </c>
      <c r="H1193" s="9"/>
      <c r="I1193" s="9" t="str">
        <f t="array" ref="I1193">IF(H1193="","",VLOOKUP(H1193,_xludf.HSTACK(#REF!,#REF!),2,FALSE))</f>
        <v/>
      </c>
      <c r="J1193" s="9"/>
    </row>
    <row r="1194" spans="1:10" x14ac:dyDescent="0.25">
      <c r="A1194" s="9" t="s">
        <v>1330</v>
      </c>
      <c r="B1194" s="9" t="s">
        <v>6218</v>
      </c>
      <c r="C1194" s="9" t="s">
        <v>27</v>
      </c>
      <c r="D1194" s="9"/>
      <c r="E1194" s="7" t="s">
        <v>6219</v>
      </c>
      <c r="F1194" s="10" t="b">
        <v>0</v>
      </c>
      <c r="G1194" s="10" t="b">
        <v>0</v>
      </c>
      <c r="H1194" s="9"/>
      <c r="I1194" s="9" t="str">
        <f t="array" ref="I1194">IF(H1194="","",VLOOKUP(H1194,_xludf.HSTACK(#REF!,#REF!),2,FALSE))</f>
        <v/>
      </c>
      <c r="J1194" s="9"/>
    </row>
    <row r="1195" spans="1:10" x14ac:dyDescent="0.25">
      <c r="A1195" s="9" t="s">
        <v>1330</v>
      </c>
      <c r="B1195" s="9" t="s">
        <v>6220</v>
      </c>
      <c r="C1195" s="9" t="s">
        <v>27</v>
      </c>
      <c r="D1195" s="9"/>
      <c r="E1195" s="7" t="s">
        <v>6221</v>
      </c>
      <c r="F1195" s="10" t="b">
        <v>0</v>
      </c>
      <c r="G1195" s="10" t="b">
        <v>0</v>
      </c>
      <c r="H1195" s="9"/>
      <c r="I1195" s="9" t="str">
        <f t="array" ref="I1195">IF(H1195="","",VLOOKUP(H1195,_xludf.HSTACK(#REF!,#REF!),2,FALSE))</f>
        <v/>
      </c>
      <c r="J1195" s="9"/>
    </row>
    <row r="1196" spans="1:10" x14ac:dyDescent="0.25">
      <c r="A1196" s="9" t="s">
        <v>1330</v>
      </c>
      <c r="B1196" s="9" t="s">
        <v>6222</v>
      </c>
      <c r="C1196" s="9" t="s">
        <v>27</v>
      </c>
      <c r="D1196" s="9"/>
      <c r="E1196" s="7" t="s">
        <v>6223</v>
      </c>
      <c r="F1196" s="10" t="b">
        <v>0</v>
      </c>
      <c r="G1196" s="10" t="b">
        <v>0</v>
      </c>
      <c r="H1196" s="9"/>
      <c r="I1196" s="9" t="str">
        <f t="array" ref="I1196">IF(H1196="","",VLOOKUP(H1196,_xludf.HSTACK(#REF!,#REF!),2,FALSE))</f>
        <v/>
      </c>
      <c r="J1196" s="9"/>
    </row>
    <row r="1197" spans="1:10" x14ac:dyDescent="0.25">
      <c r="A1197" s="9" t="s">
        <v>1330</v>
      </c>
      <c r="B1197" s="9" t="s">
        <v>6224</v>
      </c>
      <c r="C1197" s="9" t="s">
        <v>27</v>
      </c>
      <c r="D1197" s="9"/>
      <c r="E1197" s="7" t="s">
        <v>6225</v>
      </c>
      <c r="F1197" s="10" t="b">
        <v>0</v>
      </c>
      <c r="G1197" s="10" t="b">
        <v>0</v>
      </c>
      <c r="H1197" s="9"/>
      <c r="I1197" s="9" t="str">
        <f t="array" ref="I1197">IF(H1197="","",VLOOKUP(H1197,_xludf.HSTACK(#REF!,#REF!),2,FALSE))</f>
        <v/>
      </c>
      <c r="J1197" s="9"/>
    </row>
    <row r="1198" spans="1:10" x14ac:dyDescent="0.25">
      <c r="A1198" s="9" t="s">
        <v>1330</v>
      </c>
      <c r="B1198" s="9" t="s">
        <v>6226</v>
      </c>
      <c r="C1198" s="9" t="s">
        <v>27</v>
      </c>
      <c r="D1198" s="9"/>
      <c r="E1198" s="7" t="s">
        <v>6227</v>
      </c>
      <c r="F1198" s="10" t="b">
        <v>0</v>
      </c>
      <c r="G1198" s="10" t="b">
        <v>0</v>
      </c>
      <c r="H1198" s="9" t="s">
        <v>26</v>
      </c>
      <c r="I1198" s="9" t="e">
        <f t="array" aca="1" ref="I1198" ca="1">IF(H1198="","",VLOOKUP(H1198,_xludf.HSTACK(#REF!,#REF!),2,FALSE))</f>
        <v>#NAME?</v>
      </c>
      <c r="J1198" s="9"/>
    </row>
    <row r="1199" spans="1:10" x14ac:dyDescent="0.25">
      <c r="A1199" s="9" t="s">
        <v>1330</v>
      </c>
      <c r="B1199" s="9" t="s">
        <v>6228</v>
      </c>
      <c r="C1199" s="9" t="s">
        <v>27</v>
      </c>
      <c r="D1199" s="9"/>
      <c r="E1199" s="7" t="s">
        <v>6229</v>
      </c>
      <c r="F1199" s="10" t="b">
        <v>0</v>
      </c>
      <c r="G1199" s="10" t="b">
        <v>0</v>
      </c>
      <c r="H1199" s="9"/>
      <c r="I1199" s="9" t="str">
        <f t="array" ref="I1199">IF(H1199="","",VLOOKUP(H1199,_xludf.HSTACK(#REF!,#REF!),2,FALSE))</f>
        <v/>
      </c>
      <c r="J1199" s="9"/>
    </row>
    <row r="1200" spans="1:10" x14ac:dyDescent="0.25">
      <c r="A1200" s="9" t="s">
        <v>1330</v>
      </c>
      <c r="B1200" s="9" t="s">
        <v>6230</v>
      </c>
      <c r="C1200" s="9" t="s">
        <v>4676</v>
      </c>
      <c r="D1200" s="7" t="s">
        <v>5356</v>
      </c>
      <c r="E1200" s="7" t="s">
        <v>6231</v>
      </c>
      <c r="F1200" s="10" t="b">
        <v>0</v>
      </c>
      <c r="G1200" s="10" t="b">
        <v>0</v>
      </c>
      <c r="H1200" s="9"/>
      <c r="I1200" s="9" t="str">
        <f t="array" ref="I1200">IF(H1200="","",VLOOKUP(H1200,_xludf.HSTACK(#REF!,#REF!),2,FALSE))</f>
        <v/>
      </c>
      <c r="J1200" s="9"/>
    </row>
    <row r="1201" spans="1:10" x14ac:dyDescent="0.25">
      <c r="A1201" s="9" t="s">
        <v>1330</v>
      </c>
      <c r="B1201" s="9" t="s">
        <v>6232</v>
      </c>
      <c r="C1201" s="9" t="s">
        <v>21</v>
      </c>
      <c r="D1201" s="7" t="s">
        <v>5390</v>
      </c>
      <c r="E1201" s="7" t="s">
        <v>6233</v>
      </c>
      <c r="F1201" s="10" t="b">
        <v>0</v>
      </c>
      <c r="G1201" s="10" t="b">
        <v>0</v>
      </c>
      <c r="H1201" s="9"/>
      <c r="I1201" s="9" t="str">
        <f t="array" ref="I1201">IF(H1201="","",VLOOKUP(H1201,_xludf.HSTACK(#REF!,#REF!),2,FALSE))</f>
        <v/>
      </c>
      <c r="J1201" s="9"/>
    </row>
    <row r="1202" spans="1:10" x14ac:dyDescent="0.25">
      <c r="A1202" s="9" t="s">
        <v>1330</v>
      </c>
      <c r="B1202" s="9" t="s">
        <v>6234</v>
      </c>
      <c r="C1202" s="9" t="s">
        <v>27</v>
      </c>
      <c r="D1202" s="9"/>
      <c r="E1202" s="7" t="s">
        <v>6235</v>
      </c>
      <c r="F1202" s="10" t="b">
        <v>0</v>
      </c>
      <c r="G1202" s="10" t="b">
        <v>0</v>
      </c>
      <c r="H1202" s="9"/>
      <c r="I1202" s="9" t="str">
        <f t="array" ref="I1202">IF(H1202="","",VLOOKUP(H1202,_xludf.HSTACK(#REF!,#REF!),2,FALSE))</f>
        <v/>
      </c>
      <c r="J1202" s="9"/>
    </row>
    <row r="1203" spans="1:10" x14ac:dyDescent="0.25">
      <c r="A1203" s="9" t="s">
        <v>1330</v>
      </c>
      <c r="B1203" s="9" t="s">
        <v>6236</v>
      </c>
      <c r="C1203" s="9" t="s">
        <v>4</v>
      </c>
      <c r="D1203" s="7" t="s">
        <v>6237</v>
      </c>
      <c r="E1203" s="7" t="s">
        <v>6238</v>
      </c>
      <c r="F1203" s="10" t="b">
        <v>0</v>
      </c>
      <c r="G1203" s="10" t="b">
        <v>0</v>
      </c>
      <c r="H1203" s="9"/>
      <c r="I1203" s="9" t="str">
        <f t="array" ref="I1203">IF(H1203="","",VLOOKUP(H1203,_xludf.HSTACK(#REF!,#REF!),2,FALSE))</f>
        <v/>
      </c>
      <c r="J1203" s="9"/>
    </row>
    <row r="1204" spans="1:10" x14ac:dyDescent="0.25">
      <c r="A1204" s="9" t="s">
        <v>1330</v>
      </c>
      <c r="B1204" s="9" t="s">
        <v>6239</v>
      </c>
      <c r="C1204" s="9" t="s">
        <v>3</v>
      </c>
      <c r="D1204" s="7" t="s">
        <v>6240</v>
      </c>
      <c r="E1204" s="7" t="s">
        <v>6241</v>
      </c>
      <c r="F1204" s="10" t="b">
        <v>0</v>
      </c>
      <c r="G1204" s="10" t="b">
        <v>0</v>
      </c>
      <c r="H1204" s="9"/>
      <c r="I1204" s="9" t="str">
        <f t="array" ref="I1204">IF(H1204="","",VLOOKUP(H1204,_xludf.HSTACK(#REF!,#REF!),2,FALSE))</f>
        <v/>
      </c>
      <c r="J1204" s="9"/>
    </row>
    <row r="1205" spans="1:10" x14ac:dyDescent="0.25">
      <c r="A1205" s="9" t="s">
        <v>1330</v>
      </c>
      <c r="B1205" s="9" t="s">
        <v>6242</v>
      </c>
      <c r="C1205" s="9" t="s">
        <v>3</v>
      </c>
      <c r="D1205" s="7" t="s">
        <v>6243</v>
      </c>
      <c r="E1205" s="7" t="s">
        <v>6244</v>
      </c>
      <c r="F1205" s="10" t="b">
        <v>0</v>
      </c>
      <c r="G1205" s="10" t="b">
        <v>0</v>
      </c>
      <c r="H1205" s="9"/>
      <c r="I1205" s="9" t="str">
        <f t="array" ref="I1205">IF(H1205="","",VLOOKUP(H1205,_xludf.HSTACK(#REF!,#REF!),2,FALSE))</f>
        <v/>
      </c>
      <c r="J1205" s="9"/>
    </row>
    <row r="1206" spans="1:10" x14ac:dyDescent="0.25">
      <c r="A1206" s="9" t="s">
        <v>1330</v>
      </c>
      <c r="B1206" s="9" t="s">
        <v>6245</v>
      </c>
      <c r="C1206" s="9" t="s">
        <v>3</v>
      </c>
      <c r="D1206" s="7" t="s">
        <v>6246</v>
      </c>
      <c r="E1206" s="7" t="s">
        <v>6247</v>
      </c>
      <c r="F1206" s="10" t="b">
        <v>0</v>
      </c>
      <c r="G1206" s="10" t="b">
        <v>0</v>
      </c>
      <c r="H1206" s="9"/>
      <c r="I1206" s="9" t="str">
        <f t="array" ref="I1206">IF(H1206="","",VLOOKUP(H1206,_xludf.HSTACK(#REF!,#REF!),2,FALSE))</f>
        <v/>
      </c>
      <c r="J1206" s="9"/>
    </row>
    <row r="1207" spans="1:10" x14ac:dyDescent="0.25">
      <c r="A1207" s="9" t="s">
        <v>1330</v>
      </c>
      <c r="B1207" s="9" t="s">
        <v>6248</v>
      </c>
      <c r="C1207" s="9" t="s">
        <v>4</v>
      </c>
      <c r="D1207" s="7" t="s">
        <v>6249</v>
      </c>
      <c r="E1207" s="7" t="s">
        <v>6250</v>
      </c>
      <c r="F1207" s="10" t="b">
        <v>0</v>
      </c>
      <c r="G1207" s="10" t="b">
        <v>0</v>
      </c>
      <c r="H1207" s="9"/>
      <c r="I1207" s="9" t="str">
        <f t="array" ref="I1207">IF(H1207="","",VLOOKUP(H1207,_xludf.HSTACK(#REF!,#REF!),2,FALSE))</f>
        <v/>
      </c>
      <c r="J1207" s="9"/>
    </row>
    <row r="1208" spans="1:10" x14ac:dyDescent="0.25">
      <c r="A1208" s="9" t="s">
        <v>1330</v>
      </c>
      <c r="B1208" s="9" t="s">
        <v>6251</v>
      </c>
      <c r="C1208" s="9" t="s">
        <v>3</v>
      </c>
      <c r="D1208" s="7" t="s">
        <v>6252</v>
      </c>
      <c r="E1208" s="7" t="s">
        <v>6253</v>
      </c>
      <c r="F1208" s="10" t="b">
        <v>1</v>
      </c>
      <c r="G1208" s="10" t="b">
        <v>0</v>
      </c>
      <c r="H1208" s="9"/>
      <c r="I1208" s="9" t="str">
        <f t="array" ref="I1208">IF(H1208="","",VLOOKUP(H1208,_xludf.HSTACK(#REF!,#REF!),2,FALSE))</f>
        <v/>
      </c>
      <c r="J1208" s="9"/>
    </row>
    <row r="1209" spans="1:10" x14ac:dyDescent="0.25">
      <c r="A1209" s="9" t="s">
        <v>1330</v>
      </c>
      <c r="B1209" s="9" t="s">
        <v>6254</v>
      </c>
      <c r="C1209" s="9" t="s">
        <v>4</v>
      </c>
      <c r="D1209" s="7" t="s">
        <v>6255</v>
      </c>
      <c r="E1209" s="7" t="s">
        <v>6256</v>
      </c>
      <c r="F1209" s="10" t="b">
        <v>0</v>
      </c>
      <c r="G1209" s="10" t="b">
        <v>0</v>
      </c>
      <c r="H1209" s="9"/>
      <c r="I1209" s="9" t="str">
        <f t="array" ref="I1209">IF(H1209="","",VLOOKUP(H1209,_xludf.HSTACK(#REF!,#REF!),2,FALSE))</f>
        <v/>
      </c>
      <c r="J1209" s="9"/>
    </row>
    <row r="1210" spans="1:10" x14ac:dyDescent="0.25">
      <c r="A1210" s="9" t="s">
        <v>1330</v>
      </c>
      <c r="B1210" s="9" t="s">
        <v>6257</v>
      </c>
      <c r="C1210" s="9" t="s">
        <v>4</v>
      </c>
      <c r="D1210" s="7" t="s">
        <v>6258</v>
      </c>
      <c r="E1210" s="7" t="s">
        <v>6259</v>
      </c>
      <c r="F1210" s="10" t="b">
        <v>0</v>
      </c>
      <c r="G1210" s="10" t="b">
        <v>0</v>
      </c>
      <c r="H1210" s="9"/>
      <c r="I1210" s="9" t="str">
        <f t="array" ref="I1210">IF(H1210="","",VLOOKUP(H1210,_xludf.HSTACK(#REF!,#REF!),2,FALSE))</f>
        <v/>
      </c>
      <c r="J1210" s="9"/>
    </row>
    <row r="1211" spans="1:10" x14ac:dyDescent="0.25">
      <c r="A1211" s="9" t="s">
        <v>1330</v>
      </c>
      <c r="B1211" s="9" t="s">
        <v>6260</v>
      </c>
      <c r="C1211" s="9" t="s">
        <v>4</v>
      </c>
      <c r="D1211" s="7" t="s">
        <v>6261</v>
      </c>
      <c r="E1211" s="7" t="s">
        <v>6262</v>
      </c>
      <c r="F1211" s="10" t="b">
        <v>0</v>
      </c>
      <c r="G1211" s="10" t="b">
        <v>0</v>
      </c>
      <c r="H1211" s="9"/>
      <c r="I1211" s="9" t="str">
        <f t="array" ref="I1211">IF(H1211="","",VLOOKUP(H1211,_xludf.HSTACK(#REF!,#REF!),2,FALSE))</f>
        <v/>
      </c>
      <c r="J1211" s="9"/>
    </row>
    <row r="1212" spans="1:10" x14ac:dyDescent="0.25">
      <c r="A1212" s="9" t="s">
        <v>1330</v>
      </c>
      <c r="B1212" s="9" t="s">
        <v>6263</v>
      </c>
      <c r="C1212" s="9" t="s">
        <v>3</v>
      </c>
      <c r="D1212" s="7" t="s">
        <v>6264</v>
      </c>
      <c r="E1212" s="7" t="s">
        <v>6265</v>
      </c>
      <c r="F1212" s="10" t="b">
        <v>0</v>
      </c>
      <c r="G1212" s="10" t="b">
        <v>0</v>
      </c>
      <c r="H1212" s="9"/>
      <c r="I1212" s="9" t="str">
        <f t="array" ref="I1212">IF(H1212="","",VLOOKUP(H1212,_xludf.HSTACK(#REF!,#REF!),2,FALSE))</f>
        <v/>
      </c>
      <c r="J1212" s="9"/>
    </row>
    <row r="1213" spans="1:10" x14ac:dyDescent="0.25">
      <c r="A1213" s="9" t="s">
        <v>1330</v>
      </c>
      <c r="B1213" s="9" t="s">
        <v>6266</v>
      </c>
      <c r="C1213" s="9" t="s">
        <v>4</v>
      </c>
      <c r="D1213" s="7" t="s">
        <v>6267</v>
      </c>
      <c r="E1213" s="7" t="s">
        <v>6268</v>
      </c>
      <c r="F1213" s="10" t="b">
        <v>0</v>
      </c>
      <c r="G1213" s="10" t="b">
        <v>0</v>
      </c>
      <c r="H1213" s="9"/>
      <c r="I1213" s="9" t="str">
        <f t="array" ref="I1213">IF(H1213="","",VLOOKUP(H1213,_xludf.HSTACK(#REF!,#REF!),2,FALSE))</f>
        <v/>
      </c>
      <c r="J1213" s="9"/>
    </row>
    <row r="1214" spans="1:10" x14ac:dyDescent="0.25">
      <c r="A1214" s="9" t="s">
        <v>1330</v>
      </c>
      <c r="B1214" s="9" t="s">
        <v>6269</v>
      </c>
      <c r="C1214" s="9" t="s">
        <v>3</v>
      </c>
      <c r="D1214" s="7" t="s">
        <v>6270</v>
      </c>
      <c r="E1214" s="7" t="s">
        <v>6271</v>
      </c>
      <c r="F1214" s="10" t="b">
        <v>1</v>
      </c>
      <c r="G1214" s="10" t="b">
        <v>0</v>
      </c>
      <c r="H1214" s="9"/>
      <c r="I1214" s="9" t="str">
        <f t="array" ref="I1214">IF(H1214="","",VLOOKUP(H1214,_xludf.HSTACK(#REF!,#REF!),2,FALSE))</f>
        <v/>
      </c>
      <c r="J1214" s="9"/>
    </row>
    <row r="1215" spans="1:10" x14ac:dyDescent="0.25">
      <c r="A1215" s="9" t="s">
        <v>1330</v>
      </c>
      <c r="B1215" s="9" t="s">
        <v>6272</v>
      </c>
      <c r="C1215" s="9" t="s">
        <v>3</v>
      </c>
      <c r="D1215" s="7" t="s">
        <v>6273</v>
      </c>
      <c r="E1215" s="7" t="s">
        <v>6274</v>
      </c>
      <c r="F1215" s="10" t="b">
        <v>0</v>
      </c>
      <c r="G1215" s="10" t="b">
        <v>0</v>
      </c>
      <c r="H1215" s="9"/>
      <c r="I1215" s="9" t="str">
        <f t="array" ref="I1215">IF(H1215="","",VLOOKUP(H1215,_xludf.HSTACK(#REF!,#REF!),2,FALSE))</f>
        <v/>
      </c>
      <c r="J1215" s="9"/>
    </row>
    <row r="1216" spans="1:10" x14ac:dyDescent="0.25">
      <c r="A1216" s="9" t="s">
        <v>1330</v>
      </c>
      <c r="B1216" s="9" t="s">
        <v>6275</v>
      </c>
      <c r="C1216" s="9" t="s">
        <v>4</v>
      </c>
      <c r="D1216" s="7" t="s">
        <v>6276</v>
      </c>
      <c r="E1216" s="7" t="s">
        <v>6277</v>
      </c>
      <c r="F1216" s="10" t="b">
        <v>0</v>
      </c>
      <c r="G1216" s="10" t="b">
        <v>0</v>
      </c>
      <c r="H1216" s="9"/>
      <c r="I1216" s="9" t="str">
        <f t="array" ref="I1216">IF(H1216="","",VLOOKUP(H1216,_xludf.HSTACK(#REF!,#REF!),2,FALSE))</f>
        <v/>
      </c>
      <c r="J1216" s="9"/>
    </row>
    <row r="1217" spans="1:10" x14ac:dyDescent="0.25">
      <c r="A1217" s="9" t="s">
        <v>1330</v>
      </c>
      <c r="B1217" s="9" t="s">
        <v>6278</v>
      </c>
      <c r="C1217" s="9" t="s">
        <v>3</v>
      </c>
      <c r="D1217" s="7" t="s">
        <v>6237</v>
      </c>
      <c r="E1217" s="7" t="s">
        <v>6279</v>
      </c>
      <c r="F1217" s="10" t="b">
        <v>0</v>
      </c>
      <c r="G1217" s="10" t="b">
        <v>0</v>
      </c>
      <c r="H1217" s="9"/>
      <c r="I1217" s="9" t="str">
        <f t="array" ref="I1217">IF(H1217="","",VLOOKUP(H1217,_xludf.HSTACK(#REF!,#REF!),2,FALSE))</f>
        <v/>
      </c>
      <c r="J1217" s="9"/>
    </row>
    <row r="1218" spans="1:10" x14ac:dyDescent="0.25">
      <c r="A1218" s="9" t="s">
        <v>1330</v>
      </c>
      <c r="B1218" s="9" t="s">
        <v>6280</v>
      </c>
      <c r="C1218" s="9" t="s">
        <v>3</v>
      </c>
      <c r="D1218" s="7" t="s">
        <v>6281</v>
      </c>
      <c r="E1218" s="7" t="s">
        <v>6282</v>
      </c>
      <c r="F1218" s="10" t="b">
        <v>0</v>
      </c>
      <c r="G1218" s="10" t="b">
        <v>0</v>
      </c>
      <c r="H1218" s="9"/>
      <c r="I1218" s="9" t="str">
        <f t="array" ref="I1218">IF(H1218="","",VLOOKUP(H1218,_xludf.HSTACK(#REF!,#REF!),2,FALSE))</f>
        <v/>
      </c>
      <c r="J1218" s="9"/>
    </row>
    <row r="1219" spans="1:10" x14ac:dyDescent="0.25">
      <c r="A1219" s="9" t="s">
        <v>1330</v>
      </c>
      <c r="B1219" s="9" t="s">
        <v>6283</v>
      </c>
      <c r="C1219" s="9" t="s">
        <v>4</v>
      </c>
      <c r="D1219" s="7" t="s">
        <v>6243</v>
      </c>
      <c r="E1219" s="7" t="s">
        <v>6284</v>
      </c>
      <c r="F1219" s="10" t="b">
        <v>1</v>
      </c>
      <c r="G1219" s="10" t="b">
        <v>0</v>
      </c>
      <c r="H1219" s="9" t="s">
        <v>51</v>
      </c>
      <c r="I1219" s="9" t="e">
        <f t="array" aca="1" ref="I1219" ca="1">IF(H1219="","",VLOOKUP(H1219,_xludf.HSTACK(#REF!,#REF!),2,FALSE))</f>
        <v>#NAME?</v>
      </c>
      <c r="J1219" s="9"/>
    </row>
    <row r="1220" spans="1:10" x14ac:dyDescent="0.25">
      <c r="A1220" s="9" t="s">
        <v>1330</v>
      </c>
      <c r="B1220" s="9" t="s">
        <v>6285</v>
      </c>
      <c r="C1220" s="9" t="s">
        <v>4</v>
      </c>
      <c r="D1220" s="7" t="s">
        <v>6246</v>
      </c>
      <c r="E1220" s="7" t="s">
        <v>6286</v>
      </c>
      <c r="F1220" s="10" t="b">
        <v>0</v>
      </c>
      <c r="G1220" s="10" t="b">
        <v>0</v>
      </c>
      <c r="H1220" s="9"/>
      <c r="I1220" s="9" t="str">
        <f t="array" ref="I1220">IF(H1220="","",VLOOKUP(H1220,_xludf.HSTACK(#REF!,#REF!),2,FALSE))</f>
        <v/>
      </c>
      <c r="J1220" s="9"/>
    </row>
    <row r="1221" spans="1:10" x14ac:dyDescent="0.25">
      <c r="A1221" s="9" t="s">
        <v>1330</v>
      </c>
      <c r="B1221" s="9" t="s">
        <v>6287</v>
      </c>
      <c r="C1221" s="9" t="s">
        <v>4</v>
      </c>
      <c r="D1221" s="7" t="s">
        <v>6288</v>
      </c>
      <c r="E1221" s="7" t="s">
        <v>6289</v>
      </c>
      <c r="F1221" s="10" t="b">
        <v>0</v>
      </c>
      <c r="G1221" s="10" t="b">
        <v>0</v>
      </c>
      <c r="H1221" s="9"/>
      <c r="I1221" s="9" t="str">
        <f t="array" ref="I1221">IF(H1221="","",VLOOKUP(H1221,_xludf.HSTACK(#REF!,#REF!),2,FALSE))</f>
        <v/>
      </c>
      <c r="J1221" s="9"/>
    </row>
    <row r="1222" spans="1:10" x14ac:dyDescent="0.25">
      <c r="A1222" s="9" t="s">
        <v>1330</v>
      </c>
      <c r="B1222" s="9" t="s">
        <v>6290</v>
      </c>
      <c r="C1222" s="9" t="s">
        <v>3</v>
      </c>
      <c r="D1222" s="7" t="s">
        <v>6252</v>
      </c>
      <c r="E1222" s="7" t="s">
        <v>6291</v>
      </c>
      <c r="F1222" s="10" t="b">
        <v>1</v>
      </c>
      <c r="G1222" s="10" t="b">
        <v>0</v>
      </c>
      <c r="H1222" s="9" t="s">
        <v>55</v>
      </c>
      <c r="I1222" s="9" t="e">
        <f t="array" aca="1" ref="I1222" ca="1">IF(H1222="","",VLOOKUP(H1222,_xludf.HSTACK(#REF!,#REF!),2,FALSE))</f>
        <v>#NAME?</v>
      </c>
      <c r="J1222" s="9"/>
    </row>
    <row r="1223" spans="1:10" x14ac:dyDescent="0.25">
      <c r="A1223" s="9" t="s">
        <v>1330</v>
      </c>
      <c r="B1223" s="9" t="s">
        <v>6292</v>
      </c>
      <c r="C1223" s="9" t="s">
        <v>3</v>
      </c>
      <c r="D1223" s="7" t="s">
        <v>6255</v>
      </c>
      <c r="E1223" s="7" t="s">
        <v>6293</v>
      </c>
      <c r="F1223" s="10" t="b">
        <v>0</v>
      </c>
      <c r="G1223" s="10" t="b">
        <v>0</v>
      </c>
      <c r="H1223" s="9"/>
      <c r="I1223" s="9" t="str">
        <f t="array" ref="I1223">IF(H1223="","",VLOOKUP(H1223,_xludf.HSTACK(#REF!,#REF!),2,FALSE))</f>
        <v/>
      </c>
      <c r="J1223" s="9"/>
    </row>
    <row r="1224" spans="1:10" x14ac:dyDescent="0.25">
      <c r="A1224" s="9" t="s">
        <v>1330</v>
      </c>
      <c r="B1224" s="9" t="s">
        <v>6294</v>
      </c>
      <c r="C1224" s="9" t="s">
        <v>4</v>
      </c>
      <c r="D1224" s="7" t="s">
        <v>6295</v>
      </c>
      <c r="E1224" s="7" t="s">
        <v>6296</v>
      </c>
      <c r="F1224" s="10" t="b">
        <v>0</v>
      </c>
      <c r="G1224" s="10" t="b">
        <v>0</v>
      </c>
      <c r="H1224" s="9"/>
      <c r="I1224" s="9" t="str">
        <f t="array" ref="I1224">IF(H1224="","",VLOOKUP(H1224,_xludf.HSTACK(#REF!,#REF!),2,FALSE))</f>
        <v/>
      </c>
      <c r="J1224" s="9"/>
    </row>
    <row r="1225" spans="1:10" x14ac:dyDescent="0.25">
      <c r="A1225" s="9" t="s">
        <v>1330</v>
      </c>
      <c r="B1225" s="9" t="s">
        <v>6297</v>
      </c>
      <c r="C1225" s="9" t="s">
        <v>4</v>
      </c>
      <c r="D1225" s="7" t="s">
        <v>6261</v>
      </c>
      <c r="E1225" s="7" t="s">
        <v>6298</v>
      </c>
      <c r="F1225" s="10" t="b">
        <v>0</v>
      </c>
      <c r="G1225" s="10" t="b">
        <v>0</v>
      </c>
      <c r="H1225" s="9"/>
      <c r="I1225" s="9" t="str">
        <f t="array" ref="I1225">IF(H1225="","",VLOOKUP(H1225,_xludf.HSTACK(#REF!,#REF!),2,FALSE))</f>
        <v/>
      </c>
      <c r="J1225" s="9"/>
    </row>
    <row r="1226" spans="1:10" x14ac:dyDescent="0.25">
      <c r="A1226" s="9" t="s">
        <v>1330</v>
      </c>
      <c r="B1226" s="9" t="s">
        <v>6299</v>
      </c>
      <c r="C1226" s="9" t="s">
        <v>4</v>
      </c>
      <c r="D1226" s="7" t="s">
        <v>6264</v>
      </c>
      <c r="E1226" s="7" t="s">
        <v>6300</v>
      </c>
      <c r="F1226" s="10" t="b">
        <v>0</v>
      </c>
      <c r="G1226" s="10" t="b">
        <v>0</v>
      </c>
      <c r="H1226" s="9"/>
      <c r="I1226" s="9" t="str">
        <f t="array" ref="I1226">IF(H1226="","",VLOOKUP(H1226,_xludf.HSTACK(#REF!,#REF!),2,FALSE))</f>
        <v/>
      </c>
      <c r="J1226" s="9"/>
    </row>
    <row r="1227" spans="1:10" x14ac:dyDescent="0.25">
      <c r="A1227" s="9" t="s">
        <v>1330</v>
      </c>
      <c r="B1227" s="9" t="s">
        <v>6301</v>
      </c>
      <c r="C1227" s="9" t="s">
        <v>3</v>
      </c>
      <c r="D1227" s="7" t="s">
        <v>6267</v>
      </c>
      <c r="E1227" s="7" t="s">
        <v>6302</v>
      </c>
      <c r="F1227" s="10" t="b">
        <v>0</v>
      </c>
      <c r="G1227" s="10" t="b">
        <v>0</v>
      </c>
      <c r="H1227" s="9"/>
      <c r="I1227" s="9" t="str">
        <f t="array" ref="I1227">IF(H1227="","",VLOOKUP(H1227,_xludf.HSTACK(#REF!,#REF!),2,FALSE))</f>
        <v/>
      </c>
      <c r="J1227" s="9"/>
    </row>
    <row r="1228" spans="1:10" x14ac:dyDescent="0.25">
      <c r="A1228" s="9" t="s">
        <v>1330</v>
      </c>
      <c r="B1228" s="9" t="s">
        <v>6303</v>
      </c>
      <c r="C1228" s="9" t="s">
        <v>3</v>
      </c>
      <c r="D1228" s="7" t="s">
        <v>6270</v>
      </c>
      <c r="E1228" s="7" t="s">
        <v>6304</v>
      </c>
      <c r="F1228" s="10" t="b">
        <v>1</v>
      </c>
      <c r="G1228" s="10" t="b">
        <v>0</v>
      </c>
      <c r="H1228" s="9" t="s">
        <v>50</v>
      </c>
      <c r="I1228" s="9" t="e">
        <f t="array" aca="1" ref="I1228" ca="1">IF(H1228="","",VLOOKUP(H1228,_xludf.HSTACK(#REF!,#REF!),2,FALSE))</f>
        <v>#NAME?</v>
      </c>
      <c r="J1228" s="9"/>
    </row>
    <row r="1229" spans="1:10" x14ac:dyDescent="0.25">
      <c r="A1229" s="9" t="s">
        <v>1330</v>
      </c>
      <c r="B1229" s="9" t="s">
        <v>6305</v>
      </c>
      <c r="C1229" s="9" t="s">
        <v>3</v>
      </c>
      <c r="D1229" s="7" t="s">
        <v>6306</v>
      </c>
      <c r="E1229" s="7" t="s">
        <v>6307</v>
      </c>
      <c r="F1229" s="10" t="b">
        <v>0</v>
      </c>
      <c r="G1229" s="10" t="b">
        <v>0</v>
      </c>
      <c r="H1229" s="9"/>
      <c r="I1229" s="9" t="str">
        <f t="array" ref="I1229">IF(H1229="","",VLOOKUP(H1229,_xludf.HSTACK(#REF!,#REF!),2,FALSE))</f>
        <v/>
      </c>
      <c r="J1229" s="9"/>
    </row>
    <row r="1230" spans="1:10" x14ac:dyDescent="0.25">
      <c r="A1230" s="9" t="s">
        <v>1330</v>
      </c>
      <c r="B1230" s="9" t="s">
        <v>6308</v>
      </c>
      <c r="C1230" s="9" t="s">
        <v>3</v>
      </c>
      <c r="D1230" s="7" t="s">
        <v>6276</v>
      </c>
      <c r="E1230" s="7" t="s">
        <v>6309</v>
      </c>
      <c r="F1230" s="10" t="b">
        <v>0</v>
      </c>
      <c r="G1230" s="10" t="b">
        <v>0</v>
      </c>
      <c r="H1230" s="9"/>
      <c r="I1230" s="9" t="str">
        <f t="array" ref="I1230">IF(H1230="","",VLOOKUP(H1230,_xludf.HSTACK(#REF!,#REF!),2,FALSE))</f>
        <v/>
      </c>
      <c r="J1230" s="9"/>
    </row>
    <row r="1231" spans="1:10" x14ac:dyDescent="0.25">
      <c r="A1231" s="9" t="s">
        <v>1330</v>
      </c>
      <c r="B1231" s="9" t="s">
        <v>6310</v>
      </c>
      <c r="C1231" s="9" t="s">
        <v>665</v>
      </c>
      <c r="D1231" s="9"/>
      <c r="E1231" s="7" t="s">
        <v>6311</v>
      </c>
      <c r="F1231" s="10" t="b">
        <v>0</v>
      </c>
      <c r="G1231" s="10" t="b">
        <v>0</v>
      </c>
      <c r="H1231" s="9"/>
      <c r="I1231" s="9" t="str">
        <f t="array" ref="I1231">IF(H1231="","",VLOOKUP(H1231,_xludf.HSTACK(#REF!,#REF!),2,FALSE))</f>
        <v/>
      </c>
      <c r="J1231" s="9"/>
    </row>
    <row r="1232" spans="1:10" x14ac:dyDescent="0.25">
      <c r="A1232" s="9" t="s">
        <v>1330</v>
      </c>
      <c r="B1232" s="9" t="s">
        <v>6312</v>
      </c>
      <c r="C1232" s="9" t="s">
        <v>665</v>
      </c>
      <c r="D1232" s="9"/>
      <c r="E1232" s="7" t="s">
        <v>6313</v>
      </c>
      <c r="F1232" s="10" t="b">
        <v>0</v>
      </c>
      <c r="G1232" s="10" t="b">
        <v>0</v>
      </c>
      <c r="H1232" s="9"/>
      <c r="I1232" s="9" t="str">
        <f t="array" ref="I1232">IF(H1232="","",VLOOKUP(H1232,_xludf.HSTACK(#REF!,#REF!),2,FALSE))</f>
        <v/>
      </c>
      <c r="J1232" s="9"/>
    </row>
    <row r="1233" spans="1:10" x14ac:dyDescent="0.25">
      <c r="A1233" s="9" t="s">
        <v>1330</v>
      </c>
      <c r="B1233" s="9" t="s">
        <v>6314</v>
      </c>
      <c r="C1233" s="9" t="s">
        <v>665</v>
      </c>
      <c r="D1233" s="9"/>
      <c r="E1233" s="7" t="s">
        <v>6315</v>
      </c>
      <c r="F1233" s="10" t="b">
        <v>0</v>
      </c>
      <c r="G1233" s="10" t="b">
        <v>0</v>
      </c>
      <c r="H1233" s="9"/>
      <c r="I1233" s="9" t="str">
        <f t="array" ref="I1233">IF(H1233="","",VLOOKUP(H1233,_xludf.HSTACK(#REF!,#REF!),2,FALSE))</f>
        <v/>
      </c>
      <c r="J1233" s="9"/>
    </row>
    <row r="1234" spans="1:10" x14ac:dyDescent="0.25">
      <c r="A1234" s="9" t="s">
        <v>1330</v>
      </c>
      <c r="B1234" s="9" t="s">
        <v>6316</v>
      </c>
      <c r="C1234" s="9" t="s">
        <v>6317</v>
      </c>
      <c r="D1234" s="7" t="s">
        <v>6318</v>
      </c>
      <c r="E1234" s="7" t="s">
        <v>6319</v>
      </c>
      <c r="F1234" s="10" t="b">
        <v>0</v>
      </c>
      <c r="G1234" s="10" t="b">
        <v>0</v>
      </c>
      <c r="H1234" s="9"/>
      <c r="I1234" s="9" t="str">
        <f t="array" ref="I1234">IF(H1234="","",VLOOKUP(H1234,_xludf.HSTACK(#REF!,#REF!),2,FALSE))</f>
        <v/>
      </c>
      <c r="J1234" s="9"/>
    </row>
    <row r="1235" spans="1:10" x14ac:dyDescent="0.25">
      <c r="A1235" s="9" t="s">
        <v>1330</v>
      </c>
      <c r="B1235" s="9" t="s">
        <v>6320</v>
      </c>
      <c r="C1235" s="9" t="s">
        <v>6321</v>
      </c>
      <c r="D1235" s="7" t="s">
        <v>6322</v>
      </c>
      <c r="E1235" s="7" t="s">
        <v>6323</v>
      </c>
      <c r="F1235" s="10" t="b">
        <v>0</v>
      </c>
      <c r="G1235" s="10" t="b">
        <v>0</v>
      </c>
      <c r="H1235" s="9"/>
      <c r="I1235" s="9" t="str">
        <f t="array" ref="I1235">IF(H1235="","",VLOOKUP(H1235,_xludf.HSTACK(#REF!,#REF!),2,FALSE))</f>
        <v/>
      </c>
      <c r="J1235" s="9"/>
    </row>
    <row r="1236" spans="1:10" x14ac:dyDescent="0.25">
      <c r="A1236" s="9" t="s">
        <v>1330</v>
      </c>
      <c r="B1236" s="9" t="s">
        <v>6324</v>
      </c>
      <c r="C1236" s="9" t="s">
        <v>6325</v>
      </c>
      <c r="D1236" s="7" t="s">
        <v>6326</v>
      </c>
      <c r="E1236" s="7" t="s">
        <v>6327</v>
      </c>
      <c r="F1236" s="10" t="b">
        <v>1</v>
      </c>
      <c r="G1236" s="10" t="b">
        <v>0</v>
      </c>
      <c r="H1236" s="9" t="s">
        <v>51</v>
      </c>
      <c r="I1236" s="9" t="e">
        <f t="array" aca="1" ref="I1236" ca="1">IF(H1236="","",VLOOKUP(H1236,_xludf.HSTACK(#REF!,#REF!),2,FALSE))</f>
        <v>#NAME?</v>
      </c>
      <c r="J1236" s="9"/>
    </row>
    <row r="1237" spans="1:10" x14ac:dyDescent="0.25">
      <c r="A1237" s="9" t="s">
        <v>1330</v>
      </c>
      <c r="B1237" s="9" t="s">
        <v>6328</v>
      </c>
      <c r="C1237" s="9" t="s">
        <v>6325</v>
      </c>
      <c r="D1237" s="7" t="s">
        <v>6329</v>
      </c>
      <c r="E1237" s="7" t="s">
        <v>6330</v>
      </c>
      <c r="F1237" s="10" t="b">
        <v>0</v>
      </c>
      <c r="G1237" s="10" t="b">
        <v>0</v>
      </c>
      <c r="H1237" s="9"/>
      <c r="I1237" s="9" t="str">
        <f t="array" ref="I1237">IF(H1237="","",VLOOKUP(H1237,_xludf.HSTACK(#REF!,#REF!),2,FALSE))</f>
        <v/>
      </c>
      <c r="J1237" s="9"/>
    </row>
    <row r="1238" spans="1:10" x14ac:dyDescent="0.25">
      <c r="A1238" s="9" t="s">
        <v>1330</v>
      </c>
      <c r="B1238" s="9" t="s">
        <v>6331</v>
      </c>
      <c r="C1238" s="9" t="s">
        <v>6317</v>
      </c>
      <c r="D1238" s="7" t="s">
        <v>6332</v>
      </c>
      <c r="E1238" s="7" t="s">
        <v>6333</v>
      </c>
      <c r="F1238" s="10" t="b">
        <v>0</v>
      </c>
      <c r="G1238" s="10" t="b">
        <v>0</v>
      </c>
      <c r="H1238" s="9"/>
      <c r="I1238" s="9" t="str">
        <f t="array" ref="I1238">IF(H1238="","",VLOOKUP(H1238,_xludf.HSTACK(#REF!,#REF!),2,FALSE))</f>
        <v/>
      </c>
      <c r="J1238" s="9"/>
    </row>
    <row r="1239" spans="1:10" x14ac:dyDescent="0.25">
      <c r="A1239" s="9" t="s">
        <v>1330</v>
      </c>
      <c r="B1239" s="9" t="s">
        <v>6334</v>
      </c>
      <c r="C1239" s="9" t="s">
        <v>6335</v>
      </c>
      <c r="D1239" s="7" t="s">
        <v>6336</v>
      </c>
      <c r="E1239" s="7" t="s">
        <v>6337</v>
      </c>
      <c r="F1239" s="10" t="b">
        <v>0</v>
      </c>
      <c r="G1239" s="10" t="b">
        <v>0</v>
      </c>
      <c r="H1239" s="9" t="s">
        <v>55</v>
      </c>
      <c r="I1239" s="9" t="e">
        <f t="array" aca="1" ref="I1239" ca="1">IF(H1239="","",VLOOKUP(H1239,_xludf.HSTACK(#REF!,#REF!),2,FALSE))</f>
        <v>#NAME?</v>
      </c>
      <c r="J1239" s="9"/>
    </row>
    <row r="1240" spans="1:10" x14ac:dyDescent="0.25">
      <c r="A1240" s="9" t="s">
        <v>1330</v>
      </c>
      <c r="B1240" s="9" t="s">
        <v>6338</v>
      </c>
      <c r="C1240" s="9" t="s">
        <v>6335</v>
      </c>
      <c r="D1240" s="7" t="s">
        <v>6339</v>
      </c>
      <c r="E1240" s="7" t="s">
        <v>6340</v>
      </c>
      <c r="F1240" s="10" t="b">
        <v>0</v>
      </c>
      <c r="G1240" s="10" t="b">
        <v>0</v>
      </c>
      <c r="H1240" s="9"/>
      <c r="I1240" s="9" t="str">
        <f t="array" ref="I1240">IF(H1240="","",VLOOKUP(H1240,_xludf.HSTACK(#REF!,#REF!),2,FALSE))</f>
        <v/>
      </c>
      <c r="J1240" s="9"/>
    </row>
    <row r="1241" spans="1:10" x14ac:dyDescent="0.25">
      <c r="A1241" s="9" t="s">
        <v>1330</v>
      </c>
      <c r="B1241" s="9" t="s">
        <v>6341</v>
      </c>
      <c r="C1241" s="9" t="s">
        <v>6325</v>
      </c>
      <c r="D1241" s="7" t="s">
        <v>6342</v>
      </c>
      <c r="E1241" s="7" t="s">
        <v>6343</v>
      </c>
      <c r="F1241" s="10" t="b">
        <v>1</v>
      </c>
      <c r="G1241" s="10" t="b">
        <v>0</v>
      </c>
      <c r="H1241" s="9" t="s">
        <v>50</v>
      </c>
      <c r="I1241" s="9" t="e">
        <f t="array" aca="1" ref="I1241" ca="1">IF(H1241="","",VLOOKUP(H1241,_xludf.HSTACK(#REF!,#REF!),2,FALSE))</f>
        <v>#NAME?</v>
      </c>
      <c r="J1241" s="9"/>
    </row>
    <row r="1242" spans="1:10" x14ac:dyDescent="0.25">
      <c r="A1242" s="9" t="s">
        <v>1330</v>
      </c>
      <c r="B1242" s="9" t="s">
        <v>6344</v>
      </c>
      <c r="C1242" s="9" t="s">
        <v>6335</v>
      </c>
      <c r="D1242" s="7" t="s">
        <v>6345</v>
      </c>
      <c r="E1242" s="7" t="s">
        <v>6346</v>
      </c>
      <c r="F1242" s="10" t="b">
        <v>0</v>
      </c>
      <c r="G1242" s="10" t="b">
        <v>0</v>
      </c>
      <c r="H1242" s="9"/>
      <c r="I1242" s="9" t="str">
        <f t="array" ref="I1242">IF(H1242="","",VLOOKUP(H1242,_xludf.HSTACK(#REF!,#REF!),2,FALSE))</f>
        <v/>
      </c>
      <c r="J1242" s="9"/>
    </row>
    <row r="1243" spans="1:10" x14ac:dyDescent="0.25">
      <c r="A1243" s="9" t="s">
        <v>1330</v>
      </c>
      <c r="B1243" s="9" t="s">
        <v>6347</v>
      </c>
      <c r="C1243" s="9" t="s">
        <v>6348</v>
      </c>
      <c r="D1243" s="7" t="s">
        <v>6349</v>
      </c>
      <c r="E1243" s="7" t="s">
        <v>6350</v>
      </c>
      <c r="F1243" s="10" t="b">
        <v>0</v>
      </c>
      <c r="G1243" s="10" t="b">
        <v>0</v>
      </c>
      <c r="H1243" s="9"/>
      <c r="I1243" s="9" t="str">
        <f t="array" ref="I1243">IF(H1243="","",VLOOKUP(H1243,_xludf.HSTACK(#REF!,#REF!),2,FALSE))</f>
        <v/>
      </c>
      <c r="J1243" s="9"/>
    </row>
    <row r="1244" spans="1:10" x14ac:dyDescent="0.25">
      <c r="A1244" s="9" t="s">
        <v>1330</v>
      </c>
      <c r="B1244" s="9" t="s">
        <v>6351</v>
      </c>
      <c r="C1244" s="9" t="s">
        <v>6352</v>
      </c>
      <c r="D1244" s="9"/>
      <c r="E1244" s="7" t="s">
        <v>6353</v>
      </c>
      <c r="F1244" s="10" t="b">
        <v>0</v>
      </c>
      <c r="G1244" s="10" t="b">
        <v>0</v>
      </c>
      <c r="H1244" s="9"/>
      <c r="I1244" s="9" t="str">
        <f t="array" ref="I1244">IF(H1244="","",VLOOKUP(H1244,_xludf.HSTACK(#REF!,#REF!),2,FALSE))</f>
        <v/>
      </c>
      <c r="J1244" s="9"/>
    </row>
    <row r="1245" spans="1:10" x14ac:dyDescent="0.25">
      <c r="A1245" s="9" t="s">
        <v>1330</v>
      </c>
      <c r="B1245" s="9" t="s">
        <v>6354</v>
      </c>
      <c r="C1245" s="9" t="s">
        <v>6355</v>
      </c>
      <c r="D1245" s="9"/>
      <c r="E1245" s="7" t="s">
        <v>6356</v>
      </c>
      <c r="F1245" s="10" t="b">
        <v>0</v>
      </c>
      <c r="G1245" s="10" t="b">
        <v>0</v>
      </c>
      <c r="H1245" s="9"/>
      <c r="I1245" s="9" t="str">
        <f t="array" ref="I1245">IF(H1245="","",VLOOKUP(H1245,_xludf.HSTACK(#REF!,#REF!),2,FALSE))</f>
        <v/>
      </c>
      <c r="J1245" s="9"/>
    </row>
    <row r="1246" spans="1:10" x14ac:dyDescent="0.25">
      <c r="A1246" s="11" t="s">
        <v>6357</v>
      </c>
      <c r="B1246" s="11" t="s">
        <v>6358</v>
      </c>
      <c r="C1246" s="11" t="s">
        <v>21</v>
      </c>
      <c r="D1246" s="12" t="s">
        <v>6359</v>
      </c>
      <c r="E1246" s="12" t="s">
        <v>6360</v>
      </c>
      <c r="F1246" s="13" t="b">
        <v>1</v>
      </c>
      <c r="G1246" s="13" t="b">
        <v>0</v>
      </c>
      <c r="H1246" s="11" t="s">
        <v>65</v>
      </c>
      <c r="I1246" s="11" t="e">
        <f t="array" aca="1" ref="I1246" ca="1">IF(H1246="","",VLOOKUP(H1246,_xludf.HSTACK(#REF!,#REF!),2,FALSE))</f>
        <v>#NAME?</v>
      </c>
      <c r="J1246" s="11"/>
    </row>
    <row r="1247" spans="1:10" x14ac:dyDescent="0.25">
      <c r="A1247" s="11" t="s">
        <v>6357</v>
      </c>
      <c r="B1247" s="11" t="s">
        <v>6361</v>
      </c>
      <c r="C1247" s="11" t="s">
        <v>21</v>
      </c>
      <c r="D1247" s="12" t="s">
        <v>6362</v>
      </c>
      <c r="E1247" s="12" t="s">
        <v>6363</v>
      </c>
      <c r="F1247" s="13" t="b">
        <v>0</v>
      </c>
      <c r="G1247" s="13" t="b">
        <v>0</v>
      </c>
      <c r="H1247" s="11" t="s">
        <v>67</v>
      </c>
      <c r="I1247" s="11" t="e">
        <f t="array" aca="1" ref="I1247" ca="1">IF(H1247="","",VLOOKUP(H1247,_xludf.HSTACK(#REF!,#REF!),2,FALSE))</f>
        <v>#NAME?</v>
      </c>
      <c r="J1247" s="11"/>
    </row>
    <row r="1248" spans="1:10" x14ac:dyDescent="0.25">
      <c r="A1248" s="11" t="s">
        <v>6357</v>
      </c>
      <c r="B1248" s="11" t="s">
        <v>6364</v>
      </c>
      <c r="C1248" s="11" t="s">
        <v>3</v>
      </c>
      <c r="D1248" s="12" t="s">
        <v>6365</v>
      </c>
      <c r="E1248" s="12" t="s">
        <v>6366</v>
      </c>
      <c r="F1248" s="13" t="b">
        <v>0</v>
      </c>
      <c r="G1248" s="13" t="b">
        <v>0</v>
      </c>
      <c r="H1248" s="11"/>
      <c r="I1248" s="11" t="str">
        <f t="array" ref="I1248">IF(H1248="","",VLOOKUP(H1248,_xludf.HSTACK(#REF!,#REF!),2,FALSE))</f>
        <v/>
      </c>
      <c r="J1248" s="11"/>
    </row>
    <row r="1249" spans="1:10" x14ac:dyDescent="0.25">
      <c r="A1249" s="11" t="s">
        <v>6357</v>
      </c>
      <c r="B1249" s="11" t="s">
        <v>6367</v>
      </c>
      <c r="C1249" s="11" t="s">
        <v>3</v>
      </c>
      <c r="D1249" s="12" t="s">
        <v>6365</v>
      </c>
      <c r="E1249" s="12" t="s">
        <v>6368</v>
      </c>
      <c r="F1249" s="13" t="b">
        <v>1</v>
      </c>
      <c r="G1249" s="13" t="b">
        <v>0</v>
      </c>
      <c r="H1249" s="11" t="s">
        <v>50</v>
      </c>
      <c r="I1249" s="11" t="e">
        <f t="array" aca="1" ref="I1249" ca="1">IF(H1249="","",VLOOKUP(H1249,_xludf.HSTACK(#REF!,#REF!),2,FALSE))</f>
        <v>#NAME?</v>
      </c>
      <c r="J1249" s="11"/>
    </row>
    <row r="1250" spans="1:10" x14ac:dyDescent="0.25">
      <c r="A1250" s="11" t="s">
        <v>6357</v>
      </c>
      <c r="B1250" s="11" t="s">
        <v>6369</v>
      </c>
      <c r="C1250" s="11" t="s">
        <v>3</v>
      </c>
      <c r="D1250" s="12" t="s">
        <v>6365</v>
      </c>
      <c r="E1250" s="12" t="s">
        <v>6370</v>
      </c>
      <c r="F1250" s="13" t="b">
        <v>0</v>
      </c>
      <c r="G1250" s="13" t="b">
        <v>0</v>
      </c>
      <c r="H1250" s="11" t="s">
        <v>58</v>
      </c>
      <c r="I1250" s="11" t="e">
        <f t="array" aca="1" ref="I1250" ca="1">IF(H1250="","",VLOOKUP(H1250,_xludf.HSTACK(#REF!,#REF!),2,FALSE))</f>
        <v>#NAME?</v>
      </c>
      <c r="J1250" s="11"/>
    </row>
    <row r="1251" spans="1:10" x14ac:dyDescent="0.25">
      <c r="A1251" s="11" t="s">
        <v>6357</v>
      </c>
      <c r="B1251" s="11" t="s">
        <v>6371</v>
      </c>
      <c r="C1251" s="11" t="s">
        <v>4</v>
      </c>
      <c r="D1251" s="12" t="s">
        <v>6372</v>
      </c>
      <c r="E1251" s="12" t="s">
        <v>6373</v>
      </c>
      <c r="F1251" s="13" t="b">
        <v>0</v>
      </c>
      <c r="G1251" s="13" t="b">
        <v>0</v>
      </c>
      <c r="H1251" s="11"/>
      <c r="I1251" s="11" t="str">
        <f t="array" ref="I1251">IF(H1251="","",VLOOKUP(H1251,_xludf.HSTACK(#REF!,#REF!),2,FALSE))</f>
        <v/>
      </c>
      <c r="J1251" s="11"/>
    </row>
    <row r="1252" spans="1:10" x14ac:dyDescent="0.25">
      <c r="A1252" s="11" t="s">
        <v>6357</v>
      </c>
      <c r="B1252" s="11" t="s">
        <v>6374</v>
      </c>
      <c r="C1252" s="11" t="s">
        <v>3</v>
      </c>
      <c r="D1252" s="12" t="s">
        <v>6372</v>
      </c>
      <c r="E1252" s="12" t="s">
        <v>6375</v>
      </c>
      <c r="F1252" s="13" t="b">
        <v>0</v>
      </c>
      <c r="G1252" s="13" t="b">
        <v>0</v>
      </c>
      <c r="H1252" s="11"/>
      <c r="I1252" s="11" t="str">
        <f t="array" ref="I1252">IF(H1252="","",VLOOKUP(H1252,_xludf.HSTACK(#REF!,#REF!),2,FALSE))</f>
        <v/>
      </c>
      <c r="J1252" s="11"/>
    </row>
    <row r="1253" spans="1:10" x14ac:dyDescent="0.25">
      <c r="A1253" s="11" t="s">
        <v>6357</v>
      </c>
      <c r="B1253" s="11" t="s">
        <v>6376</v>
      </c>
      <c r="C1253" s="11" t="s">
        <v>21</v>
      </c>
      <c r="D1253" s="12" t="s">
        <v>6377</v>
      </c>
      <c r="E1253" s="12" t="s">
        <v>6378</v>
      </c>
      <c r="F1253" s="13" t="b">
        <v>0</v>
      </c>
      <c r="G1253" s="13" t="b">
        <v>0</v>
      </c>
      <c r="H1253" s="11"/>
      <c r="I1253" s="11" t="str">
        <f t="array" ref="I1253">IF(H1253="","",VLOOKUP(H1253,_xludf.HSTACK(#REF!,#REF!),2,FALSE))</f>
        <v/>
      </c>
      <c r="J1253" s="11"/>
    </row>
    <row r="1254" spans="1:10" x14ac:dyDescent="0.25">
      <c r="A1254" s="9" t="s">
        <v>6379</v>
      </c>
      <c r="B1254" s="9" t="s">
        <v>6380</v>
      </c>
      <c r="C1254" s="9" t="s">
        <v>4</v>
      </c>
      <c r="D1254" s="7" t="s">
        <v>6381</v>
      </c>
      <c r="E1254" s="7" t="s">
        <v>6382</v>
      </c>
      <c r="F1254" s="10" t="b">
        <v>1</v>
      </c>
      <c r="G1254" s="10" t="b">
        <v>0</v>
      </c>
      <c r="H1254" s="9" t="s">
        <v>50</v>
      </c>
      <c r="I1254" s="9" t="e">
        <f t="array" aca="1" ref="I1254" ca="1">IF(H1254="","",VLOOKUP(H1254,_xludf.HSTACK(#REF!,#REF!),2,FALSE))</f>
        <v>#NAME?</v>
      </c>
      <c r="J1254" s="9"/>
    </row>
    <row r="1255" spans="1:10" x14ac:dyDescent="0.25">
      <c r="A1255" s="9" t="s">
        <v>6379</v>
      </c>
      <c r="B1255" s="9" t="s">
        <v>4471</v>
      </c>
      <c r="C1255" s="9" t="s">
        <v>21</v>
      </c>
      <c r="D1255" s="7" t="s">
        <v>6383</v>
      </c>
      <c r="E1255" s="7" t="s">
        <v>6384</v>
      </c>
      <c r="F1255" s="10" t="b">
        <v>1</v>
      </c>
      <c r="G1255" s="10" t="b">
        <v>0</v>
      </c>
      <c r="H1255" s="9" t="s">
        <v>65</v>
      </c>
      <c r="I1255" s="9" t="e">
        <f t="array" aca="1" ref="I1255" ca="1">IF(H1255="","",VLOOKUP(H1255,_xludf.HSTACK(#REF!,#REF!),2,FALSE))</f>
        <v>#NAME?</v>
      </c>
      <c r="J1255" s="9"/>
    </row>
    <row r="1256" spans="1:10" x14ac:dyDescent="0.25">
      <c r="A1256" s="9" t="s">
        <v>6379</v>
      </c>
      <c r="B1256" s="9" t="s">
        <v>6385</v>
      </c>
      <c r="C1256" s="9" t="s">
        <v>3</v>
      </c>
      <c r="D1256" s="7" t="s">
        <v>6386</v>
      </c>
      <c r="E1256" s="7" t="s">
        <v>6387</v>
      </c>
      <c r="F1256" s="10" t="b">
        <v>1</v>
      </c>
      <c r="G1256" s="10" t="b">
        <v>0</v>
      </c>
      <c r="H1256" s="9" t="s">
        <v>51</v>
      </c>
      <c r="I1256" s="9" t="e">
        <f t="array" aca="1" ref="I1256" ca="1">IF(H1256="","",VLOOKUP(H1256,_xludf.HSTACK(#REF!,#REF!),2,FALSE))</f>
        <v>#NAME?</v>
      </c>
      <c r="J1256" s="9"/>
    </row>
    <row r="1257" spans="1:10" x14ac:dyDescent="0.25">
      <c r="A1257" s="9" t="s">
        <v>6379</v>
      </c>
      <c r="B1257" s="9" t="s">
        <v>4474</v>
      </c>
      <c r="C1257" s="9" t="s">
        <v>4676</v>
      </c>
      <c r="D1257" s="7" t="s">
        <v>6383</v>
      </c>
      <c r="E1257" s="7" t="s">
        <v>6388</v>
      </c>
      <c r="F1257" s="10" t="b">
        <v>0</v>
      </c>
      <c r="G1257" s="10" t="b">
        <v>0</v>
      </c>
      <c r="H1257" s="9" t="s">
        <v>66</v>
      </c>
      <c r="I1257" s="9" t="e">
        <f t="array" aca="1" ref="I1257" ca="1">IF(H1257="","",VLOOKUP(H1257,_xludf.HSTACK(#REF!,#REF!),2,FALSE))</f>
        <v>#NAME?</v>
      </c>
      <c r="J1257" s="9"/>
    </row>
    <row r="1258" spans="1:10" x14ac:dyDescent="0.25">
      <c r="A1258" s="9" t="s">
        <v>6379</v>
      </c>
      <c r="B1258" s="9" t="s">
        <v>6389</v>
      </c>
      <c r="C1258" s="9" t="s">
        <v>3</v>
      </c>
      <c r="D1258" s="7" t="s">
        <v>6386</v>
      </c>
      <c r="E1258" s="7" t="s">
        <v>6390</v>
      </c>
      <c r="F1258" s="10" t="b">
        <v>1</v>
      </c>
      <c r="G1258" s="10" t="b">
        <v>0</v>
      </c>
      <c r="H1258" s="9" t="s">
        <v>54</v>
      </c>
      <c r="I1258" s="9" t="e">
        <f t="array" aca="1" ref="I1258" ca="1">IF(H1258="","",VLOOKUP(H1258,_xludf.HSTACK(#REF!,#REF!),2,FALSE))</f>
        <v>#NAME?</v>
      </c>
      <c r="J1258" s="9"/>
    </row>
    <row r="1259" spans="1:10" x14ac:dyDescent="0.25">
      <c r="A1259" s="9" t="s">
        <v>6379</v>
      </c>
      <c r="B1259" s="9" t="s">
        <v>4477</v>
      </c>
      <c r="C1259" s="9" t="s">
        <v>4676</v>
      </c>
      <c r="D1259" s="7" t="s">
        <v>6383</v>
      </c>
      <c r="E1259" s="7" t="s">
        <v>6391</v>
      </c>
      <c r="F1259" s="10" t="b">
        <v>1</v>
      </c>
      <c r="G1259" s="10" t="b">
        <v>0</v>
      </c>
      <c r="H1259" s="9" t="s">
        <v>69</v>
      </c>
      <c r="I1259" s="9" t="e">
        <f t="array" aca="1" ref="I1259" ca="1">IF(H1259="","",VLOOKUP(H1259,_xludf.HSTACK(#REF!,#REF!),2,FALSE))</f>
        <v>#NAME?</v>
      </c>
      <c r="J1259" s="9"/>
    </row>
    <row r="1260" spans="1:10" x14ac:dyDescent="0.25">
      <c r="A1260" s="9" t="s">
        <v>6379</v>
      </c>
      <c r="B1260" s="9" t="s">
        <v>6392</v>
      </c>
      <c r="C1260" s="9" t="s">
        <v>4</v>
      </c>
      <c r="D1260" s="7" t="s">
        <v>6381</v>
      </c>
      <c r="E1260" s="7" t="s">
        <v>6393</v>
      </c>
      <c r="F1260" s="10" t="b">
        <v>1</v>
      </c>
      <c r="G1260" s="10" t="b">
        <v>0</v>
      </c>
      <c r="H1260" s="9" t="s">
        <v>55</v>
      </c>
      <c r="I1260" s="9" t="e">
        <f t="array" aca="1" ref="I1260" ca="1">IF(H1260="","",VLOOKUP(H1260,_xludf.HSTACK(#REF!,#REF!),2,FALSE))</f>
        <v>#NAME?</v>
      </c>
      <c r="J1260" s="9"/>
    </row>
    <row r="1261" spans="1:10" x14ac:dyDescent="0.25">
      <c r="A1261" s="9" t="s">
        <v>6379</v>
      </c>
      <c r="B1261" s="9" t="s">
        <v>4480</v>
      </c>
      <c r="C1261" s="9" t="s">
        <v>21</v>
      </c>
      <c r="D1261" s="7" t="s">
        <v>6383</v>
      </c>
      <c r="E1261" s="7" t="s">
        <v>6394</v>
      </c>
      <c r="F1261" s="10" t="b">
        <v>0</v>
      </c>
      <c r="G1261" s="10" t="b">
        <v>0</v>
      </c>
      <c r="H1261" s="9" t="s">
        <v>70</v>
      </c>
      <c r="I1261" s="9" t="e">
        <f t="array" aca="1" ref="I1261" ca="1">IF(H1261="","",VLOOKUP(H1261,_xludf.HSTACK(#REF!,#REF!),2,FALSE))</f>
        <v>#NAME?</v>
      </c>
      <c r="J1261" s="9"/>
    </row>
    <row r="1262" spans="1:10" x14ac:dyDescent="0.25">
      <c r="A1262" s="9" t="s">
        <v>6379</v>
      </c>
      <c r="B1262" s="9" t="s">
        <v>6395</v>
      </c>
      <c r="C1262" s="9" t="s">
        <v>3</v>
      </c>
      <c r="D1262" s="7" t="s">
        <v>6386</v>
      </c>
      <c r="E1262" s="7" t="s">
        <v>6396</v>
      </c>
      <c r="F1262" s="10" t="b">
        <v>0</v>
      </c>
      <c r="G1262" s="10" t="b">
        <v>0</v>
      </c>
      <c r="H1262" s="9"/>
      <c r="I1262" s="9" t="str">
        <f t="array" ref="I1262">IF(H1262="","",VLOOKUP(H1262,_xludf.HSTACK(#REF!,#REF!),2,FALSE))</f>
        <v/>
      </c>
      <c r="J1262" s="9"/>
    </row>
    <row r="1263" spans="1:10" x14ac:dyDescent="0.25">
      <c r="A1263" s="9" t="s">
        <v>6379</v>
      </c>
      <c r="B1263" s="9" t="s">
        <v>4483</v>
      </c>
      <c r="C1263" s="9" t="s">
        <v>4676</v>
      </c>
      <c r="D1263" s="7" t="s">
        <v>6397</v>
      </c>
      <c r="E1263" s="7" t="s">
        <v>6398</v>
      </c>
      <c r="F1263" s="10" t="b">
        <v>0</v>
      </c>
      <c r="G1263" s="10" t="b">
        <v>0</v>
      </c>
      <c r="H1263" s="9"/>
      <c r="I1263" s="9" t="str">
        <f t="array" ref="I1263">IF(H1263="","",VLOOKUP(H1263,_xludf.HSTACK(#REF!,#REF!),2,FALSE))</f>
        <v/>
      </c>
      <c r="J1263" s="9"/>
    </row>
    <row r="1264" spans="1:10" x14ac:dyDescent="0.25">
      <c r="A1264" s="9" t="s">
        <v>6379</v>
      </c>
      <c r="B1264" s="9" t="s">
        <v>6399</v>
      </c>
      <c r="C1264" s="9" t="s">
        <v>3</v>
      </c>
      <c r="D1264" s="7" t="s">
        <v>6386</v>
      </c>
      <c r="E1264" s="7" t="s">
        <v>6400</v>
      </c>
      <c r="F1264" s="10" t="b">
        <v>0</v>
      </c>
      <c r="G1264" s="10" t="b">
        <v>0</v>
      </c>
      <c r="H1264" s="9"/>
      <c r="I1264" s="9" t="str">
        <f t="array" ref="I1264">IF(H1264="","",VLOOKUP(H1264,_xludf.HSTACK(#REF!,#REF!),2,FALSE))</f>
        <v/>
      </c>
      <c r="J1264" s="9"/>
    </row>
    <row r="1265" spans="1:10" x14ac:dyDescent="0.25">
      <c r="A1265" s="9" t="s">
        <v>6379</v>
      </c>
      <c r="B1265" s="9" t="s">
        <v>4490</v>
      </c>
      <c r="C1265" s="9" t="s">
        <v>21</v>
      </c>
      <c r="D1265" s="7" t="s">
        <v>6397</v>
      </c>
      <c r="E1265" s="7" t="s">
        <v>6401</v>
      </c>
      <c r="F1265" s="10" t="b">
        <v>0</v>
      </c>
      <c r="G1265" s="10" t="b">
        <v>0</v>
      </c>
      <c r="H1265" s="9"/>
      <c r="I1265" s="9" t="str">
        <f t="array" ref="I1265">IF(H1265="","",VLOOKUP(H1265,_xludf.HSTACK(#REF!,#REF!),2,FALSE))</f>
        <v/>
      </c>
      <c r="J1265" s="9"/>
    </row>
    <row r="1266" spans="1:10" x14ac:dyDescent="0.25">
      <c r="A1266" s="9" t="s">
        <v>6379</v>
      </c>
      <c r="B1266" s="9" t="s">
        <v>5347</v>
      </c>
      <c r="C1266" s="9"/>
      <c r="D1266" s="9"/>
      <c r="E1266" s="9"/>
      <c r="F1266" s="10" t="b">
        <v>1</v>
      </c>
      <c r="G1266" s="10" t="b">
        <v>1</v>
      </c>
      <c r="H1266" s="9"/>
      <c r="I1266" s="9" t="str">
        <f t="array" ref="I1266">IF(H1266="","",VLOOKUP(H1266,_xludf.HSTACK(#REF!,#REF!),2,FALSE))</f>
        <v/>
      </c>
      <c r="J1266" s="9"/>
    </row>
    <row r="1267" spans="1:10" x14ac:dyDescent="0.25">
      <c r="A1267" s="11" t="s">
        <v>6402</v>
      </c>
      <c r="B1267" s="11" t="s">
        <v>6403</v>
      </c>
      <c r="C1267" s="11" t="s">
        <v>4411</v>
      </c>
      <c r="D1267" s="12" t="s">
        <v>6386</v>
      </c>
      <c r="E1267" s="12" t="s">
        <v>6404</v>
      </c>
      <c r="F1267" s="13" t="b">
        <v>0</v>
      </c>
      <c r="G1267" s="13" t="b">
        <v>0</v>
      </c>
      <c r="H1267" s="11"/>
      <c r="I1267" s="11" t="str">
        <f t="array" ref="I1267">IF(H1267="","",VLOOKUP(H1267,_xludf.HSTACK(#REF!,#REF!),2,FALSE))</f>
        <v/>
      </c>
      <c r="J1267" s="11"/>
    </row>
    <row r="1268" spans="1:10" x14ac:dyDescent="0.25">
      <c r="A1268" s="11" t="s">
        <v>6402</v>
      </c>
      <c r="B1268" s="11" t="s">
        <v>6405</v>
      </c>
      <c r="C1268" s="11" t="s">
        <v>4267</v>
      </c>
      <c r="D1268" s="12" t="s">
        <v>6386</v>
      </c>
      <c r="E1268" s="12" t="s">
        <v>6406</v>
      </c>
      <c r="F1268" s="13" t="b">
        <v>0</v>
      </c>
      <c r="G1268" s="13" t="b">
        <v>0</v>
      </c>
      <c r="H1268" s="11"/>
      <c r="I1268" s="11" t="str">
        <f t="array" ref="I1268">IF(H1268="","",VLOOKUP(H1268,_xludf.HSTACK(#REF!,#REF!),2,FALSE))</f>
        <v/>
      </c>
      <c r="J1268" s="11"/>
    </row>
    <row r="1269" spans="1:10" x14ac:dyDescent="0.25">
      <c r="A1269" s="11" t="s">
        <v>6402</v>
      </c>
      <c r="B1269" s="11" t="s">
        <v>6407</v>
      </c>
      <c r="C1269" s="11" t="s">
        <v>4411</v>
      </c>
      <c r="D1269" s="12" t="s">
        <v>6381</v>
      </c>
      <c r="E1269" s="12" t="s">
        <v>6408</v>
      </c>
      <c r="F1269" s="13" t="b">
        <v>0</v>
      </c>
      <c r="G1269" s="13" t="b">
        <v>0</v>
      </c>
      <c r="H1269" s="11" t="s">
        <v>50</v>
      </c>
      <c r="I1269" s="11" t="e">
        <f t="array" aca="1" ref="I1269" ca="1">IF(H1269="","",VLOOKUP(H1269,_xludf.HSTACK(#REF!,#REF!),2,FALSE))</f>
        <v>#NAME?</v>
      </c>
      <c r="J1269" s="11"/>
    </row>
    <row r="1270" spans="1:10" x14ac:dyDescent="0.25">
      <c r="A1270" s="11" t="s">
        <v>6402</v>
      </c>
      <c r="B1270" s="11" t="s">
        <v>6409</v>
      </c>
      <c r="C1270" s="11" t="s">
        <v>4267</v>
      </c>
      <c r="D1270" s="12" t="s">
        <v>6386</v>
      </c>
      <c r="E1270" s="12" t="s">
        <v>6410</v>
      </c>
      <c r="F1270" s="13" t="b">
        <v>0</v>
      </c>
      <c r="G1270" s="13" t="b">
        <v>0</v>
      </c>
      <c r="H1270" s="11" t="s">
        <v>55</v>
      </c>
      <c r="I1270" s="11" t="e">
        <f t="array" aca="1" ref="I1270" ca="1">IF(H1270="","",VLOOKUP(H1270,_xludf.HSTACK(#REF!,#REF!),2,FALSE))</f>
        <v>#NAME?</v>
      </c>
      <c r="J1270" s="11"/>
    </row>
    <row r="1271" spans="1:10" x14ac:dyDescent="0.25">
      <c r="A1271" s="11" t="s">
        <v>6402</v>
      </c>
      <c r="B1271" s="11" t="s">
        <v>6411</v>
      </c>
      <c r="C1271" s="11" t="s">
        <v>4267</v>
      </c>
      <c r="D1271" s="12" t="s">
        <v>6386</v>
      </c>
      <c r="E1271" s="12" t="s">
        <v>6412</v>
      </c>
      <c r="F1271" s="13" t="b">
        <v>0</v>
      </c>
      <c r="G1271" s="13" t="b">
        <v>0</v>
      </c>
      <c r="H1271" s="11"/>
      <c r="I1271" s="11" t="str">
        <f t="array" ref="I1271">IF(H1271="","",VLOOKUP(H1271,_xludf.HSTACK(#REF!,#REF!),2,FALSE))</f>
        <v/>
      </c>
      <c r="J1271" s="11"/>
    </row>
    <row r="1272" spans="1:10" x14ac:dyDescent="0.25">
      <c r="A1272" s="11" t="s">
        <v>6402</v>
      </c>
      <c r="B1272" s="11" t="s">
        <v>5347</v>
      </c>
      <c r="C1272" s="11"/>
      <c r="D1272" s="11"/>
      <c r="E1272" s="11"/>
      <c r="F1272" s="13" t="b">
        <v>1</v>
      </c>
      <c r="G1272" s="13" t="b">
        <v>1</v>
      </c>
      <c r="H1272" s="11"/>
      <c r="I1272" s="11" t="str">
        <f t="array" ref="I1272">IF(H1272="","",VLOOKUP(H1272,_xludf.HSTACK(#REF!,#REF!),2,FALSE))</f>
        <v/>
      </c>
      <c r="J1272" s="11"/>
    </row>
    <row r="1273" spans="1:10" x14ac:dyDescent="0.25">
      <c r="A1273" s="11" t="s">
        <v>6402</v>
      </c>
      <c r="B1273" s="11" t="s">
        <v>6413</v>
      </c>
      <c r="C1273" s="11" t="s">
        <v>219</v>
      </c>
      <c r="D1273" s="12" t="s">
        <v>6414</v>
      </c>
      <c r="E1273" s="12" t="s">
        <v>6415</v>
      </c>
      <c r="F1273" s="13" t="b">
        <v>0</v>
      </c>
      <c r="G1273" s="13" t="b">
        <v>0</v>
      </c>
      <c r="H1273" s="11"/>
      <c r="I1273" s="11" t="str">
        <f t="array" ref="I1273">IF(H1273="","",VLOOKUP(H1273,_xludf.HSTACK(#REF!,#REF!),2,FALSE))</f>
        <v/>
      </c>
      <c r="J1273" s="11"/>
    </row>
    <row r="1274" spans="1:10" x14ac:dyDescent="0.25">
      <c r="A1274" s="11" t="s">
        <v>6402</v>
      </c>
      <c r="B1274" s="11" t="s">
        <v>6416</v>
      </c>
      <c r="C1274" s="11" t="s">
        <v>219</v>
      </c>
      <c r="D1274" s="12" t="s">
        <v>6414</v>
      </c>
      <c r="E1274" s="12" t="s">
        <v>6417</v>
      </c>
      <c r="F1274" s="13" t="b">
        <v>0</v>
      </c>
      <c r="G1274" s="13" t="b">
        <v>0</v>
      </c>
      <c r="H1274" s="11"/>
      <c r="I1274" s="11" t="str">
        <f t="array" ref="I1274">IF(H1274="","",VLOOKUP(H1274,_xludf.HSTACK(#REF!,#REF!),2,FALSE))</f>
        <v/>
      </c>
      <c r="J1274" s="11"/>
    </row>
    <row r="1275" spans="1:10" x14ac:dyDescent="0.25">
      <c r="A1275" s="11" t="s">
        <v>6402</v>
      </c>
      <c r="B1275" s="11" t="s">
        <v>6418</v>
      </c>
      <c r="C1275" s="11" t="s">
        <v>219</v>
      </c>
      <c r="D1275" s="12" t="s">
        <v>6414</v>
      </c>
      <c r="E1275" s="12" t="s">
        <v>6419</v>
      </c>
      <c r="F1275" s="13" t="b">
        <v>0</v>
      </c>
      <c r="G1275" s="13" t="b">
        <v>0</v>
      </c>
      <c r="H1275" s="11"/>
      <c r="I1275" s="11" t="str">
        <f t="array" ref="I1275">IF(H1275="","",VLOOKUP(H1275,_xludf.HSTACK(#REF!,#REF!),2,FALSE))</f>
        <v/>
      </c>
      <c r="J1275" s="11"/>
    </row>
    <row r="1276" spans="1:10" x14ac:dyDescent="0.25">
      <c r="A1276" s="11" t="s">
        <v>6402</v>
      </c>
      <c r="B1276" s="11" t="s">
        <v>6420</v>
      </c>
      <c r="C1276" s="11" t="s">
        <v>219</v>
      </c>
      <c r="D1276" s="12" t="s">
        <v>6414</v>
      </c>
      <c r="E1276" s="12" t="s">
        <v>6421</v>
      </c>
      <c r="F1276" s="13" t="b">
        <v>1</v>
      </c>
      <c r="G1276" s="13" t="b">
        <v>0</v>
      </c>
      <c r="H1276" s="11" t="s">
        <v>65</v>
      </c>
      <c r="I1276" s="11" t="e">
        <f t="array" aca="1" ref="I1276" ca="1">IF(H1276="","",VLOOKUP(H1276,_xludf.HSTACK(#REF!,#REF!),2,FALSE))</f>
        <v>#NAME?</v>
      </c>
      <c r="J1276" s="11"/>
    </row>
    <row r="1277" spans="1:10" x14ac:dyDescent="0.25">
      <c r="A1277" s="11" t="s">
        <v>6402</v>
      </c>
      <c r="B1277" s="11" t="s">
        <v>6422</v>
      </c>
      <c r="C1277" s="11" t="s">
        <v>219</v>
      </c>
      <c r="D1277" s="12" t="s">
        <v>6414</v>
      </c>
      <c r="E1277" s="12" t="s">
        <v>6423</v>
      </c>
      <c r="F1277" s="13" t="b">
        <v>0</v>
      </c>
      <c r="G1277" s="13" t="b">
        <v>0</v>
      </c>
      <c r="H1277" s="11"/>
      <c r="I1277" s="11" t="str">
        <f t="array" ref="I1277">IF(H1277="","",VLOOKUP(H1277,_xludf.HSTACK(#REF!,#REF!),2,FALSE))</f>
        <v/>
      </c>
      <c r="J1277" s="11"/>
    </row>
    <row r="1278" spans="1:10" x14ac:dyDescent="0.25">
      <c r="A1278" s="9" t="s">
        <v>6424</v>
      </c>
      <c r="B1278" s="9" t="s">
        <v>4426</v>
      </c>
      <c r="C1278" s="9" t="s">
        <v>39</v>
      </c>
      <c r="D1278" s="7" t="s">
        <v>6425</v>
      </c>
      <c r="E1278" s="7" t="s">
        <v>6426</v>
      </c>
      <c r="F1278" s="10" t="b">
        <v>0</v>
      </c>
      <c r="G1278" s="10" t="b">
        <v>0</v>
      </c>
      <c r="H1278" s="9" t="s">
        <v>50</v>
      </c>
      <c r="I1278" s="9" t="e">
        <f t="array" aca="1" ref="I1278" ca="1">IF(H1278="","",VLOOKUP(H1278,_xludf.HSTACK(#REF!,#REF!),2,FALSE))</f>
        <v>#NAME?</v>
      </c>
      <c r="J1278" s="9"/>
    </row>
    <row r="1279" spans="1:10" x14ac:dyDescent="0.25">
      <c r="A1279" s="9" t="s">
        <v>6424</v>
      </c>
      <c r="B1279" s="9" t="s">
        <v>4467</v>
      </c>
      <c r="C1279" s="9" t="s">
        <v>3</v>
      </c>
      <c r="D1279" s="7" t="s">
        <v>6427</v>
      </c>
      <c r="E1279" s="7" t="s">
        <v>6428</v>
      </c>
      <c r="F1279" s="10" t="b">
        <v>0</v>
      </c>
      <c r="G1279" s="10" t="b">
        <v>0</v>
      </c>
      <c r="H1279" s="9" t="s">
        <v>50</v>
      </c>
      <c r="I1279" s="9" t="e">
        <f t="array" aca="1" ref="I1279" ca="1">IF(H1279="","",VLOOKUP(H1279,_xludf.HSTACK(#REF!,#REF!),2,FALSE))</f>
        <v>#NAME?</v>
      </c>
      <c r="J1279" s="9"/>
    </row>
    <row r="1280" spans="1:10" x14ac:dyDescent="0.25">
      <c r="A1280" s="9" t="s">
        <v>6424</v>
      </c>
      <c r="B1280" s="9" t="s">
        <v>4469</v>
      </c>
      <c r="C1280" s="9" t="s">
        <v>3</v>
      </c>
      <c r="D1280" s="7" t="s">
        <v>6429</v>
      </c>
      <c r="E1280" s="7" t="s">
        <v>6430</v>
      </c>
      <c r="F1280" s="10" t="b">
        <v>0</v>
      </c>
      <c r="G1280" s="10" t="b">
        <v>0</v>
      </c>
      <c r="H1280" s="9" t="s">
        <v>50</v>
      </c>
      <c r="I1280" s="9" t="e">
        <f t="array" aca="1" ref="I1280" ca="1">IF(H1280="","",VLOOKUP(H1280,_xludf.HSTACK(#REF!,#REF!),2,FALSE))</f>
        <v>#NAME?</v>
      </c>
      <c r="J1280" s="9"/>
    </row>
    <row r="1281" spans="1:10" x14ac:dyDescent="0.25">
      <c r="A1281" s="9" t="s">
        <v>6424</v>
      </c>
      <c r="B1281" s="9" t="s">
        <v>4432</v>
      </c>
      <c r="C1281" s="9" t="s">
        <v>21</v>
      </c>
      <c r="D1281" s="7" t="s">
        <v>6431</v>
      </c>
      <c r="E1281" s="7" t="s">
        <v>6432</v>
      </c>
      <c r="F1281" s="10" t="b">
        <v>1</v>
      </c>
      <c r="G1281" s="10" t="b">
        <v>0</v>
      </c>
      <c r="H1281" s="9" t="s">
        <v>65</v>
      </c>
      <c r="I1281" s="9" t="e">
        <f t="array" aca="1" ref="I1281" ca="1">IF(H1281="","",VLOOKUP(H1281,_xludf.HSTACK(#REF!,#REF!),2,FALSE))</f>
        <v>#NAME?</v>
      </c>
      <c r="J1281" s="9"/>
    </row>
    <row r="1282" spans="1:10" x14ac:dyDescent="0.25">
      <c r="A1282" s="9" t="s">
        <v>6424</v>
      </c>
      <c r="B1282" s="9" t="s">
        <v>4435</v>
      </c>
      <c r="C1282" s="9" t="s">
        <v>57</v>
      </c>
      <c r="D1282" s="7" t="s">
        <v>6433</v>
      </c>
      <c r="E1282" s="7" t="s">
        <v>6434</v>
      </c>
      <c r="F1282" s="10" t="b">
        <v>0</v>
      </c>
      <c r="G1282" s="10" t="b">
        <v>0</v>
      </c>
      <c r="H1282" s="9" t="s">
        <v>51</v>
      </c>
      <c r="I1282" s="9" t="e">
        <f t="array" aca="1" ref="I1282" ca="1">IF(H1282="","",VLOOKUP(H1282,_xludf.HSTACK(#REF!,#REF!),2,FALSE))</f>
        <v>#NAME?</v>
      </c>
      <c r="J1282" s="9"/>
    </row>
    <row r="1283" spans="1:10" x14ac:dyDescent="0.25">
      <c r="A1283" s="9" t="s">
        <v>6424</v>
      </c>
      <c r="B1283" s="9" t="s">
        <v>6435</v>
      </c>
      <c r="C1283" s="9" t="s">
        <v>4</v>
      </c>
      <c r="D1283" s="7" t="s">
        <v>6436</v>
      </c>
      <c r="E1283" s="7" t="s">
        <v>6437</v>
      </c>
      <c r="F1283" s="10" t="b">
        <v>0</v>
      </c>
      <c r="G1283" s="10" t="b">
        <v>0</v>
      </c>
      <c r="H1283" s="9" t="s">
        <v>51</v>
      </c>
      <c r="I1283" s="9" t="e">
        <f t="array" aca="1" ref="I1283" ca="1">IF(H1283="","",VLOOKUP(H1283,_xludf.HSTACK(#REF!,#REF!),2,FALSE))</f>
        <v>#NAME?</v>
      </c>
      <c r="J1283" s="9"/>
    </row>
    <row r="1284" spans="1:10" x14ac:dyDescent="0.25">
      <c r="A1284" s="9" t="s">
        <v>6424</v>
      </c>
      <c r="B1284" s="9" t="s">
        <v>6438</v>
      </c>
      <c r="C1284" s="9" t="s">
        <v>3</v>
      </c>
      <c r="D1284" s="7" t="s">
        <v>6439</v>
      </c>
      <c r="E1284" s="7" t="s">
        <v>6440</v>
      </c>
      <c r="F1284" s="10" t="b">
        <v>0</v>
      </c>
      <c r="G1284" s="10" t="b">
        <v>0</v>
      </c>
      <c r="H1284" s="9" t="s">
        <v>51</v>
      </c>
      <c r="I1284" s="9" t="e">
        <f t="array" aca="1" ref="I1284" ca="1">IF(H1284="","",VLOOKUP(H1284,_xludf.HSTACK(#REF!,#REF!),2,FALSE))</f>
        <v>#NAME?</v>
      </c>
      <c r="J1284" s="9"/>
    </row>
    <row r="1285" spans="1:10" x14ac:dyDescent="0.25">
      <c r="A1285" s="9" t="s">
        <v>6424</v>
      </c>
      <c r="B1285" s="9" t="s">
        <v>4437</v>
      </c>
      <c r="C1285" s="9" t="s">
        <v>21</v>
      </c>
      <c r="D1285" s="7" t="s">
        <v>6431</v>
      </c>
      <c r="E1285" s="7" t="s">
        <v>6441</v>
      </c>
      <c r="F1285" s="10" t="b">
        <v>1</v>
      </c>
      <c r="G1285" s="10" t="b">
        <v>0</v>
      </c>
      <c r="H1285" s="9" t="s">
        <v>66</v>
      </c>
      <c r="I1285" s="9" t="e">
        <f t="array" aca="1" ref="I1285" ca="1">IF(H1285="","",VLOOKUP(H1285,_xludf.HSTACK(#REF!,#REF!),2,FALSE))</f>
        <v>#NAME?</v>
      </c>
      <c r="J1285" s="9"/>
    </row>
    <row r="1286" spans="1:10" x14ac:dyDescent="0.25">
      <c r="A1286" s="9" t="s">
        <v>6424</v>
      </c>
      <c r="B1286" s="9" t="s">
        <v>4439</v>
      </c>
      <c r="C1286" s="9" t="s">
        <v>39</v>
      </c>
      <c r="D1286" s="7" t="s">
        <v>6442</v>
      </c>
      <c r="E1286" s="7" t="s">
        <v>6443</v>
      </c>
      <c r="F1286" s="10" t="b">
        <v>0</v>
      </c>
      <c r="G1286" s="10" t="b">
        <v>0</v>
      </c>
      <c r="H1286" s="9" t="s">
        <v>54</v>
      </c>
      <c r="I1286" s="9" t="e">
        <f t="array" aca="1" ref="I1286" ca="1">IF(H1286="","",VLOOKUP(H1286,_xludf.HSTACK(#REF!,#REF!),2,FALSE))</f>
        <v>#NAME?</v>
      </c>
      <c r="J1286" s="9"/>
    </row>
    <row r="1287" spans="1:10" x14ac:dyDescent="0.25">
      <c r="A1287" s="9" t="s">
        <v>6424</v>
      </c>
      <c r="B1287" s="9" t="s">
        <v>6444</v>
      </c>
      <c r="C1287" s="9" t="s">
        <v>4</v>
      </c>
      <c r="D1287" s="7" t="s">
        <v>6436</v>
      </c>
      <c r="E1287" s="7" t="s">
        <v>6445</v>
      </c>
      <c r="F1287" s="10" t="b">
        <v>0</v>
      </c>
      <c r="G1287" s="10" t="b">
        <v>0</v>
      </c>
      <c r="H1287" s="9" t="s">
        <v>54</v>
      </c>
      <c r="I1287" s="9" t="e">
        <f t="array" aca="1" ref="I1287" ca="1">IF(H1287="","",VLOOKUP(H1287,_xludf.HSTACK(#REF!,#REF!),2,FALSE))</f>
        <v>#NAME?</v>
      </c>
      <c r="J1287" s="9"/>
    </row>
    <row r="1288" spans="1:10" x14ac:dyDescent="0.25">
      <c r="A1288" s="9" t="s">
        <v>6424</v>
      </c>
      <c r="B1288" s="9" t="s">
        <v>6446</v>
      </c>
      <c r="C1288" s="9" t="s">
        <v>3</v>
      </c>
      <c r="D1288" s="7" t="s">
        <v>6439</v>
      </c>
      <c r="E1288" s="7" t="s">
        <v>6447</v>
      </c>
      <c r="F1288" s="10" t="b">
        <v>0</v>
      </c>
      <c r="G1288" s="10" t="b">
        <v>0</v>
      </c>
      <c r="H1288" s="9" t="s">
        <v>54</v>
      </c>
      <c r="I1288" s="9" t="e">
        <f t="array" aca="1" ref="I1288" ca="1">IF(H1288="","",VLOOKUP(H1288,_xludf.HSTACK(#REF!,#REF!),2,FALSE))</f>
        <v>#NAME?</v>
      </c>
      <c r="J1288" s="9"/>
    </row>
    <row r="1289" spans="1:10" x14ac:dyDescent="0.25">
      <c r="A1289" s="9" t="s">
        <v>6424</v>
      </c>
      <c r="B1289" s="9" t="s">
        <v>4441</v>
      </c>
      <c r="C1289" s="9" t="s">
        <v>4676</v>
      </c>
      <c r="D1289" s="7" t="s">
        <v>6448</v>
      </c>
      <c r="E1289" s="7" t="s">
        <v>6449</v>
      </c>
      <c r="F1289" s="10" t="b">
        <v>1</v>
      </c>
      <c r="G1289" s="10" t="b">
        <v>0</v>
      </c>
      <c r="H1289" s="9" t="s">
        <v>69</v>
      </c>
      <c r="I1289" s="9" t="e">
        <f t="array" aca="1" ref="I1289" ca="1">IF(H1289="","",VLOOKUP(H1289,_xludf.HSTACK(#REF!,#REF!),2,FALSE))</f>
        <v>#NAME?</v>
      </c>
      <c r="J1289" s="9"/>
    </row>
    <row r="1290" spans="1:10" x14ac:dyDescent="0.25">
      <c r="A1290" s="9" t="s">
        <v>6424</v>
      </c>
      <c r="B1290" s="9" t="s">
        <v>4443</v>
      </c>
      <c r="C1290" s="9" t="s">
        <v>57</v>
      </c>
      <c r="D1290" s="7" t="s">
        <v>6450</v>
      </c>
      <c r="E1290" s="7" t="s">
        <v>6451</v>
      </c>
      <c r="F1290" s="10" t="b">
        <v>0</v>
      </c>
      <c r="G1290" s="10" t="b">
        <v>0</v>
      </c>
      <c r="H1290" s="9" t="s">
        <v>55</v>
      </c>
      <c r="I1290" s="9" t="e">
        <f t="array" aca="1" ref="I1290" ca="1">IF(H1290="","",VLOOKUP(H1290,_xludf.HSTACK(#REF!,#REF!),2,FALSE))</f>
        <v>#NAME?</v>
      </c>
      <c r="J1290" s="9"/>
    </row>
    <row r="1291" spans="1:10" x14ac:dyDescent="0.25">
      <c r="A1291" s="9" t="s">
        <v>6424</v>
      </c>
      <c r="B1291" s="9" t="s">
        <v>6452</v>
      </c>
      <c r="C1291" s="9" t="s">
        <v>4</v>
      </c>
      <c r="D1291" s="7" t="s">
        <v>6427</v>
      </c>
      <c r="E1291" s="7" t="s">
        <v>6453</v>
      </c>
      <c r="F1291" s="10" t="b">
        <v>0</v>
      </c>
      <c r="G1291" s="10" t="b">
        <v>0</v>
      </c>
      <c r="H1291" s="9" t="s">
        <v>55</v>
      </c>
      <c r="I1291" s="9" t="e">
        <f t="array" aca="1" ref="I1291" ca="1">IF(H1291="","",VLOOKUP(H1291,_xludf.HSTACK(#REF!,#REF!),2,FALSE))</f>
        <v>#NAME?</v>
      </c>
      <c r="J1291" s="9"/>
    </row>
    <row r="1292" spans="1:10" x14ac:dyDescent="0.25">
      <c r="A1292" s="9" t="s">
        <v>6424</v>
      </c>
      <c r="B1292" s="9" t="s">
        <v>6454</v>
      </c>
      <c r="C1292" s="9" t="s">
        <v>3</v>
      </c>
      <c r="D1292" s="7" t="s">
        <v>6439</v>
      </c>
      <c r="E1292" s="7" t="s">
        <v>6455</v>
      </c>
      <c r="F1292" s="10" t="b">
        <v>0</v>
      </c>
      <c r="G1292" s="10" t="b">
        <v>0</v>
      </c>
      <c r="H1292" s="9" t="s">
        <v>55</v>
      </c>
      <c r="I1292" s="9" t="e">
        <f t="array" aca="1" ref="I1292" ca="1">IF(H1292="","",VLOOKUP(H1292,_xludf.HSTACK(#REF!,#REF!),2,FALSE))</f>
        <v>#NAME?</v>
      </c>
      <c r="J1292" s="9"/>
    </row>
    <row r="1293" spans="1:10" x14ac:dyDescent="0.25">
      <c r="A1293" s="9" t="s">
        <v>6424</v>
      </c>
      <c r="B1293" s="9" t="s">
        <v>4447</v>
      </c>
      <c r="C1293" s="9" t="s">
        <v>4676</v>
      </c>
      <c r="D1293" s="7" t="s">
        <v>6448</v>
      </c>
      <c r="E1293" s="7" t="s">
        <v>6456</v>
      </c>
      <c r="F1293" s="10" t="b">
        <v>1</v>
      </c>
      <c r="G1293" s="10" t="b">
        <v>0</v>
      </c>
      <c r="H1293" s="9" t="s">
        <v>70</v>
      </c>
      <c r="I1293" s="9" t="e">
        <f t="array" aca="1" ref="I1293" ca="1">IF(H1293="","",VLOOKUP(H1293,_xludf.HSTACK(#REF!,#REF!),2,FALSE))</f>
        <v>#NAME?</v>
      </c>
      <c r="J1293" s="9"/>
    </row>
    <row r="1294" spans="1:10" x14ac:dyDescent="0.25">
      <c r="A1294" s="9" t="s">
        <v>6424</v>
      </c>
      <c r="B1294" s="9" t="s">
        <v>4449</v>
      </c>
      <c r="C1294" s="9" t="s">
        <v>57</v>
      </c>
      <c r="D1294" s="7" t="s">
        <v>6457</v>
      </c>
      <c r="E1294" s="7" t="s">
        <v>6458</v>
      </c>
      <c r="F1294" s="10" t="b">
        <v>0</v>
      </c>
      <c r="G1294" s="10" t="b">
        <v>0</v>
      </c>
      <c r="H1294" s="9"/>
      <c r="I1294" s="9" t="str">
        <f t="array" ref="I1294">IF(H1294="","",VLOOKUP(H1294,_xludf.HSTACK(#REF!,#REF!),2,FALSE))</f>
        <v/>
      </c>
      <c r="J1294" s="9"/>
    </row>
    <row r="1295" spans="1:10" x14ac:dyDescent="0.25">
      <c r="A1295" s="9" t="s">
        <v>6424</v>
      </c>
      <c r="B1295" s="9" t="s">
        <v>6459</v>
      </c>
      <c r="C1295" s="9" t="s">
        <v>3</v>
      </c>
      <c r="D1295" s="7" t="s">
        <v>6436</v>
      </c>
      <c r="E1295" s="7" t="s">
        <v>6460</v>
      </c>
      <c r="F1295" s="10" t="b">
        <v>0</v>
      </c>
      <c r="G1295" s="10" t="b">
        <v>0</v>
      </c>
      <c r="H1295" s="9"/>
      <c r="I1295" s="9" t="str">
        <f t="array" ref="I1295">IF(H1295="","",VLOOKUP(H1295,_xludf.HSTACK(#REF!,#REF!),2,FALSE))</f>
        <v/>
      </c>
      <c r="J1295" s="9"/>
    </row>
    <row r="1296" spans="1:10" x14ac:dyDescent="0.25">
      <c r="A1296" s="9" t="s">
        <v>6424</v>
      </c>
      <c r="B1296" s="9" t="s">
        <v>6461</v>
      </c>
      <c r="C1296" s="9" t="s">
        <v>3</v>
      </c>
      <c r="D1296" s="7" t="s">
        <v>6439</v>
      </c>
      <c r="E1296" s="7" t="s">
        <v>6462</v>
      </c>
      <c r="F1296" s="10" t="b">
        <v>0</v>
      </c>
      <c r="G1296" s="10" t="b">
        <v>0</v>
      </c>
      <c r="H1296" s="9"/>
      <c r="I1296" s="9" t="str">
        <f t="array" ref="I1296">IF(H1296="","",VLOOKUP(H1296,_xludf.HSTACK(#REF!,#REF!),2,FALSE))</f>
        <v/>
      </c>
      <c r="J1296" s="9"/>
    </row>
    <row r="1297" spans="1:10" x14ac:dyDescent="0.25">
      <c r="A1297" s="9" t="s">
        <v>6424</v>
      </c>
      <c r="B1297" s="9" t="s">
        <v>4453</v>
      </c>
      <c r="C1297" s="9" t="s">
        <v>4676</v>
      </c>
      <c r="D1297" s="7" t="s">
        <v>6448</v>
      </c>
      <c r="E1297" s="7" t="s">
        <v>6463</v>
      </c>
      <c r="F1297" s="10" t="b">
        <v>0</v>
      </c>
      <c r="G1297" s="10" t="b">
        <v>0</v>
      </c>
      <c r="H1297" s="9"/>
      <c r="I1297" s="9" t="str">
        <f t="array" ref="I1297">IF(H1297="","",VLOOKUP(H1297,_xludf.HSTACK(#REF!,#REF!),2,FALSE))</f>
        <v/>
      </c>
      <c r="J1297" s="9"/>
    </row>
    <row r="1298" spans="1:10" x14ac:dyDescent="0.25">
      <c r="A1298" s="9" t="s">
        <v>6424</v>
      </c>
      <c r="B1298" s="9" t="s">
        <v>4455</v>
      </c>
      <c r="C1298" s="9" t="s">
        <v>39</v>
      </c>
      <c r="D1298" s="7" t="s">
        <v>6464</v>
      </c>
      <c r="E1298" s="7" t="s">
        <v>6465</v>
      </c>
      <c r="F1298" s="10" t="b">
        <v>0</v>
      </c>
      <c r="G1298" s="10" t="b">
        <v>0</v>
      </c>
      <c r="H1298" s="9"/>
      <c r="I1298" s="9" t="str">
        <f t="array" ref="I1298">IF(H1298="","",VLOOKUP(H1298,_xludf.HSTACK(#REF!,#REF!),2,FALSE))</f>
        <v/>
      </c>
      <c r="J1298" s="9"/>
    </row>
    <row r="1299" spans="1:10" x14ac:dyDescent="0.25">
      <c r="A1299" s="9" t="s">
        <v>6424</v>
      </c>
      <c r="B1299" s="9" t="s">
        <v>4486</v>
      </c>
      <c r="C1299" s="9" t="s">
        <v>4</v>
      </c>
      <c r="D1299" s="7" t="s">
        <v>6427</v>
      </c>
      <c r="E1299" s="7" t="s">
        <v>6466</v>
      </c>
      <c r="F1299" s="10" t="b">
        <v>0</v>
      </c>
      <c r="G1299" s="10" t="b">
        <v>0</v>
      </c>
      <c r="H1299" s="9"/>
      <c r="I1299" s="9" t="str">
        <f t="array" ref="I1299">IF(H1299="","",VLOOKUP(H1299,_xludf.HSTACK(#REF!,#REF!),2,FALSE))</f>
        <v/>
      </c>
      <c r="J1299" s="9"/>
    </row>
    <row r="1300" spans="1:10" x14ac:dyDescent="0.25">
      <c r="A1300" s="9" t="s">
        <v>6424</v>
      </c>
      <c r="B1300" s="9" t="s">
        <v>4488</v>
      </c>
      <c r="C1300" s="9" t="s">
        <v>3</v>
      </c>
      <c r="D1300" s="7" t="s">
        <v>6429</v>
      </c>
      <c r="E1300" s="7" t="s">
        <v>6467</v>
      </c>
      <c r="F1300" s="10" t="b">
        <v>0</v>
      </c>
      <c r="G1300" s="10" t="b">
        <v>0</v>
      </c>
      <c r="H1300" s="9"/>
      <c r="I1300" s="9" t="str">
        <f t="array" ref="I1300">IF(H1300="","",VLOOKUP(H1300,_xludf.HSTACK(#REF!,#REF!),2,FALSE))</f>
        <v/>
      </c>
      <c r="J1300" s="9"/>
    </row>
    <row r="1301" spans="1:10" x14ac:dyDescent="0.25">
      <c r="A1301" s="9" t="s">
        <v>6424</v>
      </c>
      <c r="B1301" s="9" t="s">
        <v>4459</v>
      </c>
      <c r="C1301" s="9" t="s">
        <v>4676</v>
      </c>
      <c r="D1301" s="7" t="s">
        <v>6448</v>
      </c>
      <c r="E1301" s="7" t="s">
        <v>6468</v>
      </c>
      <c r="F1301" s="10" t="b">
        <v>0</v>
      </c>
      <c r="G1301" s="10" t="b">
        <v>0</v>
      </c>
      <c r="H1301" s="9"/>
      <c r="I1301" s="9" t="str">
        <f t="array" ref="I1301">IF(H1301="","",VLOOKUP(H1301,_xludf.HSTACK(#REF!,#REF!),2,FALSE))</f>
        <v/>
      </c>
      <c r="J1301" s="9"/>
    </row>
    <row r="1302" spans="1:10" x14ac:dyDescent="0.25">
      <c r="A1302" s="9" t="s">
        <v>6424</v>
      </c>
      <c r="B1302" s="9" t="s">
        <v>5347</v>
      </c>
      <c r="C1302" s="9"/>
      <c r="D1302" s="9"/>
      <c r="E1302" s="9"/>
      <c r="F1302" s="10" t="b">
        <v>1</v>
      </c>
      <c r="G1302" s="10" t="b">
        <v>1</v>
      </c>
      <c r="H1302" s="9"/>
      <c r="I1302" s="9" t="str">
        <f t="array" ref="I1302">IF(H1302="","",VLOOKUP(H1302,_xludf.HSTACK(#REF!,#REF!),2,FALSE))</f>
        <v/>
      </c>
      <c r="J1302" s="9"/>
    </row>
    <row r="1303" spans="1:10" x14ac:dyDescent="0.25">
      <c r="A1303" s="11" t="s">
        <v>6469</v>
      </c>
      <c r="B1303" s="11" t="s">
        <v>6470</v>
      </c>
      <c r="C1303" s="11" t="s">
        <v>3081</v>
      </c>
      <c r="D1303" s="11"/>
      <c r="E1303" s="11"/>
      <c r="F1303" s="13" t="b">
        <v>0</v>
      </c>
      <c r="G1303" s="13" t="b">
        <v>1</v>
      </c>
      <c r="H1303" s="11" t="s">
        <v>38</v>
      </c>
      <c r="I1303" s="11" t="e">
        <f t="array" aca="1" ref="I1303" ca="1">IF(H1303="","",VLOOKUP(H1303,_xludf.HSTACK(#REF!,#REF!),2,FALSE))</f>
        <v>#NAME?</v>
      </c>
      <c r="J1303" s="11"/>
    </row>
    <row r="1304" spans="1:10" x14ac:dyDescent="0.25">
      <c r="A1304" s="11" t="s">
        <v>6469</v>
      </c>
      <c r="B1304" s="11" t="s">
        <v>6471</v>
      </c>
      <c r="C1304" s="11" t="s">
        <v>3081</v>
      </c>
      <c r="D1304" s="11"/>
      <c r="E1304" s="11"/>
      <c r="F1304" s="13" t="b">
        <v>0</v>
      </c>
      <c r="G1304" s="13" t="b">
        <v>1</v>
      </c>
      <c r="H1304" s="11" t="s">
        <v>55</v>
      </c>
      <c r="I1304" s="11" t="e">
        <f t="array" aca="1" ref="I1304" ca="1">IF(H1304="","",VLOOKUP(H1304,_xludf.HSTACK(#REF!,#REF!),2,FALSE))</f>
        <v>#NAME?</v>
      </c>
      <c r="J1304" s="11"/>
    </row>
    <row r="1305" spans="1:10" x14ac:dyDescent="0.25">
      <c r="A1305" s="11" t="s">
        <v>6469</v>
      </c>
      <c r="B1305" s="11" t="s">
        <v>6472</v>
      </c>
      <c r="C1305" s="11" t="s">
        <v>3081</v>
      </c>
      <c r="D1305" s="11"/>
      <c r="E1305" s="11"/>
      <c r="F1305" s="13" t="b">
        <v>0</v>
      </c>
      <c r="G1305" s="13" t="b">
        <v>1</v>
      </c>
      <c r="H1305" s="11" t="s">
        <v>50</v>
      </c>
      <c r="I1305" s="11" t="e">
        <f t="array" aca="1" ref="I1305" ca="1">IF(H1305="","",VLOOKUP(H1305,_xludf.HSTACK(#REF!,#REF!),2,FALSE))</f>
        <v>#NAME?</v>
      </c>
      <c r="J1305" s="11"/>
    </row>
    <row r="1306" spans="1:10" x14ac:dyDescent="0.25">
      <c r="A1306" s="11" t="s">
        <v>6469</v>
      </c>
      <c r="B1306" s="11" t="s">
        <v>6473</v>
      </c>
      <c r="C1306" s="11" t="s">
        <v>3081</v>
      </c>
      <c r="D1306" s="11"/>
      <c r="E1306" s="11"/>
      <c r="F1306" s="13" t="b">
        <v>0</v>
      </c>
      <c r="G1306" s="13" t="b">
        <v>1</v>
      </c>
      <c r="H1306" s="11" t="s">
        <v>51</v>
      </c>
      <c r="I1306" s="11" t="e">
        <f t="array" aca="1" ref="I1306" ca="1">IF(H1306="","",VLOOKUP(H1306,_xludf.HSTACK(#REF!,#REF!),2,FALSE))</f>
        <v>#NAME?</v>
      </c>
      <c r="J1306" s="11"/>
    </row>
    <row r="1307" spans="1:10" x14ac:dyDescent="0.25">
      <c r="A1307" s="11" t="s">
        <v>6469</v>
      </c>
      <c r="B1307" s="11" t="s">
        <v>6474</v>
      </c>
      <c r="C1307" s="11" t="s">
        <v>3081</v>
      </c>
      <c r="D1307" s="11"/>
      <c r="E1307" s="11"/>
      <c r="F1307" s="13" t="b">
        <v>0</v>
      </c>
      <c r="G1307" s="13" t="b">
        <v>1</v>
      </c>
      <c r="H1307" s="11" t="s">
        <v>54</v>
      </c>
      <c r="I1307" s="11" t="e">
        <f t="array" aca="1" ref="I1307" ca="1">IF(H1307="","",VLOOKUP(H1307,_xludf.HSTACK(#REF!,#REF!),2,FALSE))</f>
        <v>#NAME?</v>
      </c>
      <c r="J1307" s="11"/>
    </row>
    <row r="1308" spans="1:10" x14ac:dyDescent="0.25">
      <c r="A1308" s="11" t="s">
        <v>6469</v>
      </c>
      <c r="B1308" s="11" t="s">
        <v>6475</v>
      </c>
      <c r="C1308" s="11" t="s">
        <v>3081</v>
      </c>
      <c r="D1308" s="11"/>
      <c r="E1308" s="11"/>
      <c r="F1308" s="13" t="b">
        <v>0</v>
      </c>
      <c r="G1308" s="13" t="b">
        <v>1</v>
      </c>
      <c r="H1308" s="11" t="s">
        <v>58</v>
      </c>
      <c r="I1308" s="11" t="e">
        <f t="array" aca="1" ref="I1308" ca="1">IF(H1308="","",VLOOKUP(H1308,_xludf.HSTACK(#REF!,#REF!),2,FALSE))</f>
        <v>#NAME?</v>
      </c>
      <c r="J1308" s="11"/>
    </row>
    <row r="1309" spans="1:10" x14ac:dyDescent="0.25">
      <c r="A1309" s="11" t="s">
        <v>6469</v>
      </c>
      <c r="B1309" s="11" t="s">
        <v>6476</v>
      </c>
      <c r="C1309" s="11" t="s">
        <v>3081</v>
      </c>
      <c r="D1309" s="11"/>
      <c r="E1309" s="11"/>
      <c r="F1309" s="13" t="b">
        <v>0</v>
      </c>
      <c r="G1309" s="13" t="b">
        <v>1</v>
      </c>
      <c r="H1309" s="11" t="s">
        <v>56</v>
      </c>
      <c r="I1309" s="11" t="e">
        <f t="array" aca="1" ref="I1309" ca="1">IF(H1309="","",VLOOKUP(H1309,_xludf.HSTACK(#REF!,#REF!),2,FALSE))</f>
        <v>#NAME?</v>
      </c>
      <c r="J1309" s="11"/>
    </row>
    <row r="1310" spans="1:10" x14ac:dyDescent="0.25">
      <c r="A1310" s="11" t="s">
        <v>6469</v>
      </c>
      <c r="B1310" s="11" t="s">
        <v>6477</v>
      </c>
      <c r="C1310" s="11" t="s">
        <v>3081</v>
      </c>
      <c r="D1310" s="11"/>
      <c r="E1310" s="11"/>
      <c r="F1310" s="13" t="b">
        <v>0</v>
      </c>
      <c r="G1310" s="13" t="b">
        <v>1</v>
      </c>
      <c r="H1310" s="11" t="s">
        <v>33</v>
      </c>
      <c r="I1310" s="11" t="e">
        <f t="array" aca="1" ref="I1310" ca="1">IF(H1310="","",VLOOKUP(H1310,_xludf.HSTACK(#REF!,#REF!),2,FALSE))</f>
        <v>#NAME?</v>
      </c>
      <c r="J1310" s="11"/>
    </row>
    <row r="1311" spans="1:10" x14ac:dyDescent="0.25">
      <c r="A1311" s="11" t="s">
        <v>6469</v>
      </c>
      <c r="B1311" s="11" t="s">
        <v>6478</v>
      </c>
      <c r="C1311" s="11" t="s">
        <v>3081</v>
      </c>
      <c r="D1311" s="11"/>
      <c r="E1311" s="11"/>
      <c r="F1311" s="13" t="b">
        <v>0</v>
      </c>
      <c r="G1311" s="13" t="b">
        <v>1</v>
      </c>
      <c r="H1311" s="11" t="s">
        <v>70</v>
      </c>
      <c r="I1311" s="11" t="e">
        <f t="array" aca="1" ref="I1311" ca="1">IF(H1311="","",VLOOKUP(H1311,_xludf.HSTACK(#REF!,#REF!),2,FALSE))</f>
        <v>#NAME?</v>
      </c>
      <c r="J1311" s="11"/>
    </row>
    <row r="1312" spans="1:10" x14ac:dyDescent="0.25">
      <c r="A1312" s="11" t="s">
        <v>6469</v>
      </c>
      <c r="B1312" s="11" t="s">
        <v>6479</v>
      </c>
      <c r="C1312" s="11" t="s">
        <v>3081</v>
      </c>
      <c r="D1312" s="11"/>
      <c r="E1312" s="11"/>
      <c r="F1312" s="13" t="b">
        <v>0</v>
      </c>
      <c r="G1312" s="13" t="b">
        <v>1</v>
      </c>
      <c r="H1312" s="11" t="s">
        <v>65</v>
      </c>
      <c r="I1312" s="11" t="e">
        <f t="array" aca="1" ref="I1312" ca="1">IF(H1312="","",VLOOKUP(H1312,_xludf.HSTACK(#REF!,#REF!),2,FALSE))</f>
        <v>#NAME?</v>
      </c>
      <c r="J1312" s="11"/>
    </row>
    <row r="1313" spans="1:10" x14ac:dyDescent="0.25">
      <c r="A1313" s="11" t="s">
        <v>6469</v>
      </c>
      <c r="B1313" s="11" t="s">
        <v>6480</v>
      </c>
      <c r="C1313" s="11" t="s">
        <v>3081</v>
      </c>
      <c r="D1313" s="11"/>
      <c r="E1313" s="11"/>
      <c r="F1313" s="13" t="b">
        <v>0</v>
      </c>
      <c r="G1313" s="13" t="b">
        <v>1</v>
      </c>
      <c r="H1313" s="11" t="s">
        <v>66</v>
      </c>
      <c r="I1313" s="11" t="e">
        <f t="array" aca="1" ref="I1313" ca="1">IF(H1313="","",VLOOKUP(H1313,_xludf.HSTACK(#REF!,#REF!),2,FALSE))</f>
        <v>#NAME?</v>
      </c>
      <c r="J1313" s="11"/>
    </row>
    <row r="1314" spans="1:10" x14ac:dyDescent="0.25">
      <c r="A1314" s="11" t="s">
        <v>6469</v>
      </c>
      <c r="B1314" s="11" t="s">
        <v>6481</v>
      </c>
      <c r="C1314" s="11" t="s">
        <v>3081</v>
      </c>
      <c r="D1314" s="11"/>
      <c r="E1314" s="11"/>
      <c r="F1314" s="13" t="b">
        <v>0</v>
      </c>
      <c r="G1314" s="13" t="b">
        <v>1</v>
      </c>
      <c r="H1314" s="11" t="s">
        <v>69</v>
      </c>
      <c r="I1314" s="11" t="e">
        <f t="array" aca="1" ref="I1314" ca="1">IF(H1314="","",VLOOKUP(H1314,_xludf.HSTACK(#REF!,#REF!),2,FALSE))</f>
        <v>#NAME?</v>
      </c>
      <c r="J1314" s="11"/>
    </row>
    <row r="1315" spans="1:10" x14ac:dyDescent="0.25">
      <c r="A1315" s="11" t="s">
        <v>6469</v>
      </c>
      <c r="B1315" s="11" t="s">
        <v>6482</v>
      </c>
      <c r="C1315" s="11" t="s">
        <v>3081</v>
      </c>
      <c r="D1315" s="11"/>
      <c r="E1315" s="11"/>
      <c r="F1315" s="13" t="b">
        <v>0</v>
      </c>
      <c r="G1315" s="13" t="b">
        <v>1</v>
      </c>
      <c r="H1315" s="11" t="s">
        <v>67</v>
      </c>
      <c r="I1315" s="11" t="e">
        <f t="array" aca="1" ref="I1315" ca="1">IF(H1315="","",VLOOKUP(H1315,_xludf.HSTACK(#REF!,#REF!),2,FALSE))</f>
        <v>#NAME?</v>
      </c>
      <c r="J1315" s="11"/>
    </row>
    <row r="1316" spans="1:10" x14ac:dyDescent="0.25">
      <c r="A1316" s="11" t="s">
        <v>6469</v>
      </c>
      <c r="B1316" s="11" t="s">
        <v>6483</v>
      </c>
      <c r="C1316" s="11" t="s">
        <v>3081</v>
      </c>
      <c r="D1316" s="11"/>
      <c r="E1316" s="11"/>
      <c r="F1316" s="13" t="b">
        <v>0</v>
      </c>
      <c r="G1316" s="13" t="b">
        <v>1</v>
      </c>
      <c r="H1316" s="11" t="s">
        <v>68</v>
      </c>
      <c r="I1316" s="11" t="e">
        <f t="array" aca="1" ref="I1316" ca="1">IF(H1316="","",VLOOKUP(H1316,_xludf.HSTACK(#REF!,#REF!),2,FALSE))</f>
        <v>#NAME?</v>
      </c>
      <c r="J1316" s="11"/>
    </row>
    <row r="1317" spans="1:10" x14ac:dyDescent="0.25">
      <c r="A1317" s="9" t="s">
        <v>6484</v>
      </c>
      <c r="B1317" s="9" t="s">
        <v>6485</v>
      </c>
      <c r="C1317" s="9" t="s">
        <v>3131</v>
      </c>
      <c r="D1317" s="9"/>
      <c r="E1317" s="7" t="s">
        <v>6486</v>
      </c>
      <c r="F1317" s="10" t="b">
        <v>0</v>
      </c>
      <c r="G1317" s="10" t="b">
        <v>0</v>
      </c>
      <c r="H1317" s="9"/>
      <c r="I1317" s="9" t="str">
        <f t="array" ref="I1317">IF(H1317="","",VLOOKUP(H1317,_xludf.HSTACK(#REF!,#REF!),2,FALSE))</f>
        <v/>
      </c>
      <c r="J1317" s="9"/>
    </row>
    <row r="1318" spans="1:10" x14ac:dyDescent="0.25">
      <c r="A1318" s="9" t="s">
        <v>6484</v>
      </c>
      <c r="B1318" s="9" t="s">
        <v>6487</v>
      </c>
      <c r="C1318" s="9" t="s">
        <v>125</v>
      </c>
      <c r="D1318" s="9"/>
      <c r="E1318" s="7" t="s">
        <v>6488</v>
      </c>
      <c r="F1318" s="10" t="b">
        <v>0</v>
      </c>
      <c r="G1318" s="10" t="b">
        <v>0</v>
      </c>
      <c r="H1318" s="9" t="s">
        <v>28</v>
      </c>
      <c r="I1318" s="9" t="e">
        <f t="array" aca="1" ref="I1318" ca="1">IF(H1318="","",VLOOKUP(H1318,_xludf.HSTACK(#REF!,#REF!),2,FALSE))</f>
        <v>#NAME?</v>
      </c>
      <c r="J1318" s="9"/>
    </row>
    <row r="1319" spans="1:10" x14ac:dyDescent="0.25">
      <c r="A1319" s="9" t="s">
        <v>6484</v>
      </c>
      <c r="B1319" s="9" t="s">
        <v>6489</v>
      </c>
      <c r="C1319" s="9" t="s">
        <v>138</v>
      </c>
      <c r="D1319" s="7" t="s">
        <v>6490</v>
      </c>
      <c r="E1319" s="7" t="s">
        <v>6491</v>
      </c>
      <c r="F1319" s="10" t="b">
        <v>0</v>
      </c>
      <c r="G1319" s="10" t="b">
        <v>0</v>
      </c>
      <c r="H1319" s="9" t="s">
        <v>51</v>
      </c>
      <c r="I1319" s="9" t="e">
        <f t="array" aca="1" ref="I1319" ca="1">IF(H1319="","",VLOOKUP(H1319,_xludf.HSTACK(#REF!,#REF!),2,FALSE))</f>
        <v>#NAME?</v>
      </c>
      <c r="J1319" s="9"/>
    </row>
    <row r="1320" spans="1:10" x14ac:dyDescent="0.25">
      <c r="A1320" s="9" t="s">
        <v>6484</v>
      </c>
      <c r="B1320" s="9" t="s">
        <v>6492</v>
      </c>
      <c r="C1320" s="9" t="s">
        <v>21</v>
      </c>
      <c r="D1320" s="7" t="s">
        <v>6493</v>
      </c>
      <c r="E1320" s="7" t="s">
        <v>6494</v>
      </c>
      <c r="F1320" s="10" t="b">
        <v>0</v>
      </c>
      <c r="G1320" s="10" t="b">
        <v>0</v>
      </c>
      <c r="H1320" s="9" t="s">
        <v>66</v>
      </c>
      <c r="I1320" s="9" t="e">
        <f t="array" aca="1" ref="I1320" ca="1">IF(H1320="","",VLOOKUP(H1320,_xludf.HSTACK(#REF!,#REF!),2,FALSE))</f>
        <v>#NAME?</v>
      </c>
      <c r="J1320" s="9"/>
    </row>
    <row r="1321" spans="1:10" x14ac:dyDescent="0.25">
      <c r="A1321" s="9" t="s">
        <v>6484</v>
      </c>
      <c r="B1321" s="9" t="s">
        <v>6495</v>
      </c>
      <c r="C1321" s="9" t="s">
        <v>125</v>
      </c>
      <c r="D1321" s="9"/>
      <c r="E1321" s="7" t="s">
        <v>6496</v>
      </c>
      <c r="F1321" s="10" t="b">
        <v>0</v>
      </c>
      <c r="G1321" s="10" t="b">
        <v>0</v>
      </c>
      <c r="H1321" s="9" t="s">
        <v>30</v>
      </c>
      <c r="I1321" s="9" t="e">
        <f t="array" aca="1" ref="I1321" ca="1">IF(H1321="","",VLOOKUP(H1321,_xludf.HSTACK(#REF!,#REF!),2,FALSE))</f>
        <v>#NAME?</v>
      </c>
      <c r="J1321" s="9"/>
    </row>
    <row r="1322" spans="1:10" x14ac:dyDescent="0.25">
      <c r="A1322" s="9" t="s">
        <v>6484</v>
      </c>
      <c r="B1322" s="9" t="s">
        <v>6497</v>
      </c>
      <c r="C1322" s="9" t="s">
        <v>138</v>
      </c>
      <c r="D1322" s="7" t="s">
        <v>6498</v>
      </c>
      <c r="E1322" s="7" t="s">
        <v>6499</v>
      </c>
      <c r="F1322" s="10" t="b">
        <v>0</v>
      </c>
      <c r="G1322" s="10" t="b">
        <v>0</v>
      </c>
      <c r="H1322" s="9" t="s">
        <v>55</v>
      </c>
      <c r="I1322" s="9" t="e">
        <f t="array" aca="1" ref="I1322" ca="1">IF(H1322="","",VLOOKUP(H1322,_xludf.HSTACK(#REF!,#REF!),2,FALSE))</f>
        <v>#NAME?</v>
      </c>
      <c r="J1322" s="9"/>
    </row>
    <row r="1323" spans="1:10" x14ac:dyDescent="0.25">
      <c r="A1323" s="9" t="s">
        <v>6484</v>
      </c>
      <c r="B1323" s="9" t="s">
        <v>6500</v>
      </c>
      <c r="C1323" s="9" t="s">
        <v>21</v>
      </c>
      <c r="D1323" s="7" t="s">
        <v>6493</v>
      </c>
      <c r="E1323" s="7" t="s">
        <v>6501</v>
      </c>
      <c r="F1323" s="10" t="b">
        <v>1</v>
      </c>
      <c r="G1323" s="10" t="b">
        <v>0</v>
      </c>
      <c r="H1323" s="9" t="s">
        <v>70</v>
      </c>
      <c r="I1323" s="9" t="e">
        <f t="array" aca="1" ref="I1323" ca="1">IF(H1323="","",VLOOKUP(H1323,_xludf.HSTACK(#REF!,#REF!),2,FALSE))</f>
        <v>#NAME?</v>
      </c>
      <c r="J1323" s="9"/>
    </row>
    <row r="1324" spans="1:10" x14ac:dyDescent="0.25">
      <c r="A1324" s="9" t="s">
        <v>6484</v>
      </c>
      <c r="B1324" s="9" t="s">
        <v>6502</v>
      </c>
      <c r="C1324" s="9" t="s">
        <v>125</v>
      </c>
      <c r="D1324" s="9"/>
      <c r="E1324" s="7" t="s">
        <v>6503</v>
      </c>
      <c r="F1324" s="10" t="b">
        <v>0</v>
      </c>
      <c r="G1324" s="10" t="b">
        <v>0</v>
      </c>
      <c r="H1324" s="9"/>
      <c r="I1324" s="9" t="str">
        <f t="array" ref="I1324">IF(H1324="","",VLOOKUP(H1324,_xludf.HSTACK(#REF!,#REF!),2,FALSE))</f>
        <v/>
      </c>
      <c r="J1324" s="9"/>
    </row>
    <row r="1325" spans="1:10" x14ac:dyDescent="0.25">
      <c r="A1325" s="9" t="s">
        <v>6484</v>
      </c>
      <c r="B1325" s="9" t="s">
        <v>6504</v>
      </c>
      <c r="C1325" s="9" t="s">
        <v>138</v>
      </c>
      <c r="D1325" s="7" t="s">
        <v>6505</v>
      </c>
      <c r="E1325" s="7" t="s">
        <v>6506</v>
      </c>
      <c r="F1325" s="10" t="b">
        <v>0</v>
      </c>
      <c r="G1325" s="10" t="b">
        <v>0</v>
      </c>
      <c r="H1325" s="9"/>
      <c r="I1325" s="9" t="str">
        <f t="array" ref="I1325">IF(H1325="","",VLOOKUP(H1325,_xludf.HSTACK(#REF!,#REF!),2,FALSE))</f>
        <v/>
      </c>
      <c r="J1325" s="9"/>
    </row>
    <row r="1326" spans="1:10" x14ac:dyDescent="0.25">
      <c r="A1326" s="9" t="s">
        <v>6484</v>
      </c>
      <c r="B1326" s="9" t="s">
        <v>6507</v>
      </c>
      <c r="C1326" s="9" t="s">
        <v>4676</v>
      </c>
      <c r="D1326" s="7" t="s">
        <v>6493</v>
      </c>
      <c r="E1326" s="7" t="s">
        <v>6508</v>
      </c>
      <c r="F1326" s="10" t="b">
        <v>0</v>
      </c>
      <c r="G1326" s="10" t="b">
        <v>0</v>
      </c>
      <c r="H1326" s="9"/>
      <c r="I1326" s="9" t="str">
        <f t="array" ref="I1326">IF(H1326="","",VLOOKUP(H1326,_xludf.HSTACK(#REF!,#REF!),2,FALSE))</f>
        <v/>
      </c>
      <c r="J1326" s="9"/>
    </row>
    <row r="1327" spans="1:10" x14ac:dyDescent="0.25">
      <c r="A1327" s="9" t="s">
        <v>6484</v>
      </c>
      <c r="B1327" s="9" t="s">
        <v>6509</v>
      </c>
      <c r="C1327" s="9" t="s">
        <v>125</v>
      </c>
      <c r="D1327" s="9"/>
      <c r="E1327" s="7" t="s">
        <v>6510</v>
      </c>
      <c r="F1327" s="10" t="b">
        <v>0</v>
      </c>
      <c r="G1327" s="10" t="b">
        <v>0</v>
      </c>
      <c r="H1327" s="9"/>
      <c r="I1327" s="9" t="str">
        <f t="array" ref="I1327">IF(H1327="","",VLOOKUP(H1327,_xludf.HSTACK(#REF!,#REF!),2,FALSE))</f>
        <v/>
      </c>
      <c r="J1327" s="9"/>
    </row>
    <row r="1328" spans="1:10" x14ac:dyDescent="0.25">
      <c r="A1328" s="9" t="s">
        <v>6484</v>
      </c>
      <c r="B1328" s="9" t="s">
        <v>6511</v>
      </c>
      <c r="C1328" s="9" t="s">
        <v>138</v>
      </c>
      <c r="D1328" s="7" t="s">
        <v>6512</v>
      </c>
      <c r="E1328" s="7" t="s">
        <v>6513</v>
      </c>
      <c r="F1328" s="10" t="b">
        <v>0</v>
      </c>
      <c r="G1328" s="10" t="b">
        <v>0</v>
      </c>
      <c r="H1328" s="9"/>
      <c r="I1328" s="9" t="str">
        <f t="array" ref="I1328">IF(H1328="","",VLOOKUP(H1328,_xludf.HSTACK(#REF!,#REF!),2,FALSE))</f>
        <v/>
      </c>
      <c r="J1328" s="9"/>
    </row>
    <row r="1329" spans="1:10" x14ac:dyDescent="0.25">
      <c r="A1329" s="9" t="s">
        <v>6484</v>
      </c>
      <c r="B1329" s="9" t="s">
        <v>6514</v>
      </c>
      <c r="C1329" s="9" t="s">
        <v>4676</v>
      </c>
      <c r="D1329" s="7" t="s">
        <v>6515</v>
      </c>
      <c r="E1329" s="7" t="s">
        <v>6516</v>
      </c>
      <c r="F1329" s="10" t="b">
        <v>0</v>
      </c>
      <c r="G1329" s="10" t="b">
        <v>0</v>
      </c>
      <c r="H1329" s="9"/>
      <c r="I1329" s="9" t="str">
        <f t="array" ref="I1329">IF(H1329="","",VLOOKUP(H1329,_xludf.HSTACK(#REF!,#REF!),2,FALSE))</f>
        <v/>
      </c>
      <c r="J1329" s="9"/>
    </row>
    <row r="1330" spans="1:10" x14ac:dyDescent="0.25">
      <c r="A1330" s="9" t="s">
        <v>6484</v>
      </c>
      <c r="B1330" s="9" t="s">
        <v>6517</v>
      </c>
      <c r="C1330" s="9" t="s">
        <v>125</v>
      </c>
      <c r="D1330" s="9"/>
      <c r="E1330" s="7" t="s">
        <v>6518</v>
      </c>
      <c r="F1330" s="10" t="b">
        <v>0</v>
      </c>
      <c r="G1330" s="10" t="b">
        <v>0</v>
      </c>
      <c r="H1330" s="9" t="s">
        <v>26</v>
      </c>
      <c r="I1330" s="9" t="e">
        <f t="array" aca="1" ref="I1330" ca="1">IF(H1330="","",VLOOKUP(H1330,_xludf.HSTACK(#REF!,#REF!),2,FALSE))</f>
        <v>#NAME?</v>
      </c>
      <c r="J1330" s="9"/>
    </row>
    <row r="1331" spans="1:10" x14ac:dyDescent="0.25">
      <c r="A1331" s="9" t="s">
        <v>6484</v>
      </c>
      <c r="B1331" s="9" t="s">
        <v>6519</v>
      </c>
      <c r="C1331" s="9" t="s">
        <v>138</v>
      </c>
      <c r="D1331" s="7" t="s">
        <v>6520</v>
      </c>
      <c r="E1331" s="7" t="s">
        <v>6521</v>
      </c>
      <c r="F1331" s="10" t="b">
        <v>0</v>
      </c>
      <c r="G1331" s="10" t="b">
        <v>0</v>
      </c>
      <c r="H1331" s="9" t="s">
        <v>50</v>
      </c>
      <c r="I1331" s="9" t="e">
        <f t="array" aca="1" ref="I1331" ca="1">IF(H1331="","",VLOOKUP(H1331,_xludf.HSTACK(#REF!,#REF!),2,FALSE))</f>
        <v>#NAME?</v>
      </c>
      <c r="J1331" s="9"/>
    </row>
    <row r="1332" spans="1:10" x14ac:dyDescent="0.25">
      <c r="A1332" s="9" t="s">
        <v>6484</v>
      </c>
      <c r="B1332" s="9" t="s">
        <v>6522</v>
      </c>
      <c r="C1332" s="9" t="s">
        <v>4676</v>
      </c>
      <c r="D1332" s="7" t="s">
        <v>6515</v>
      </c>
      <c r="E1332" s="7" t="s">
        <v>6523</v>
      </c>
      <c r="F1332" s="10" t="b">
        <v>1</v>
      </c>
      <c r="G1332" s="10" t="b">
        <v>0</v>
      </c>
      <c r="H1332" s="9" t="s">
        <v>65</v>
      </c>
      <c r="I1332" s="9" t="e">
        <f t="array" aca="1" ref="I1332" ca="1">IF(H1332="","",VLOOKUP(H1332,_xludf.HSTACK(#REF!,#REF!),2,FALSE))</f>
        <v>#NAME?</v>
      </c>
      <c r="J1332" s="9"/>
    </row>
    <row r="1333" spans="1:10" x14ac:dyDescent="0.25">
      <c r="A1333" s="9" t="s">
        <v>6484</v>
      </c>
      <c r="B1333" s="9" t="s">
        <v>6524</v>
      </c>
      <c r="C1333" s="9" t="s">
        <v>125</v>
      </c>
      <c r="D1333" s="9"/>
      <c r="E1333" s="7" t="s">
        <v>6525</v>
      </c>
      <c r="F1333" s="10" t="b">
        <v>0</v>
      </c>
      <c r="G1333" s="10" t="b">
        <v>0</v>
      </c>
      <c r="H1333" s="9"/>
      <c r="I1333" s="9" t="str">
        <f t="array" ref="I1333">IF(H1333="","",VLOOKUP(H1333,_xludf.HSTACK(#REF!,#REF!),2,FALSE))</f>
        <v/>
      </c>
      <c r="J1333" s="9"/>
    </row>
    <row r="1334" spans="1:10" x14ac:dyDescent="0.25">
      <c r="A1334" s="9" t="s">
        <v>6484</v>
      </c>
      <c r="B1334" s="9" t="s">
        <v>6526</v>
      </c>
      <c r="C1334" s="9" t="s">
        <v>138</v>
      </c>
      <c r="D1334" s="7" t="s">
        <v>6527</v>
      </c>
      <c r="E1334" s="7" t="s">
        <v>6528</v>
      </c>
      <c r="F1334" s="10" t="b">
        <v>0</v>
      </c>
      <c r="G1334" s="10" t="b">
        <v>0</v>
      </c>
      <c r="H1334" s="9"/>
      <c r="I1334" s="9" t="str">
        <f t="array" ref="I1334">IF(H1334="","",VLOOKUP(H1334,_xludf.HSTACK(#REF!,#REF!),2,FALSE))</f>
        <v/>
      </c>
      <c r="J1334" s="9"/>
    </row>
    <row r="1335" spans="1:10" x14ac:dyDescent="0.25">
      <c r="A1335" s="9" t="s">
        <v>6484</v>
      </c>
      <c r="B1335" s="9" t="s">
        <v>6529</v>
      </c>
      <c r="C1335" s="9" t="s">
        <v>4676</v>
      </c>
      <c r="D1335" s="7" t="s">
        <v>6515</v>
      </c>
      <c r="E1335" s="7" t="s">
        <v>6530</v>
      </c>
      <c r="F1335" s="10" t="b">
        <v>0</v>
      </c>
      <c r="G1335" s="10" t="b">
        <v>0</v>
      </c>
      <c r="H1335" s="9"/>
      <c r="I1335" s="9" t="str">
        <f t="array" ref="I1335">IF(H1335="","",VLOOKUP(H1335,_xludf.HSTACK(#REF!,#REF!),2,FALSE))</f>
        <v/>
      </c>
      <c r="J1335" s="9"/>
    </row>
    <row r="1336" spans="1:10" x14ac:dyDescent="0.25">
      <c r="A1336" s="9" t="s">
        <v>6484</v>
      </c>
      <c r="B1336" s="9" t="s">
        <v>6531</v>
      </c>
      <c r="C1336" s="9" t="s">
        <v>125</v>
      </c>
      <c r="D1336" s="9"/>
      <c r="E1336" s="7" t="s">
        <v>6532</v>
      </c>
      <c r="F1336" s="10" t="b">
        <v>0</v>
      </c>
      <c r="G1336" s="10" t="b">
        <v>0</v>
      </c>
      <c r="H1336" s="9" t="s">
        <v>32</v>
      </c>
      <c r="I1336" s="9" t="e">
        <f t="array" aca="1" ref="I1336" ca="1">IF(H1336="","",VLOOKUP(H1336,_xludf.HSTACK(#REF!,#REF!),2,FALSE))</f>
        <v>#NAME?</v>
      </c>
      <c r="J1336" s="9"/>
    </row>
    <row r="1337" spans="1:10" x14ac:dyDescent="0.25">
      <c r="A1337" s="9" t="s">
        <v>6484</v>
      </c>
      <c r="B1337" s="9" t="s">
        <v>6533</v>
      </c>
      <c r="C1337" s="9" t="s">
        <v>138</v>
      </c>
      <c r="D1337" s="7" t="s">
        <v>6534</v>
      </c>
      <c r="E1337" s="7" t="s">
        <v>6535</v>
      </c>
      <c r="F1337" s="10" t="b">
        <v>0</v>
      </c>
      <c r="G1337" s="10" t="b">
        <v>0</v>
      </c>
      <c r="H1337" s="9" t="s">
        <v>58</v>
      </c>
      <c r="I1337" s="9" t="e">
        <f t="array" aca="1" ref="I1337" ca="1">IF(H1337="","",VLOOKUP(H1337,_xludf.HSTACK(#REF!,#REF!),2,FALSE))</f>
        <v>#NAME?</v>
      </c>
      <c r="J1337" s="9"/>
    </row>
    <row r="1338" spans="1:10" x14ac:dyDescent="0.25">
      <c r="A1338" s="9" t="s">
        <v>6484</v>
      </c>
      <c r="B1338" s="9" t="s">
        <v>6536</v>
      </c>
      <c r="C1338" s="9" t="s">
        <v>4676</v>
      </c>
      <c r="D1338" s="7" t="s">
        <v>6493</v>
      </c>
      <c r="E1338" s="7" t="s">
        <v>6537</v>
      </c>
      <c r="F1338" s="10" t="b">
        <v>1</v>
      </c>
      <c r="G1338" s="10" t="b">
        <v>0</v>
      </c>
      <c r="H1338" s="9" t="s">
        <v>67</v>
      </c>
      <c r="I1338" s="9" t="e">
        <f t="array" aca="1" ref="I1338" ca="1">IF(H1338="","",VLOOKUP(H1338,_xludf.HSTACK(#REF!,#REF!),2,FALSE))</f>
        <v>#NAME?</v>
      </c>
      <c r="J1338" s="9"/>
    </row>
    <row r="1339" spans="1:10" x14ac:dyDescent="0.25">
      <c r="A1339" s="9" t="s">
        <v>6484</v>
      </c>
      <c r="B1339" s="9" t="s">
        <v>6538</v>
      </c>
      <c r="C1339" s="9" t="s">
        <v>125</v>
      </c>
      <c r="D1339" s="9"/>
      <c r="E1339" s="7" t="s">
        <v>6539</v>
      </c>
      <c r="F1339" s="10" t="b">
        <v>0</v>
      </c>
      <c r="G1339" s="10" t="b">
        <v>0</v>
      </c>
      <c r="H1339" s="9"/>
      <c r="I1339" s="9" t="str">
        <f t="array" ref="I1339">IF(H1339="","",VLOOKUP(H1339,_xludf.HSTACK(#REF!,#REF!),2,FALSE))</f>
        <v/>
      </c>
      <c r="J1339" s="9"/>
    </row>
    <row r="1340" spans="1:10" x14ac:dyDescent="0.25">
      <c r="A1340" s="9" t="s">
        <v>6484</v>
      </c>
      <c r="B1340" s="9" t="s">
        <v>6540</v>
      </c>
      <c r="C1340" s="9" t="s">
        <v>6541</v>
      </c>
      <c r="D1340" s="7" t="s">
        <v>6542</v>
      </c>
      <c r="E1340" s="7" t="s">
        <v>6543</v>
      </c>
      <c r="F1340" s="10" t="b">
        <v>0</v>
      </c>
      <c r="G1340" s="10" t="b">
        <v>0</v>
      </c>
      <c r="H1340" s="9" t="s">
        <v>22</v>
      </c>
      <c r="I1340" s="9" t="e">
        <f t="array" aca="1" ref="I1340" ca="1">IF(H1340="","",VLOOKUP(H1340,_xludf.HSTACK(#REF!,#REF!),2,FALSE))</f>
        <v>#NAME?</v>
      </c>
      <c r="J1340" s="9"/>
    </row>
    <row r="1341" spans="1:10" x14ac:dyDescent="0.25">
      <c r="A1341" s="9" t="s">
        <v>6484</v>
      </c>
      <c r="B1341" s="9" t="s">
        <v>6544</v>
      </c>
      <c r="C1341" s="9"/>
      <c r="D1341" s="7" t="s">
        <v>6545</v>
      </c>
      <c r="E1341" s="7" t="s">
        <v>6546</v>
      </c>
      <c r="F1341" s="10" t="b">
        <v>0</v>
      </c>
      <c r="G1341" s="10" t="b">
        <v>1</v>
      </c>
      <c r="H1341" s="9"/>
      <c r="I1341" s="9" t="str">
        <f t="array" ref="I1341">IF(H1341="","",VLOOKUP(H1341,_xludf.HSTACK(#REF!,#REF!),2,FALSE))</f>
        <v/>
      </c>
      <c r="J1341" s="9"/>
    </row>
    <row r="1342" spans="1:10" x14ac:dyDescent="0.25">
      <c r="A1342" s="9" t="s">
        <v>6484</v>
      </c>
      <c r="B1342" s="9" t="s">
        <v>6547</v>
      </c>
      <c r="C1342" s="9"/>
      <c r="D1342" s="7" t="s">
        <v>6545</v>
      </c>
      <c r="E1342" s="7" t="s">
        <v>6548</v>
      </c>
      <c r="F1342" s="10" t="b">
        <v>0</v>
      </c>
      <c r="G1342" s="10" t="b">
        <v>1</v>
      </c>
      <c r="H1342" s="9"/>
      <c r="I1342" s="9" t="str">
        <f t="array" ref="I1342">IF(H1342="","",VLOOKUP(H1342,_xludf.HSTACK(#REF!,#REF!),2,FALSE))</f>
        <v/>
      </c>
      <c r="J1342" s="9"/>
    </row>
    <row r="1343" spans="1:10" x14ac:dyDescent="0.25">
      <c r="A1343" s="9" t="s">
        <v>6484</v>
      </c>
      <c r="B1343" s="9" t="s">
        <v>6549</v>
      </c>
      <c r="C1343" s="9"/>
      <c r="D1343" s="7" t="s">
        <v>6545</v>
      </c>
      <c r="E1343" s="7" t="s">
        <v>6550</v>
      </c>
      <c r="F1343" s="10" t="b">
        <v>0</v>
      </c>
      <c r="G1343" s="10" t="b">
        <v>1</v>
      </c>
      <c r="H1343" s="9"/>
      <c r="I1343" s="9" t="str">
        <f t="array" ref="I1343">IF(H1343="","",VLOOKUP(H1343,_xludf.HSTACK(#REF!,#REF!),2,FALSE))</f>
        <v/>
      </c>
      <c r="J1343" s="9"/>
    </row>
    <row r="1344" spans="1:10" x14ac:dyDescent="0.25">
      <c r="A1344" s="9" t="s">
        <v>6484</v>
      </c>
      <c r="B1344" s="9" t="s">
        <v>6551</v>
      </c>
      <c r="C1344" s="9" t="s">
        <v>6552</v>
      </c>
      <c r="D1344" s="9"/>
      <c r="E1344" s="7" t="s">
        <v>6553</v>
      </c>
      <c r="F1344" s="10" t="b">
        <v>0</v>
      </c>
      <c r="G1344" s="10" t="b">
        <v>0</v>
      </c>
      <c r="H1344" s="9"/>
      <c r="I1344" s="9" t="str">
        <f t="array" ref="I1344">IF(H1344="","",VLOOKUP(H1344,_xludf.HSTACK(#REF!,#REF!),2,FALSE))</f>
        <v/>
      </c>
      <c r="J1344" s="9"/>
    </row>
    <row r="1345" spans="1:10" x14ac:dyDescent="0.25">
      <c r="A1345" s="9" t="s">
        <v>6484</v>
      </c>
      <c r="B1345" s="9" t="s">
        <v>6554</v>
      </c>
      <c r="C1345" s="9"/>
      <c r="D1345" s="9"/>
      <c r="E1345" s="9"/>
      <c r="F1345" s="10" t="b">
        <v>0</v>
      </c>
      <c r="G1345" s="10" t="b">
        <v>1</v>
      </c>
      <c r="H1345" s="9"/>
      <c r="I1345" s="9" t="str">
        <f t="array" ref="I1345">IF(H1345="","",VLOOKUP(H1345,_xludf.HSTACK(#REF!,#REF!),2,FALSE))</f>
        <v/>
      </c>
      <c r="J1345" s="9"/>
    </row>
    <row r="1346" spans="1:10" x14ac:dyDescent="0.25">
      <c r="A1346" s="9" t="s">
        <v>6484</v>
      </c>
      <c r="B1346" s="9" t="s">
        <v>6555</v>
      </c>
      <c r="C1346" s="9" t="s">
        <v>6556</v>
      </c>
      <c r="D1346" s="7" t="s">
        <v>6557</v>
      </c>
      <c r="E1346" s="7" t="s">
        <v>6558</v>
      </c>
      <c r="F1346" s="10" t="b">
        <v>0</v>
      </c>
      <c r="G1346" s="10" t="b">
        <v>0</v>
      </c>
      <c r="H1346" s="9" t="s">
        <v>24</v>
      </c>
      <c r="I1346" s="9" t="e">
        <f t="array" aca="1" ref="I1346" ca="1">IF(H1346="","",VLOOKUP(H1346,_xludf.HSTACK(#REF!,#REF!),2,FALSE))</f>
        <v>#NAME?</v>
      </c>
      <c r="J1346" s="9"/>
    </row>
    <row r="1347" spans="1:10" x14ac:dyDescent="0.25">
      <c r="A1347" s="9" t="s">
        <v>6484</v>
      </c>
      <c r="B1347" s="9" t="s">
        <v>6559</v>
      </c>
      <c r="C1347" s="9" t="s">
        <v>4267</v>
      </c>
      <c r="D1347" s="7" t="s">
        <v>6560</v>
      </c>
      <c r="E1347" s="7" t="s">
        <v>6561</v>
      </c>
      <c r="F1347" s="10" t="b">
        <v>0</v>
      </c>
      <c r="G1347" s="10" t="b">
        <v>0</v>
      </c>
      <c r="H1347" s="9"/>
      <c r="I1347" s="9" t="str">
        <f t="array" ref="I1347">IF(H1347="","",VLOOKUP(H1347,_xludf.HSTACK(#REF!,#REF!),2,FALSE))</f>
        <v/>
      </c>
      <c r="J1347" s="9"/>
    </row>
    <row r="1348" spans="1:10" x14ac:dyDescent="0.25">
      <c r="A1348" s="9" t="s">
        <v>6484</v>
      </c>
      <c r="B1348" s="9" t="s">
        <v>6562</v>
      </c>
      <c r="C1348" s="9" t="s">
        <v>18</v>
      </c>
      <c r="D1348" s="7" t="s">
        <v>6563</v>
      </c>
      <c r="E1348" s="7" t="s">
        <v>6564</v>
      </c>
      <c r="F1348" s="10" t="b">
        <v>0</v>
      </c>
      <c r="G1348" s="10" t="b">
        <v>0</v>
      </c>
      <c r="H1348" s="9"/>
      <c r="I1348" s="9" t="str">
        <f t="array" ref="I1348">IF(H1348="","",VLOOKUP(H1348,_xludf.HSTACK(#REF!,#REF!),2,FALSE))</f>
        <v/>
      </c>
      <c r="J1348" s="9"/>
    </row>
    <row r="1349" spans="1:10" x14ac:dyDescent="0.25">
      <c r="A1349" s="9" t="s">
        <v>6484</v>
      </c>
      <c r="B1349" s="9" t="s">
        <v>6565</v>
      </c>
      <c r="C1349" s="9" t="s">
        <v>18</v>
      </c>
      <c r="D1349" s="7" t="s">
        <v>6566</v>
      </c>
      <c r="E1349" s="7" t="s">
        <v>6567</v>
      </c>
      <c r="F1349" s="10" t="b">
        <v>0</v>
      </c>
      <c r="G1349" s="10" t="b">
        <v>0</v>
      </c>
      <c r="H1349" s="9"/>
      <c r="I1349" s="9" t="str">
        <f t="array" ref="I1349">IF(H1349="","",VLOOKUP(H1349,_xludf.HSTACK(#REF!,#REF!),2,FALSE))</f>
        <v/>
      </c>
      <c r="J1349" s="9"/>
    </row>
    <row r="1350" spans="1:10" x14ac:dyDescent="0.25">
      <c r="A1350" s="9" t="s">
        <v>6484</v>
      </c>
      <c r="B1350" s="9" t="s">
        <v>6568</v>
      </c>
      <c r="C1350" s="9" t="s">
        <v>53</v>
      </c>
      <c r="D1350" s="7" t="s">
        <v>6566</v>
      </c>
      <c r="E1350" s="7" t="s">
        <v>6569</v>
      </c>
      <c r="F1350" s="10" t="b">
        <v>0</v>
      </c>
      <c r="G1350" s="10" t="b">
        <v>0</v>
      </c>
      <c r="H1350" s="9"/>
      <c r="I1350" s="9" t="str">
        <f t="array" ref="I1350">IF(H1350="","",VLOOKUP(H1350,_xludf.HSTACK(#REF!,#REF!),2,FALSE))</f>
        <v/>
      </c>
      <c r="J1350" s="9"/>
    </row>
    <row r="1351" spans="1:10" x14ac:dyDescent="0.25">
      <c r="A1351" s="9" t="s">
        <v>6484</v>
      </c>
      <c r="B1351" s="9" t="s">
        <v>6570</v>
      </c>
      <c r="C1351" s="9" t="s">
        <v>53</v>
      </c>
      <c r="D1351" s="7" t="s">
        <v>6566</v>
      </c>
      <c r="E1351" s="7" t="s">
        <v>6571</v>
      </c>
      <c r="F1351" s="10" t="b">
        <v>0</v>
      </c>
      <c r="G1351" s="10" t="b">
        <v>0</v>
      </c>
      <c r="H1351" s="9"/>
      <c r="I1351" s="9" t="str">
        <f t="array" ref="I1351">IF(H1351="","",VLOOKUP(H1351,_xludf.HSTACK(#REF!,#REF!),2,FALSE))</f>
        <v/>
      </c>
      <c r="J1351" s="9"/>
    </row>
    <row r="1352" spans="1:10" x14ac:dyDescent="0.25">
      <c r="A1352" s="9" t="s">
        <v>6484</v>
      </c>
      <c r="B1352" s="9" t="s">
        <v>6572</v>
      </c>
      <c r="C1352" s="9" t="s">
        <v>18</v>
      </c>
      <c r="D1352" s="7" t="s">
        <v>6566</v>
      </c>
      <c r="E1352" s="7" t="s">
        <v>6573</v>
      </c>
      <c r="F1352" s="10" t="b">
        <v>1</v>
      </c>
      <c r="G1352" s="10" t="b">
        <v>0</v>
      </c>
      <c r="H1352" s="9"/>
      <c r="I1352" s="9" t="str">
        <f t="array" ref="I1352">IF(H1352="","",VLOOKUP(H1352,_xludf.HSTACK(#REF!,#REF!),2,FALSE))</f>
        <v/>
      </c>
      <c r="J1352" s="9"/>
    </row>
    <row r="1353" spans="1:10" x14ac:dyDescent="0.25">
      <c r="A1353" s="9" t="s">
        <v>6484</v>
      </c>
      <c r="B1353" s="9" t="s">
        <v>6574</v>
      </c>
      <c r="C1353" s="9" t="s">
        <v>53</v>
      </c>
      <c r="D1353" s="7" t="s">
        <v>6563</v>
      </c>
      <c r="E1353" s="7" t="s">
        <v>6575</v>
      </c>
      <c r="F1353" s="10" t="b">
        <v>0</v>
      </c>
      <c r="G1353" s="10" t="b">
        <v>0</v>
      </c>
      <c r="H1353" s="9"/>
      <c r="I1353" s="9" t="str">
        <f t="array" ref="I1353">IF(H1353="","",VLOOKUP(H1353,_xludf.HSTACK(#REF!,#REF!),2,FALSE))</f>
        <v/>
      </c>
      <c r="J1353" s="9"/>
    </row>
    <row r="1354" spans="1:10" x14ac:dyDescent="0.25">
      <c r="A1354" s="9" t="s">
        <v>6484</v>
      </c>
      <c r="B1354" s="9" t="s">
        <v>6576</v>
      </c>
      <c r="C1354" s="9" t="s">
        <v>4267</v>
      </c>
      <c r="D1354" s="7" t="s">
        <v>6577</v>
      </c>
      <c r="E1354" s="7" t="s">
        <v>6578</v>
      </c>
      <c r="F1354" s="10" t="b">
        <v>0</v>
      </c>
      <c r="G1354" s="10" t="b">
        <v>0</v>
      </c>
      <c r="H1354" s="9"/>
      <c r="I1354" s="9" t="str">
        <f t="array" ref="I1354">IF(H1354="","",VLOOKUP(H1354,_xludf.HSTACK(#REF!,#REF!),2,FALSE))</f>
        <v/>
      </c>
      <c r="J1354" s="9"/>
    </row>
    <row r="1355" spans="1:10" x14ac:dyDescent="0.25">
      <c r="A1355" s="9" t="s">
        <v>6484</v>
      </c>
      <c r="B1355" s="9" t="s">
        <v>6579</v>
      </c>
      <c r="C1355" s="9" t="s">
        <v>53</v>
      </c>
      <c r="D1355" s="7" t="s">
        <v>6563</v>
      </c>
      <c r="E1355" s="7" t="s">
        <v>6580</v>
      </c>
      <c r="F1355" s="10" t="b">
        <v>0</v>
      </c>
      <c r="G1355" s="10" t="b">
        <v>0</v>
      </c>
      <c r="H1355" s="9"/>
      <c r="I1355" s="9" t="str">
        <f t="array" ref="I1355">IF(H1355="","",VLOOKUP(H1355,_xludf.HSTACK(#REF!,#REF!),2,FALSE))</f>
        <v/>
      </c>
      <c r="J1355" s="9"/>
    </row>
    <row r="1356" spans="1:10" x14ac:dyDescent="0.25">
      <c r="A1356" s="9" t="s">
        <v>6484</v>
      </c>
      <c r="B1356" s="9" t="s">
        <v>6581</v>
      </c>
      <c r="C1356" s="9" t="s">
        <v>18</v>
      </c>
      <c r="D1356" s="7" t="s">
        <v>6563</v>
      </c>
      <c r="E1356" s="7" t="s">
        <v>6582</v>
      </c>
      <c r="F1356" s="10" t="b">
        <v>1</v>
      </c>
      <c r="G1356" s="10" t="b">
        <v>0</v>
      </c>
      <c r="H1356" s="9" t="s">
        <v>50</v>
      </c>
      <c r="I1356" s="9" t="e">
        <f t="array" aca="1" ref="I1356" ca="1">IF(H1356="","",VLOOKUP(H1356,_xludf.HSTACK(#REF!,#REF!),2,FALSE))</f>
        <v>#NAME?</v>
      </c>
      <c r="J1356" s="9"/>
    </row>
    <row r="1357" spans="1:10" x14ac:dyDescent="0.25">
      <c r="A1357" s="9" t="s">
        <v>6484</v>
      </c>
      <c r="B1357" s="9" t="s">
        <v>6583</v>
      </c>
      <c r="C1357" s="9" t="s">
        <v>18</v>
      </c>
      <c r="D1357" s="7" t="s">
        <v>6566</v>
      </c>
      <c r="E1357" s="7" t="s">
        <v>6584</v>
      </c>
      <c r="F1357" s="10" t="b">
        <v>0</v>
      </c>
      <c r="G1357" s="10" t="b">
        <v>0</v>
      </c>
      <c r="H1357" s="9" t="s">
        <v>51</v>
      </c>
      <c r="I1357" s="9" t="e">
        <f t="array" aca="1" ref="I1357" ca="1">IF(H1357="","",VLOOKUP(H1357,_xludf.HSTACK(#REF!,#REF!),2,FALSE))</f>
        <v>#NAME?</v>
      </c>
      <c r="J1357" s="9"/>
    </row>
    <row r="1358" spans="1:10" x14ac:dyDescent="0.25">
      <c r="A1358" s="9" t="s">
        <v>6484</v>
      </c>
      <c r="B1358" s="9" t="s">
        <v>6585</v>
      </c>
      <c r="C1358" s="9" t="s">
        <v>53</v>
      </c>
      <c r="D1358" s="7" t="s">
        <v>6566</v>
      </c>
      <c r="E1358" s="7" t="s">
        <v>6586</v>
      </c>
      <c r="F1358" s="10" t="b">
        <v>0</v>
      </c>
      <c r="G1358" s="10" t="b">
        <v>0</v>
      </c>
      <c r="H1358" s="9" t="s">
        <v>58</v>
      </c>
      <c r="I1358" s="9" t="e">
        <f t="array" aca="1" ref="I1358" ca="1">IF(H1358="","",VLOOKUP(H1358,_xludf.HSTACK(#REF!,#REF!),2,FALSE))</f>
        <v>#NAME?</v>
      </c>
      <c r="J1358" s="9"/>
    </row>
    <row r="1359" spans="1:10" x14ac:dyDescent="0.25">
      <c r="A1359" s="9" t="s">
        <v>6484</v>
      </c>
      <c r="B1359" s="9" t="s">
        <v>6587</v>
      </c>
      <c r="C1359" s="9" t="s">
        <v>18</v>
      </c>
      <c r="D1359" s="7" t="s">
        <v>6563</v>
      </c>
      <c r="E1359" s="7" t="s">
        <v>6588</v>
      </c>
      <c r="F1359" s="10" t="b">
        <v>0</v>
      </c>
      <c r="G1359" s="10" t="b">
        <v>0</v>
      </c>
      <c r="H1359" s="9" t="s">
        <v>55</v>
      </c>
      <c r="I1359" s="9" t="e">
        <f t="array" aca="1" ref="I1359" ca="1">IF(H1359="","",VLOOKUP(H1359,_xludf.HSTACK(#REF!,#REF!),2,FALSE))</f>
        <v>#NAME?</v>
      </c>
      <c r="J1359" s="9"/>
    </row>
    <row r="1360" spans="1:10" x14ac:dyDescent="0.25">
      <c r="A1360" s="9" t="s">
        <v>6484</v>
      </c>
      <c r="B1360" s="9" t="s">
        <v>6589</v>
      </c>
      <c r="C1360" s="9" t="s">
        <v>18</v>
      </c>
      <c r="D1360" s="7" t="s">
        <v>6566</v>
      </c>
      <c r="E1360" s="7" t="s">
        <v>6590</v>
      </c>
      <c r="F1360" s="10" t="b">
        <v>0</v>
      </c>
      <c r="G1360" s="10" t="b">
        <v>0</v>
      </c>
      <c r="H1360" s="9"/>
      <c r="I1360" s="9" t="str">
        <f t="array" ref="I1360">IF(H1360="","",VLOOKUP(H1360,_xludf.HSTACK(#REF!,#REF!),2,FALSE))</f>
        <v/>
      </c>
      <c r="J1360" s="9"/>
    </row>
    <row r="1361" spans="1:10" x14ac:dyDescent="0.25">
      <c r="A1361" s="9" t="s">
        <v>6484</v>
      </c>
      <c r="B1361" s="9" t="s">
        <v>6591</v>
      </c>
      <c r="C1361" s="9" t="s">
        <v>6592</v>
      </c>
      <c r="D1361" s="7" t="s">
        <v>6545</v>
      </c>
      <c r="E1361" s="7" t="s">
        <v>6593</v>
      </c>
      <c r="F1361" s="10" t="b">
        <v>0</v>
      </c>
      <c r="G1361" s="10" t="b">
        <v>0</v>
      </c>
      <c r="H1361" s="9" t="s">
        <v>62</v>
      </c>
      <c r="I1361" s="9" t="e">
        <f t="array" aca="1" ref="I1361" ca="1">IF(H1361="","",VLOOKUP(H1361,_xludf.HSTACK(#REF!,#REF!),2,FALSE))</f>
        <v>#NAME?</v>
      </c>
      <c r="J1361" s="9"/>
    </row>
    <row r="1362" spans="1:10" x14ac:dyDescent="0.25">
      <c r="A1362" s="9" t="s">
        <v>6484</v>
      </c>
      <c r="B1362" s="9" t="s">
        <v>6594</v>
      </c>
      <c r="C1362" s="9" t="s">
        <v>3131</v>
      </c>
      <c r="D1362" s="7" t="s">
        <v>6595</v>
      </c>
      <c r="E1362" s="7" t="s">
        <v>6596</v>
      </c>
      <c r="F1362" s="10" t="b">
        <v>0</v>
      </c>
      <c r="G1362" s="10" t="b">
        <v>0</v>
      </c>
      <c r="H1362" s="9"/>
      <c r="I1362" s="9" t="str">
        <f t="array" ref="I1362">IF(H1362="","",VLOOKUP(H1362,_xludf.HSTACK(#REF!,#REF!),2,FALSE))</f>
        <v/>
      </c>
      <c r="J1362" s="9"/>
    </row>
    <row r="1363" spans="1:10" x14ac:dyDescent="0.25">
      <c r="A1363" s="9" t="s">
        <v>6484</v>
      </c>
      <c r="B1363" s="9" t="s">
        <v>6597</v>
      </c>
      <c r="C1363" s="9" t="s">
        <v>6598</v>
      </c>
      <c r="D1363" s="7" t="s">
        <v>6599</v>
      </c>
      <c r="E1363" s="7" t="s">
        <v>6600</v>
      </c>
      <c r="F1363" s="10" t="b">
        <v>0</v>
      </c>
      <c r="G1363" s="10" t="b">
        <v>0</v>
      </c>
      <c r="H1363" s="9"/>
      <c r="I1363" s="9" t="str">
        <f t="array" ref="I1363">IF(H1363="","",VLOOKUP(H1363,_xludf.HSTACK(#REF!,#REF!),2,FALSE))</f>
        <v/>
      </c>
      <c r="J1363" s="9"/>
    </row>
    <row r="1364" spans="1:10" x14ac:dyDescent="0.25">
      <c r="A1364" s="9" t="s">
        <v>6484</v>
      </c>
      <c r="B1364" s="9" t="s">
        <v>6601</v>
      </c>
      <c r="C1364" s="9" t="s">
        <v>6602</v>
      </c>
      <c r="D1364" s="7" t="s">
        <v>6599</v>
      </c>
      <c r="E1364" s="7" t="s">
        <v>6603</v>
      </c>
      <c r="F1364" s="10" t="b">
        <v>0</v>
      </c>
      <c r="G1364" s="10" t="b">
        <v>0</v>
      </c>
      <c r="H1364" s="9"/>
      <c r="I1364" s="9" t="str">
        <f t="array" ref="I1364">IF(H1364="","",VLOOKUP(H1364,_xludf.HSTACK(#REF!,#REF!),2,FALSE))</f>
        <v/>
      </c>
      <c r="J1364" s="9"/>
    </row>
    <row r="1365" spans="1:10" x14ac:dyDescent="0.25">
      <c r="A1365" s="9" t="s">
        <v>6484</v>
      </c>
      <c r="B1365" s="9" t="s">
        <v>6604</v>
      </c>
      <c r="C1365" s="9" t="s">
        <v>1942</v>
      </c>
      <c r="D1365" s="9"/>
      <c r="E1365" s="7" t="s">
        <v>6605</v>
      </c>
      <c r="F1365" s="10" t="b">
        <v>0</v>
      </c>
      <c r="G1365" s="10" t="b">
        <v>0</v>
      </c>
      <c r="H1365" s="9"/>
      <c r="I1365" s="9" t="str">
        <f t="array" ref="I1365">IF(H1365="","",VLOOKUP(H1365,_xludf.HSTACK(#REF!,#REF!),2,FALSE))</f>
        <v/>
      </c>
      <c r="J1365" s="9"/>
    </row>
    <row r="1366" spans="1:10" x14ac:dyDescent="0.25">
      <c r="A1366" s="9" t="s">
        <v>6484</v>
      </c>
      <c r="B1366" s="9" t="s">
        <v>6606</v>
      </c>
      <c r="C1366" s="9" t="s">
        <v>115</v>
      </c>
      <c r="D1366" s="9"/>
      <c r="E1366" s="7" t="s">
        <v>6607</v>
      </c>
      <c r="F1366" s="10" t="b">
        <v>0</v>
      </c>
      <c r="G1366" s="10" t="b">
        <v>0</v>
      </c>
      <c r="H1366" s="9"/>
      <c r="I1366" s="9" t="str">
        <f t="array" ref="I1366">IF(H1366="","",VLOOKUP(H1366,_xludf.HSTACK(#REF!,#REF!),2,FALSE))</f>
        <v/>
      </c>
      <c r="J1366" s="9"/>
    </row>
    <row r="1367" spans="1:10" x14ac:dyDescent="0.25">
      <c r="A1367" s="9" t="s">
        <v>6484</v>
      </c>
      <c r="B1367" s="9" t="s">
        <v>6608</v>
      </c>
      <c r="C1367" s="9" t="s">
        <v>3131</v>
      </c>
      <c r="D1367" s="9"/>
      <c r="E1367" s="7" t="s">
        <v>6609</v>
      </c>
      <c r="F1367" s="10" t="b">
        <v>0</v>
      </c>
      <c r="G1367" s="10" t="b">
        <v>0</v>
      </c>
      <c r="H1367" s="9"/>
      <c r="I1367" s="9" t="str">
        <f t="array" ref="I1367">IF(H1367="","",VLOOKUP(H1367,_xludf.HSTACK(#REF!,#REF!),2,FALSE))</f>
        <v/>
      </c>
      <c r="J1367" s="9"/>
    </row>
    <row r="1368" spans="1:10" x14ac:dyDescent="0.25">
      <c r="A1368" s="9" t="s">
        <v>6484</v>
      </c>
      <c r="B1368" s="9" t="s">
        <v>6610</v>
      </c>
      <c r="C1368" s="9" t="s">
        <v>6611</v>
      </c>
      <c r="D1368" s="7" t="s">
        <v>6545</v>
      </c>
      <c r="E1368" s="7" t="s">
        <v>6612</v>
      </c>
      <c r="F1368" s="10" t="b">
        <v>0</v>
      </c>
      <c r="G1368" s="10" t="b">
        <v>0</v>
      </c>
      <c r="H1368" s="9"/>
      <c r="I1368" s="9" t="str">
        <f t="array" ref="I1368">IF(H1368="","",VLOOKUP(H1368,_xludf.HSTACK(#REF!,#REF!),2,FALSE))</f>
        <v/>
      </c>
      <c r="J1368" s="9"/>
    </row>
    <row r="1369" spans="1:10" x14ac:dyDescent="0.25">
      <c r="A1369" s="9" t="s">
        <v>6484</v>
      </c>
      <c r="B1369" s="9" t="s">
        <v>6613</v>
      </c>
      <c r="C1369" s="9" t="s">
        <v>6611</v>
      </c>
      <c r="D1369" s="7" t="s">
        <v>6545</v>
      </c>
      <c r="E1369" s="7" t="s">
        <v>6614</v>
      </c>
      <c r="F1369" s="10" t="b">
        <v>0</v>
      </c>
      <c r="G1369" s="10" t="b">
        <v>0</v>
      </c>
      <c r="H1369" s="9"/>
      <c r="I1369" s="9" t="str">
        <f t="array" ref="I1369">IF(H1369="","",VLOOKUP(H1369,_xludf.HSTACK(#REF!,#REF!),2,FALSE))</f>
        <v/>
      </c>
      <c r="J1369" s="9"/>
    </row>
    <row r="1370" spans="1:10" x14ac:dyDescent="0.25">
      <c r="A1370" s="11" t="s">
        <v>6615</v>
      </c>
      <c r="B1370" s="11" t="s">
        <v>6616</v>
      </c>
      <c r="C1370" s="11" t="s">
        <v>6617</v>
      </c>
      <c r="D1370" s="12" t="s">
        <v>6618</v>
      </c>
      <c r="E1370" s="12" t="s">
        <v>6619</v>
      </c>
      <c r="F1370" s="13" t="b">
        <v>0</v>
      </c>
      <c r="G1370" s="13" t="b">
        <v>0</v>
      </c>
      <c r="H1370" s="11"/>
      <c r="I1370" s="11" t="str">
        <f t="array" ref="I1370">IF(H1370="","",VLOOKUP(H1370,_xludf.HSTACK(#REF!,#REF!),2,FALSE))</f>
        <v/>
      </c>
      <c r="J1370" s="11"/>
    </row>
    <row r="1371" spans="1:10" x14ac:dyDescent="0.25">
      <c r="A1371" s="11" t="s">
        <v>6615</v>
      </c>
      <c r="B1371" s="11" t="s">
        <v>6620</v>
      </c>
      <c r="C1371" s="11"/>
      <c r="D1371" s="11"/>
      <c r="E1371" s="11"/>
      <c r="F1371" s="13" t="b">
        <v>0</v>
      </c>
      <c r="G1371" s="13" t="b">
        <v>1</v>
      </c>
      <c r="H1371" s="11"/>
      <c r="I1371" s="11" t="str">
        <f t="array" ref="I1371">IF(H1371="","",VLOOKUP(H1371,_xludf.HSTACK(#REF!,#REF!),2,FALSE))</f>
        <v/>
      </c>
      <c r="J1371" s="11"/>
    </row>
    <row r="1372" spans="1:10" x14ac:dyDescent="0.25">
      <c r="A1372" s="11" t="s">
        <v>6615</v>
      </c>
      <c r="B1372" s="11" t="s">
        <v>6621</v>
      </c>
      <c r="C1372" s="11"/>
      <c r="D1372" s="11"/>
      <c r="E1372" s="11"/>
      <c r="F1372" s="13" t="b">
        <v>0</v>
      </c>
      <c r="G1372" s="13" t="b">
        <v>1</v>
      </c>
      <c r="H1372" s="11"/>
      <c r="I1372" s="11" t="str">
        <f t="array" ref="I1372">IF(H1372="","",VLOOKUP(H1372,_xludf.HSTACK(#REF!,#REF!),2,FALSE))</f>
        <v/>
      </c>
      <c r="J1372" s="11"/>
    </row>
    <row r="1373" spans="1:10" x14ac:dyDescent="0.25">
      <c r="A1373" s="11" t="s">
        <v>6615</v>
      </c>
      <c r="B1373" s="11" t="s">
        <v>6622</v>
      </c>
      <c r="C1373" s="11" t="s">
        <v>219</v>
      </c>
      <c r="D1373" s="12" t="s">
        <v>6623</v>
      </c>
      <c r="E1373" s="12" t="s">
        <v>6624</v>
      </c>
      <c r="F1373" s="13" t="b">
        <v>0</v>
      </c>
      <c r="G1373" s="13" t="b">
        <v>0</v>
      </c>
      <c r="H1373" s="11"/>
      <c r="I1373" s="11" t="str">
        <f t="array" ref="I1373">IF(H1373="","",VLOOKUP(H1373,_xludf.HSTACK(#REF!,#REF!),2,FALSE))</f>
        <v/>
      </c>
      <c r="J1373" s="11"/>
    </row>
    <row r="1374" spans="1:10" x14ac:dyDescent="0.25">
      <c r="A1374" s="11" t="s">
        <v>6615</v>
      </c>
      <c r="B1374" s="11" t="s">
        <v>6625</v>
      </c>
      <c r="C1374" s="11"/>
      <c r="D1374" s="11"/>
      <c r="E1374" s="11"/>
      <c r="F1374" s="13" t="b">
        <v>0</v>
      </c>
      <c r="G1374" s="13" t="b">
        <v>1</v>
      </c>
      <c r="H1374" s="11"/>
      <c r="I1374" s="11" t="str">
        <f t="array" ref="I1374">IF(H1374="","",VLOOKUP(H1374,_xludf.HSTACK(#REF!,#REF!),2,FALSE))</f>
        <v/>
      </c>
      <c r="J1374" s="11"/>
    </row>
    <row r="1375" spans="1:10" x14ac:dyDescent="0.25">
      <c r="A1375" s="11" t="s">
        <v>6615</v>
      </c>
      <c r="B1375" s="11" t="s">
        <v>6626</v>
      </c>
      <c r="C1375" s="11"/>
      <c r="D1375" s="11"/>
      <c r="E1375" s="11"/>
      <c r="F1375" s="13" t="b">
        <v>0</v>
      </c>
      <c r="G1375" s="13" t="b">
        <v>1</v>
      </c>
      <c r="H1375" s="11"/>
      <c r="I1375" s="11" t="str">
        <f t="array" ref="I1375">IF(H1375="","",VLOOKUP(H1375,_xludf.HSTACK(#REF!,#REF!),2,FALSE))</f>
        <v/>
      </c>
      <c r="J1375" s="11"/>
    </row>
    <row r="1376" spans="1:10" x14ac:dyDescent="0.25">
      <c r="A1376" s="11" t="s">
        <v>6615</v>
      </c>
      <c r="B1376" s="11" t="s">
        <v>6627</v>
      </c>
      <c r="C1376" s="11" t="s">
        <v>219</v>
      </c>
      <c r="D1376" s="12" t="s">
        <v>6623</v>
      </c>
      <c r="E1376" s="12" t="s">
        <v>6628</v>
      </c>
      <c r="F1376" s="13" t="b">
        <v>0</v>
      </c>
      <c r="G1376" s="13" t="b">
        <v>0</v>
      </c>
      <c r="H1376" s="11"/>
      <c r="I1376" s="11" t="str">
        <f t="array" ref="I1376">IF(H1376="","",VLOOKUP(H1376,_xludf.HSTACK(#REF!,#REF!),2,FALSE))</f>
        <v/>
      </c>
      <c r="J1376" s="11"/>
    </row>
    <row r="1377" spans="1:10" x14ac:dyDescent="0.25">
      <c r="A1377" s="11" t="s">
        <v>6615</v>
      </c>
      <c r="B1377" s="11" t="s">
        <v>6629</v>
      </c>
      <c r="C1377" s="11" t="s">
        <v>201</v>
      </c>
      <c r="D1377" s="12" t="s">
        <v>6630</v>
      </c>
      <c r="E1377" s="12" t="s">
        <v>6631</v>
      </c>
      <c r="F1377" s="13" t="b">
        <v>0</v>
      </c>
      <c r="G1377" s="13" t="b">
        <v>0</v>
      </c>
      <c r="H1377" s="11"/>
      <c r="I1377" s="11" t="str">
        <f t="array" ref="I1377">IF(H1377="","",VLOOKUP(H1377,_xludf.HSTACK(#REF!,#REF!),2,FALSE))</f>
        <v/>
      </c>
      <c r="J1377" s="11"/>
    </row>
    <row r="1378" spans="1:10" x14ac:dyDescent="0.25">
      <c r="A1378" s="11" t="s">
        <v>6615</v>
      </c>
      <c r="B1378" s="11" t="s">
        <v>6632</v>
      </c>
      <c r="C1378" s="11" t="s">
        <v>201</v>
      </c>
      <c r="D1378" s="12" t="s">
        <v>6633</v>
      </c>
      <c r="E1378" s="12" t="s">
        <v>6634</v>
      </c>
      <c r="F1378" s="13" t="b">
        <v>0</v>
      </c>
      <c r="G1378" s="13" t="b">
        <v>0</v>
      </c>
      <c r="H1378" s="11"/>
      <c r="I1378" s="11" t="str">
        <f t="array" ref="I1378">IF(H1378="","",VLOOKUP(H1378,_xludf.HSTACK(#REF!,#REF!),2,FALSE))</f>
        <v/>
      </c>
      <c r="J1378" s="11"/>
    </row>
    <row r="1379" spans="1:10" x14ac:dyDescent="0.25">
      <c r="A1379" s="11" t="s">
        <v>6615</v>
      </c>
      <c r="B1379" s="11" t="s">
        <v>6635</v>
      </c>
      <c r="C1379" s="11" t="s">
        <v>219</v>
      </c>
      <c r="D1379" s="12" t="s">
        <v>6623</v>
      </c>
      <c r="E1379" s="12" t="s">
        <v>6636</v>
      </c>
      <c r="F1379" s="13" t="b">
        <v>0</v>
      </c>
      <c r="G1379" s="13" t="b">
        <v>0</v>
      </c>
      <c r="H1379" s="11"/>
      <c r="I1379" s="11" t="str">
        <f t="array" ref="I1379">IF(H1379="","",VLOOKUP(H1379,_xludf.HSTACK(#REF!,#REF!),2,FALSE))</f>
        <v/>
      </c>
      <c r="J1379" s="11"/>
    </row>
    <row r="1380" spans="1:10" x14ac:dyDescent="0.25">
      <c r="A1380" s="11" t="s">
        <v>6615</v>
      </c>
      <c r="B1380" s="11" t="s">
        <v>6637</v>
      </c>
      <c r="C1380" s="11"/>
      <c r="D1380" s="11"/>
      <c r="E1380" s="11"/>
      <c r="F1380" s="13" t="b">
        <v>0</v>
      </c>
      <c r="G1380" s="13" t="b">
        <v>1</v>
      </c>
      <c r="H1380" s="11"/>
      <c r="I1380" s="11" t="str">
        <f t="array" ref="I1380">IF(H1380="","",VLOOKUP(H1380,_xludf.HSTACK(#REF!,#REF!),2,FALSE))</f>
        <v/>
      </c>
      <c r="J1380" s="11"/>
    </row>
    <row r="1381" spans="1:10" x14ac:dyDescent="0.25">
      <c r="A1381" s="11" t="s">
        <v>6615</v>
      </c>
      <c r="B1381" s="11" t="s">
        <v>6638</v>
      </c>
      <c r="C1381" s="11"/>
      <c r="D1381" s="11"/>
      <c r="E1381" s="11"/>
      <c r="F1381" s="13" t="b">
        <v>0</v>
      </c>
      <c r="G1381" s="13" t="b">
        <v>1</v>
      </c>
      <c r="H1381" s="11"/>
      <c r="I1381" s="11" t="str">
        <f t="array" ref="I1381">IF(H1381="","",VLOOKUP(H1381,_xludf.HSTACK(#REF!,#REF!),2,FALSE))</f>
        <v/>
      </c>
      <c r="J1381" s="11"/>
    </row>
    <row r="1382" spans="1:10" x14ac:dyDescent="0.25">
      <c r="A1382" s="11" t="s">
        <v>6615</v>
      </c>
      <c r="B1382" s="11" t="s">
        <v>6639</v>
      </c>
      <c r="C1382" s="11"/>
      <c r="D1382" s="11"/>
      <c r="E1382" s="11"/>
      <c r="F1382" s="13" t="b">
        <v>0</v>
      </c>
      <c r="G1382" s="13" t="b">
        <v>1</v>
      </c>
      <c r="H1382" s="11"/>
      <c r="I1382" s="11" t="str">
        <f t="array" ref="I1382">IF(H1382="","",VLOOKUP(H1382,_xludf.HSTACK(#REF!,#REF!),2,FALSE))</f>
        <v/>
      </c>
      <c r="J1382" s="11"/>
    </row>
    <row r="1383" spans="1:10" x14ac:dyDescent="0.25">
      <c r="A1383" s="11" t="s">
        <v>6615</v>
      </c>
      <c r="B1383" s="11" t="s">
        <v>6640</v>
      </c>
      <c r="C1383" s="11" t="s">
        <v>219</v>
      </c>
      <c r="D1383" s="12" t="s">
        <v>6623</v>
      </c>
      <c r="E1383" s="12" t="s">
        <v>6641</v>
      </c>
      <c r="F1383" s="13" t="b">
        <v>0</v>
      </c>
      <c r="G1383" s="13" t="b">
        <v>0</v>
      </c>
      <c r="H1383" s="11"/>
      <c r="I1383" s="11" t="str">
        <f t="array" ref="I1383">IF(H1383="","",VLOOKUP(H1383,_xludf.HSTACK(#REF!,#REF!),2,FALSE))</f>
        <v/>
      </c>
      <c r="J1383" s="11"/>
    </row>
    <row r="1384" spans="1:10" x14ac:dyDescent="0.25">
      <c r="A1384" s="11" t="s">
        <v>6615</v>
      </c>
      <c r="B1384" s="11" t="s">
        <v>6642</v>
      </c>
      <c r="C1384" s="11"/>
      <c r="D1384" s="11"/>
      <c r="E1384" s="11"/>
      <c r="F1384" s="13" t="b">
        <v>0</v>
      </c>
      <c r="G1384" s="13" t="b">
        <v>1</v>
      </c>
      <c r="H1384" s="11"/>
      <c r="I1384" s="11" t="str">
        <f t="array" ref="I1384">IF(H1384="","",VLOOKUP(H1384,_xludf.HSTACK(#REF!,#REF!),2,FALSE))</f>
        <v/>
      </c>
      <c r="J1384" s="11"/>
    </row>
    <row r="1385" spans="1:10" x14ac:dyDescent="0.25">
      <c r="A1385" s="11" t="s">
        <v>6615</v>
      </c>
      <c r="B1385" s="11" t="s">
        <v>6643</v>
      </c>
      <c r="C1385" s="11"/>
      <c r="D1385" s="11"/>
      <c r="E1385" s="11"/>
      <c r="F1385" s="13" t="b">
        <v>0</v>
      </c>
      <c r="G1385" s="13" t="b">
        <v>1</v>
      </c>
      <c r="H1385" s="11"/>
      <c r="I1385" s="11" t="str">
        <f t="array" ref="I1385">IF(H1385="","",VLOOKUP(H1385,_xludf.HSTACK(#REF!,#REF!),2,FALSE))</f>
        <v/>
      </c>
      <c r="J1385" s="11"/>
    </row>
    <row r="1386" spans="1:10" x14ac:dyDescent="0.25">
      <c r="A1386" s="11" t="s">
        <v>6615</v>
      </c>
      <c r="B1386" s="11" t="s">
        <v>6644</v>
      </c>
      <c r="C1386" s="11" t="s">
        <v>219</v>
      </c>
      <c r="D1386" s="12" t="s">
        <v>6623</v>
      </c>
      <c r="E1386" s="12" t="s">
        <v>6645</v>
      </c>
      <c r="F1386" s="13" t="b">
        <v>0</v>
      </c>
      <c r="G1386" s="13" t="b">
        <v>0</v>
      </c>
      <c r="H1386" s="11"/>
      <c r="I1386" s="11" t="str">
        <f t="array" ref="I1386">IF(H1386="","",VLOOKUP(H1386,_xludf.HSTACK(#REF!,#REF!),2,FALSE))</f>
        <v/>
      </c>
      <c r="J1386" s="11"/>
    </row>
    <row r="1387" spans="1:10" x14ac:dyDescent="0.25">
      <c r="A1387" s="11" t="s">
        <v>6615</v>
      </c>
      <c r="B1387" s="11" t="s">
        <v>6646</v>
      </c>
      <c r="C1387" s="11" t="s">
        <v>4411</v>
      </c>
      <c r="D1387" s="12" t="s">
        <v>6647</v>
      </c>
      <c r="E1387" s="12" t="s">
        <v>6648</v>
      </c>
      <c r="F1387" s="13" t="b">
        <v>0</v>
      </c>
      <c r="G1387" s="13" t="b">
        <v>0</v>
      </c>
      <c r="H1387" s="11"/>
      <c r="I1387" s="11" t="str">
        <f t="array" ref="I1387">IF(H1387="","",VLOOKUP(H1387,_xludf.HSTACK(#REF!,#REF!),2,FALSE))</f>
        <v/>
      </c>
      <c r="J1387" s="11"/>
    </row>
    <row r="1388" spans="1:10" x14ac:dyDescent="0.25">
      <c r="A1388" s="11" t="s">
        <v>6615</v>
      </c>
      <c r="B1388" s="11" t="s">
        <v>6649</v>
      </c>
      <c r="C1388" s="11" t="s">
        <v>6650</v>
      </c>
      <c r="D1388" s="12" t="s">
        <v>6651</v>
      </c>
      <c r="E1388" s="12" t="s">
        <v>6652</v>
      </c>
      <c r="F1388" s="13" t="b">
        <v>0</v>
      </c>
      <c r="G1388" s="13" t="b">
        <v>0</v>
      </c>
      <c r="H1388" s="11"/>
      <c r="I1388" s="11" t="str">
        <f t="array" ref="I1388">IF(H1388="","",VLOOKUP(H1388,_xludf.HSTACK(#REF!,#REF!),2,FALSE))</f>
        <v/>
      </c>
      <c r="J1388" s="11"/>
    </row>
    <row r="1389" spans="1:10" x14ac:dyDescent="0.25">
      <c r="A1389" s="11" t="s">
        <v>6615</v>
      </c>
      <c r="B1389" s="11" t="s">
        <v>6653</v>
      </c>
      <c r="C1389" s="11" t="s">
        <v>6654</v>
      </c>
      <c r="D1389" s="12" t="s">
        <v>6655</v>
      </c>
      <c r="E1389" s="12" t="s">
        <v>6656</v>
      </c>
      <c r="F1389" s="13" t="b">
        <v>0</v>
      </c>
      <c r="G1389" s="13" t="b">
        <v>0</v>
      </c>
      <c r="H1389" s="11"/>
      <c r="I1389" s="11" t="str">
        <f t="array" ref="I1389">IF(H1389="","",VLOOKUP(H1389,_xludf.HSTACK(#REF!,#REF!),2,FALSE))</f>
        <v/>
      </c>
      <c r="J1389" s="11"/>
    </row>
    <row r="1390" spans="1:10" x14ac:dyDescent="0.25">
      <c r="A1390" s="11" t="s">
        <v>6615</v>
      </c>
      <c r="B1390" s="11" t="s">
        <v>6657</v>
      </c>
      <c r="C1390" s="11" t="s">
        <v>6658</v>
      </c>
      <c r="D1390" s="12" t="s">
        <v>6659</v>
      </c>
      <c r="E1390" s="12" t="s">
        <v>6660</v>
      </c>
      <c r="F1390" s="13" t="b">
        <v>0</v>
      </c>
      <c r="G1390" s="13" t="b">
        <v>0</v>
      </c>
      <c r="H1390" s="11"/>
      <c r="I1390" s="11" t="str">
        <f t="array" ref="I1390">IF(H1390="","",VLOOKUP(H1390,_xludf.HSTACK(#REF!,#REF!),2,FALSE))</f>
        <v/>
      </c>
      <c r="J1390" s="11"/>
    </row>
    <row r="1391" spans="1:10" x14ac:dyDescent="0.25">
      <c r="A1391" s="11" t="s">
        <v>6615</v>
      </c>
      <c r="B1391" s="11" t="s">
        <v>6661</v>
      </c>
      <c r="C1391" s="11" t="s">
        <v>6654</v>
      </c>
      <c r="D1391" s="12" t="s">
        <v>6662</v>
      </c>
      <c r="E1391" s="12" t="s">
        <v>6663</v>
      </c>
      <c r="F1391" s="13" t="b">
        <v>0</v>
      </c>
      <c r="G1391" s="13" t="b">
        <v>0</v>
      </c>
      <c r="H1391" s="11"/>
      <c r="I1391" s="11" t="str">
        <f t="array" ref="I1391">IF(H1391="","",VLOOKUP(H1391,_xludf.HSTACK(#REF!,#REF!),2,FALSE))</f>
        <v/>
      </c>
      <c r="J1391" s="11"/>
    </row>
    <row r="1392" spans="1:10" x14ac:dyDescent="0.25">
      <c r="A1392" s="11" t="s">
        <v>6615</v>
      </c>
      <c r="B1392" s="11" t="s">
        <v>6664</v>
      </c>
      <c r="C1392" s="11" t="s">
        <v>6650</v>
      </c>
      <c r="D1392" s="12" t="s">
        <v>6665</v>
      </c>
      <c r="E1392" s="12" t="s">
        <v>6666</v>
      </c>
      <c r="F1392" s="13" t="b">
        <v>0</v>
      </c>
      <c r="G1392" s="13" t="b">
        <v>0</v>
      </c>
      <c r="H1392" s="11"/>
      <c r="I1392" s="11" t="str">
        <f t="array" ref="I1392">IF(H1392="","",VLOOKUP(H1392,_xludf.HSTACK(#REF!,#REF!),2,FALSE))</f>
        <v/>
      </c>
      <c r="J1392" s="11"/>
    </row>
    <row r="1393" spans="1:10" x14ac:dyDescent="0.25">
      <c r="A1393" s="11" t="s">
        <v>6615</v>
      </c>
      <c r="B1393" s="11" t="s">
        <v>6667</v>
      </c>
      <c r="C1393" s="11" t="s">
        <v>6658</v>
      </c>
      <c r="D1393" s="12" t="s">
        <v>6668</v>
      </c>
      <c r="E1393" s="12" t="s">
        <v>6669</v>
      </c>
      <c r="F1393" s="13" t="b">
        <v>0</v>
      </c>
      <c r="G1393" s="13" t="b">
        <v>0</v>
      </c>
      <c r="H1393" s="11"/>
      <c r="I1393" s="11" t="str">
        <f t="array" ref="I1393">IF(H1393="","",VLOOKUP(H1393,_xludf.HSTACK(#REF!,#REF!),2,FALSE))</f>
        <v/>
      </c>
      <c r="J1393" s="11"/>
    </row>
    <row r="1394" spans="1:10" x14ac:dyDescent="0.25">
      <c r="A1394" s="11" t="s">
        <v>6615</v>
      </c>
      <c r="B1394" s="11" t="s">
        <v>6670</v>
      </c>
      <c r="C1394" s="11" t="s">
        <v>6658</v>
      </c>
      <c r="D1394" s="12" t="s">
        <v>6671</v>
      </c>
      <c r="E1394" s="12" t="s">
        <v>6672</v>
      </c>
      <c r="F1394" s="13" t="b">
        <v>0</v>
      </c>
      <c r="G1394" s="13" t="b">
        <v>0</v>
      </c>
      <c r="H1394" s="11"/>
      <c r="I1394" s="11" t="str">
        <f t="array" ref="I1394">IF(H1394="","",VLOOKUP(H1394,_xludf.HSTACK(#REF!,#REF!),2,FALSE))</f>
        <v/>
      </c>
      <c r="J1394" s="11"/>
    </row>
    <row r="1395" spans="1:10" x14ac:dyDescent="0.25">
      <c r="A1395" s="11" t="s">
        <v>6615</v>
      </c>
      <c r="B1395" s="11" t="s">
        <v>6673</v>
      </c>
      <c r="C1395" s="11" t="s">
        <v>6654</v>
      </c>
      <c r="D1395" s="12" t="s">
        <v>6674</v>
      </c>
      <c r="E1395" s="12" t="s">
        <v>3581</v>
      </c>
      <c r="F1395" s="13" t="b">
        <v>0</v>
      </c>
      <c r="G1395" s="13" t="b">
        <v>0</v>
      </c>
      <c r="H1395" s="11"/>
      <c r="I1395" s="11" t="str">
        <f t="array" ref="I1395">IF(H1395="","",VLOOKUP(H1395,_xludf.HSTACK(#REF!,#REF!),2,FALSE))</f>
        <v/>
      </c>
      <c r="J1395" s="11"/>
    </row>
    <row r="1396" spans="1:10" x14ac:dyDescent="0.25">
      <c r="A1396" s="11" t="s">
        <v>6615</v>
      </c>
      <c r="B1396" s="11" t="s">
        <v>6675</v>
      </c>
      <c r="C1396" s="11" t="s">
        <v>6676</v>
      </c>
      <c r="D1396" s="12" t="s">
        <v>6677</v>
      </c>
      <c r="E1396" s="12" t="s">
        <v>5307</v>
      </c>
      <c r="F1396" s="13" t="b">
        <v>0</v>
      </c>
      <c r="G1396" s="13" t="b">
        <v>0</v>
      </c>
      <c r="H1396" s="11"/>
      <c r="I1396" s="11" t="str">
        <f t="array" ref="I1396">IF(H1396="","",VLOOKUP(H1396,_xludf.HSTACK(#REF!,#REF!),2,FALSE))</f>
        <v/>
      </c>
      <c r="J1396" s="11"/>
    </row>
    <row r="1397" spans="1:10" x14ac:dyDescent="0.25">
      <c r="A1397" s="11" t="s">
        <v>6615</v>
      </c>
      <c r="B1397" s="11" t="s">
        <v>6678</v>
      </c>
      <c r="C1397" s="11" t="s">
        <v>6654</v>
      </c>
      <c r="D1397" s="12" t="s">
        <v>6679</v>
      </c>
      <c r="E1397" s="12" t="s">
        <v>5331</v>
      </c>
      <c r="F1397" s="13" t="b">
        <v>0</v>
      </c>
      <c r="G1397" s="13" t="b">
        <v>0</v>
      </c>
      <c r="H1397" s="11"/>
      <c r="I1397" s="11" t="str">
        <f t="array" ref="I1397">IF(H1397="","",VLOOKUP(H1397,_xludf.HSTACK(#REF!,#REF!),2,FALSE))</f>
        <v/>
      </c>
      <c r="J1397" s="11"/>
    </row>
    <row r="1398" spans="1:10" x14ac:dyDescent="0.25">
      <c r="A1398" s="11" t="s">
        <v>6615</v>
      </c>
      <c r="B1398" s="11" t="s">
        <v>6680</v>
      </c>
      <c r="C1398" s="11" t="s">
        <v>1576</v>
      </c>
      <c r="D1398" s="11"/>
      <c r="E1398" s="12" t="s">
        <v>6681</v>
      </c>
      <c r="F1398" s="13" t="b">
        <v>0</v>
      </c>
      <c r="G1398" s="13" t="b">
        <v>0</v>
      </c>
      <c r="H1398" s="11"/>
      <c r="I1398" s="11" t="str">
        <f t="array" ref="I1398">IF(H1398="","",VLOOKUP(H1398,_xludf.HSTACK(#REF!,#REF!),2,FALSE))</f>
        <v/>
      </c>
      <c r="J1398" s="11"/>
    </row>
    <row r="1399" spans="1:10" x14ac:dyDescent="0.25">
      <c r="A1399" s="11" t="s">
        <v>6615</v>
      </c>
      <c r="B1399" s="11" t="s">
        <v>6682</v>
      </c>
      <c r="C1399" s="11"/>
      <c r="D1399" s="11"/>
      <c r="E1399" s="11"/>
      <c r="F1399" s="13" t="b">
        <v>0</v>
      </c>
      <c r="G1399" s="13" t="b">
        <v>1</v>
      </c>
      <c r="H1399" s="11"/>
      <c r="I1399" s="11" t="str">
        <f t="array" ref="I1399">IF(H1399="","",VLOOKUP(H1399,_xludf.HSTACK(#REF!,#REF!),2,FALSE))</f>
        <v/>
      </c>
      <c r="J1399" s="11"/>
    </row>
    <row r="1400" spans="1:10" x14ac:dyDescent="0.25">
      <c r="A1400" s="11" t="s">
        <v>6615</v>
      </c>
      <c r="B1400" s="11" t="s">
        <v>6683</v>
      </c>
      <c r="C1400" s="11"/>
      <c r="D1400" s="11"/>
      <c r="E1400" s="11"/>
      <c r="F1400" s="13" t="b">
        <v>0</v>
      </c>
      <c r="G1400" s="13" t="b">
        <v>1</v>
      </c>
      <c r="H1400" s="11"/>
      <c r="I1400" s="11" t="str">
        <f t="array" ref="I1400">IF(H1400="","",VLOOKUP(H1400,_xludf.HSTACK(#REF!,#REF!),2,FALSE))</f>
        <v/>
      </c>
      <c r="J1400" s="11"/>
    </row>
    <row r="1401" spans="1:10" x14ac:dyDescent="0.25">
      <c r="A1401" s="11" t="s">
        <v>6615</v>
      </c>
      <c r="B1401" s="11" t="s">
        <v>6684</v>
      </c>
      <c r="C1401" s="11" t="s">
        <v>4267</v>
      </c>
      <c r="D1401" s="12" t="s">
        <v>6685</v>
      </c>
      <c r="E1401" s="12" t="s">
        <v>6686</v>
      </c>
      <c r="F1401" s="13" t="b">
        <v>0</v>
      </c>
      <c r="G1401" s="13" t="b">
        <v>0</v>
      </c>
      <c r="H1401" s="11"/>
      <c r="I1401" s="11" t="str">
        <f t="array" ref="I1401">IF(H1401="","",VLOOKUP(H1401,_xludf.HSTACK(#REF!,#REF!),2,FALSE))</f>
        <v/>
      </c>
      <c r="J1401" s="11"/>
    </row>
    <row r="1402" spans="1:10" x14ac:dyDescent="0.25">
      <c r="A1402" s="11" t="s">
        <v>6615</v>
      </c>
      <c r="B1402" s="11" t="s">
        <v>6687</v>
      </c>
      <c r="C1402" s="11"/>
      <c r="D1402" s="11"/>
      <c r="E1402" s="11"/>
      <c r="F1402" s="13" t="b">
        <v>0</v>
      </c>
      <c r="G1402" s="13" t="b">
        <v>1</v>
      </c>
      <c r="H1402" s="11"/>
      <c r="I1402" s="11" t="str">
        <f t="array" ref="I1402">IF(H1402="","",VLOOKUP(H1402,_xludf.HSTACK(#REF!,#REF!),2,FALSE))</f>
        <v/>
      </c>
      <c r="J1402" s="11"/>
    </row>
    <row r="1403" spans="1:10" x14ac:dyDescent="0.25">
      <c r="A1403" s="11" t="s">
        <v>6615</v>
      </c>
      <c r="B1403" s="11" t="s">
        <v>6688</v>
      </c>
      <c r="C1403" s="11"/>
      <c r="D1403" s="11"/>
      <c r="E1403" s="11"/>
      <c r="F1403" s="13" t="b">
        <v>0</v>
      </c>
      <c r="G1403" s="13" t="b">
        <v>1</v>
      </c>
      <c r="H1403" s="11"/>
      <c r="I1403" s="11" t="str">
        <f t="array" ref="I1403">IF(H1403="","",VLOOKUP(H1403,_xludf.HSTACK(#REF!,#REF!),2,FALSE))</f>
        <v/>
      </c>
      <c r="J1403" s="11"/>
    </row>
    <row r="1404" spans="1:10" x14ac:dyDescent="0.25">
      <c r="A1404" s="11" t="s">
        <v>6615</v>
      </c>
      <c r="B1404" s="11" t="s">
        <v>6689</v>
      </c>
      <c r="C1404" s="11" t="s">
        <v>219</v>
      </c>
      <c r="D1404" s="12" t="s">
        <v>6623</v>
      </c>
      <c r="E1404" s="12" t="s">
        <v>6690</v>
      </c>
      <c r="F1404" s="13" t="b">
        <v>0</v>
      </c>
      <c r="G1404" s="13" t="b">
        <v>0</v>
      </c>
      <c r="H1404" s="11"/>
      <c r="I1404" s="11" t="str">
        <f t="array" ref="I1404">IF(H1404="","",VLOOKUP(H1404,_xludf.HSTACK(#REF!,#REF!),2,FALSE))</f>
        <v/>
      </c>
      <c r="J1404" s="11"/>
    </row>
    <row r="1405" spans="1:10" x14ac:dyDescent="0.25">
      <c r="A1405" s="11" t="s">
        <v>6615</v>
      </c>
      <c r="B1405" s="11" t="s">
        <v>6691</v>
      </c>
      <c r="C1405" s="11"/>
      <c r="D1405" s="11"/>
      <c r="E1405" s="11"/>
      <c r="F1405" s="13" t="b">
        <v>0</v>
      </c>
      <c r="G1405" s="13" t="b">
        <v>1</v>
      </c>
      <c r="H1405" s="11"/>
      <c r="I1405" s="11" t="str">
        <f t="array" ref="I1405">IF(H1405="","",VLOOKUP(H1405,_xludf.HSTACK(#REF!,#REF!),2,FALSE))</f>
        <v/>
      </c>
      <c r="J1405" s="11"/>
    </row>
    <row r="1406" spans="1:10" x14ac:dyDescent="0.25">
      <c r="A1406" s="11" t="s">
        <v>6615</v>
      </c>
      <c r="B1406" s="11" t="s">
        <v>6692</v>
      </c>
      <c r="C1406" s="11"/>
      <c r="D1406" s="11"/>
      <c r="E1406" s="11"/>
      <c r="F1406" s="13" t="b">
        <v>0</v>
      </c>
      <c r="G1406" s="13" t="b">
        <v>1</v>
      </c>
      <c r="H1406" s="11"/>
      <c r="I1406" s="11" t="str">
        <f t="array" ref="I1406">IF(H1406="","",VLOOKUP(H1406,_xludf.HSTACK(#REF!,#REF!),2,FALSE))</f>
        <v/>
      </c>
      <c r="J1406" s="11"/>
    </row>
    <row r="1407" spans="1:10" x14ac:dyDescent="0.25">
      <c r="A1407" s="11" t="s">
        <v>6615</v>
      </c>
      <c r="B1407" s="11" t="s">
        <v>6693</v>
      </c>
      <c r="C1407" s="11" t="s">
        <v>219</v>
      </c>
      <c r="D1407" s="12" t="s">
        <v>6623</v>
      </c>
      <c r="E1407" s="12" t="s">
        <v>6694</v>
      </c>
      <c r="F1407" s="13" t="b">
        <v>0</v>
      </c>
      <c r="G1407" s="13" t="b">
        <v>0</v>
      </c>
      <c r="H1407" s="11"/>
      <c r="I1407" s="11" t="str">
        <f t="array" ref="I1407">IF(H1407="","",VLOOKUP(H1407,_xludf.HSTACK(#REF!,#REF!),2,FALSE))</f>
        <v/>
      </c>
      <c r="J1407" s="11"/>
    </row>
    <row r="1408" spans="1:10" x14ac:dyDescent="0.25">
      <c r="A1408" s="11" t="s">
        <v>6615</v>
      </c>
      <c r="B1408" s="11" t="s">
        <v>6695</v>
      </c>
      <c r="C1408" s="11"/>
      <c r="D1408" s="11"/>
      <c r="E1408" s="11"/>
      <c r="F1408" s="13" t="b">
        <v>0</v>
      </c>
      <c r="G1408" s="13" t="b">
        <v>1</v>
      </c>
      <c r="H1408" s="11"/>
      <c r="I1408" s="11" t="str">
        <f t="array" ref="I1408">IF(H1408="","",VLOOKUP(H1408,_xludf.HSTACK(#REF!,#REF!),2,FALSE))</f>
        <v/>
      </c>
      <c r="J1408" s="11"/>
    </row>
    <row r="1409" spans="1:10" x14ac:dyDescent="0.25">
      <c r="A1409" s="11" t="s">
        <v>6615</v>
      </c>
      <c r="B1409" s="11" t="s">
        <v>6696</v>
      </c>
      <c r="C1409" s="11"/>
      <c r="D1409" s="11"/>
      <c r="E1409" s="11"/>
      <c r="F1409" s="13" t="b">
        <v>0</v>
      </c>
      <c r="G1409" s="13" t="b">
        <v>1</v>
      </c>
      <c r="H1409" s="11"/>
      <c r="I1409" s="11" t="str">
        <f t="array" ref="I1409">IF(H1409="","",VLOOKUP(H1409,_xludf.HSTACK(#REF!,#REF!),2,FALSE))</f>
        <v/>
      </c>
      <c r="J1409" s="11"/>
    </row>
    <row r="1410" spans="1:10" x14ac:dyDescent="0.25">
      <c r="A1410" s="11" t="s">
        <v>6615</v>
      </c>
      <c r="B1410" s="11" t="s">
        <v>6697</v>
      </c>
      <c r="C1410" s="11" t="s">
        <v>219</v>
      </c>
      <c r="D1410" s="12" t="s">
        <v>6623</v>
      </c>
      <c r="E1410" s="12" t="s">
        <v>6698</v>
      </c>
      <c r="F1410" s="13" t="b">
        <v>0</v>
      </c>
      <c r="G1410" s="13" t="b">
        <v>0</v>
      </c>
      <c r="H1410" s="11"/>
      <c r="I1410" s="11" t="str">
        <f t="array" ref="I1410">IF(H1410="","",VLOOKUP(H1410,_xludf.HSTACK(#REF!,#REF!),2,FALSE))</f>
        <v/>
      </c>
      <c r="J1410" s="11"/>
    </row>
    <row r="1411" spans="1:10" x14ac:dyDescent="0.25">
      <c r="A1411" s="11" t="s">
        <v>6615</v>
      </c>
      <c r="B1411" s="11" t="s">
        <v>6699</v>
      </c>
      <c r="C1411" s="11" t="s">
        <v>219</v>
      </c>
      <c r="D1411" s="12" t="s">
        <v>6623</v>
      </c>
      <c r="E1411" s="12" t="s">
        <v>6700</v>
      </c>
      <c r="F1411" s="13" t="b">
        <v>0</v>
      </c>
      <c r="G1411" s="13" t="b">
        <v>0</v>
      </c>
      <c r="H1411" s="11"/>
      <c r="I1411" s="11" t="str">
        <f t="array" ref="I1411">IF(H1411="","",VLOOKUP(H1411,_xludf.HSTACK(#REF!,#REF!),2,FALSE))</f>
        <v/>
      </c>
      <c r="J1411" s="11"/>
    </row>
    <row r="1412" spans="1:10" x14ac:dyDescent="0.25">
      <c r="A1412" s="11" t="s">
        <v>6615</v>
      </c>
      <c r="B1412" s="11" t="s">
        <v>6701</v>
      </c>
      <c r="C1412" s="11"/>
      <c r="D1412" s="11"/>
      <c r="E1412" s="11"/>
      <c r="F1412" s="13" t="b">
        <v>0</v>
      </c>
      <c r="G1412" s="13" t="b">
        <v>1</v>
      </c>
      <c r="H1412" s="11"/>
      <c r="I1412" s="11" t="str">
        <f t="array" ref="I1412">IF(H1412="","",VLOOKUP(H1412,_xludf.HSTACK(#REF!,#REF!),2,FALSE))</f>
        <v/>
      </c>
      <c r="J1412" s="11"/>
    </row>
    <row r="1413" spans="1:10" x14ac:dyDescent="0.25">
      <c r="A1413" s="11" t="s">
        <v>6615</v>
      </c>
      <c r="B1413" s="11" t="s">
        <v>6702</v>
      </c>
      <c r="C1413" s="11"/>
      <c r="D1413" s="11"/>
      <c r="E1413" s="11"/>
      <c r="F1413" s="13" t="b">
        <v>0</v>
      </c>
      <c r="G1413" s="13" t="b">
        <v>1</v>
      </c>
      <c r="H1413" s="11"/>
      <c r="I1413" s="11" t="str">
        <f t="array" ref="I1413">IF(H1413="","",VLOOKUP(H1413,_xludf.HSTACK(#REF!,#REF!),2,FALSE))</f>
        <v/>
      </c>
      <c r="J1413" s="11"/>
    </row>
    <row r="1414" spans="1:10" x14ac:dyDescent="0.25">
      <c r="A1414" s="11" t="s">
        <v>6615</v>
      </c>
      <c r="B1414" s="11" t="s">
        <v>6703</v>
      </c>
      <c r="C1414" s="11" t="s">
        <v>219</v>
      </c>
      <c r="D1414" s="12" t="s">
        <v>6623</v>
      </c>
      <c r="E1414" s="12" t="s">
        <v>6704</v>
      </c>
      <c r="F1414" s="13" t="b">
        <v>0</v>
      </c>
      <c r="G1414" s="13" t="b">
        <v>0</v>
      </c>
      <c r="H1414" s="11"/>
      <c r="I1414" s="11" t="str">
        <f t="array" ref="I1414">IF(H1414="","",VLOOKUP(H1414,_xludf.HSTACK(#REF!,#REF!),2,FALSE))</f>
        <v/>
      </c>
      <c r="J1414" s="11"/>
    </row>
    <row r="1415" spans="1:10" x14ac:dyDescent="0.25">
      <c r="A1415" s="9" t="s">
        <v>6705</v>
      </c>
      <c r="B1415" s="9" t="s">
        <v>6706</v>
      </c>
      <c r="C1415" s="9" t="s">
        <v>40</v>
      </c>
      <c r="D1415" s="9"/>
      <c r="E1415" s="7" t="s">
        <v>6707</v>
      </c>
      <c r="F1415" s="10" t="b">
        <v>0</v>
      </c>
      <c r="G1415" s="10" t="b">
        <v>0</v>
      </c>
      <c r="H1415" s="9"/>
      <c r="I1415" s="9" t="str">
        <f t="array" ref="I1415">IF(H1415="","",VLOOKUP(H1415,_xludf.HSTACK(#REF!,#REF!),2,FALSE))</f>
        <v/>
      </c>
      <c r="J1415" s="9"/>
    </row>
    <row r="1416" spans="1:10" x14ac:dyDescent="0.25">
      <c r="A1416" s="9" t="s">
        <v>6705</v>
      </c>
      <c r="B1416" s="9" t="s">
        <v>6708</v>
      </c>
      <c r="C1416" s="9" t="s">
        <v>40</v>
      </c>
      <c r="D1416" s="9"/>
      <c r="E1416" s="7" t="s">
        <v>6709</v>
      </c>
      <c r="F1416" s="10" t="b">
        <v>0</v>
      </c>
      <c r="G1416" s="10" t="b">
        <v>0</v>
      </c>
      <c r="H1416" s="9"/>
      <c r="I1416" s="9" t="str">
        <f t="array" ref="I1416">IF(H1416="","",VLOOKUP(H1416,_xludf.HSTACK(#REF!,#REF!),2,FALSE))</f>
        <v/>
      </c>
      <c r="J1416" s="9"/>
    </row>
    <row r="1417" spans="1:10" x14ac:dyDescent="0.25">
      <c r="A1417" s="9" t="s">
        <v>6705</v>
      </c>
      <c r="B1417" s="9" t="s">
        <v>6710</v>
      </c>
      <c r="C1417" s="9" t="s">
        <v>40</v>
      </c>
      <c r="D1417" s="9"/>
      <c r="E1417" s="7" t="s">
        <v>6707</v>
      </c>
      <c r="F1417" s="10" t="b">
        <v>0</v>
      </c>
      <c r="G1417" s="10" t="b">
        <v>0</v>
      </c>
      <c r="H1417" s="9"/>
      <c r="I1417" s="9" t="str">
        <f t="array" ref="I1417">IF(H1417="","",VLOOKUP(H1417,_xludf.HSTACK(#REF!,#REF!),2,FALSE))</f>
        <v/>
      </c>
      <c r="J1417" s="9"/>
    </row>
    <row r="1418" spans="1:10" x14ac:dyDescent="0.25">
      <c r="A1418" s="9" t="s">
        <v>6705</v>
      </c>
      <c r="B1418" s="9" t="s">
        <v>6711</v>
      </c>
      <c r="C1418" s="9" t="s">
        <v>39</v>
      </c>
      <c r="D1418" s="7" t="s">
        <v>6712</v>
      </c>
      <c r="E1418" s="7" t="s">
        <v>6713</v>
      </c>
      <c r="F1418" s="10" t="b">
        <v>0</v>
      </c>
      <c r="G1418" s="10" t="b">
        <v>0</v>
      </c>
      <c r="H1418" s="9"/>
      <c r="I1418" s="9" t="str">
        <f t="array" ref="I1418">IF(H1418="","",VLOOKUP(H1418,_xludf.HSTACK(#REF!,#REF!),2,FALSE))</f>
        <v/>
      </c>
      <c r="J1418" s="9"/>
    </row>
    <row r="1419" spans="1:10" x14ac:dyDescent="0.25">
      <c r="A1419" s="9" t="s">
        <v>6705</v>
      </c>
      <c r="B1419" s="9" t="s">
        <v>6714</v>
      </c>
      <c r="C1419" s="9" t="s">
        <v>57</v>
      </c>
      <c r="D1419" s="7" t="s">
        <v>6715</v>
      </c>
      <c r="E1419" s="7" t="s">
        <v>6716</v>
      </c>
      <c r="F1419" s="10" t="b">
        <v>0</v>
      </c>
      <c r="G1419" s="10" t="b">
        <v>0</v>
      </c>
      <c r="H1419" s="9"/>
      <c r="I1419" s="9" t="str">
        <f t="array" ref="I1419">IF(H1419="","",VLOOKUP(H1419,_xludf.HSTACK(#REF!,#REF!),2,FALSE))</f>
        <v/>
      </c>
      <c r="J1419" s="9"/>
    </row>
    <row r="1420" spans="1:10" x14ac:dyDescent="0.25">
      <c r="A1420" s="9" t="s">
        <v>6705</v>
      </c>
      <c r="B1420" s="9" t="s">
        <v>6717</v>
      </c>
      <c r="C1420" s="9" t="s">
        <v>57</v>
      </c>
      <c r="D1420" s="7" t="s">
        <v>6718</v>
      </c>
      <c r="E1420" s="7" t="s">
        <v>6719</v>
      </c>
      <c r="F1420" s="10" t="b">
        <v>0</v>
      </c>
      <c r="G1420" s="10" t="b">
        <v>0</v>
      </c>
      <c r="H1420" s="9"/>
      <c r="I1420" s="9" t="str">
        <f t="array" ref="I1420">IF(H1420="","",VLOOKUP(H1420,_xludf.HSTACK(#REF!,#REF!),2,FALSE))</f>
        <v/>
      </c>
      <c r="J1420" s="9"/>
    </row>
    <row r="1421" spans="1:10" x14ac:dyDescent="0.25">
      <c r="A1421" s="9" t="s">
        <v>6705</v>
      </c>
      <c r="B1421" s="9" t="s">
        <v>6720</v>
      </c>
      <c r="C1421" s="9" t="s">
        <v>39</v>
      </c>
      <c r="D1421" s="7" t="s">
        <v>6721</v>
      </c>
      <c r="E1421" s="7" t="s">
        <v>6722</v>
      </c>
      <c r="F1421" s="10" t="b">
        <v>0</v>
      </c>
      <c r="G1421" s="10" t="b">
        <v>0</v>
      </c>
      <c r="H1421" s="9"/>
      <c r="I1421" s="9" t="str">
        <f t="array" ref="I1421">IF(H1421="","",VLOOKUP(H1421,_xludf.HSTACK(#REF!,#REF!),2,FALSE))</f>
        <v/>
      </c>
      <c r="J1421" s="9"/>
    </row>
    <row r="1422" spans="1:10" x14ac:dyDescent="0.25">
      <c r="A1422" s="9" t="s">
        <v>6705</v>
      </c>
      <c r="B1422" s="9" t="s">
        <v>6723</v>
      </c>
      <c r="C1422" s="9" t="s">
        <v>57</v>
      </c>
      <c r="D1422" s="7" t="s">
        <v>6724</v>
      </c>
      <c r="E1422" s="7" t="s">
        <v>6725</v>
      </c>
      <c r="F1422" s="10" t="b">
        <v>0</v>
      </c>
      <c r="G1422" s="10" t="b">
        <v>0</v>
      </c>
      <c r="H1422" s="9"/>
      <c r="I1422" s="9" t="str">
        <f t="array" ref="I1422">IF(H1422="","",VLOOKUP(H1422,_xludf.HSTACK(#REF!,#REF!),2,FALSE))</f>
        <v/>
      </c>
      <c r="J1422" s="9"/>
    </row>
    <row r="1423" spans="1:10" x14ac:dyDescent="0.25">
      <c r="A1423" s="9" t="s">
        <v>6705</v>
      </c>
      <c r="B1423" s="9" t="s">
        <v>6726</v>
      </c>
      <c r="C1423" s="9" t="s">
        <v>57</v>
      </c>
      <c r="D1423" s="7" t="s">
        <v>6727</v>
      </c>
      <c r="E1423" s="7" t="s">
        <v>6728</v>
      </c>
      <c r="F1423" s="10" t="b">
        <v>0</v>
      </c>
      <c r="G1423" s="10" t="b">
        <v>0</v>
      </c>
      <c r="H1423" s="9"/>
      <c r="I1423" s="9" t="str">
        <f t="array" ref="I1423">IF(H1423="","",VLOOKUP(H1423,_xludf.HSTACK(#REF!,#REF!),2,FALSE))</f>
        <v/>
      </c>
      <c r="J1423" s="9"/>
    </row>
    <row r="1424" spans="1:10" x14ac:dyDescent="0.25">
      <c r="A1424" s="9" t="s">
        <v>6705</v>
      </c>
      <c r="B1424" s="9" t="s">
        <v>6729</v>
      </c>
      <c r="C1424" s="9" t="s">
        <v>40</v>
      </c>
      <c r="D1424" s="9"/>
      <c r="E1424" s="7" t="s">
        <v>6709</v>
      </c>
      <c r="F1424" s="10" t="b">
        <v>0</v>
      </c>
      <c r="G1424" s="10" t="b">
        <v>0</v>
      </c>
      <c r="H1424" s="9"/>
      <c r="I1424" s="9" t="str">
        <f t="array" ref="I1424">IF(H1424="","",VLOOKUP(H1424,_xludf.HSTACK(#REF!,#REF!),2,FALSE))</f>
        <v/>
      </c>
      <c r="J1424" s="9"/>
    </row>
    <row r="1425" spans="1:10" x14ac:dyDescent="0.25">
      <c r="A1425" s="9" t="s">
        <v>6705</v>
      </c>
      <c r="B1425" s="9" t="s">
        <v>6730</v>
      </c>
      <c r="C1425" s="9" t="s">
        <v>40</v>
      </c>
      <c r="D1425" s="9"/>
      <c r="E1425" s="7" t="s">
        <v>6709</v>
      </c>
      <c r="F1425" s="10" t="b">
        <v>0</v>
      </c>
      <c r="G1425" s="10" t="b">
        <v>0</v>
      </c>
      <c r="H1425" s="9"/>
      <c r="I1425" s="9" t="str">
        <f t="array" ref="I1425">IF(H1425="","",VLOOKUP(H1425,_xludf.HSTACK(#REF!,#REF!),2,FALSE))</f>
        <v/>
      </c>
      <c r="J1425" s="9"/>
    </row>
    <row r="1426" spans="1:10" x14ac:dyDescent="0.25">
      <c r="A1426" s="9" t="s">
        <v>6705</v>
      </c>
      <c r="B1426" s="9" t="s">
        <v>6731</v>
      </c>
      <c r="C1426" s="9" t="s">
        <v>40</v>
      </c>
      <c r="D1426" s="9"/>
      <c r="E1426" s="7" t="s">
        <v>6709</v>
      </c>
      <c r="F1426" s="10" t="b">
        <v>0</v>
      </c>
      <c r="G1426" s="10" t="b">
        <v>0</v>
      </c>
      <c r="H1426" s="9"/>
      <c r="I1426" s="9" t="str">
        <f t="array" ref="I1426">IF(H1426="","",VLOOKUP(H1426,_xludf.HSTACK(#REF!,#REF!),2,FALSE))</f>
        <v/>
      </c>
      <c r="J1426" s="9"/>
    </row>
    <row r="1427" spans="1:10" x14ac:dyDescent="0.25">
      <c r="A1427" s="9" t="s">
        <v>6705</v>
      </c>
      <c r="B1427" s="9" t="s">
        <v>6732</v>
      </c>
      <c r="C1427" s="9" t="s">
        <v>192</v>
      </c>
      <c r="D1427" s="7" t="s">
        <v>6733</v>
      </c>
      <c r="E1427" s="7" t="s">
        <v>6734</v>
      </c>
      <c r="F1427" s="10" t="b">
        <v>0</v>
      </c>
      <c r="G1427" s="10" t="b">
        <v>0</v>
      </c>
      <c r="H1427" s="9"/>
      <c r="I1427" s="9" t="str">
        <f t="array" ref="I1427">IF(H1427="","",VLOOKUP(H1427,_xludf.HSTACK(#REF!,#REF!),2,FALSE))</f>
        <v/>
      </c>
      <c r="J1427" s="9"/>
    </row>
    <row r="1428" spans="1:10" x14ac:dyDescent="0.25">
      <c r="A1428" s="9" t="s">
        <v>6705</v>
      </c>
      <c r="B1428" s="9" t="s">
        <v>6735</v>
      </c>
      <c r="C1428" s="9" t="s">
        <v>192</v>
      </c>
      <c r="D1428" s="7" t="s">
        <v>6736</v>
      </c>
      <c r="E1428" s="7" t="s">
        <v>6737</v>
      </c>
      <c r="F1428" s="10" t="b">
        <v>0</v>
      </c>
      <c r="G1428" s="10" t="b">
        <v>0</v>
      </c>
      <c r="H1428" s="9"/>
      <c r="I1428" s="9" t="str">
        <f t="array" ref="I1428">IF(H1428="","",VLOOKUP(H1428,_xludf.HSTACK(#REF!,#REF!),2,FALSE))</f>
        <v/>
      </c>
      <c r="J1428" s="9"/>
    </row>
    <row r="1429" spans="1:10" x14ac:dyDescent="0.25">
      <c r="A1429" s="9" t="s">
        <v>6705</v>
      </c>
      <c r="B1429" s="9" t="s">
        <v>6738</v>
      </c>
      <c r="C1429" s="9" t="s">
        <v>192</v>
      </c>
      <c r="D1429" s="7" t="s">
        <v>6739</v>
      </c>
      <c r="E1429" s="7" t="s">
        <v>6740</v>
      </c>
      <c r="F1429" s="10" t="b">
        <v>0</v>
      </c>
      <c r="G1429" s="10" t="b">
        <v>0</v>
      </c>
      <c r="H1429" s="9"/>
      <c r="I1429" s="9" t="str">
        <f t="array" ref="I1429">IF(H1429="","",VLOOKUP(H1429,_xludf.HSTACK(#REF!,#REF!),2,FALSE))</f>
        <v/>
      </c>
      <c r="J1429" s="9"/>
    </row>
    <row r="1430" spans="1:10" x14ac:dyDescent="0.25">
      <c r="A1430" s="9" t="s">
        <v>6705</v>
      </c>
      <c r="B1430" s="9" t="s">
        <v>6741</v>
      </c>
      <c r="C1430" s="9" t="s">
        <v>40</v>
      </c>
      <c r="D1430" s="9"/>
      <c r="E1430" s="7" t="s">
        <v>6742</v>
      </c>
      <c r="F1430" s="10" t="b">
        <v>0</v>
      </c>
      <c r="G1430" s="10" t="b">
        <v>0</v>
      </c>
      <c r="H1430" s="9"/>
      <c r="I1430" s="9" t="str">
        <f t="array" ref="I1430">IF(H1430="","",VLOOKUP(H1430,_xludf.HSTACK(#REF!,#REF!),2,FALSE))</f>
        <v/>
      </c>
      <c r="J1430" s="9"/>
    </row>
    <row r="1431" spans="1:10" x14ac:dyDescent="0.25">
      <c r="A1431" s="9" t="s">
        <v>6705</v>
      </c>
      <c r="B1431" s="9" t="s">
        <v>6743</v>
      </c>
      <c r="C1431" s="9" t="s">
        <v>3</v>
      </c>
      <c r="D1431" s="7" t="s">
        <v>6744</v>
      </c>
      <c r="E1431" s="7" t="s">
        <v>6745</v>
      </c>
      <c r="F1431" s="10" t="b">
        <v>0</v>
      </c>
      <c r="G1431" s="10" t="b">
        <v>0</v>
      </c>
      <c r="H1431" s="9"/>
      <c r="I1431" s="9" t="str">
        <f t="array" ref="I1431">IF(H1431="","",VLOOKUP(H1431,_xludf.HSTACK(#REF!,#REF!),2,FALSE))</f>
        <v/>
      </c>
      <c r="J1431" s="9"/>
    </row>
    <row r="1432" spans="1:10" x14ac:dyDescent="0.25">
      <c r="A1432" s="9" t="s">
        <v>6705</v>
      </c>
      <c r="B1432" s="9" t="s">
        <v>6746</v>
      </c>
      <c r="C1432" s="9" t="s">
        <v>3</v>
      </c>
      <c r="D1432" s="7" t="s">
        <v>6747</v>
      </c>
      <c r="E1432" s="7" t="s">
        <v>6748</v>
      </c>
      <c r="F1432" s="10" t="b">
        <v>0</v>
      </c>
      <c r="G1432" s="10" t="b">
        <v>0</v>
      </c>
      <c r="H1432" s="9"/>
      <c r="I1432" s="9" t="str">
        <f t="array" ref="I1432">IF(H1432="","",VLOOKUP(H1432,_xludf.HSTACK(#REF!,#REF!),2,FALSE))</f>
        <v/>
      </c>
      <c r="J1432" s="9"/>
    </row>
    <row r="1433" spans="1:10" x14ac:dyDescent="0.25">
      <c r="A1433" s="9" t="s">
        <v>6705</v>
      </c>
      <c r="B1433" s="9" t="s">
        <v>6749</v>
      </c>
      <c r="C1433" s="9" t="s">
        <v>3</v>
      </c>
      <c r="D1433" s="7" t="s">
        <v>6750</v>
      </c>
      <c r="E1433" s="7" t="s">
        <v>6751</v>
      </c>
      <c r="F1433" s="10" t="b">
        <v>0</v>
      </c>
      <c r="G1433" s="10" t="b">
        <v>0</v>
      </c>
      <c r="H1433" s="9"/>
      <c r="I1433" s="9" t="str">
        <f t="array" ref="I1433">IF(H1433="","",VLOOKUP(H1433,_xludf.HSTACK(#REF!,#REF!),2,FALSE))</f>
        <v/>
      </c>
      <c r="J1433" s="9"/>
    </row>
    <row r="1434" spans="1:10" x14ac:dyDescent="0.25">
      <c r="A1434" s="9" t="s">
        <v>6705</v>
      </c>
      <c r="B1434" s="9" t="s">
        <v>6752</v>
      </c>
      <c r="C1434" s="9" t="s">
        <v>4</v>
      </c>
      <c r="D1434" s="7" t="s">
        <v>6753</v>
      </c>
      <c r="E1434" s="7" t="s">
        <v>6754</v>
      </c>
      <c r="F1434" s="10" t="b">
        <v>0</v>
      </c>
      <c r="G1434" s="10" t="b">
        <v>0</v>
      </c>
      <c r="H1434" s="9"/>
      <c r="I1434" s="9" t="str">
        <f t="array" ref="I1434">IF(H1434="","",VLOOKUP(H1434,_xludf.HSTACK(#REF!,#REF!),2,FALSE))</f>
        <v/>
      </c>
      <c r="J1434" s="9"/>
    </row>
    <row r="1435" spans="1:10" x14ac:dyDescent="0.25">
      <c r="A1435" s="9" t="s">
        <v>6705</v>
      </c>
      <c r="B1435" s="9" t="s">
        <v>6755</v>
      </c>
      <c r="C1435" s="9" t="s">
        <v>3</v>
      </c>
      <c r="D1435" s="7" t="s">
        <v>6756</v>
      </c>
      <c r="E1435" s="7" t="s">
        <v>6757</v>
      </c>
      <c r="F1435" s="10" t="b">
        <v>0</v>
      </c>
      <c r="G1435" s="10" t="b">
        <v>0</v>
      </c>
      <c r="H1435" s="9"/>
      <c r="I1435" s="9" t="str">
        <f t="array" ref="I1435">IF(H1435="","",VLOOKUP(H1435,_xludf.HSTACK(#REF!,#REF!),2,FALSE))</f>
        <v/>
      </c>
      <c r="J1435" s="9"/>
    </row>
    <row r="1436" spans="1:10" x14ac:dyDescent="0.25">
      <c r="A1436" s="9" t="s">
        <v>6705</v>
      </c>
      <c r="B1436" s="9" t="s">
        <v>6758</v>
      </c>
      <c r="C1436" s="9" t="s">
        <v>4</v>
      </c>
      <c r="D1436" s="7" t="s">
        <v>6759</v>
      </c>
      <c r="E1436" s="7" t="s">
        <v>6760</v>
      </c>
      <c r="F1436" s="10" t="b">
        <v>0</v>
      </c>
      <c r="G1436" s="10" t="b">
        <v>0</v>
      </c>
      <c r="H1436" s="9"/>
      <c r="I1436" s="9" t="str">
        <f t="array" ref="I1436">IF(H1436="","",VLOOKUP(H1436,_xludf.HSTACK(#REF!,#REF!),2,FALSE))</f>
        <v/>
      </c>
      <c r="J1436" s="9"/>
    </row>
    <row r="1437" spans="1:10" x14ac:dyDescent="0.25">
      <c r="A1437" s="9" t="s">
        <v>6705</v>
      </c>
      <c r="B1437" s="9" t="s">
        <v>6761</v>
      </c>
      <c r="C1437" s="9" t="s">
        <v>4</v>
      </c>
      <c r="D1437" s="7" t="s">
        <v>6762</v>
      </c>
      <c r="E1437" s="7" t="s">
        <v>6763</v>
      </c>
      <c r="F1437" s="10" t="b">
        <v>0</v>
      </c>
      <c r="G1437" s="10" t="b">
        <v>0</v>
      </c>
      <c r="H1437" s="9"/>
      <c r="I1437" s="9" t="str">
        <f t="array" ref="I1437">IF(H1437="","",VLOOKUP(H1437,_xludf.HSTACK(#REF!,#REF!),2,FALSE))</f>
        <v/>
      </c>
      <c r="J1437" s="9"/>
    </row>
    <row r="1438" spans="1:10" x14ac:dyDescent="0.25">
      <c r="A1438" s="9" t="s">
        <v>6705</v>
      </c>
      <c r="B1438" s="9" t="s">
        <v>6764</v>
      </c>
      <c r="C1438" s="9" t="s">
        <v>40</v>
      </c>
      <c r="D1438" s="9"/>
      <c r="E1438" s="7" t="s">
        <v>6765</v>
      </c>
      <c r="F1438" s="10" t="b">
        <v>0</v>
      </c>
      <c r="G1438" s="10" t="b">
        <v>0</v>
      </c>
      <c r="H1438" s="9"/>
      <c r="I1438" s="9" t="str">
        <f t="array" ref="I1438">IF(H1438="","",VLOOKUP(H1438,_xludf.HSTACK(#REF!,#REF!),2,FALSE))</f>
        <v/>
      </c>
      <c r="J1438" s="9"/>
    </row>
    <row r="1439" spans="1:10" x14ac:dyDescent="0.25">
      <c r="A1439" s="9" t="s">
        <v>6705</v>
      </c>
      <c r="B1439" s="9" t="s">
        <v>6766</v>
      </c>
      <c r="C1439" s="9" t="s">
        <v>3</v>
      </c>
      <c r="D1439" s="7" t="s">
        <v>6767</v>
      </c>
      <c r="E1439" s="7" t="s">
        <v>6768</v>
      </c>
      <c r="F1439" s="10" t="b">
        <v>0</v>
      </c>
      <c r="G1439" s="10" t="b">
        <v>0</v>
      </c>
      <c r="H1439" s="9"/>
      <c r="I1439" s="9" t="str">
        <f t="array" ref="I1439">IF(H1439="","",VLOOKUP(H1439,_xludf.HSTACK(#REF!,#REF!),2,FALSE))</f>
        <v/>
      </c>
      <c r="J1439" s="9"/>
    </row>
    <row r="1440" spans="1:10" x14ac:dyDescent="0.25">
      <c r="A1440" s="9" t="s">
        <v>6705</v>
      </c>
      <c r="B1440" s="9" t="s">
        <v>6769</v>
      </c>
      <c r="C1440" s="9" t="s">
        <v>27</v>
      </c>
      <c r="D1440" s="7" t="s">
        <v>6770</v>
      </c>
      <c r="E1440" s="7" t="s">
        <v>6771</v>
      </c>
      <c r="F1440" s="10" t="b">
        <v>0</v>
      </c>
      <c r="G1440" s="10" t="b">
        <v>0</v>
      </c>
      <c r="H1440" s="9"/>
      <c r="I1440" s="9" t="str">
        <f t="array" ref="I1440">IF(H1440="","",VLOOKUP(H1440,_xludf.HSTACK(#REF!,#REF!),2,FALSE))</f>
        <v/>
      </c>
      <c r="J1440" s="9"/>
    </row>
    <row r="1441" spans="1:10" x14ac:dyDescent="0.25">
      <c r="A1441" s="9" t="s">
        <v>6705</v>
      </c>
      <c r="B1441" s="9" t="s">
        <v>6772</v>
      </c>
      <c r="C1441" s="9" t="s">
        <v>27</v>
      </c>
      <c r="D1441" s="7" t="s">
        <v>6773</v>
      </c>
      <c r="E1441" s="7" t="s">
        <v>6774</v>
      </c>
      <c r="F1441" s="10" t="b">
        <v>0</v>
      </c>
      <c r="G1441" s="10" t="b">
        <v>0</v>
      </c>
      <c r="H1441" s="9"/>
      <c r="I1441" s="9" t="str">
        <f t="array" ref="I1441">IF(H1441="","",VLOOKUP(H1441,_xludf.HSTACK(#REF!,#REF!),2,FALSE))</f>
        <v/>
      </c>
      <c r="J1441" s="9"/>
    </row>
    <row r="1442" spans="1:10" x14ac:dyDescent="0.25">
      <c r="A1442" s="9" t="s">
        <v>6705</v>
      </c>
      <c r="B1442" s="9" t="s">
        <v>6775</v>
      </c>
      <c r="C1442" s="9" t="s">
        <v>27</v>
      </c>
      <c r="D1442" s="7" t="s">
        <v>6776</v>
      </c>
      <c r="E1442" s="7" t="s">
        <v>6777</v>
      </c>
      <c r="F1442" s="10" t="b">
        <v>0</v>
      </c>
      <c r="G1442" s="10" t="b">
        <v>0</v>
      </c>
      <c r="H1442" s="9"/>
      <c r="I1442" s="9" t="str">
        <f t="array" ref="I1442">IF(H1442="","",VLOOKUP(H1442,_xludf.HSTACK(#REF!,#REF!),2,FALSE))</f>
        <v/>
      </c>
      <c r="J1442" s="9"/>
    </row>
    <row r="1443" spans="1:10" x14ac:dyDescent="0.25">
      <c r="A1443" s="9" t="s">
        <v>6705</v>
      </c>
      <c r="B1443" s="9" t="s">
        <v>6778</v>
      </c>
      <c r="C1443" s="9" t="s">
        <v>219</v>
      </c>
      <c r="D1443" s="7" t="s">
        <v>6779</v>
      </c>
      <c r="E1443" s="7" t="s">
        <v>6780</v>
      </c>
      <c r="F1443" s="10" t="b">
        <v>0</v>
      </c>
      <c r="G1443" s="10" t="b">
        <v>0</v>
      </c>
      <c r="H1443" s="9"/>
      <c r="I1443" s="9" t="str">
        <f t="array" ref="I1443">IF(H1443="","",VLOOKUP(H1443,_xludf.HSTACK(#REF!,#REF!),2,FALSE))</f>
        <v/>
      </c>
      <c r="J1443" s="9"/>
    </row>
    <row r="1444" spans="1:10" x14ac:dyDescent="0.25">
      <c r="A1444" s="9" t="s">
        <v>6705</v>
      </c>
      <c r="B1444" s="9" t="s">
        <v>6781</v>
      </c>
      <c r="C1444" s="9" t="s">
        <v>3409</v>
      </c>
      <c r="D1444" s="7" t="s">
        <v>6782</v>
      </c>
      <c r="E1444" s="7" t="s">
        <v>6783</v>
      </c>
      <c r="F1444" s="10" t="b">
        <v>0</v>
      </c>
      <c r="G1444" s="10" t="b">
        <v>0</v>
      </c>
      <c r="H1444" s="9"/>
      <c r="I1444" s="9" t="str">
        <f t="array" ref="I1444">IF(H1444="","",VLOOKUP(H1444,_xludf.HSTACK(#REF!,#REF!),2,FALSE))</f>
        <v/>
      </c>
      <c r="J1444" s="9"/>
    </row>
    <row r="1445" spans="1:10" x14ac:dyDescent="0.25">
      <c r="A1445" s="9" t="s">
        <v>6705</v>
      </c>
      <c r="B1445" s="9" t="s">
        <v>6784</v>
      </c>
      <c r="C1445" s="9" t="s">
        <v>1942</v>
      </c>
      <c r="D1445" s="7" t="s">
        <v>6785</v>
      </c>
      <c r="E1445" s="7" t="s">
        <v>6786</v>
      </c>
      <c r="F1445" s="10" t="b">
        <v>0</v>
      </c>
      <c r="G1445" s="10" t="b">
        <v>0</v>
      </c>
      <c r="H1445" s="9"/>
      <c r="I1445" s="9" t="str">
        <f t="array" ref="I1445">IF(H1445="","",VLOOKUP(H1445,_xludf.HSTACK(#REF!,#REF!),2,FALSE))</f>
        <v/>
      </c>
      <c r="J1445" s="9"/>
    </row>
    <row r="1446" spans="1:10" x14ac:dyDescent="0.25">
      <c r="A1446" s="9" t="s">
        <v>6705</v>
      </c>
      <c r="B1446" s="9" t="s">
        <v>6787</v>
      </c>
      <c r="C1446" s="9" t="s">
        <v>1942</v>
      </c>
      <c r="D1446" s="7" t="s">
        <v>6788</v>
      </c>
      <c r="E1446" s="7" t="s">
        <v>6789</v>
      </c>
      <c r="F1446" s="10" t="b">
        <v>0</v>
      </c>
      <c r="G1446" s="10" t="b">
        <v>0</v>
      </c>
      <c r="H1446" s="9"/>
      <c r="I1446" s="9" t="str">
        <f t="array" ref="I1446">IF(H1446="","",VLOOKUP(H1446,_xludf.HSTACK(#REF!,#REF!),2,FALSE))</f>
        <v/>
      </c>
      <c r="J1446" s="9"/>
    </row>
    <row r="1447" spans="1:10" x14ac:dyDescent="0.25">
      <c r="A1447" s="9" t="s">
        <v>6705</v>
      </c>
      <c r="B1447" s="9" t="s">
        <v>6790</v>
      </c>
      <c r="C1447" s="9" t="s">
        <v>1942</v>
      </c>
      <c r="D1447" s="7" t="s">
        <v>6791</v>
      </c>
      <c r="E1447" s="7" t="s">
        <v>6792</v>
      </c>
      <c r="F1447" s="10" t="b">
        <v>0</v>
      </c>
      <c r="G1447" s="10" t="b">
        <v>0</v>
      </c>
      <c r="H1447" s="9"/>
      <c r="I1447" s="9" t="str">
        <f t="array" ref="I1447">IF(H1447="","",VLOOKUP(H1447,_xludf.HSTACK(#REF!,#REF!),2,FALSE))</f>
        <v/>
      </c>
      <c r="J1447" s="9"/>
    </row>
    <row r="1448" spans="1:10" x14ac:dyDescent="0.25">
      <c r="A1448" s="9" t="s">
        <v>6705</v>
      </c>
      <c r="B1448" s="9" t="s">
        <v>6793</v>
      </c>
      <c r="C1448" s="9" t="s">
        <v>1942</v>
      </c>
      <c r="D1448" s="7" t="s">
        <v>6794</v>
      </c>
      <c r="E1448" s="7" t="s">
        <v>6795</v>
      </c>
      <c r="F1448" s="10" t="b">
        <v>0</v>
      </c>
      <c r="G1448" s="10" t="b">
        <v>0</v>
      </c>
      <c r="H1448" s="9"/>
      <c r="I1448" s="9" t="str">
        <f t="array" ref="I1448">IF(H1448="","",VLOOKUP(H1448,_xludf.HSTACK(#REF!,#REF!),2,FALSE))</f>
        <v/>
      </c>
      <c r="J1448" s="9"/>
    </row>
    <row r="1449" spans="1:10" x14ac:dyDescent="0.25">
      <c r="A1449" s="9" t="s">
        <v>6705</v>
      </c>
      <c r="B1449" s="9" t="s">
        <v>6796</v>
      </c>
      <c r="C1449" s="9" t="s">
        <v>1942</v>
      </c>
      <c r="D1449" s="7" t="s">
        <v>6797</v>
      </c>
      <c r="E1449" s="7" t="s">
        <v>6798</v>
      </c>
      <c r="F1449" s="10" t="b">
        <v>0</v>
      </c>
      <c r="G1449" s="10" t="b">
        <v>0</v>
      </c>
      <c r="H1449" s="9"/>
      <c r="I1449" s="9" t="str">
        <f t="array" ref="I1449">IF(H1449="","",VLOOKUP(H1449,_xludf.HSTACK(#REF!,#REF!),2,FALSE))</f>
        <v/>
      </c>
      <c r="J1449" s="9"/>
    </row>
    <row r="1450" spans="1:10" x14ac:dyDescent="0.25">
      <c r="A1450" s="9" t="s">
        <v>6705</v>
      </c>
      <c r="B1450" s="9" t="s">
        <v>6799</v>
      </c>
      <c r="C1450" s="9" t="s">
        <v>40</v>
      </c>
      <c r="D1450" s="9"/>
      <c r="E1450" s="7" t="s">
        <v>6800</v>
      </c>
      <c r="F1450" s="10" t="b">
        <v>0</v>
      </c>
      <c r="G1450" s="10" t="b">
        <v>0</v>
      </c>
      <c r="H1450" s="9"/>
      <c r="I1450" s="9" t="str">
        <f t="array" ref="I1450">IF(H1450="","",VLOOKUP(H1450,_xludf.HSTACK(#REF!,#REF!),2,FALSE))</f>
        <v/>
      </c>
      <c r="J1450" s="9"/>
    </row>
    <row r="1451" spans="1:10" x14ac:dyDescent="0.25">
      <c r="A1451" s="9" t="s">
        <v>6705</v>
      </c>
      <c r="B1451" s="9" t="s">
        <v>6801</v>
      </c>
      <c r="C1451" s="9" t="s">
        <v>3</v>
      </c>
      <c r="D1451" s="7" t="s">
        <v>6802</v>
      </c>
      <c r="E1451" s="7" t="s">
        <v>6803</v>
      </c>
      <c r="F1451" s="10" t="b">
        <v>0</v>
      </c>
      <c r="G1451" s="10" t="b">
        <v>0</v>
      </c>
      <c r="H1451" s="9"/>
      <c r="I1451" s="9" t="str">
        <f t="array" ref="I1451">IF(H1451="","",VLOOKUP(H1451,_xludf.HSTACK(#REF!,#REF!),2,FALSE))</f>
        <v/>
      </c>
      <c r="J1451" s="9"/>
    </row>
    <row r="1452" spans="1:10" x14ac:dyDescent="0.25">
      <c r="A1452" s="9" t="s">
        <v>6705</v>
      </c>
      <c r="B1452" s="9" t="s">
        <v>6804</v>
      </c>
      <c r="C1452" s="9" t="s">
        <v>25</v>
      </c>
      <c r="D1452" s="7" t="s">
        <v>6805</v>
      </c>
      <c r="E1452" s="7" t="s">
        <v>6806</v>
      </c>
      <c r="F1452" s="10" t="b">
        <v>0</v>
      </c>
      <c r="G1452" s="10" t="b">
        <v>0</v>
      </c>
      <c r="H1452" s="9"/>
      <c r="I1452" s="9" t="str">
        <f t="array" ref="I1452">IF(H1452="","",VLOOKUP(H1452,_xludf.HSTACK(#REF!,#REF!),2,FALSE))</f>
        <v/>
      </c>
      <c r="J1452" s="9"/>
    </row>
    <row r="1453" spans="1:10" x14ac:dyDescent="0.25">
      <c r="A1453" s="9" t="s">
        <v>6705</v>
      </c>
      <c r="B1453" s="9" t="s">
        <v>6807</v>
      </c>
      <c r="C1453" s="9" t="s">
        <v>23</v>
      </c>
      <c r="D1453" s="7" t="s">
        <v>6805</v>
      </c>
      <c r="E1453" s="7" t="s">
        <v>6808</v>
      </c>
      <c r="F1453" s="10" t="b">
        <v>0</v>
      </c>
      <c r="G1453" s="10" t="b">
        <v>0</v>
      </c>
      <c r="H1453" s="9"/>
      <c r="I1453" s="9" t="str">
        <f t="array" ref="I1453">IF(H1453="","",VLOOKUP(H1453,_xludf.HSTACK(#REF!,#REF!),2,FALSE))</f>
        <v/>
      </c>
      <c r="J1453" s="9"/>
    </row>
    <row r="1454" spans="1:10" x14ac:dyDescent="0.25">
      <c r="A1454" s="9" t="s">
        <v>6705</v>
      </c>
      <c r="B1454" s="9" t="s">
        <v>6809</v>
      </c>
      <c r="C1454" s="9" t="s">
        <v>23</v>
      </c>
      <c r="D1454" s="7" t="s">
        <v>6805</v>
      </c>
      <c r="E1454" s="7" t="s">
        <v>6810</v>
      </c>
      <c r="F1454" s="10" t="b">
        <v>0</v>
      </c>
      <c r="G1454" s="10" t="b">
        <v>0</v>
      </c>
      <c r="H1454" s="9"/>
      <c r="I1454" s="9" t="str">
        <f t="array" ref="I1454">IF(H1454="","",VLOOKUP(H1454,_xludf.HSTACK(#REF!,#REF!),2,FALSE))</f>
        <v/>
      </c>
      <c r="J1454" s="9"/>
    </row>
    <row r="1455" spans="1:10" x14ac:dyDescent="0.25">
      <c r="A1455" s="9" t="s">
        <v>6705</v>
      </c>
      <c r="B1455" s="9" t="s">
        <v>6811</v>
      </c>
      <c r="C1455" s="9" t="s">
        <v>61</v>
      </c>
      <c r="D1455" s="7" t="s">
        <v>6805</v>
      </c>
      <c r="E1455" s="7" t="s">
        <v>6812</v>
      </c>
      <c r="F1455" s="10" t="b">
        <v>0</v>
      </c>
      <c r="G1455" s="10" t="b">
        <v>0</v>
      </c>
      <c r="H1455" s="9"/>
      <c r="I1455" s="9" t="str">
        <f t="array" ref="I1455">IF(H1455="","",VLOOKUP(H1455,_xludf.HSTACK(#REF!,#REF!),2,FALSE))</f>
        <v/>
      </c>
      <c r="J1455" s="9"/>
    </row>
    <row r="1456" spans="1:10" x14ac:dyDescent="0.25">
      <c r="A1456" s="9" t="s">
        <v>6705</v>
      </c>
      <c r="B1456" s="9" t="s">
        <v>6813</v>
      </c>
      <c r="C1456" s="9" t="s">
        <v>605</v>
      </c>
      <c r="D1456" s="7" t="s">
        <v>6814</v>
      </c>
      <c r="E1456" s="7" t="s">
        <v>6815</v>
      </c>
      <c r="F1456" s="10" t="b">
        <v>0</v>
      </c>
      <c r="G1456" s="10" t="b">
        <v>0</v>
      </c>
      <c r="H1456" s="9"/>
      <c r="I1456" s="9" t="str">
        <f t="array" ref="I1456">IF(H1456="","",VLOOKUP(H1456,_xludf.HSTACK(#REF!,#REF!),2,FALSE))</f>
        <v/>
      </c>
      <c r="J1456" s="9"/>
    </row>
    <row r="1457" spans="1:10" x14ac:dyDescent="0.25">
      <c r="A1457" s="9" t="s">
        <v>6705</v>
      </c>
      <c r="B1457" s="9" t="s">
        <v>6816</v>
      </c>
      <c r="C1457" s="9" t="s">
        <v>63</v>
      </c>
      <c r="D1457" s="7" t="s">
        <v>6817</v>
      </c>
      <c r="E1457" s="9"/>
      <c r="F1457" s="10" t="b">
        <v>0</v>
      </c>
      <c r="G1457" s="10" t="b">
        <v>0</v>
      </c>
      <c r="H1457" s="9"/>
      <c r="I1457" s="9" t="str">
        <f t="array" ref="I1457">IF(H1457="","",VLOOKUP(H1457,_xludf.HSTACK(#REF!,#REF!),2,FALSE))</f>
        <v/>
      </c>
      <c r="J1457" s="9"/>
    </row>
    <row r="1458" spans="1:10" x14ac:dyDescent="0.25">
      <c r="A1458" s="9" t="s">
        <v>6705</v>
      </c>
      <c r="B1458" s="9" t="s">
        <v>6818</v>
      </c>
      <c r="C1458" s="9" t="s">
        <v>192</v>
      </c>
      <c r="D1458" s="7" t="s">
        <v>6805</v>
      </c>
      <c r="E1458" s="7" t="s">
        <v>6819</v>
      </c>
      <c r="F1458" s="10" t="b">
        <v>0</v>
      </c>
      <c r="G1458" s="10" t="b">
        <v>0</v>
      </c>
      <c r="H1458" s="9"/>
      <c r="I1458" s="9" t="str">
        <f t="array" ref="I1458">IF(H1458="","",VLOOKUP(H1458,_xludf.HSTACK(#REF!,#REF!),2,FALSE))</f>
        <v/>
      </c>
      <c r="J1458" s="9"/>
    </row>
    <row r="1459" spans="1:10" x14ac:dyDescent="0.25">
      <c r="A1459" s="9" t="s">
        <v>6705</v>
      </c>
      <c r="B1459" s="9" t="s">
        <v>6820</v>
      </c>
      <c r="C1459" s="9" t="s">
        <v>27</v>
      </c>
      <c r="D1459" s="7" t="s">
        <v>6805</v>
      </c>
      <c r="E1459" s="7" t="s">
        <v>6821</v>
      </c>
      <c r="F1459" s="10" t="b">
        <v>0</v>
      </c>
      <c r="G1459" s="10" t="b">
        <v>0</v>
      </c>
      <c r="H1459" s="9"/>
      <c r="I1459" s="9" t="str">
        <f t="array" ref="I1459">IF(H1459="","",VLOOKUP(H1459,_xludf.HSTACK(#REF!,#REF!),2,FALSE))</f>
        <v/>
      </c>
      <c r="J1459" s="9"/>
    </row>
    <row r="1460" spans="1:10" x14ac:dyDescent="0.25">
      <c r="A1460" s="9" t="s">
        <v>6705</v>
      </c>
      <c r="B1460" s="9" t="s">
        <v>6822</v>
      </c>
      <c r="C1460" s="9" t="s">
        <v>27</v>
      </c>
      <c r="D1460" s="7" t="s">
        <v>6805</v>
      </c>
      <c r="E1460" s="7" t="s">
        <v>6823</v>
      </c>
      <c r="F1460" s="10" t="b">
        <v>0</v>
      </c>
      <c r="G1460" s="10" t="b">
        <v>0</v>
      </c>
      <c r="H1460" s="9"/>
      <c r="I1460" s="9" t="str">
        <f t="array" ref="I1460">IF(H1460="","",VLOOKUP(H1460,_xludf.HSTACK(#REF!,#REF!),2,FALSE))</f>
        <v/>
      </c>
      <c r="J1460" s="9"/>
    </row>
    <row r="1461" spans="1:10" x14ac:dyDescent="0.25">
      <c r="A1461" s="9" t="s">
        <v>6705</v>
      </c>
      <c r="B1461" s="9" t="s">
        <v>6824</v>
      </c>
      <c r="C1461" s="9" t="s">
        <v>27</v>
      </c>
      <c r="D1461" s="7" t="s">
        <v>6805</v>
      </c>
      <c r="E1461" s="7" t="s">
        <v>6825</v>
      </c>
      <c r="F1461" s="10" t="b">
        <v>0</v>
      </c>
      <c r="G1461" s="10" t="b">
        <v>0</v>
      </c>
      <c r="H1461" s="9"/>
      <c r="I1461" s="9" t="str">
        <f t="array" ref="I1461">IF(H1461="","",VLOOKUP(H1461,_xludf.HSTACK(#REF!,#REF!),2,FALSE))</f>
        <v/>
      </c>
      <c r="J1461" s="9"/>
    </row>
    <row r="1462" spans="1:10" x14ac:dyDescent="0.25">
      <c r="A1462" s="9" t="s">
        <v>6705</v>
      </c>
      <c r="B1462" s="9" t="s">
        <v>6826</v>
      </c>
      <c r="C1462" s="9" t="s">
        <v>1576</v>
      </c>
      <c r="D1462" s="9"/>
      <c r="E1462" s="7" t="s">
        <v>6827</v>
      </c>
      <c r="F1462" s="10" t="b">
        <v>0</v>
      </c>
      <c r="G1462" s="10" t="b">
        <v>0</v>
      </c>
      <c r="H1462" s="9"/>
      <c r="I1462" s="9" t="str">
        <f t="array" ref="I1462">IF(H1462="","",VLOOKUP(H1462,_xludf.HSTACK(#REF!,#REF!),2,FALSE))</f>
        <v/>
      </c>
      <c r="J1462" s="9"/>
    </row>
    <row r="1463" spans="1:10" x14ac:dyDescent="0.25">
      <c r="A1463" s="9" t="s">
        <v>6705</v>
      </c>
      <c r="B1463" s="9" t="s">
        <v>6828</v>
      </c>
      <c r="C1463" s="9" t="s">
        <v>6617</v>
      </c>
      <c r="D1463" s="7" t="s">
        <v>6829</v>
      </c>
      <c r="E1463" s="7" t="s">
        <v>6830</v>
      </c>
      <c r="F1463" s="10" t="b">
        <v>0</v>
      </c>
      <c r="G1463" s="10" t="b">
        <v>0</v>
      </c>
      <c r="H1463" s="9"/>
      <c r="I1463" s="9" t="str">
        <f t="array" ref="I1463">IF(H1463="","",VLOOKUP(H1463,_xludf.HSTACK(#REF!,#REF!),2,FALSE))</f>
        <v/>
      </c>
      <c r="J1463" s="9"/>
    </row>
    <row r="1464" spans="1:10" x14ac:dyDescent="0.25">
      <c r="A1464" s="9" t="s">
        <v>6705</v>
      </c>
      <c r="B1464" s="9" t="s">
        <v>6831</v>
      </c>
      <c r="C1464" s="9" t="s">
        <v>4267</v>
      </c>
      <c r="D1464" s="7" t="s">
        <v>6832</v>
      </c>
      <c r="E1464" s="7" t="s">
        <v>6833</v>
      </c>
      <c r="F1464" s="10" t="b">
        <v>0</v>
      </c>
      <c r="G1464" s="10" t="b">
        <v>0</v>
      </c>
      <c r="H1464" s="9"/>
      <c r="I1464" s="9" t="str">
        <f t="array" ref="I1464">IF(H1464="","",VLOOKUP(H1464,_xludf.HSTACK(#REF!,#REF!),2,FALSE))</f>
        <v/>
      </c>
      <c r="J1464" s="9"/>
    </row>
    <row r="1465" spans="1:10" x14ac:dyDescent="0.25">
      <c r="A1465" s="9" t="s">
        <v>6705</v>
      </c>
      <c r="B1465" s="9" t="s">
        <v>6834</v>
      </c>
      <c r="C1465" s="9" t="s">
        <v>4411</v>
      </c>
      <c r="D1465" s="7" t="s">
        <v>6835</v>
      </c>
      <c r="E1465" s="7" t="s">
        <v>6836</v>
      </c>
      <c r="F1465" s="10" t="b">
        <v>0</v>
      </c>
      <c r="G1465" s="10" t="b">
        <v>0</v>
      </c>
      <c r="H1465" s="9"/>
      <c r="I1465" s="9" t="str">
        <f t="array" ref="I1465">IF(H1465="","",VLOOKUP(H1465,_xludf.HSTACK(#REF!,#REF!),2,FALSE))</f>
        <v/>
      </c>
      <c r="J1465" s="9"/>
    </row>
    <row r="1466" spans="1:10" x14ac:dyDescent="0.25">
      <c r="A1466" s="9" t="s">
        <v>6705</v>
      </c>
      <c r="B1466" s="9" t="s">
        <v>6837</v>
      </c>
      <c r="C1466" s="9" t="s">
        <v>4267</v>
      </c>
      <c r="D1466" s="7" t="s">
        <v>6838</v>
      </c>
      <c r="E1466" s="7" t="s">
        <v>6839</v>
      </c>
      <c r="F1466" s="10" t="b">
        <v>0</v>
      </c>
      <c r="G1466" s="10" t="b">
        <v>0</v>
      </c>
      <c r="H1466" s="9"/>
      <c r="I1466" s="9" t="str">
        <f t="array" ref="I1466">IF(H1466="","",VLOOKUP(H1466,_xludf.HSTACK(#REF!,#REF!),2,FALSE))</f>
        <v/>
      </c>
      <c r="J1466" s="9"/>
    </row>
    <row r="1467" spans="1:10" x14ac:dyDescent="0.25">
      <c r="A1467" s="9" t="s">
        <v>6705</v>
      </c>
      <c r="B1467" s="9" t="s">
        <v>6840</v>
      </c>
      <c r="C1467" s="9" t="s">
        <v>57</v>
      </c>
      <c r="D1467" s="7" t="s">
        <v>6841</v>
      </c>
      <c r="E1467" s="7" t="s">
        <v>6842</v>
      </c>
      <c r="F1467" s="10" t="b">
        <v>0</v>
      </c>
      <c r="G1467" s="10" t="b">
        <v>0</v>
      </c>
      <c r="H1467" s="9"/>
      <c r="I1467" s="9" t="str">
        <f t="array" ref="I1467">IF(H1467="","",VLOOKUP(H1467,_xludf.HSTACK(#REF!,#REF!),2,FALSE))</f>
        <v/>
      </c>
      <c r="J1467" s="9"/>
    </row>
    <row r="1468" spans="1:10" x14ac:dyDescent="0.25">
      <c r="A1468" s="9" t="s">
        <v>6705</v>
      </c>
      <c r="B1468" s="9" t="s">
        <v>6843</v>
      </c>
      <c r="C1468" s="9" t="s">
        <v>39</v>
      </c>
      <c r="D1468" s="7" t="s">
        <v>6844</v>
      </c>
      <c r="E1468" s="7" t="s">
        <v>6845</v>
      </c>
      <c r="F1468" s="10" t="b">
        <v>0</v>
      </c>
      <c r="G1468" s="10" t="b">
        <v>0</v>
      </c>
      <c r="H1468" s="9"/>
      <c r="I1468" s="9" t="str">
        <f t="array" ref="I1468">IF(H1468="","",VLOOKUP(H1468,_xludf.HSTACK(#REF!,#REF!),2,FALSE))</f>
        <v/>
      </c>
      <c r="J1468" s="9"/>
    </row>
    <row r="1469" spans="1:10" x14ac:dyDescent="0.25">
      <c r="A1469" s="9" t="s">
        <v>6705</v>
      </c>
      <c r="B1469" s="9" t="s">
        <v>6846</v>
      </c>
      <c r="C1469" s="9" t="s">
        <v>39</v>
      </c>
      <c r="D1469" s="7" t="s">
        <v>6847</v>
      </c>
      <c r="E1469" s="7" t="s">
        <v>6848</v>
      </c>
      <c r="F1469" s="10" t="b">
        <v>0</v>
      </c>
      <c r="G1469" s="10" t="b">
        <v>0</v>
      </c>
      <c r="H1469" s="9"/>
      <c r="I1469" s="9" t="str">
        <f t="array" ref="I1469">IF(H1469="","",VLOOKUP(H1469,_xludf.HSTACK(#REF!,#REF!),2,FALSE))</f>
        <v/>
      </c>
      <c r="J1469" s="9"/>
    </row>
    <row r="1470" spans="1:10" x14ac:dyDescent="0.25">
      <c r="A1470" s="9" t="s">
        <v>6705</v>
      </c>
      <c r="B1470" s="9" t="s">
        <v>6849</v>
      </c>
      <c r="C1470" s="9" t="s">
        <v>39</v>
      </c>
      <c r="D1470" s="7" t="s">
        <v>6850</v>
      </c>
      <c r="E1470" s="7" t="s">
        <v>6851</v>
      </c>
      <c r="F1470" s="10" t="b">
        <v>0</v>
      </c>
      <c r="G1470" s="10" t="b">
        <v>0</v>
      </c>
      <c r="H1470" s="9"/>
      <c r="I1470" s="9" t="str">
        <f t="array" ref="I1470">IF(H1470="","",VLOOKUP(H1470,_xludf.HSTACK(#REF!,#REF!),2,FALSE))</f>
        <v/>
      </c>
      <c r="J1470" s="9"/>
    </row>
    <row r="1471" spans="1:10" x14ac:dyDescent="0.25">
      <c r="A1471" s="9" t="s">
        <v>6705</v>
      </c>
      <c r="B1471" s="9" t="s">
        <v>6852</v>
      </c>
      <c r="C1471" s="9" t="s">
        <v>39</v>
      </c>
      <c r="D1471" s="7" t="s">
        <v>6853</v>
      </c>
      <c r="E1471" s="7" t="s">
        <v>6854</v>
      </c>
      <c r="F1471" s="10" t="b">
        <v>0</v>
      </c>
      <c r="G1471" s="10" t="b">
        <v>0</v>
      </c>
      <c r="H1471" s="9"/>
      <c r="I1471" s="9" t="str">
        <f t="array" ref="I1471">IF(H1471="","",VLOOKUP(H1471,_xludf.HSTACK(#REF!,#REF!),2,FALSE))</f>
        <v/>
      </c>
      <c r="J1471" s="9"/>
    </row>
    <row r="1472" spans="1:10" x14ac:dyDescent="0.25">
      <c r="A1472" s="9" t="s">
        <v>6705</v>
      </c>
      <c r="B1472" s="9" t="s">
        <v>6855</v>
      </c>
      <c r="C1472" s="9" t="s">
        <v>39</v>
      </c>
      <c r="D1472" s="7" t="s">
        <v>6856</v>
      </c>
      <c r="E1472" s="7" t="s">
        <v>6857</v>
      </c>
      <c r="F1472" s="10" t="b">
        <v>0</v>
      </c>
      <c r="G1472" s="10" t="b">
        <v>0</v>
      </c>
      <c r="H1472" s="9"/>
      <c r="I1472" s="9" t="str">
        <f t="array" ref="I1472">IF(H1472="","",VLOOKUP(H1472,_xludf.HSTACK(#REF!,#REF!),2,FALSE))</f>
        <v/>
      </c>
      <c r="J1472" s="9"/>
    </row>
    <row r="1473" spans="1:10" x14ac:dyDescent="0.25">
      <c r="A1473" s="9" t="s">
        <v>6705</v>
      </c>
      <c r="B1473" s="9" t="s">
        <v>6858</v>
      </c>
      <c r="C1473" s="9" t="s">
        <v>40</v>
      </c>
      <c r="D1473" s="9"/>
      <c r="E1473" s="7" t="s">
        <v>6859</v>
      </c>
      <c r="F1473" s="10" t="b">
        <v>0</v>
      </c>
      <c r="G1473" s="10" t="b">
        <v>0</v>
      </c>
      <c r="H1473" s="9"/>
      <c r="I1473" s="9" t="str">
        <f t="array" ref="I1473">IF(H1473="","",VLOOKUP(H1473,_xludf.HSTACK(#REF!,#REF!),2,FALSE))</f>
        <v/>
      </c>
      <c r="J1473" s="9"/>
    </row>
    <row r="1474" spans="1:10" x14ac:dyDescent="0.25">
      <c r="A1474" s="9" t="s">
        <v>6705</v>
      </c>
      <c r="B1474" s="9" t="s">
        <v>6860</v>
      </c>
      <c r="C1474" s="9" t="s">
        <v>4</v>
      </c>
      <c r="D1474" s="7" t="s">
        <v>6861</v>
      </c>
      <c r="E1474" s="7" t="s">
        <v>6862</v>
      </c>
      <c r="F1474" s="10" t="b">
        <v>0</v>
      </c>
      <c r="G1474" s="10" t="b">
        <v>0</v>
      </c>
      <c r="H1474" s="9"/>
      <c r="I1474" s="9" t="str">
        <f t="array" ref="I1474">IF(H1474="","",VLOOKUP(H1474,_xludf.HSTACK(#REF!,#REF!),2,FALSE))</f>
        <v/>
      </c>
      <c r="J1474" s="9"/>
    </row>
    <row r="1475" spans="1:10" x14ac:dyDescent="0.25">
      <c r="A1475" s="9" t="s">
        <v>6705</v>
      </c>
      <c r="B1475" s="9" t="s">
        <v>6863</v>
      </c>
      <c r="C1475" s="9" t="s">
        <v>40</v>
      </c>
      <c r="D1475" s="9"/>
      <c r="E1475" s="7" t="s">
        <v>6864</v>
      </c>
      <c r="F1475" s="10" t="b">
        <v>0</v>
      </c>
      <c r="G1475" s="10" t="b">
        <v>0</v>
      </c>
      <c r="H1475" s="9"/>
      <c r="I1475" s="9" t="str">
        <f t="array" ref="I1475">IF(H1475="","",VLOOKUP(H1475,_xludf.HSTACK(#REF!,#REF!),2,FALSE))</f>
        <v/>
      </c>
      <c r="J1475" s="9"/>
    </row>
    <row r="1476" spans="1:10" x14ac:dyDescent="0.25">
      <c r="A1476" s="9" t="s">
        <v>6705</v>
      </c>
      <c r="B1476" s="9" t="s">
        <v>6865</v>
      </c>
      <c r="C1476" s="9" t="s">
        <v>4</v>
      </c>
      <c r="D1476" s="7" t="s">
        <v>6866</v>
      </c>
      <c r="E1476" s="7" t="s">
        <v>6867</v>
      </c>
      <c r="F1476" s="10" t="b">
        <v>0</v>
      </c>
      <c r="G1476" s="10" t="b">
        <v>0</v>
      </c>
      <c r="H1476" s="9"/>
      <c r="I1476" s="9" t="str">
        <f t="array" ref="I1476">IF(H1476="","",VLOOKUP(H1476,_xludf.HSTACK(#REF!,#REF!),2,FALSE))</f>
        <v/>
      </c>
      <c r="J1476" s="9"/>
    </row>
    <row r="1477" spans="1:10" x14ac:dyDescent="0.25">
      <c r="A1477" s="9" t="s">
        <v>6705</v>
      </c>
      <c r="B1477" s="9" t="s">
        <v>6868</v>
      </c>
      <c r="C1477" s="9" t="s">
        <v>4</v>
      </c>
      <c r="D1477" s="7" t="s">
        <v>6869</v>
      </c>
      <c r="E1477" s="7" t="s">
        <v>6870</v>
      </c>
      <c r="F1477" s="10" t="b">
        <v>0</v>
      </c>
      <c r="G1477" s="10" t="b">
        <v>0</v>
      </c>
      <c r="H1477" s="9"/>
      <c r="I1477" s="9" t="str">
        <f t="array" ref="I1477">IF(H1477="","",VLOOKUP(H1477,_xludf.HSTACK(#REF!,#REF!),2,FALSE))</f>
        <v/>
      </c>
      <c r="J1477" s="9"/>
    </row>
    <row r="1478" spans="1:10" x14ac:dyDescent="0.25">
      <c r="A1478" s="9" t="s">
        <v>6705</v>
      </c>
      <c r="B1478" s="9" t="s">
        <v>6871</v>
      </c>
      <c r="C1478" s="9" t="s">
        <v>3</v>
      </c>
      <c r="D1478" s="7" t="s">
        <v>6872</v>
      </c>
      <c r="E1478" s="7" t="s">
        <v>6873</v>
      </c>
      <c r="F1478" s="10" t="b">
        <v>0</v>
      </c>
      <c r="G1478" s="10" t="b">
        <v>0</v>
      </c>
      <c r="H1478" s="9"/>
      <c r="I1478" s="9" t="str">
        <f t="array" ref="I1478">IF(H1478="","",VLOOKUP(H1478,_xludf.HSTACK(#REF!,#REF!),2,FALSE))</f>
        <v/>
      </c>
      <c r="J1478" s="9"/>
    </row>
    <row r="1479" spans="1:10" x14ac:dyDescent="0.25">
      <c r="A1479" s="9" t="s">
        <v>6705</v>
      </c>
      <c r="B1479" s="9" t="s">
        <v>6874</v>
      </c>
      <c r="C1479" s="9" t="s">
        <v>61</v>
      </c>
      <c r="D1479" s="7" t="s">
        <v>6875</v>
      </c>
      <c r="E1479" s="7" t="s">
        <v>6876</v>
      </c>
      <c r="F1479" s="10" t="b">
        <v>0</v>
      </c>
      <c r="G1479" s="10" t="b">
        <v>0</v>
      </c>
      <c r="H1479" s="9"/>
      <c r="I1479" s="9" t="str">
        <f t="array" ref="I1479">IF(H1479="","",VLOOKUP(H1479,_xludf.HSTACK(#REF!,#REF!),2,FALSE))</f>
        <v/>
      </c>
      <c r="J1479" s="9"/>
    </row>
    <row r="1480" spans="1:10" x14ac:dyDescent="0.25">
      <c r="A1480" s="9" t="s">
        <v>6705</v>
      </c>
      <c r="B1480" s="9" t="s">
        <v>6877</v>
      </c>
      <c r="C1480" s="9" t="s">
        <v>61</v>
      </c>
      <c r="D1480" s="7" t="s">
        <v>6878</v>
      </c>
      <c r="E1480" s="7" t="s">
        <v>6879</v>
      </c>
      <c r="F1480" s="10" t="b">
        <v>0</v>
      </c>
      <c r="G1480" s="10" t="b">
        <v>0</v>
      </c>
      <c r="H1480" s="9"/>
      <c r="I1480" s="9" t="str">
        <f t="array" ref="I1480">IF(H1480="","",VLOOKUP(H1480,_xludf.HSTACK(#REF!,#REF!),2,FALSE))</f>
        <v/>
      </c>
      <c r="J1480" s="9"/>
    </row>
    <row r="1481" spans="1:10" x14ac:dyDescent="0.25">
      <c r="A1481" s="9" t="s">
        <v>6705</v>
      </c>
      <c r="B1481" s="9" t="s">
        <v>6880</v>
      </c>
      <c r="C1481" s="9" t="s">
        <v>40</v>
      </c>
      <c r="D1481" s="9"/>
      <c r="E1481" s="7" t="s">
        <v>6881</v>
      </c>
      <c r="F1481" s="10" t="b">
        <v>0</v>
      </c>
      <c r="G1481" s="10" t="b">
        <v>0</v>
      </c>
      <c r="H1481" s="9"/>
      <c r="I1481" s="9" t="str">
        <f t="array" ref="I1481">IF(H1481="","",VLOOKUP(H1481,_xludf.HSTACK(#REF!,#REF!),2,FALSE))</f>
        <v/>
      </c>
      <c r="J1481" s="9"/>
    </row>
    <row r="1482" spans="1:10" x14ac:dyDescent="0.25">
      <c r="A1482" s="9" t="s">
        <v>6705</v>
      </c>
      <c r="B1482" s="9" t="s">
        <v>6882</v>
      </c>
      <c r="C1482" s="9" t="s">
        <v>3</v>
      </c>
      <c r="D1482" s="7" t="s">
        <v>6883</v>
      </c>
      <c r="E1482" s="7" t="s">
        <v>6884</v>
      </c>
      <c r="F1482" s="10" t="b">
        <v>0</v>
      </c>
      <c r="G1482" s="10" t="b">
        <v>0</v>
      </c>
      <c r="H1482" s="9"/>
      <c r="I1482" s="9" t="str">
        <f t="array" ref="I1482">IF(H1482="","",VLOOKUP(H1482,_xludf.HSTACK(#REF!,#REF!),2,FALSE))</f>
        <v/>
      </c>
      <c r="J1482" s="9"/>
    </row>
    <row r="1483" spans="1:10" x14ac:dyDescent="0.25">
      <c r="A1483" s="9" t="s">
        <v>6705</v>
      </c>
      <c r="B1483" s="9" t="s">
        <v>6885</v>
      </c>
      <c r="C1483" s="9" t="s">
        <v>581</v>
      </c>
      <c r="D1483" s="7" t="s">
        <v>6805</v>
      </c>
      <c r="E1483" s="7" t="s">
        <v>6886</v>
      </c>
      <c r="F1483" s="10" t="b">
        <v>0</v>
      </c>
      <c r="G1483" s="10" t="b">
        <v>0</v>
      </c>
      <c r="H1483" s="9"/>
      <c r="I1483" s="9" t="str">
        <f t="array" ref="I1483">IF(H1483="","",VLOOKUP(H1483,_xludf.HSTACK(#REF!,#REF!),2,FALSE))</f>
        <v/>
      </c>
      <c r="J1483" s="9"/>
    </row>
    <row r="1484" spans="1:10" x14ac:dyDescent="0.25">
      <c r="A1484" s="9" t="s">
        <v>6705</v>
      </c>
      <c r="B1484" s="9" t="s">
        <v>6887</v>
      </c>
      <c r="C1484" s="9" t="s">
        <v>581</v>
      </c>
      <c r="D1484" s="7" t="s">
        <v>6888</v>
      </c>
      <c r="E1484" s="7" t="s">
        <v>6889</v>
      </c>
      <c r="F1484" s="10" t="b">
        <v>0</v>
      </c>
      <c r="G1484" s="10" t="b">
        <v>0</v>
      </c>
      <c r="H1484" s="9"/>
      <c r="I1484" s="9" t="str">
        <f t="array" ref="I1484">IF(H1484="","",VLOOKUP(H1484,_xludf.HSTACK(#REF!,#REF!),2,FALSE))</f>
        <v/>
      </c>
      <c r="J1484" s="9"/>
    </row>
    <row r="1485" spans="1:10" x14ac:dyDescent="0.25">
      <c r="A1485" s="9" t="s">
        <v>6705</v>
      </c>
      <c r="B1485" s="9" t="s">
        <v>6890</v>
      </c>
      <c r="C1485" s="9" t="s">
        <v>1308</v>
      </c>
      <c r="D1485" s="7" t="s">
        <v>6891</v>
      </c>
      <c r="E1485" s="7" t="s">
        <v>6892</v>
      </c>
      <c r="F1485" s="10" t="b">
        <v>0</v>
      </c>
      <c r="G1485" s="10" t="b">
        <v>0</v>
      </c>
      <c r="H1485" s="9"/>
      <c r="I1485" s="9" t="str">
        <f t="array" ref="I1485">IF(H1485="","",VLOOKUP(H1485,_xludf.HSTACK(#REF!,#REF!),2,FALSE))</f>
        <v/>
      </c>
      <c r="J1485" s="9"/>
    </row>
    <row r="1486" spans="1:10" x14ac:dyDescent="0.25">
      <c r="A1486" s="9" t="s">
        <v>6705</v>
      </c>
      <c r="B1486" s="9" t="s">
        <v>6893</v>
      </c>
      <c r="C1486" s="9" t="s">
        <v>1308</v>
      </c>
      <c r="D1486" s="7" t="s">
        <v>6894</v>
      </c>
      <c r="E1486" s="7" t="s">
        <v>6895</v>
      </c>
      <c r="F1486" s="10" t="b">
        <v>0</v>
      </c>
      <c r="G1486" s="10" t="b">
        <v>0</v>
      </c>
      <c r="H1486" s="9"/>
      <c r="I1486" s="9" t="str">
        <f t="array" ref="I1486">IF(H1486="","",VLOOKUP(H1486,_xludf.HSTACK(#REF!,#REF!),2,FALSE))</f>
        <v/>
      </c>
      <c r="J1486" s="9"/>
    </row>
    <row r="1487" spans="1:10" x14ac:dyDescent="0.25">
      <c r="A1487" s="9" t="s">
        <v>6705</v>
      </c>
      <c r="B1487" s="9" t="s">
        <v>6896</v>
      </c>
      <c r="C1487" s="9" t="s">
        <v>219</v>
      </c>
      <c r="D1487" s="7" t="s">
        <v>6897</v>
      </c>
      <c r="E1487" s="7" t="s">
        <v>6898</v>
      </c>
      <c r="F1487" s="10" t="b">
        <v>0</v>
      </c>
      <c r="G1487" s="10" t="b">
        <v>0</v>
      </c>
      <c r="H1487" s="9"/>
      <c r="I1487" s="9" t="str">
        <f t="array" ref="I1487">IF(H1487="","",VLOOKUP(H1487,_xludf.HSTACK(#REF!,#REF!),2,FALSE))</f>
        <v/>
      </c>
      <c r="J1487" s="9"/>
    </row>
    <row r="1488" spans="1:10" x14ac:dyDescent="0.25">
      <c r="A1488" s="9" t="s">
        <v>6705</v>
      </c>
      <c r="B1488" s="9" t="s">
        <v>4933</v>
      </c>
      <c r="C1488" s="9" t="s">
        <v>219</v>
      </c>
      <c r="D1488" s="7" t="s">
        <v>6899</v>
      </c>
      <c r="E1488" s="7" t="s">
        <v>6900</v>
      </c>
      <c r="F1488" s="10" t="b">
        <v>0</v>
      </c>
      <c r="G1488" s="10" t="b">
        <v>0</v>
      </c>
      <c r="H1488" s="9"/>
      <c r="I1488" s="9" t="str">
        <f t="array" ref="I1488">IF(H1488="","",VLOOKUP(H1488,_xludf.HSTACK(#REF!,#REF!),2,FALSE))</f>
        <v/>
      </c>
      <c r="J1488" s="9"/>
    </row>
    <row r="1489" spans="1:10" x14ac:dyDescent="0.25">
      <c r="A1489" s="9" t="s">
        <v>6705</v>
      </c>
      <c r="B1489" s="9" t="s">
        <v>6901</v>
      </c>
      <c r="C1489" s="9" t="s">
        <v>219</v>
      </c>
      <c r="D1489" s="7" t="s">
        <v>6805</v>
      </c>
      <c r="E1489" s="7" t="s">
        <v>6902</v>
      </c>
      <c r="F1489" s="10" t="b">
        <v>0</v>
      </c>
      <c r="G1489" s="10" t="b">
        <v>0</v>
      </c>
      <c r="H1489" s="9"/>
      <c r="I1489" s="9" t="str">
        <f t="array" ref="I1489">IF(H1489="","",VLOOKUP(H1489,_xludf.HSTACK(#REF!,#REF!),2,FALSE))</f>
        <v/>
      </c>
      <c r="J1489" s="9"/>
    </row>
    <row r="1490" spans="1:10" x14ac:dyDescent="0.25">
      <c r="A1490" s="9" t="s">
        <v>6705</v>
      </c>
      <c r="B1490" s="9" t="s">
        <v>4948</v>
      </c>
      <c r="C1490" s="9" t="s">
        <v>219</v>
      </c>
      <c r="D1490" s="7" t="s">
        <v>6903</v>
      </c>
      <c r="E1490" s="7" t="s">
        <v>6904</v>
      </c>
      <c r="F1490" s="10" t="b">
        <v>0</v>
      </c>
      <c r="G1490" s="10" t="b">
        <v>0</v>
      </c>
      <c r="H1490" s="9"/>
      <c r="I1490" s="9" t="str">
        <f t="array" ref="I1490">IF(H1490="","",VLOOKUP(H1490,_xludf.HSTACK(#REF!,#REF!),2,FALSE))</f>
        <v/>
      </c>
      <c r="J1490" s="9"/>
    </row>
    <row r="1491" spans="1:10" x14ac:dyDescent="0.25">
      <c r="A1491" s="9" t="s">
        <v>6705</v>
      </c>
      <c r="B1491" s="9" t="s">
        <v>6905</v>
      </c>
      <c r="C1491" s="9" t="s">
        <v>219</v>
      </c>
      <c r="D1491" s="7" t="s">
        <v>6906</v>
      </c>
      <c r="E1491" s="7" t="s">
        <v>6907</v>
      </c>
      <c r="F1491" s="10" t="b">
        <v>0</v>
      </c>
      <c r="G1491" s="10" t="b">
        <v>0</v>
      </c>
      <c r="H1491" s="9"/>
      <c r="I1491" s="9" t="str">
        <f t="array" ref="I1491">IF(H1491="","",VLOOKUP(H1491,_xludf.HSTACK(#REF!,#REF!),2,FALSE))</f>
        <v/>
      </c>
      <c r="J1491" s="9"/>
    </row>
    <row r="1492" spans="1:10" x14ac:dyDescent="0.25">
      <c r="A1492" s="9" t="s">
        <v>6705</v>
      </c>
      <c r="B1492" s="9" t="s">
        <v>6908</v>
      </c>
      <c r="C1492" s="9"/>
      <c r="D1492" s="9"/>
      <c r="E1492" s="9"/>
      <c r="F1492" s="10" t="b">
        <v>0</v>
      </c>
      <c r="G1492" s="10" t="b">
        <v>1</v>
      </c>
      <c r="H1492" s="9"/>
      <c r="I1492" s="9"/>
      <c r="J1492" s="9"/>
    </row>
    <row r="1493" spans="1:10" x14ac:dyDescent="0.25">
      <c r="A1493" s="9" t="s">
        <v>6705</v>
      </c>
      <c r="B1493" s="9" t="s">
        <v>6909</v>
      </c>
      <c r="C1493" s="9"/>
      <c r="D1493" s="9"/>
      <c r="E1493" s="9"/>
      <c r="F1493" s="10" t="b">
        <v>0</v>
      </c>
      <c r="G1493" s="10" t="b">
        <v>1</v>
      </c>
      <c r="H1493" s="9"/>
      <c r="I1493" s="9"/>
      <c r="J1493" s="9"/>
    </row>
    <row r="1494" spans="1:10" x14ac:dyDescent="0.25">
      <c r="A1494" s="9" t="s">
        <v>6705</v>
      </c>
      <c r="B1494" s="9" t="s">
        <v>6910</v>
      </c>
      <c r="C1494" s="9"/>
      <c r="D1494" s="9"/>
      <c r="E1494" s="9"/>
      <c r="F1494" s="10" t="b">
        <v>0</v>
      </c>
      <c r="G1494" s="10" t="b">
        <v>1</v>
      </c>
      <c r="H1494" s="9"/>
      <c r="I1494" s="9"/>
      <c r="J1494" s="9"/>
    </row>
    <row r="1495" spans="1:10" x14ac:dyDescent="0.25">
      <c r="A1495" s="9"/>
      <c r="B1495" s="9"/>
      <c r="C1495" s="9"/>
      <c r="D1495" s="9"/>
      <c r="E1495" s="9"/>
      <c r="F1495" s="10" t="b">
        <v>0</v>
      </c>
      <c r="G1495" s="10" t="b">
        <v>0</v>
      </c>
      <c r="H1495" s="9"/>
      <c r="I1495" s="9"/>
      <c r="J1495" s="9"/>
    </row>
    <row r="1496" spans="1:10" x14ac:dyDescent="0.25">
      <c r="A1496" s="9"/>
      <c r="B1496" s="9"/>
      <c r="C1496" s="9"/>
      <c r="D1496" s="9"/>
      <c r="E1496" s="9"/>
      <c r="F1496" s="10" t="b">
        <v>0</v>
      </c>
      <c r="G1496" s="10" t="b">
        <v>0</v>
      </c>
      <c r="H1496" s="9"/>
      <c r="I1496" s="9"/>
      <c r="J1496" s="9"/>
    </row>
    <row r="1497" spans="1:10" x14ac:dyDescent="0.25">
      <c r="A1497" s="9"/>
      <c r="B1497" s="9"/>
      <c r="C1497" s="9"/>
      <c r="D1497" s="9"/>
      <c r="E1497" s="9"/>
      <c r="F1497" s="10" t="b">
        <v>0</v>
      </c>
      <c r="G1497" s="10" t="b">
        <v>0</v>
      </c>
      <c r="H1497" s="9"/>
      <c r="I1497" s="9"/>
      <c r="J1497" s="9"/>
    </row>
    <row r="1498" spans="1:10" x14ac:dyDescent="0.25">
      <c r="A1498" s="9"/>
      <c r="B1498" s="9"/>
      <c r="C1498" s="9"/>
      <c r="D1498" s="9"/>
      <c r="E1498" s="9"/>
      <c r="F1498" s="10" t="b">
        <v>0</v>
      </c>
      <c r="G1498" s="10" t="b">
        <v>0</v>
      </c>
      <c r="H1498" s="9"/>
      <c r="I1498" s="9"/>
      <c r="J1498" s="9"/>
    </row>
    <row r="1499" spans="1:10" x14ac:dyDescent="0.25">
      <c r="A1499" s="9"/>
      <c r="B1499" s="9"/>
      <c r="C1499" s="9"/>
      <c r="D1499" s="9"/>
      <c r="E1499" s="9"/>
      <c r="F1499" s="10" t="b">
        <v>0</v>
      </c>
      <c r="G1499" s="10" t="b">
        <v>0</v>
      </c>
      <c r="H1499" s="9"/>
      <c r="I1499" s="9"/>
      <c r="J1499" s="9"/>
    </row>
    <row r="1500" spans="1:10" x14ac:dyDescent="0.25">
      <c r="A1500" s="9"/>
      <c r="B1500" s="9"/>
      <c r="C1500" s="9"/>
      <c r="D1500" s="9"/>
      <c r="E1500" s="9"/>
      <c r="F1500" s="10" t="b">
        <v>0</v>
      </c>
      <c r="G1500" s="10" t="b">
        <v>0</v>
      </c>
      <c r="H1500" s="9"/>
      <c r="I1500" s="9"/>
      <c r="J1500" s="9"/>
    </row>
    <row r="1501" spans="1:10" x14ac:dyDescent="0.25">
      <c r="A1501" s="9"/>
      <c r="B1501" s="9"/>
      <c r="C1501" s="9"/>
      <c r="D1501" s="9"/>
      <c r="E1501" s="9"/>
      <c r="F1501" s="10" t="b">
        <v>0</v>
      </c>
      <c r="G1501" s="10" t="b">
        <v>0</v>
      </c>
      <c r="H1501" s="9"/>
      <c r="I1501" s="9"/>
      <c r="J1501" s="9"/>
    </row>
    <row r="1502" spans="1:10" x14ac:dyDescent="0.25">
      <c r="A1502" s="9"/>
      <c r="B1502" s="9"/>
      <c r="C1502" s="9"/>
      <c r="D1502" s="9"/>
      <c r="E1502" s="9"/>
      <c r="F1502" s="10" t="b">
        <v>0</v>
      </c>
      <c r="G1502" s="10" t="b">
        <v>0</v>
      </c>
      <c r="H1502" s="9"/>
      <c r="I1502" s="9"/>
      <c r="J1502" s="9"/>
    </row>
    <row r="1503" spans="1:10" x14ac:dyDescent="0.25">
      <c r="A1503" s="9"/>
      <c r="B1503" s="9"/>
      <c r="C1503" s="9"/>
      <c r="D1503" s="9"/>
      <c r="E1503" s="9"/>
      <c r="F1503" s="10" t="b">
        <v>0</v>
      </c>
      <c r="G1503" s="10" t="b">
        <v>0</v>
      </c>
      <c r="H1503" s="9"/>
      <c r="I1503" s="9"/>
      <c r="J1503" s="9"/>
    </row>
    <row r="1504" spans="1:10" x14ac:dyDescent="0.25">
      <c r="A1504" s="9"/>
      <c r="B1504" s="9"/>
      <c r="C1504" s="9"/>
      <c r="D1504" s="9"/>
      <c r="E1504" s="9"/>
      <c r="F1504" s="10" t="b">
        <v>0</v>
      </c>
      <c r="G1504" s="10" t="b">
        <v>0</v>
      </c>
      <c r="H1504" s="9"/>
      <c r="I1504" s="9"/>
      <c r="J1504" s="9"/>
    </row>
    <row r="1505" spans="1:10" x14ac:dyDescent="0.25">
      <c r="A1505" s="9"/>
      <c r="B1505" s="9"/>
      <c r="C1505" s="9"/>
      <c r="D1505" s="9"/>
      <c r="E1505" s="9"/>
      <c r="F1505" s="10" t="b">
        <v>0</v>
      </c>
      <c r="G1505" s="10" t="b">
        <v>0</v>
      </c>
      <c r="H1505" s="9"/>
      <c r="I1505" s="9"/>
      <c r="J1505" s="9"/>
    </row>
    <row r="1506" spans="1:10" x14ac:dyDescent="0.25">
      <c r="A1506" s="9"/>
      <c r="B1506" s="9"/>
      <c r="C1506" s="9"/>
      <c r="D1506" s="9"/>
      <c r="E1506" s="9"/>
      <c r="F1506" s="10" t="b">
        <v>0</v>
      </c>
      <c r="G1506" s="10" t="b">
        <v>0</v>
      </c>
      <c r="H1506" s="9"/>
      <c r="I1506" s="9"/>
      <c r="J1506" s="9"/>
    </row>
    <row r="1507" spans="1:10" x14ac:dyDescent="0.25">
      <c r="A1507" s="9"/>
      <c r="B1507" s="9"/>
      <c r="C1507" s="9"/>
      <c r="D1507" s="9"/>
      <c r="E1507" s="9"/>
      <c r="F1507" s="10" t="b">
        <v>0</v>
      </c>
      <c r="G1507" s="10" t="b">
        <v>0</v>
      </c>
      <c r="H1507" s="9"/>
      <c r="I1507" s="9"/>
      <c r="J1507" s="9"/>
    </row>
    <row r="1508" spans="1:10" x14ac:dyDescent="0.25">
      <c r="A1508" s="9"/>
      <c r="B1508" s="9"/>
      <c r="C1508" s="9"/>
      <c r="D1508" s="9"/>
      <c r="E1508" s="9"/>
      <c r="F1508" s="10" t="b">
        <v>0</v>
      </c>
      <c r="G1508" s="10" t="b">
        <v>0</v>
      </c>
      <c r="H1508" s="9"/>
      <c r="I1508" s="9"/>
      <c r="J1508" s="9"/>
    </row>
    <row r="1509" spans="1:10" x14ac:dyDescent="0.25">
      <c r="A1509" s="9"/>
      <c r="B1509" s="9"/>
      <c r="C1509" s="9"/>
      <c r="D1509" s="9"/>
      <c r="E1509" s="9"/>
      <c r="F1509" s="10" t="b">
        <v>0</v>
      </c>
      <c r="G1509" s="10" t="b">
        <v>0</v>
      </c>
      <c r="H1509" s="9"/>
      <c r="I1509" s="9"/>
      <c r="J1509" s="9"/>
    </row>
    <row r="1510" spans="1:10" x14ac:dyDescent="0.25">
      <c r="A1510" s="9"/>
      <c r="B1510" s="9"/>
      <c r="C1510" s="9"/>
      <c r="D1510" s="9"/>
      <c r="E1510" s="9"/>
      <c r="F1510" s="10" t="b">
        <v>0</v>
      </c>
      <c r="G1510" s="10" t="b">
        <v>0</v>
      </c>
      <c r="H1510" s="9"/>
      <c r="I1510" s="9"/>
      <c r="J1510" s="9"/>
    </row>
    <row r="1511" spans="1:10" x14ac:dyDescent="0.25">
      <c r="A1511" s="9"/>
      <c r="B1511" s="9"/>
      <c r="C1511" s="9"/>
      <c r="D1511" s="9"/>
      <c r="E1511" s="9"/>
      <c r="F1511" s="10" t="b">
        <v>0</v>
      </c>
      <c r="G1511" s="10" t="b">
        <v>0</v>
      </c>
      <c r="H1511" s="9"/>
      <c r="I1511" s="9"/>
      <c r="J1511" s="9"/>
    </row>
    <row r="1512" spans="1:10" x14ac:dyDescent="0.25">
      <c r="A1512" s="9"/>
      <c r="B1512" s="9"/>
      <c r="C1512" s="9"/>
      <c r="D1512" s="9"/>
      <c r="E1512" s="9"/>
      <c r="F1512" s="10" t="b">
        <v>0</v>
      </c>
      <c r="G1512" s="10" t="b">
        <v>0</v>
      </c>
      <c r="H1512" s="9"/>
      <c r="I1512" s="9"/>
      <c r="J1512" s="9"/>
    </row>
    <row r="1513" spans="1:10" x14ac:dyDescent="0.25">
      <c r="A1513" s="9"/>
      <c r="B1513" s="9"/>
      <c r="C1513" s="9"/>
      <c r="D1513" s="9"/>
      <c r="E1513" s="9"/>
      <c r="F1513" s="10" t="b">
        <v>0</v>
      </c>
      <c r="G1513" s="10" t="b">
        <v>0</v>
      </c>
      <c r="H1513" s="9"/>
      <c r="I1513" s="9"/>
      <c r="J1513" s="9"/>
    </row>
    <row r="1514" spans="1:10" x14ac:dyDescent="0.25">
      <c r="A1514" s="9"/>
      <c r="B1514" s="9"/>
      <c r="C1514" s="9"/>
      <c r="D1514" s="9"/>
      <c r="E1514" s="9"/>
      <c r="F1514" s="10" t="b">
        <v>0</v>
      </c>
      <c r="G1514" s="10" t="b">
        <v>0</v>
      </c>
      <c r="H1514" s="9"/>
      <c r="I1514" s="9"/>
      <c r="J1514" s="9"/>
    </row>
    <row r="1515" spans="1:10" x14ac:dyDescent="0.25">
      <c r="A1515" s="9"/>
      <c r="B1515" s="9"/>
      <c r="C1515" s="9"/>
      <c r="D1515" s="9"/>
      <c r="E1515" s="9"/>
      <c r="F1515" s="10" t="b">
        <v>0</v>
      </c>
      <c r="G1515" s="10" t="b">
        <v>0</v>
      </c>
      <c r="H1515" s="9"/>
      <c r="I1515" s="9"/>
      <c r="J1515" s="9"/>
    </row>
    <row r="1516" spans="1:10" x14ac:dyDescent="0.25">
      <c r="A1516" s="9"/>
      <c r="B1516" s="9"/>
      <c r="C1516" s="9"/>
      <c r="D1516" s="9"/>
      <c r="E1516" s="9"/>
      <c r="F1516" s="10" t="b">
        <v>0</v>
      </c>
      <c r="G1516" s="10" t="b">
        <v>0</v>
      </c>
      <c r="H1516" s="9"/>
      <c r="I1516" s="9"/>
      <c r="J1516" s="9"/>
    </row>
    <row r="1517" spans="1:10" x14ac:dyDescent="0.25">
      <c r="A1517" s="9"/>
      <c r="B1517" s="9"/>
      <c r="C1517" s="9"/>
      <c r="D1517" s="9"/>
      <c r="E1517" s="9"/>
      <c r="F1517" s="10" t="b">
        <v>0</v>
      </c>
      <c r="G1517" s="10" t="b">
        <v>0</v>
      </c>
      <c r="H1517" s="9"/>
      <c r="I1517" s="9"/>
      <c r="J1517" s="9"/>
    </row>
    <row r="1518" spans="1:10" x14ac:dyDescent="0.25">
      <c r="A1518" s="9"/>
      <c r="B1518" s="9"/>
      <c r="C1518" s="9"/>
      <c r="D1518" s="9"/>
      <c r="E1518" s="9"/>
      <c r="F1518" s="10" t="b">
        <v>0</v>
      </c>
      <c r="G1518" s="10" t="b">
        <v>0</v>
      </c>
      <c r="H1518" s="9"/>
      <c r="I1518" s="9"/>
      <c r="J1518" s="9"/>
    </row>
    <row r="1519" spans="1:10" x14ac:dyDescent="0.25">
      <c r="A1519" s="9"/>
      <c r="B1519" s="9"/>
      <c r="C1519" s="9"/>
      <c r="D1519" s="9"/>
      <c r="E1519" s="9"/>
      <c r="F1519" s="10" t="b">
        <v>0</v>
      </c>
      <c r="G1519" s="10" t="b">
        <v>0</v>
      </c>
      <c r="H1519" s="9"/>
      <c r="I1519" s="9"/>
      <c r="J1519" s="9"/>
    </row>
    <row r="1520" spans="1:10" x14ac:dyDescent="0.25">
      <c r="A1520" s="9"/>
      <c r="B1520" s="9"/>
      <c r="C1520" s="9"/>
      <c r="D1520" s="9"/>
      <c r="E1520" s="9"/>
      <c r="F1520" s="10" t="b">
        <v>0</v>
      </c>
      <c r="G1520" s="10" t="b">
        <v>0</v>
      </c>
      <c r="H1520" s="9"/>
      <c r="I1520" s="9"/>
      <c r="J1520" s="9"/>
    </row>
    <row r="1521" spans="1:10" x14ac:dyDescent="0.25">
      <c r="A1521" s="9"/>
      <c r="B1521" s="9"/>
      <c r="C1521" s="9"/>
      <c r="D1521" s="9"/>
      <c r="E1521" s="9"/>
      <c r="F1521" s="10" t="b">
        <v>0</v>
      </c>
      <c r="G1521" s="10" t="b">
        <v>0</v>
      </c>
      <c r="H1521" s="9"/>
      <c r="I1521" s="9"/>
      <c r="J1521" s="9"/>
    </row>
    <row r="1522" spans="1:10" x14ac:dyDescent="0.25">
      <c r="A1522" s="9"/>
      <c r="B1522" s="9"/>
      <c r="C1522" s="9"/>
      <c r="D1522" s="9"/>
      <c r="E1522" s="9"/>
      <c r="F1522" s="10" t="b">
        <v>0</v>
      </c>
      <c r="G1522" s="10" t="b">
        <v>0</v>
      </c>
      <c r="H1522" s="9"/>
      <c r="I1522" s="9"/>
      <c r="J1522" s="9"/>
    </row>
    <row r="1523" spans="1:10" x14ac:dyDescent="0.25">
      <c r="A1523" s="9"/>
      <c r="B1523" s="9"/>
      <c r="C1523" s="9"/>
      <c r="D1523" s="9"/>
      <c r="E1523" s="9"/>
      <c r="F1523" s="10" t="b">
        <v>0</v>
      </c>
      <c r="G1523" s="10" t="b">
        <v>0</v>
      </c>
      <c r="H1523" s="9"/>
      <c r="I1523" s="9"/>
      <c r="J1523" s="9"/>
    </row>
    <row r="1524" spans="1:10" x14ac:dyDescent="0.25">
      <c r="A1524" s="9"/>
      <c r="B1524" s="9"/>
      <c r="C1524" s="9"/>
      <c r="D1524" s="9"/>
      <c r="E1524" s="9"/>
      <c r="F1524" s="10" t="b">
        <v>0</v>
      </c>
      <c r="G1524" s="10" t="b">
        <v>0</v>
      </c>
      <c r="H1524" s="9"/>
      <c r="I1524" s="9"/>
      <c r="J1524" s="9"/>
    </row>
    <row r="1525" spans="1:10" x14ac:dyDescent="0.25">
      <c r="A1525" s="9"/>
      <c r="B1525" s="9"/>
      <c r="C1525" s="9"/>
      <c r="D1525" s="9"/>
      <c r="E1525" s="9"/>
      <c r="F1525" s="10" t="b">
        <v>0</v>
      </c>
      <c r="G1525" s="10" t="b">
        <v>0</v>
      </c>
      <c r="H1525" s="9"/>
      <c r="I1525" s="9"/>
      <c r="J1525" s="9"/>
    </row>
    <row r="1526" spans="1:10" x14ac:dyDescent="0.25">
      <c r="A1526" s="9"/>
      <c r="B1526" s="9"/>
      <c r="C1526" s="9"/>
      <c r="D1526" s="9"/>
      <c r="E1526" s="9"/>
      <c r="F1526" s="10" t="b">
        <v>0</v>
      </c>
      <c r="G1526" s="10" t="b">
        <v>0</v>
      </c>
      <c r="H1526" s="9"/>
      <c r="I1526" s="9"/>
      <c r="J1526" s="9"/>
    </row>
    <row r="1527" spans="1:10" x14ac:dyDescent="0.25">
      <c r="A1527" s="9"/>
      <c r="B1527" s="9"/>
      <c r="C1527" s="9"/>
      <c r="D1527" s="9"/>
      <c r="E1527" s="9"/>
      <c r="F1527" s="10" t="b">
        <v>0</v>
      </c>
      <c r="G1527" s="10" t="b">
        <v>0</v>
      </c>
      <c r="H1527" s="9"/>
      <c r="I1527" s="9"/>
      <c r="J1527" s="9"/>
    </row>
    <row r="1528" spans="1:10" x14ac:dyDescent="0.25">
      <c r="A1528" s="9"/>
      <c r="B1528" s="9"/>
      <c r="C1528" s="9"/>
      <c r="D1528" s="9"/>
      <c r="E1528" s="9"/>
      <c r="F1528" s="10" t="b">
        <v>0</v>
      </c>
      <c r="G1528" s="10" t="b">
        <v>0</v>
      </c>
      <c r="H1528" s="9"/>
      <c r="I1528" s="9"/>
      <c r="J1528" s="9"/>
    </row>
    <row r="1529" spans="1:10" x14ac:dyDescent="0.25">
      <c r="A1529" s="9"/>
      <c r="B1529" s="9"/>
      <c r="C1529" s="9"/>
      <c r="D1529" s="9"/>
      <c r="E1529" s="9"/>
      <c r="F1529" s="10" t="b">
        <v>0</v>
      </c>
      <c r="G1529" s="10" t="b">
        <v>0</v>
      </c>
      <c r="H1529" s="9"/>
      <c r="I1529" s="9"/>
      <c r="J1529" s="9"/>
    </row>
    <row r="1530" spans="1:10" x14ac:dyDescent="0.25">
      <c r="A1530" s="9"/>
      <c r="B1530" s="9"/>
      <c r="C1530" s="9"/>
      <c r="D1530" s="9"/>
      <c r="E1530" s="9"/>
      <c r="F1530" s="10" t="b">
        <v>0</v>
      </c>
      <c r="G1530" s="10" t="b">
        <v>0</v>
      </c>
      <c r="H1530" s="9"/>
      <c r="I1530" s="9"/>
      <c r="J1530" s="9"/>
    </row>
    <row r="1531" spans="1:10" x14ac:dyDescent="0.25">
      <c r="A1531" s="9"/>
      <c r="B1531" s="9"/>
      <c r="C1531" s="9"/>
      <c r="D1531" s="9"/>
      <c r="E1531" s="9"/>
      <c r="F1531" s="10" t="b">
        <v>0</v>
      </c>
      <c r="G1531" s="10" t="b">
        <v>0</v>
      </c>
      <c r="H1531" s="9"/>
      <c r="I1531" s="9"/>
      <c r="J1531" s="9"/>
    </row>
    <row r="1532" spans="1:10" x14ac:dyDescent="0.25">
      <c r="A1532" s="9"/>
      <c r="B1532" s="9"/>
      <c r="C1532" s="9"/>
      <c r="D1532" s="9"/>
      <c r="E1532" s="9"/>
      <c r="F1532" s="10" t="b">
        <v>0</v>
      </c>
      <c r="G1532" s="10" t="b">
        <v>0</v>
      </c>
      <c r="H1532" s="9"/>
      <c r="I1532" s="9"/>
      <c r="J1532" s="9"/>
    </row>
    <row r="1533" spans="1:10" x14ac:dyDescent="0.25">
      <c r="A1533" s="9"/>
      <c r="B1533" s="9"/>
      <c r="C1533" s="9"/>
      <c r="D1533" s="9"/>
      <c r="E1533" s="9"/>
      <c r="F1533" s="10" t="b">
        <v>0</v>
      </c>
      <c r="G1533" s="10" t="b">
        <v>0</v>
      </c>
      <c r="H1533" s="9"/>
      <c r="I1533" s="9"/>
      <c r="J1533" s="9"/>
    </row>
    <row r="1534" spans="1:10" x14ac:dyDescent="0.25">
      <c r="A1534" s="9"/>
      <c r="B1534" s="9"/>
      <c r="C1534" s="9"/>
      <c r="D1534" s="9"/>
      <c r="E1534" s="9"/>
      <c r="F1534" s="10" t="b">
        <v>0</v>
      </c>
      <c r="G1534" s="10" t="b">
        <v>0</v>
      </c>
      <c r="H1534" s="9"/>
      <c r="I1534" s="9"/>
      <c r="J1534" s="9"/>
    </row>
    <row r="1535" spans="1:10" x14ac:dyDescent="0.25">
      <c r="A1535" s="9"/>
      <c r="B1535" s="9"/>
      <c r="C1535" s="9"/>
      <c r="D1535" s="9"/>
      <c r="E1535" s="9"/>
      <c r="F1535" s="10" t="b">
        <v>0</v>
      </c>
      <c r="G1535" s="10" t="b">
        <v>0</v>
      </c>
      <c r="H1535" s="9"/>
      <c r="I1535" s="9"/>
      <c r="J1535" s="9"/>
    </row>
    <row r="1536" spans="1:10" x14ac:dyDescent="0.25">
      <c r="A1536" s="9"/>
      <c r="B1536" s="9"/>
      <c r="C1536" s="9"/>
      <c r="D1536" s="9"/>
      <c r="E1536" s="9"/>
      <c r="F1536" s="10" t="b">
        <v>0</v>
      </c>
      <c r="G1536" s="10" t="b">
        <v>0</v>
      </c>
      <c r="H1536" s="9"/>
      <c r="I1536" s="9"/>
      <c r="J1536" s="9"/>
    </row>
    <row r="1537" spans="1:10" x14ac:dyDescent="0.25">
      <c r="A1537" s="9"/>
      <c r="B1537" s="9"/>
      <c r="C1537" s="9"/>
      <c r="D1537" s="9"/>
      <c r="E1537" s="9"/>
      <c r="F1537" s="10" t="b">
        <v>0</v>
      </c>
      <c r="G1537" s="10" t="b">
        <v>0</v>
      </c>
      <c r="H1537" s="9"/>
      <c r="I1537" s="9"/>
      <c r="J1537" s="9"/>
    </row>
    <row r="1538" spans="1:10" x14ac:dyDescent="0.25">
      <c r="A1538" s="9"/>
      <c r="B1538" s="9"/>
      <c r="C1538" s="9"/>
      <c r="D1538" s="9"/>
      <c r="E1538" s="9"/>
      <c r="F1538" s="10" t="b">
        <v>0</v>
      </c>
      <c r="G1538" s="10" t="b">
        <v>0</v>
      </c>
      <c r="H1538" s="9"/>
      <c r="I1538" s="9"/>
      <c r="J1538" s="9"/>
    </row>
    <row r="1539" spans="1:10" x14ac:dyDescent="0.25">
      <c r="A1539" s="9"/>
      <c r="B1539" s="9"/>
      <c r="C1539" s="9"/>
      <c r="D1539" s="9"/>
      <c r="E1539" s="9"/>
      <c r="F1539" s="10" t="b">
        <v>0</v>
      </c>
      <c r="G1539" s="10" t="b">
        <v>0</v>
      </c>
      <c r="H1539" s="9"/>
      <c r="I1539" s="9"/>
      <c r="J1539" s="9"/>
    </row>
    <row r="1540" spans="1:10" x14ac:dyDescent="0.25">
      <c r="A1540" s="9"/>
      <c r="B1540" s="9"/>
      <c r="C1540" s="9"/>
      <c r="D1540" s="9"/>
      <c r="E1540" s="9"/>
      <c r="F1540" s="10" t="b">
        <v>0</v>
      </c>
      <c r="G1540" s="10" t="b">
        <v>0</v>
      </c>
      <c r="H1540" s="9"/>
      <c r="I1540" s="9"/>
      <c r="J1540" s="9"/>
    </row>
    <row r="1541" spans="1:10" x14ac:dyDescent="0.25">
      <c r="A1541" s="9"/>
      <c r="B1541" s="9"/>
      <c r="C1541" s="9"/>
      <c r="D1541" s="9"/>
      <c r="E1541" s="9"/>
      <c r="F1541" s="10" t="b">
        <v>0</v>
      </c>
      <c r="G1541" s="10" t="b">
        <v>0</v>
      </c>
      <c r="H1541" s="9"/>
      <c r="I1541" s="9"/>
      <c r="J1541" s="9"/>
    </row>
    <row r="1542" spans="1:10" x14ac:dyDescent="0.25">
      <c r="A1542" s="9"/>
      <c r="B1542" s="9"/>
      <c r="C1542" s="9"/>
      <c r="D1542" s="9"/>
      <c r="E1542" s="9"/>
      <c r="F1542" s="10" t="b">
        <v>0</v>
      </c>
      <c r="G1542" s="10" t="b">
        <v>0</v>
      </c>
      <c r="H1542" s="9"/>
      <c r="I1542" s="9"/>
      <c r="J1542" s="9"/>
    </row>
    <row r="1543" spans="1:10" x14ac:dyDescent="0.25">
      <c r="A1543" s="9"/>
      <c r="B1543" s="9"/>
      <c r="C1543" s="9"/>
      <c r="D1543" s="9"/>
      <c r="E1543" s="9"/>
      <c r="F1543" s="10" t="b">
        <v>0</v>
      </c>
      <c r="G1543" s="10" t="b">
        <v>0</v>
      </c>
      <c r="H1543" s="9"/>
      <c r="I1543" s="9"/>
      <c r="J1543" s="9"/>
    </row>
    <row r="1544" spans="1:10" x14ac:dyDescent="0.25">
      <c r="A1544" s="9"/>
      <c r="B1544" s="9"/>
      <c r="C1544" s="9"/>
      <c r="D1544" s="9"/>
      <c r="E1544" s="9"/>
      <c r="F1544" s="10" t="b">
        <v>0</v>
      </c>
      <c r="G1544" s="10" t="b">
        <v>0</v>
      </c>
      <c r="H1544" s="9"/>
      <c r="I1544" s="9"/>
      <c r="J1544" s="9"/>
    </row>
    <row r="1545" spans="1:10" x14ac:dyDescent="0.25">
      <c r="A1545" s="9"/>
      <c r="B1545" s="9"/>
      <c r="C1545" s="9"/>
      <c r="D1545" s="9"/>
      <c r="E1545" s="9"/>
      <c r="F1545" s="10" t="b">
        <v>0</v>
      </c>
      <c r="G1545" s="10" t="b">
        <v>0</v>
      </c>
      <c r="H1545" s="9"/>
      <c r="I1545" s="9"/>
      <c r="J1545" s="9"/>
    </row>
    <row r="1546" spans="1:10" x14ac:dyDescent="0.25">
      <c r="A1546" s="9"/>
      <c r="B1546" s="9"/>
      <c r="C1546" s="9"/>
      <c r="D1546" s="9"/>
      <c r="E1546" s="9"/>
      <c r="F1546" s="10" t="b">
        <v>0</v>
      </c>
      <c r="G1546" s="10" t="b">
        <v>0</v>
      </c>
      <c r="H1546" s="9"/>
      <c r="I1546" s="9"/>
      <c r="J1546" s="9"/>
    </row>
    <row r="1547" spans="1:10" x14ac:dyDescent="0.25">
      <c r="A1547" s="9"/>
      <c r="B1547" s="9"/>
      <c r="C1547" s="9"/>
      <c r="D1547" s="9"/>
      <c r="E1547" s="9"/>
      <c r="F1547" s="10" t="b">
        <v>0</v>
      </c>
      <c r="G1547" s="10" t="b">
        <v>0</v>
      </c>
      <c r="H1547" s="9"/>
      <c r="I1547" s="9"/>
      <c r="J1547" s="9"/>
    </row>
    <row r="1548" spans="1:10" x14ac:dyDescent="0.25">
      <c r="A1548" s="9"/>
      <c r="B1548" s="9"/>
      <c r="C1548" s="9"/>
      <c r="D1548" s="9"/>
      <c r="E1548" s="9"/>
      <c r="F1548" s="10" t="b">
        <v>0</v>
      </c>
      <c r="G1548" s="10" t="b">
        <v>0</v>
      </c>
      <c r="H1548" s="9"/>
      <c r="I1548" s="9"/>
      <c r="J1548" s="9"/>
    </row>
    <row r="1549" spans="1:10" x14ac:dyDescent="0.25">
      <c r="A1549" s="9"/>
      <c r="B1549" s="9"/>
      <c r="C1549" s="9"/>
      <c r="D1549" s="9"/>
      <c r="E1549" s="9"/>
      <c r="F1549" s="10" t="b">
        <v>0</v>
      </c>
      <c r="G1549" s="10" t="b">
        <v>0</v>
      </c>
      <c r="H1549" s="9"/>
      <c r="I1549" s="9"/>
      <c r="J1549" s="9"/>
    </row>
    <row r="1550" spans="1:10" x14ac:dyDescent="0.25">
      <c r="A1550" s="9"/>
      <c r="B1550" s="9"/>
      <c r="C1550" s="9"/>
      <c r="D1550" s="9"/>
      <c r="E1550" s="9"/>
      <c r="F1550" s="10" t="b">
        <v>0</v>
      </c>
      <c r="G1550" s="10" t="b">
        <v>0</v>
      </c>
      <c r="H1550" s="9"/>
      <c r="I1550" s="9"/>
      <c r="J1550" s="9"/>
    </row>
    <row r="1551" spans="1:10" x14ac:dyDescent="0.25">
      <c r="A1551" s="9"/>
      <c r="B1551" s="9"/>
      <c r="C1551" s="9"/>
      <c r="D1551" s="9"/>
      <c r="E1551" s="9"/>
      <c r="F1551" s="10" t="b">
        <v>0</v>
      </c>
      <c r="G1551" s="10" t="b">
        <v>0</v>
      </c>
      <c r="H1551" s="9"/>
      <c r="I1551" s="9"/>
      <c r="J1551" s="9"/>
    </row>
    <row r="1552" spans="1:10" x14ac:dyDescent="0.25">
      <c r="A1552" s="9"/>
      <c r="B1552" s="9"/>
      <c r="C1552" s="9"/>
      <c r="D1552" s="9"/>
      <c r="E1552" s="9"/>
      <c r="F1552" s="10" t="b">
        <v>0</v>
      </c>
      <c r="G1552" s="10" t="b">
        <v>0</v>
      </c>
      <c r="H1552" s="9"/>
      <c r="I1552" s="9"/>
      <c r="J1552" s="9"/>
    </row>
    <row r="1553" spans="1:10" x14ac:dyDescent="0.25">
      <c r="A1553" s="9"/>
      <c r="B1553" s="9"/>
      <c r="C1553" s="9"/>
      <c r="D1553" s="9"/>
      <c r="E1553" s="9"/>
      <c r="F1553" s="10" t="b">
        <v>0</v>
      </c>
      <c r="G1553" s="10" t="b">
        <v>0</v>
      </c>
      <c r="H1553" s="9"/>
      <c r="I1553" s="9"/>
      <c r="J1553" s="9"/>
    </row>
    <row r="1554" spans="1:10" x14ac:dyDescent="0.25">
      <c r="A1554" s="9"/>
      <c r="B1554" s="9"/>
      <c r="C1554" s="9"/>
      <c r="D1554" s="9"/>
      <c r="E1554" s="9"/>
      <c r="F1554" s="10" t="b">
        <v>0</v>
      </c>
      <c r="G1554" s="10" t="b">
        <v>0</v>
      </c>
      <c r="H1554" s="9"/>
      <c r="I1554" s="9"/>
      <c r="J1554" s="9"/>
    </row>
    <row r="1555" spans="1:10" x14ac:dyDescent="0.25">
      <c r="A1555" s="9"/>
      <c r="B1555" s="9"/>
      <c r="C1555" s="9"/>
      <c r="D1555" s="9"/>
      <c r="E1555" s="9"/>
      <c r="F1555" s="10" t="b">
        <v>0</v>
      </c>
      <c r="G1555" s="10" t="b">
        <v>0</v>
      </c>
      <c r="H1555" s="9"/>
      <c r="I1555" s="9"/>
      <c r="J1555" s="9"/>
    </row>
    <row r="1556" spans="1:10" x14ac:dyDescent="0.25">
      <c r="A1556" s="9"/>
      <c r="B1556" s="9"/>
      <c r="C1556" s="9"/>
      <c r="D1556" s="9"/>
      <c r="E1556" s="9"/>
      <c r="F1556" s="10" t="b">
        <v>0</v>
      </c>
      <c r="G1556" s="10" t="b">
        <v>0</v>
      </c>
      <c r="H1556" s="9"/>
      <c r="I1556" s="9"/>
      <c r="J1556" s="9"/>
    </row>
    <row r="1557" spans="1:10" x14ac:dyDescent="0.25">
      <c r="A1557" s="9"/>
      <c r="B1557" s="9"/>
      <c r="C1557" s="9"/>
      <c r="D1557" s="9"/>
      <c r="E1557" s="9"/>
      <c r="F1557" s="10" t="b">
        <v>0</v>
      </c>
      <c r="G1557" s="10" t="b">
        <v>0</v>
      </c>
      <c r="H1557" s="9"/>
      <c r="I1557" s="9"/>
      <c r="J1557" s="9"/>
    </row>
    <row r="1558" spans="1:10" x14ac:dyDescent="0.25">
      <c r="A1558" s="9"/>
      <c r="B1558" s="9"/>
      <c r="C1558" s="9"/>
      <c r="D1558" s="9"/>
      <c r="E1558" s="9"/>
      <c r="F1558" s="10" t="b">
        <v>0</v>
      </c>
      <c r="G1558" s="10" t="b">
        <v>0</v>
      </c>
      <c r="H1558" s="9"/>
      <c r="I1558" s="9"/>
      <c r="J1558" s="9"/>
    </row>
    <row r="1559" spans="1:10" x14ac:dyDescent="0.25">
      <c r="A1559" s="9"/>
      <c r="B1559" s="9"/>
      <c r="C1559" s="9"/>
      <c r="D1559" s="9"/>
      <c r="E1559" s="9"/>
      <c r="F1559" s="10" t="b">
        <v>0</v>
      </c>
      <c r="G1559" s="10" t="b">
        <v>0</v>
      </c>
      <c r="H1559" s="9"/>
      <c r="I1559" s="9"/>
      <c r="J1559" s="9"/>
    </row>
    <row r="1560" spans="1:10" x14ac:dyDescent="0.25">
      <c r="A1560" s="9"/>
      <c r="B1560" s="9"/>
      <c r="C1560" s="9"/>
      <c r="D1560" s="9"/>
      <c r="E1560" s="9"/>
      <c r="F1560" s="10" t="b">
        <v>0</v>
      </c>
      <c r="G1560" s="10" t="b">
        <v>0</v>
      </c>
      <c r="H1560" s="9"/>
      <c r="I1560" s="9"/>
      <c r="J1560" s="9"/>
    </row>
    <row r="1561" spans="1:10" x14ac:dyDescent="0.25">
      <c r="A1561" s="9"/>
      <c r="B1561" s="9"/>
      <c r="C1561" s="9"/>
      <c r="D1561" s="9"/>
      <c r="E1561" s="9"/>
      <c r="F1561" s="10" t="b">
        <v>0</v>
      </c>
      <c r="G1561" s="10" t="b">
        <v>0</v>
      </c>
      <c r="H1561" s="9"/>
      <c r="I1561" s="9"/>
      <c r="J1561" s="9"/>
    </row>
    <row r="1562" spans="1:10" x14ac:dyDescent="0.25">
      <c r="A1562" s="9"/>
      <c r="B1562" s="9"/>
      <c r="C1562" s="9"/>
      <c r="D1562" s="9"/>
      <c r="E1562" s="9"/>
      <c r="F1562" s="10" t="b">
        <v>0</v>
      </c>
      <c r="G1562" s="10" t="b">
        <v>0</v>
      </c>
      <c r="H1562" s="9"/>
      <c r="I1562" s="9"/>
      <c r="J1562" s="9"/>
    </row>
    <row r="1563" spans="1:10" x14ac:dyDescent="0.25">
      <c r="A1563" s="9"/>
      <c r="B1563" s="9"/>
      <c r="C1563" s="9"/>
      <c r="D1563" s="9"/>
      <c r="E1563" s="9"/>
      <c r="F1563" s="10" t="b">
        <v>0</v>
      </c>
      <c r="G1563" s="10" t="b">
        <v>0</v>
      </c>
      <c r="H1563" s="9"/>
      <c r="I1563" s="9"/>
      <c r="J1563" s="9"/>
    </row>
    <row r="1564" spans="1:10" x14ac:dyDescent="0.25">
      <c r="A1564" s="9"/>
      <c r="B1564" s="9"/>
      <c r="C1564" s="9"/>
      <c r="D1564" s="9"/>
      <c r="E1564" s="9"/>
      <c r="F1564" s="10" t="b">
        <v>0</v>
      </c>
      <c r="G1564" s="10" t="b">
        <v>0</v>
      </c>
      <c r="H1564" s="9"/>
      <c r="I1564" s="9"/>
      <c r="J1564" s="9"/>
    </row>
    <row r="1565" spans="1:10" x14ac:dyDescent="0.25">
      <c r="A1565" s="9"/>
      <c r="B1565" s="9"/>
      <c r="C1565" s="9"/>
      <c r="D1565" s="9"/>
      <c r="E1565" s="9"/>
      <c r="F1565" s="10" t="b">
        <v>0</v>
      </c>
      <c r="G1565" s="10" t="b">
        <v>0</v>
      </c>
      <c r="H1565" s="9"/>
      <c r="I1565" s="9"/>
      <c r="J1565" s="9"/>
    </row>
    <row r="1566" spans="1:10" x14ac:dyDescent="0.25">
      <c r="A1566" s="9"/>
      <c r="B1566" s="9"/>
      <c r="C1566" s="9"/>
      <c r="D1566" s="9"/>
      <c r="E1566" s="9"/>
      <c r="F1566" s="10" t="b">
        <v>0</v>
      </c>
      <c r="G1566" s="10" t="b">
        <v>0</v>
      </c>
      <c r="H1566" s="9"/>
      <c r="I1566" s="9"/>
      <c r="J1566" s="9"/>
    </row>
    <row r="1567" spans="1:10" x14ac:dyDescent="0.25">
      <c r="A1567" s="9"/>
      <c r="B1567" s="9"/>
      <c r="C1567" s="9"/>
      <c r="D1567" s="9"/>
      <c r="E1567" s="9"/>
      <c r="F1567" s="10" t="b">
        <v>0</v>
      </c>
      <c r="G1567" s="10" t="b">
        <v>0</v>
      </c>
      <c r="H1567" s="9"/>
      <c r="I1567" s="9"/>
      <c r="J1567" s="9"/>
    </row>
    <row r="1568" spans="1:10" x14ac:dyDescent="0.25">
      <c r="A1568" s="9"/>
      <c r="B1568" s="9"/>
      <c r="C1568" s="9"/>
      <c r="D1568" s="9"/>
      <c r="E1568" s="9"/>
      <c r="F1568" s="10" t="b">
        <v>0</v>
      </c>
      <c r="G1568" s="10" t="b">
        <v>0</v>
      </c>
      <c r="H1568" s="9"/>
      <c r="I1568" s="9"/>
      <c r="J1568" s="9"/>
    </row>
    <row r="1569" spans="1:10" x14ac:dyDescent="0.25">
      <c r="A1569" s="9"/>
      <c r="B1569" s="9"/>
      <c r="C1569" s="9"/>
      <c r="D1569" s="9"/>
      <c r="E1569" s="9"/>
      <c r="F1569" s="10" t="b">
        <v>0</v>
      </c>
      <c r="G1569" s="10" t="b">
        <v>0</v>
      </c>
      <c r="H1569" s="9"/>
      <c r="I1569" s="9"/>
      <c r="J1569" s="9"/>
    </row>
    <row r="1570" spans="1:10" x14ac:dyDescent="0.25">
      <c r="A1570" s="9"/>
      <c r="B1570" s="9"/>
      <c r="C1570" s="9"/>
      <c r="D1570" s="9"/>
      <c r="E1570" s="9"/>
      <c r="F1570" s="10" t="b">
        <v>0</v>
      </c>
      <c r="G1570" s="10" t="b">
        <v>0</v>
      </c>
      <c r="H1570" s="9"/>
      <c r="I1570" s="9"/>
      <c r="J1570" s="9"/>
    </row>
    <row r="1571" spans="1:10" x14ac:dyDescent="0.25">
      <c r="A1571" s="9"/>
      <c r="B1571" s="9"/>
      <c r="C1571" s="9"/>
      <c r="D1571" s="9"/>
      <c r="E1571" s="9"/>
      <c r="F1571" s="10" t="b">
        <v>0</v>
      </c>
      <c r="G1571" s="10" t="b">
        <v>0</v>
      </c>
      <c r="H1571" s="9"/>
      <c r="I1571" s="9"/>
      <c r="J1571" s="9"/>
    </row>
    <row r="1572" spans="1:10" x14ac:dyDescent="0.25">
      <c r="A1572" s="9"/>
      <c r="B1572" s="9"/>
      <c r="C1572" s="9"/>
      <c r="D1572" s="9"/>
      <c r="E1572" s="9"/>
      <c r="F1572" s="10" t="b">
        <v>0</v>
      </c>
      <c r="G1572" s="10" t="b">
        <v>0</v>
      </c>
      <c r="H1572" s="9"/>
      <c r="I1572" s="9"/>
      <c r="J1572" s="9"/>
    </row>
    <row r="1573" spans="1:10" x14ac:dyDescent="0.25">
      <c r="A1573" s="9"/>
      <c r="B1573" s="9"/>
      <c r="C1573" s="9"/>
      <c r="D1573" s="9"/>
      <c r="E1573" s="9"/>
      <c r="F1573" s="10" t="b">
        <v>0</v>
      </c>
      <c r="G1573" s="10" t="b">
        <v>0</v>
      </c>
      <c r="H1573" s="9"/>
      <c r="I1573" s="9"/>
      <c r="J1573" s="9"/>
    </row>
    <row r="1574" spans="1:10" x14ac:dyDescent="0.25">
      <c r="A1574" s="9"/>
      <c r="B1574" s="9"/>
      <c r="C1574" s="9"/>
      <c r="D1574" s="9"/>
      <c r="E1574" s="9"/>
      <c r="F1574" s="10" t="b">
        <v>0</v>
      </c>
      <c r="G1574" s="10" t="b">
        <v>0</v>
      </c>
      <c r="H1574" s="9"/>
      <c r="I1574" s="9"/>
      <c r="J1574" s="9"/>
    </row>
    <row r="1575" spans="1:10" x14ac:dyDescent="0.25">
      <c r="A1575" s="9"/>
      <c r="B1575" s="9"/>
      <c r="C1575" s="9"/>
      <c r="D1575" s="9"/>
      <c r="E1575" s="9"/>
      <c r="F1575" s="10" t="b">
        <v>0</v>
      </c>
      <c r="G1575" s="10" t="b">
        <v>0</v>
      </c>
      <c r="H1575" s="9"/>
      <c r="I1575" s="9"/>
      <c r="J1575" s="9"/>
    </row>
    <row r="1576" spans="1:10" x14ac:dyDescent="0.25">
      <c r="A1576" s="9"/>
      <c r="B1576" s="9"/>
      <c r="C1576" s="9"/>
      <c r="D1576" s="9"/>
      <c r="E1576" s="9"/>
      <c r="F1576" s="10" t="b">
        <v>0</v>
      </c>
      <c r="G1576" s="10" t="b">
        <v>0</v>
      </c>
      <c r="H1576" s="9"/>
      <c r="I1576" s="9"/>
      <c r="J1576" s="9"/>
    </row>
    <row r="1577" spans="1:10" x14ac:dyDescent="0.25">
      <c r="A1577" s="9"/>
      <c r="B1577" s="9"/>
      <c r="C1577" s="9"/>
      <c r="D1577" s="9"/>
      <c r="E1577" s="9"/>
      <c r="F1577" s="10" t="b">
        <v>0</v>
      </c>
      <c r="G1577" s="10" t="b">
        <v>0</v>
      </c>
      <c r="H1577" s="9"/>
      <c r="I1577" s="9"/>
      <c r="J1577" s="9"/>
    </row>
    <row r="1578" spans="1:10" x14ac:dyDescent="0.25">
      <c r="A1578" s="9"/>
      <c r="B1578" s="9"/>
      <c r="C1578" s="9"/>
      <c r="D1578" s="9"/>
      <c r="E1578" s="9"/>
      <c r="F1578" s="10" t="b">
        <v>0</v>
      </c>
      <c r="G1578" s="10" t="b">
        <v>0</v>
      </c>
      <c r="H1578" s="9"/>
      <c r="I1578" s="9"/>
      <c r="J1578" s="9"/>
    </row>
    <row r="1579" spans="1:10" x14ac:dyDescent="0.25">
      <c r="A1579" s="9"/>
      <c r="B1579" s="9"/>
      <c r="C1579" s="9"/>
      <c r="D1579" s="9"/>
      <c r="E1579" s="9"/>
      <c r="F1579" s="10" t="b">
        <v>0</v>
      </c>
      <c r="G1579" s="10" t="b">
        <v>0</v>
      </c>
      <c r="H1579" s="9"/>
      <c r="I1579" s="9"/>
      <c r="J1579" s="9"/>
    </row>
    <row r="1580" spans="1:10" x14ac:dyDescent="0.25">
      <c r="A1580" s="9"/>
      <c r="B1580" s="9"/>
      <c r="C1580" s="9"/>
      <c r="D1580" s="9"/>
      <c r="E1580" s="9"/>
      <c r="F1580" s="10" t="b">
        <v>0</v>
      </c>
      <c r="G1580" s="10" t="b">
        <v>0</v>
      </c>
      <c r="H1580" s="9"/>
      <c r="I1580" s="9"/>
      <c r="J1580" s="9"/>
    </row>
    <row r="1581" spans="1:10" x14ac:dyDescent="0.25">
      <c r="A1581" s="9"/>
      <c r="B1581" s="9"/>
      <c r="C1581" s="9"/>
      <c r="D1581" s="9"/>
      <c r="E1581" s="9"/>
      <c r="F1581" s="10" t="b">
        <v>0</v>
      </c>
      <c r="G1581" s="10" t="b">
        <v>0</v>
      </c>
      <c r="H1581" s="9"/>
      <c r="I1581" s="9"/>
      <c r="J1581" s="9"/>
    </row>
    <row r="1582" spans="1:10" x14ac:dyDescent="0.25">
      <c r="A1582" s="9"/>
      <c r="B1582" s="9"/>
      <c r="C1582" s="9"/>
      <c r="D1582" s="9"/>
      <c r="E1582" s="9"/>
      <c r="F1582" s="10" t="b">
        <v>0</v>
      </c>
      <c r="G1582" s="10" t="b">
        <v>0</v>
      </c>
      <c r="H1582" s="9"/>
      <c r="I1582" s="9"/>
      <c r="J1582" s="9"/>
    </row>
    <row r="1583" spans="1:10" x14ac:dyDescent="0.25">
      <c r="A1583" s="9"/>
      <c r="B1583" s="9"/>
      <c r="C1583" s="9"/>
      <c r="D1583" s="9"/>
      <c r="E1583" s="9"/>
      <c r="F1583" s="10" t="b">
        <v>0</v>
      </c>
      <c r="G1583" s="10" t="b">
        <v>0</v>
      </c>
      <c r="H1583" s="9"/>
      <c r="I1583" s="9"/>
      <c r="J1583" s="9"/>
    </row>
    <row r="1584" spans="1:10" x14ac:dyDescent="0.25">
      <c r="A1584" s="9"/>
      <c r="B1584" s="9"/>
      <c r="C1584" s="9"/>
      <c r="D1584" s="9"/>
      <c r="E1584" s="9"/>
      <c r="F1584" s="10" t="b">
        <v>0</v>
      </c>
      <c r="G1584" s="10" t="b">
        <v>0</v>
      </c>
      <c r="H1584" s="9"/>
      <c r="I1584" s="9"/>
      <c r="J1584" s="9"/>
    </row>
    <row r="1585" spans="1:10" x14ac:dyDescent="0.25">
      <c r="A1585" s="9"/>
      <c r="B1585" s="9"/>
      <c r="C1585" s="9"/>
      <c r="D1585" s="9"/>
      <c r="E1585" s="9"/>
      <c r="F1585" s="10" t="b">
        <v>0</v>
      </c>
      <c r="G1585" s="10" t="b">
        <v>0</v>
      </c>
      <c r="H1585" s="9"/>
      <c r="I1585" s="9"/>
      <c r="J1585" s="9"/>
    </row>
    <row r="1586" spans="1:10" x14ac:dyDescent="0.25">
      <c r="A1586" s="9"/>
      <c r="B1586" s="9"/>
      <c r="C1586" s="9"/>
      <c r="D1586" s="9"/>
      <c r="E1586" s="9"/>
      <c r="F1586" s="10" t="b">
        <v>0</v>
      </c>
      <c r="G1586" s="10" t="b">
        <v>0</v>
      </c>
      <c r="H1586" s="9"/>
      <c r="I1586" s="9"/>
      <c r="J1586" s="9"/>
    </row>
    <row r="1587" spans="1:10" x14ac:dyDescent="0.25">
      <c r="A1587" s="9"/>
      <c r="B1587" s="9"/>
      <c r="C1587" s="9"/>
      <c r="D1587" s="9"/>
      <c r="E1587" s="9"/>
      <c r="F1587" s="10" t="b">
        <v>0</v>
      </c>
      <c r="G1587" s="10" t="b">
        <v>0</v>
      </c>
      <c r="H1587" s="9"/>
      <c r="I1587" s="9"/>
      <c r="J1587" s="9"/>
    </row>
    <row r="1588" spans="1:10" x14ac:dyDescent="0.25">
      <c r="A1588" s="9"/>
      <c r="B1588" s="9"/>
      <c r="C1588" s="9"/>
      <c r="D1588" s="9"/>
      <c r="E1588" s="9"/>
      <c r="F1588" s="10" t="b">
        <v>0</v>
      </c>
      <c r="G1588" s="10" t="b">
        <v>0</v>
      </c>
      <c r="H1588" s="9"/>
      <c r="I1588" s="9"/>
      <c r="J1588" s="9"/>
    </row>
    <row r="1589" spans="1:10" x14ac:dyDescent="0.25">
      <c r="A1589" s="9"/>
      <c r="B1589" s="9"/>
      <c r="C1589" s="9"/>
      <c r="D1589" s="9"/>
      <c r="E1589" s="9"/>
      <c r="F1589" s="10" t="b">
        <v>0</v>
      </c>
      <c r="G1589" s="10" t="b">
        <v>0</v>
      </c>
      <c r="H1589" s="9"/>
      <c r="I1589" s="9"/>
      <c r="J1589" s="9"/>
    </row>
    <row r="1590" spans="1:10" x14ac:dyDescent="0.25">
      <c r="A1590" s="9"/>
      <c r="B1590" s="9"/>
      <c r="C1590" s="9"/>
      <c r="D1590" s="9"/>
      <c r="E1590" s="9"/>
      <c r="F1590" s="10" t="b">
        <v>0</v>
      </c>
      <c r="G1590" s="10" t="b">
        <v>0</v>
      </c>
      <c r="H1590" s="9"/>
      <c r="I1590" s="9"/>
      <c r="J1590" s="9"/>
    </row>
    <row r="1591" spans="1:10" x14ac:dyDescent="0.25">
      <c r="A1591" s="9"/>
      <c r="B1591" s="9"/>
      <c r="C1591" s="9"/>
      <c r="D1591" s="9"/>
      <c r="E1591" s="9"/>
      <c r="F1591" s="10" t="b">
        <v>0</v>
      </c>
      <c r="G1591" s="10" t="b">
        <v>0</v>
      </c>
      <c r="H1591" s="9"/>
      <c r="I1591" s="9"/>
      <c r="J1591" s="9"/>
    </row>
    <row r="1592" spans="1:10" x14ac:dyDescent="0.25">
      <c r="A1592" s="9"/>
      <c r="B1592" s="9"/>
      <c r="C1592" s="9"/>
      <c r="D1592" s="9"/>
      <c r="E1592" s="9"/>
      <c r="F1592" s="10" t="b">
        <v>0</v>
      </c>
      <c r="G1592" s="10" t="b">
        <v>0</v>
      </c>
      <c r="H1592" s="9"/>
      <c r="I1592" s="9"/>
      <c r="J1592" s="9"/>
    </row>
    <row r="1593" spans="1:10" x14ac:dyDescent="0.25">
      <c r="A1593" s="9"/>
      <c r="B1593" s="9"/>
      <c r="C1593" s="9"/>
      <c r="D1593" s="9"/>
      <c r="E1593" s="9"/>
      <c r="F1593" s="10" t="b">
        <v>0</v>
      </c>
      <c r="G1593" s="10" t="b">
        <v>0</v>
      </c>
      <c r="H1593" s="9"/>
      <c r="I1593" s="9"/>
      <c r="J1593" s="9"/>
    </row>
    <row r="1594" spans="1:10" x14ac:dyDescent="0.25">
      <c r="A1594" s="9"/>
      <c r="B1594" s="9"/>
      <c r="C1594" s="9"/>
      <c r="D1594" s="9"/>
      <c r="E1594" s="9"/>
      <c r="F1594" s="10" t="b">
        <v>0</v>
      </c>
      <c r="G1594" s="10" t="b">
        <v>0</v>
      </c>
      <c r="H1594" s="9"/>
      <c r="I1594" s="9"/>
      <c r="J1594" s="9"/>
    </row>
    <row r="1595" spans="1:10" x14ac:dyDescent="0.25">
      <c r="A1595" s="9"/>
      <c r="B1595" s="9"/>
      <c r="C1595" s="9"/>
      <c r="D1595" s="9"/>
      <c r="E1595" s="9"/>
      <c r="F1595" s="10" t="b">
        <v>0</v>
      </c>
      <c r="G1595" s="10" t="b">
        <v>0</v>
      </c>
      <c r="H1595" s="9"/>
      <c r="I1595" s="9"/>
      <c r="J1595" s="9"/>
    </row>
    <row r="1596" spans="1:10" x14ac:dyDescent="0.25">
      <c r="A1596" s="9"/>
      <c r="B1596" s="9"/>
      <c r="C1596" s="9"/>
      <c r="D1596" s="9"/>
      <c r="E1596" s="9"/>
      <c r="F1596" s="10" t="b">
        <v>0</v>
      </c>
      <c r="G1596" s="10" t="b">
        <v>0</v>
      </c>
      <c r="H1596" s="9"/>
      <c r="I1596" s="9"/>
      <c r="J1596" s="9"/>
    </row>
    <row r="1597" spans="1:10" x14ac:dyDescent="0.25">
      <c r="A1597" s="9"/>
      <c r="B1597" s="9"/>
      <c r="C1597" s="9"/>
      <c r="D1597" s="9"/>
      <c r="E1597" s="9"/>
      <c r="F1597" s="10" t="b">
        <v>0</v>
      </c>
      <c r="G1597" s="10" t="b">
        <v>0</v>
      </c>
      <c r="H1597" s="9"/>
      <c r="I1597" s="9"/>
      <c r="J1597" s="9"/>
    </row>
    <row r="1598" spans="1:10" x14ac:dyDescent="0.25">
      <c r="A1598" s="9"/>
      <c r="B1598" s="9"/>
      <c r="C1598" s="9"/>
      <c r="D1598" s="9"/>
      <c r="E1598" s="9"/>
      <c r="F1598" s="10" t="b">
        <v>0</v>
      </c>
      <c r="G1598" s="10" t="b">
        <v>0</v>
      </c>
      <c r="H1598" s="9"/>
      <c r="I1598" s="9"/>
      <c r="J1598" s="9"/>
    </row>
    <row r="1599" spans="1:10" x14ac:dyDescent="0.25">
      <c r="A1599" s="9"/>
      <c r="B1599" s="9"/>
      <c r="C1599" s="9"/>
      <c r="D1599" s="9"/>
      <c r="E1599" s="9"/>
      <c r="F1599" s="10" t="b">
        <v>0</v>
      </c>
      <c r="G1599" s="10" t="b">
        <v>0</v>
      </c>
      <c r="H1599" s="9"/>
      <c r="I1599" s="9"/>
      <c r="J1599" s="9"/>
    </row>
    <row r="1600" spans="1:10" x14ac:dyDescent="0.25">
      <c r="A1600" s="9"/>
      <c r="B1600" s="9"/>
      <c r="C1600" s="9"/>
      <c r="D1600" s="9"/>
      <c r="E1600" s="9"/>
      <c r="F1600" s="10" t="b">
        <v>0</v>
      </c>
      <c r="G1600" s="10" t="b">
        <v>0</v>
      </c>
      <c r="H1600" s="9"/>
      <c r="I1600" s="9"/>
      <c r="J1600" s="9"/>
    </row>
    <row r="1601" spans="1:10" x14ac:dyDescent="0.25">
      <c r="A1601" s="9"/>
      <c r="B1601" s="9"/>
      <c r="C1601" s="9"/>
      <c r="D1601" s="9"/>
      <c r="E1601" s="9"/>
      <c r="F1601" s="10" t="b">
        <v>0</v>
      </c>
      <c r="G1601" s="10" t="b">
        <v>0</v>
      </c>
      <c r="H1601" s="9"/>
      <c r="I1601" s="9"/>
      <c r="J1601" s="9"/>
    </row>
    <row r="1602" spans="1:10" x14ac:dyDescent="0.25">
      <c r="A1602" s="9"/>
      <c r="B1602" s="9"/>
      <c r="C1602" s="9"/>
      <c r="D1602" s="9"/>
      <c r="E1602" s="9"/>
      <c r="F1602" s="10" t="b">
        <v>0</v>
      </c>
      <c r="G1602" s="10" t="b">
        <v>0</v>
      </c>
      <c r="H1602" s="9"/>
      <c r="I1602" s="9"/>
      <c r="J1602" s="9"/>
    </row>
    <row r="1603" spans="1:10" x14ac:dyDescent="0.25">
      <c r="A1603" s="9"/>
      <c r="B1603" s="9"/>
      <c r="C1603" s="9"/>
      <c r="D1603" s="9"/>
      <c r="E1603" s="9"/>
      <c r="F1603" s="10" t="b">
        <v>0</v>
      </c>
      <c r="G1603" s="10" t="b">
        <v>0</v>
      </c>
      <c r="H1603" s="9"/>
      <c r="I1603" s="9"/>
      <c r="J1603" s="9"/>
    </row>
    <row r="1604" spans="1:10" x14ac:dyDescent="0.25">
      <c r="A1604" s="9"/>
      <c r="B1604" s="9"/>
      <c r="C1604" s="9"/>
      <c r="D1604" s="9"/>
      <c r="E1604" s="9"/>
      <c r="F1604" s="10" t="b">
        <v>0</v>
      </c>
      <c r="G1604" s="10" t="b">
        <v>0</v>
      </c>
      <c r="H1604" s="9"/>
      <c r="I1604" s="9"/>
      <c r="J1604" s="9"/>
    </row>
    <row r="1605" spans="1:10" x14ac:dyDescent="0.25">
      <c r="A1605" s="9"/>
      <c r="B1605" s="9"/>
      <c r="C1605" s="9"/>
      <c r="D1605" s="9"/>
      <c r="E1605" s="9"/>
      <c r="F1605" s="10" t="b">
        <v>0</v>
      </c>
      <c r="G1605" s="10" t="b">
        <v>0</v>
      </c>
      <c r="H1605" s="9"/>
      <c r="I1605" s="9"/>
      <c r="J1605" s="9"/>
    </row>
    <row r="1606" spans="1:10" x14ac:dyDescent="0.25">
      <c r="A1606" s="9"/>
      <c r="B1606" s="9"/>
      <c r="C1606" s="9"/>
      <c r="D1606" s="9"/>
      <c r="E1606" s="9"/>
      <c r="F1606" s="10" t="b">
        <v>0</v>
      </c>
      <c r="G1606" s="10" t="b">
        <v>0</v>
      </c>
      <c r="H1606" s="9"/>
      <c r="I1606" s="9"/>
      <c r="J1606" s="9"/>
    </row>
    <row r="1607" spans="1:10" x14ac:dyDescent="0.25">
      <c r="A1607" s="9"/>
      <c r="B1607" s="9"/>
      <c r="C1607" s="9"/>
      <c r="D1607" s="9"/>
      <c r="E1607" s="9"/>
      <c r="F1607" s="10" t="b">
        <v>0</v>
      </c>
      <c r="G1607" s="10" t="b">
        <v>0</v>
      </c>
      <c r="H1607" s="9"/>
      <c r="I1607" s="9"/>
      <c r="J1607" s="9"/>
    </row>
    <row r="1608" spans="1:10" x14ac:dyDescent="0.25">
      <c r="A1608" s="9"/>
      <c r="B1608" s="9"/>
      <c r="C1608" s="9"/>
      <c r="D1608" s="9"/>
      <c r="E1608" s="9"/>
      <c r="F1608" s="10" t="b">
        <v>0</v>
      </c>
      <c r="G1608" s="10" t="b">
        <v>0</v>
      </c>
      <c r="H1608" s="9"/>
      <c r="I1608" s="9"/>
      <c r="J1608" s="9"/>
    </row>
    <row r="1609" spans="1:10" x14ac:dyDescent="0.25">
      <c r="A1609" s="9"/>
      <c r="B1609" s="9"/>
      <c r="C1609" s="9"/>
      <c r="D1609" s="9"/>
      <c r="E1609" s="9"/>
      <c r="F1609" s="10" t="b">
        <v>0</v>
      </c>
      <c r="G1609" s="10" t="b">
        <v>0</v>
      </c>
      <c r="H1609" s="9"/>
      <c r="I1609" s="9"/>
      <c r="J1609" s="9"/>
    </row>
    <row r="1610" spans="1:10" x14ac:dyDescent="0.25">
      <c r="A1610" s="9"/>
      <c r="B1610" s="9"/>
      <c r="C1610" s="9"/>
      <c r="D1610" s="9"/>
      <c r="E1610" s="9"/>
      <c r="F1610" s="10" t="b">
        <v>0</v>
      </c>
      <c r="G1610" s="10" t="b">
        <v>0</v>
      </c>
      <c r="H1610" s="9"/>
      <c r="I1610" s="9"/>
      <c r="J1610" s="9"/>
    </row>
    <row r="1611" spans="1:10" x14ac:dyDescent="0.25">
      <c r="A1611" s="9"/>
      <c r="B1611" s="9"/>
      <c r="C1611" s="9"/>
      <c r="D1611" s="9"/>
      <c r="E1611" s="9"/>
      <c r="F1611" s="10" t="b">
        <v>0</v>
      </c>
      <c r="G1611" s="10" t="b">
        <v>0</v>
      </c>
      <c r="H1611" s="9"/>
      <c r="I1611" s="9"/>
      <c r="J1611" s="9"/>
    </row>
    <row r="1612" spans="1:10" x14ac:dyDescent="0.25">
      <c r="A1612" s="9"/>
      <c r="B1612" s="9"/>
      <c r="C1612" s="9"/>
      <c r="D1612" s="9"/>
      <c r="E1612" s="9"/>
      <c r="F1612" s="10" t="b">
        <v>0</v>
      </c>
      <c r="G1612" s="10" t="b">
        <v>0</v>
      </c>
      <c r="H1612" s="9"/>
      <c r="I1612" s="9"/>
      <c r="J1612" s="9"/>
    </row>
    <row r="1613" spans="1:10" x14ac:dyDescent="0.25">
      <c r="A1613" s="9"/>
      <c r="B1613" s="9"/>
      <c r="C1613" s="9"/>
      <c r="D1613" s="9"/>
      <c r="E1613" s="9"/>
      <c r="F1613" s="10" t="b">
        <v>0</v>
      </c>
      <c r="G1613" s="10" t="b">
        <v>0</v>
      </c>
      <c r="H1613" s="9"/>
      <c r="I1613" s="9"/>
      <c r="J1613" s="9"/>
    </row>
    <row r="1614" spans="1:10" x14ac:dyDescent="0.25">
      <c r="A1614" s="9"/>
      <c r="B1614" s="9"/>
      <c r="C1614" s="9"/>
      <c r="D1614" s="9"/>
      <c r="E1614" s="9"/>
      <c r="F1614" s="10" t="b">
        <v>0</v>
      </c>
      <c r="G1614" s="10" t="b">
        <v>0</v>
      </c>
      <c r="H1614" s="9"/>
      <c r="I1614" s="9"/>
      <c r="J1614" s="9"/>
    </row>
    <row r="1615" spans="1:10" x14ac:dyDescent="0.25">
      <c r="A1615" s="9"/>
      <c r="B1615" s="9"/>
      <c r="C1615" s="9"/>
      <c r="D1615" s="9"/>
      <c r="E1615" s="9"/>
      <c r="F1615" s="10" t="b">
        <v>0</v>
      </c>
      <c r="G1615" s="10" t="b">
        <v>0</v>
      </c>
      <c r="H1615" s="9"/>
      <c r="I1615" s="9"/>
      <c r="J1615" s="9"/>
    </row>
    <row r="1616" spans="1:10" x14ac:dyDescent="0.25">
      <c r="A1616" s="9"/>
      <c r="B1616" s="9"/>
      <c r="C1616" s="9"/>
      <c r="D1616" s="9"/>
      <c r="E1616" s="9"/>
      <c r="F1616" s="10" t="b">
        <v>0</v>
      </c>
      <c r="G1616" s="10" t="b">
        <v>0</v>
      </c>
      <c r="H1616" s="9"/>
      <c r="I1616" s="9"/>
      <c r="J1616" s="9"/>
    </row>
    <row r="1617" spans="1:10" x14ac:dyDescent="0.25">
      <c r="A1617" s="9"/>
      <c r="B1617" s="9"/>
      <c r="C1617" s="9"/>
      <c r="D1617" s="9"/>
      <c r="E1617" s="9"/>
      <c r="F1617" s="10" t="b">
        <v>0</v>
      </c>
      <c r="G1617" s="10" t="b">
        <v>0</v>
      </c>
      <c r="H1617" s="9"/>
      <c r="I1617" s="9"/>
      <c r="J1617" s="9"/>
    </row>
    <row r="1618" spans="1:10" x14ac:dyDescent="0.25">
      <c r="A1618" s="9"/>
      <c r="B1618" s="9"/>
      <c r="C1618" s="9"/>
      <c r="D1618" s="9"/>
      <c r="E1618" s="9"/>
      <c r="F1618" s="10" t="b">
        <v>0</v>
      </c>
      <c r="G1618" s="10" t="b">
        <v>0</v>
      </c>
      <c r="H1618" s="9"/>
      <c r="I1618" s="9"/>
      <c r="J1618" s="9"/>
    </row>
    <row r="1619" spans="1:10" x14ac:dyDescent="0.25">
      <c r="A1619" s="9"/>
      <c r="B1619" s="9"/>
      <c r="C1619" s="9"/>
      <c r="D1619" s="9"/>
      <c r="E1619" s="9"/>
      <c r="F1619" s="10" t="b">
        <v>0</v>
      </c>
      <c r="G1619" s="10" t="b">
        <v>0</v>
      </c>
      <c r="H1619" s="9"/>
      <c r="I1619" s="9"/>
      <c r="J1619" s="9"/>
    </row>
    <row r="1620" spans="1:10" x14ac:dyDescent="0.25">
      <c r="A1620" s="9"/>
      <c r="B1620" s="9"/>
      <c r="C1620" s="9"/>
      <c r="D1620" s="9"/>
      <c r="E1620" s="9"/>
      <c r="F1620" s="10" t="b">
        <v>0</v>
      </c>
      <c r="G1620" s="10" t="b">
        <v>0</v>
      </c>
      <c r="H1620" s="9"/>
      <c r="I1620" s="9"/>
      <c r="J1620" s="9"/>
    </row>
    <row r="1621" spans="1:10" x14ac:dyDescent="0.25">
      <c r="A1621" s="9"/>
      <c r="B1621" s="9"/>
      <c r="C1621" s="9"/>
      <c r="D1621" s="9"/>
      <c r="E1621" s="9"/>
      <c r="F1621" s="10" t="b">
        <v>0</v>
      </c>
      <c r="G1621" s="10" t="b">
        <v>0</v>
      </c>
      <c r="H1621" s="9"/>
      <c r="I1621" s="9"/>
      <c r="J1621" s="9"/>
    </row>
    <row r="1622" spans="1:10" x14ac:dyDescent="0.25">
      <c r="A1622" s="9"/>
      <c r="B1622" s="9"/>
      <c r="C1622" s="9"/>
      <c r="D1622" s="9"/>
      <c r="E1622" s="9"/>
      <c r="F1622" s="10" t="b">
        <v>0</v>
      </c>
      <c r="G1622" s="10" t="b">
        <v>0</v>
      </c>
      <c r="H1622" s="9"/>
      <c r="I1622" s="9"/>
      <c r="J1622" s="9"/>
    </row>
    <row r="1623" spans="1:10" x14ac:dyDescent="0.25">
      <c r="A1623" s="9"/>
      <c r="B1623" s="9"/>
      <c r="C1623" s="9"/>
      <c r="D1623" s="9"/>
      <c r="E1623" s="9"/>
      <c r="F1623" s="10" t="b">
        <v>0</v>
      </c>
      <c r="G1623" s="10" t="b">
        <v>0</v>
      </c>
      <c r="H1623" s="9"/>
      <c r="I1623" s="9"/>
      <c r="J1623" s="9"/>
    </row>
    <row r="1624" spans="1:10" x14ac:dyDescent="0.25">
      <c r="A1624" s="9"/>
      <c r="B1624" s="9"/>
      <c r="C1624" s="9"/>
      <c r="D1624" s="9"/>
      <c r="E1624" s="9"/>
      <c r="F1624" s="10" t="b">
        <v>0</v>
      </c>
      <c r="G1624" s="10" t="b">
        <v>0</v>
      </c>
      <c r="H1624" s="9"/>
      <c r="I1624" s="9"/>
      <c r="J1624" s="9"/>
    </row>
    <row r="1625" spans="1:10" x14ac:dyDescent="0.25">
      <c r="A1625" s="9"/>
      <c r="B1625" s="9"/>
      <c r="C1625" s="9"/>
      <c r="D1625" s="9"/>
      <c r="E1625" s="9"/>
      <c r="F1625" s="10" t="b">
        <v>0</v>
      </c>
      <c r="G1625" s="10" t="b">
        <v>0</v>
      </c>
      <c r="H1625" s="9"/>
      <c r="I1625" s="9"/>
      <c r="J1625" s="9"/>
    </row>
    <row r="1626" spans="1:10" x14ac:dyDescent="0.25">
      <c r="A1626" s="9"/>
      <c r="B1626" s="9"/>
      <c r="C1626" s="9"/>
      <c r="D1626" s="9"/>
      <c r="E1626" s="9"/>
      <c r="F1626" s="10" t="b">
        <v>0</v>
      </c>
      <c r="G1626" s="10" t="b">
        <v>0</v>
      </c>
      <c r="H1626" s="9"/>
      <c r="I1626" s="9"/>
      <c r="J1626" s="9"/>
    </row>
    <row r="1627" spans="1:10" x14ac:dyDescent="0.25">
      <c r="A1627" s="9"/>
      <c r="B1627" s="9"/>
      <c r="C1627" s="9"/>
      <c r="D1627" s="9"/>
      <c r="E1627" s="9"/>
      <c r="F1627" s="10" t="b">
        <v>0</v>
      </c>
      <c r="G1627" s="10" t="b">
        <v>0</v>
      </c>
      <c r="H1627" s="9"/>
      <c r="I1627" s="9"/>
      <c r="J1627" s="9"/>
    </row>
    <row r="1628" spans="1:10" x14ac:dyDescent="0.25">
      <c r="A1628" s="9"/>
      <c r="B1628" s="9"/>
      <c r="C1628" s="9"/>
      <c r="D1628" s="9"/>
      <c r="E1628" s="9"/>
      <c r="F1628" s="10" t="b">
        <v>0</v>
      </c>
      <c r="G1628" s="10" t="b">
        <v>0</v>
      </c>
      <c r="H1628" s="9"/>
      <c r="I1628" s="9"/>
      <c r="J1628" s="9"/>
    </row>
    <row r="1629" spans="1:10" x14ac:dyDescent="0.25">
      <c r="A1629" s="9"/>
      <c r="B1629" s="9"/>
      <c r="C1629" s="9"/>
      <c r="D1629" s="9"/>
      <c r="E1629" s="9"/>
      <c r="F1629" s="10" t="b">
        <v>0</v>
      </c>
      <c r="G1629" s="10" t="b">
        <v>0</v>
      </c>
      <c r="H1629" s="9"/>
      <c r="I1629" s="9"/>
      <c r="J1629" s="9"/>
    </row>
    <row r="1630" spans="1:10" x14ac:dyDescent="0.25">
      <c r="A1630" s="9"/>
      <c r="B1630" s="9"/>
      <c r="C1630" s="9"/>
      <c r="D1630" s="9"/>
      <c r="E1630" s="9"/>
      <c r="F1630" s="10" t="b">
        <v>0</v>
      </c>
      <c r="G1630" s="10" t="b">
        <v>0</v>
      </c>
      <c r="H1630" s="9"/>
      <c r="I1630" s="9"/>
      <c r="J1630" s="9"/>
    </row>
    <row r="1631" spans="1:10" x14ac:dyDescent="0.25">
      <c r="A1631" s="9"/>
      <c r="B1631" s="9"/>
      <c r="C1631" s="9"/>
      <c r="D1631" s="9"/>
      <c r="E1631" s="9"/>
      <c r="F1631" s="10" t="b">
        <v>0</v>
      </c>
      <c r="G1631" s="10" t="b">
        <v>0</v>
      </c>
      <c r="H1631" s="9"/>
      <c r="I1631" s="9"/>
      <c r="J1631" s="9"/>
    </row>
    <row r="1632" spans="1:10" x14ac:dyDescent="0.25">
      <c r="A1632" s="9"/>
      <c r="B1632" s="9"/>
      <c r="C1632" s="9"/>
      <c r="D1632" s="9"/>
      <c r="E1632" s="9"/>
      <c r="F1632" s="10" t="b">
        <v>0</v>
      </c>
      <c r="G1632" s="10" t="b">
        <v>0</v>
      </c>
      <c r="H1632" s="9"/>
      <c r="I1632" s="9"/>
      <c r="J1632" s="9"/>
    </row>
    <row r="1633" spans="1:10" x14ac:dyDescent="0.25">
      <c r="A1633" s="9"/>
      <c r="B1633" s="9"/>
      <c r="C1633" s="9"/>
      <c r="D1633" s="9"/>
      <c r="E1633" s="9"/>
      <c r="F1633" s="10" t="b">
        <v>0</v>
      </c>
      <c r="G1633" s="10" t="b">
        <v>0</v>
      </c>
      <c r="H1633" s="9"/>
      <c r="I1633" s="9"/>
      <c r="J1633" s="9"/>
    </row>
    <row r="1634" spans="1:10" x14ac:dyDescent="0.25">
      <c r="A1634" s="9"/>
      <c r="B1634" s="9"/>
      <c r="C1634" s="9"/>
      <c r="D1634" s="9"/>
      <c r="E1634" s="9"/>
      <c r="F1634" s="10" t="b">
        <v>0</v>
      </c>
      <c r="G1634" s="10" t="b">
        <v>0</v>
      </c>
      <c r="H1634" s="9"/>
      <c r="I1634" s="9"/>
      <c r="J1634" s="9"/>
    </row>
    <row r="1635" spans="1:10" x14ac:dyDescent="0.25">
      <c r="A1635" s="9"/>
      <c r="B1635" s="9"/>
      <c r="C1635" s="9"/>
      <c r="D1635" s="9"/>
      <c r="E1635" s="9"/>
      <c r="F1635" s="10" t="b">
        <v>0</v>
      </c>
      <c r="G1635" s="10" t="b">
        <v>0</v>
      </c>
      <c r="H1635" s="9"/>
      <c r="I1635" s="9"/>
      <c r="J1635" s="9"/>
    </row>
    <row r="1636" spans="1:10" x14ac:dyDescent="0.25">
      <c r="A1636" s="9"/>
      <c r="B1636" s="9"/>
      <c r="C1636" s="9"/>
      <c r="D1636" s="9"/>
      <c r="E1636" s="9"/>
      <c r="F1636" s="10" t="b">
        <v>0</v>
      </c>
      <c r="G1636" s="10" t="b">
        <v>0</v>
      </c>
      <c r="H1636" s="9"/>
      <c r="I1636" s="9"/>
      <c r="J1636" s="9"/>
    </row>
    <row r="1637" spans="1:10" x14ac:dyDescent="0.25">
      <c r="A1637" s="9"/>
      <c r="B1637" s="9"/>
      <c r="C1637" s="9"/>
      <c r="D1637" s="9"/>
      <c r="E1637" s="9"/>
      <c r="F1637" s="10" t="b">
        <v>0</v>
      </c>
      <c r="G1637" s="10" t="b">
        <v>0</v>
      </c>
      <c r="H1637" s="9"/>
      <c r="I1637" s="9"/>
      <c r="J1637" s="9"/>
    </row>
    <row r="1638" spans="1:10" x14ac:dyDescent="0.25">
      <c r="A1638" s="9"/>
      <c r="B1638" s="9"/>
      <c r="C1638" s="9"/>
      <c r="D1638" s="9"/>
      <c r="E1638" s="9"/>
      <c r="F1638" s="10" t="b">
        <v>0</v>
      </c>
      <c r="G1638" s="10" t="b">
        <v>0</v>
      </c>
      <c r="H1638" s="9"/>
      <c r="I1638" s="9"/>
      <c r="J1638" s="9"/>
    </row>
    <row r="1639" spans="1:10" x14ac:dyDescent="0.25">
      <c r="A1639" s="9"/>
      <c r="B1639" s="9"/>
      <c r="C1639" s="9"/>
      <c r="D1639" s="9"/>
      <c r="E1639" s="9"/>
      <c r="F1639" s="10" t="b">
        <v>0</v>
      </c>
      <c r="G1639" s="10" t="b">
        <v>0</v>
      </c>
      <c r="H1639" s="9"/>
      <c r="I1639" s="9"/>
      <c r="J1639" s="9"/>
    </row>
    <row r="1640" spans="1:10" x14ac:dyDescent="0.25">
      <c r="A1640" s="9"/>
      <c r="B1640" s="9"/>
      <c r="C1640" s="9"/>
      <c r="D1640" s="9"/>
      <c r="E1640" s="9"/>
      <c r="F1640" s="10" t="b">
        <v>0</v>
      </c>
      <c r="G1640" s="10" t="b">
        <v>0</v>
      </c>
      <c r="H1640" s="9"/>
      <c r="I1640" s="9"/>
      <c r="J1640" s="9"/>
    </row>
    <row r="1641" spans="1:10" x14ac:dyDescent="0.25">
      <c r="A1641" s="9"/>
      <c r="B1641" s="9"/>
      <c r="C1641" s="9"/>
      <c r="D1641" s="9"/>
      <c r="E1641" s="9"/>
      <c r="F1641" s="10" t="b">
        <v>0</v>
      </c>
      <c r="G1641" s="10" t="b">
        <v>0</v>
      </c>
      <c r="H1641" s="9"/>
      <c r="I1641" s="9"/>
      <c r="J1641" s="9"/>
    </row>
    <row r="1642" spans="1:10" x14ac:dyDescent="0.25">
      <c r="A1642" s="9"/>
      <c r="B1642" s="9"/>
      <c r="C1642" s="9"/>
      <c r="D1642" s="9"/>
      <c r="E1642" s="9"/>
      <c r="F1642" s="10" t="b">
        <v>0</v>
      </c>
      <c r="G1642" s="10" t="b">
        <v>0</v>
      </c>
      <c r="H1642" s="9"/>
      <c r="I1642" s="9"/>
      <c r="J1642" s="9"/>
    </row>
    <row r="1643" spans="1:10" x14ac:dyDescent="0.25">
      <c r="A1643" s="9"/>
      <c r="B1643" s="9"/>
      <c r="C1643" s="9"/>
      <c r="D1643" s="9"/>
      <c r="E1643" s="9"/>
      <c r="F1643" s="10" t="b">
        <v>0</v>
      </c>
      <c r="G1643" s="10" t="b">
        <v>0</v>
      </c>
      <c r="H1643" s="9"/>
      <c r="I1643" s="9"/>
      <c r="J1643" s="9"/>
    </row>
    <row r="1644" spans="1:10" x14ac:dyDescent="0.25">
      <c r="A1644" s="9"/>
      <c r="B1644" s="9"/>
      <c r="C1644" s="9"/>
      <c r="D1644" s="9"/>
      <c r="E1644" s="9"/>
      <c r="F1644" s="10" t="b">
        <v>0</v>
      </c>
      <c r="G1644" s="10" t="b">
        <v>0</v>
      </c>
      <c r="H1644" s="9"/>
      <c r="I1644" s="9"/>
      <c r="J1644" s="9"/>
    </row>
    <row r="1645" spans="1:10" x14ac:dyDescent="0.25">
      <c r="A1645" s="9"/>
      <c r="B1645" s="9"/>
      <c r="C1645" s="9"/>
      <c r="D1645" s="9"/>
      <c r="E1645" s="9"/>
      <c r="F1645" s="10" t="b">
        <v>0</v>
      </c>
      <c r="G1645" s="10" t="b">
        <v>0</v>
      </c>
      <c r="H1645" s="9"/>
      <c r="I1645" s="9"/>
      <c r="J1645" s="9"/>
    </row>
    <row r="1646" spans="1:10" x14ac:dyDescent="0.25">
      <c r="A1646" s="9"/>
      <c r="B1646" s="9"/>
      <c r="C1646" s="9"/>
      <c r="D1646" s="9"/>
      <c r="E1646" s="9"/>
      <c r="F1646" s="10" t="b">
        <v>0</v>
      </c>
      <c r="G1646" s="10" t="b">
        <v>0</v>
      </c>
      <c r="H1646" s="9"/>
      <c r="I1646" s="9"/>
      <c r="J1646" s="9"/>
    </row>
    <row r="1647" spans="1:10" x14ac:dyDescent="0.25">
      <c r="A1647" s="9"/>
      <c r="B1647" s="9"/>
      <c r="C1647" s="9"/>
      <c r="D1647" s="9"/>
      <c r="E1647" s="9"/>
      <c r="F1647" s="10" t="b">
        <v>0</v>
      </c>
      <c r="G1647" s="10" t="b">
        <v>0</v>
      </c>
      <c r="H1647" s="9"/>
      <c r="I1647" s="9"/>
      <c r="J1647" s="9"/>
    </row>
    <row r="1648" spans="1:10" x14ac:dyDescent="0.25">
      <c r="A1648" s="9"/>
      <c r="B1648" s="9"/>
      <c r="C1648" s="9"/>
      <c r="D1648" s="9"/>
      <c r="E1648" s="9"/>
      <c r="F1648" s="10" t="b">
        <v>0</v>
      </c>
      <c r="G1648" s="10" t="b">
        <v>0</v>
      </c>
      <c r="H1648" s="9"/>
      <c r="I1648" s="9"/>
      <c r="J1648" s="9"/>
    </row>
    <row r="1649" spans="1:10" x14ac:dyDescent="0.25">
      <c r="A1649" s="9"/>
      <c r="B1649" s="9"/>
      <c r="C1649" s="9"/>
      <c r="D1649" s="9"/>
      <c r="E1649" s="9"/>
      <c r="F1649" s="10" t="b">
        <v>0</v>
      </c>
      <c r="G1649" s="10" t="b">
        <v>0</v>
      </c>
      <c r="H1649" s="9"/>
      <c r="I1649" s="9"/>
      <c r="J1649" s="9"/>
    </row>
    <row r="1650" spans="1:10" x14ac:dyDescent="0.25">
      <c r="A1650" s="9"/>
      <c r="B1650" s="9"/>
      <c r="C1650" s="9"/>
      <c r="D1650" s="9"/>
      <c r="E1650" s="9"/>
      <c r="F1650" s="10" t="b">
        <v>0</v>
      </c>
      <c r="G1650" s="10" t="b">
        <v>0</v>
      </c>
      <c r="H1650" s="9"/>
      <c r="I1650" s="9"/>
      <c r="J1650" s="9"/>
    </row>
    <row r="1651" spans="1:10" x14ac:dyDescent="0.25">
      <c r="A1651" s="9"/>
      <c r="B1651" s="9"/>
      <c r="C1651" s="9"/>
      <c r="D1651" s="9"/>
      <c r="E1651" s="9"/>
      <c r="F1651" s="10" t="b">
        <v>0</v>
      </c>
      <c r="G1651" s="10" t="b">
        <v>0</v>
      </c>
      <c r="H1651" s="9"/>
      <c r="I1651" s="9"/>
      <c r="J1651" s="9"/>
    </row>
    <row r="1652" spans="1:10" x14ac:dyDescent="0.25">
      <c r="A1652" s="9"/>
      <c r="B1652" s="9"/>
      <c r="C1652" s="9"/>
      <c r="D1652" s="9"/>
      <c r="E1652" s="9"/>
      <c r="F1652" s="10" t="b">
        <v>0</v>
      </c>
      <c r="G1652" s="10" t="b">
        <v>0</v>
      </c>
      <c r="H1652" s="9"/>
      <c r="I1652" s="9"/>
      <c r="J1652" s="9"/>
    </row>
    <row r="1653" spans="1:10" x14ac:dyDescent="0.25">
      <c r="A1653" s="9"/>
      <c r="B1653" s="9"/>
      <c r="C1653" s="9"/>
      <c r="D1653" s="9"/>
      <c r="E1653" s="9"/>
      <c r="F1653" s="10" t="b">
        <v>0</v>
      </c>
      <c r="G1653" s="10" t="b">
        <v>0</v>
      </c>
      <c r="H1653" s="9"/>
      <c r="I1653" s="9"/>
      <c r="J1653" s="9"/>
    </row>
    <row r="1654" spans="1:10" x14ac:dyDescent="0.25">
      <c r="A1654" s="9"/>
      <c r="B1654" s="9"/>
      <c r="C1654" s="9"/>
      <c r="D1654" s="9"/>
      <c r="E1654" s="9"/>
      <c r="F1654" s="10" t="b">
        <v>0</v>
      </c>
      <c r="G1654" s="10" t="b">
        <v>0</v>
      </c>
      <c r="H1654" s="9"/>
      <c r="I1654" s="9"/>
      <c r="J1654" s="9"/>
    </row>
    <row r="1655" spans="1:10" x14ac:dyDescent="0.25">
      <c r="A1655" s="9"/>
      <c r="B1655" s="9"/>
      <c r="C1655" s="9"/>
      <c r="D1655" s="9"/>
      <c r="E1655" s="9"/>
      <c r="F1655" s="10" t="b">
        <v>0</v>
      </c>
      <c r="G1655" s="10" t="b">
        <v>0</v>
      </c>
      <c r="H1655" s="9"/>
      <c r="I1655" s="9"/>
      <c r="J1655" s="9"/>
    </row>
    <row r="1656" spans="1:10" x14ac:dyDescent="0.25">
      <c r="A1656" s="9"/>
      <c r="B1656" s="9"/>
      <c r="C1656" s="9"/>
      <c r="D1656" s="9"/>
      <c r="E1656" s="9"/>
      <c r="F1656" s="10" t="b">
        <v>0</v>
      </c>
      <c r="G1656" s="10" t="b">
        <v>0</v>
      </c>
      <c r="H1656" s="9"/>
      <c r="I1656" s="9"/>
      <c r="J1656" s="9"/>
    </row>
    <row r="1657" spans="1:10" x14ac:dyDescent="0.25">
      <c r="A1657" s="9"/>
      <c r="B1657" s="9"/>
      <c r="C1657" s="9"/>
      <c r="D1657" s="9"/>
      <c r="E1657" s="9"/>
      <c r="F1657" s="10" t="b">
        <v>0</v>
      </c>
      <c r="G1657" s="10" t="b">
        <v>0</v>
      </c>
      <c r="H1657" s="9"/>
      <c r="I1657" s="9"/>
      <c r="J1657" s="9"/>
    </row>
    <row r="1658" spans="1:10" x14ac:dyDescent="0.25">
      <c r="A1658" s="9"/>
      <c r="B1658" s="9"/>
      <c r="C1658" s="9"/>
      <c r="D1658" s="9"/>
      <c r="E1658" s="9"/>
      <c r="F1658" s="10" t="b">
        <v>0</v>
      </c>
      <c r="G1658" s="10" t="b">
        <v>0</v>
      </c>
      <c r="H1658" s="9"/>
      <c r="I1658" s="9"/>
      <c r="J1658" s="9"/>
    </row>
    <row r="1659" spans="1:10" x14ac:dyDescent="0.25">
      <c r="A1659" s="9"/>
      <c r="B1659" s="9"/>
      <c r="C1659" s="9"/>
      <c r="D1659" s="9"/>
      <c r="E1659" s="9"/>
      <c r="F1659" s="10" t="b">
        <v>0</v>
      </c>
      <c r="G1659" s="10" t="b">
        <v>0</v>
      </c>
      <c r="H1659" s="9"/>
      <c r="I1659" s="9"/>
      <c r="J1659" s="9"/>
    </row>
    <row r="1660" spans="1:10" x14ac:dyDescent="0.25">
      <c r="A1660" s="9"/>
      <c r="B1660" s="9"/>
      <c r="C1660" s="9"/>
      <c r="D1660" s="9"/>
      <c r="E1660" s="9"/>
      <c r="F1660" s="10" t="b">
        <v>0</v>
      </c>
      <c r="G1660" s="10" t="b">
        <v>0</v>
      </c>
      <c r="H1660" s="9"/>
      <c r="I1660" s="9"/>
      <c r="J1660" s="9"/>
    </row>
    <row r="1661" spans="1:10" x14ac:dyDescent="0.25">
      <c r="A1661" s="9"/>
      <c r="B1661" s="9"/>
      <c r="C1661" s="9"/>
      <c r="D1661" s="9"/>
      <c r="E1661" s="9"/>
      <c r="F1661" s="10" t="b">
        <v>0</v>
      </c>
      <c r="G1661" s="10" t="b">
        <v>0</v>
      </c>
      <c r="H1661" s="9"/>
      <c r="I1661" s="9"/>
      <c r="J1661" s="9"/>
    </row>
    <row r="1662" spans="1:10" x14ac:dyDescent="0.25">
      <c r="A1662" s="9"/>
      <c r="B1662" s="9"/>
      <c r="C1662" s="9"/>
      <c r="D1662" s="9"/>
      <c r="E1662" s="9"/>
      <c r="F1662" s="10" t="b">
        <v>0</v>
      </c>
      <c r="G1662" s="10" t="b">
        <v>0</v>
      </c>
      <c r="H1662" s="9"/>
      <c r="I1662" s="9"/>
      <c r="J1662" s="9"/>
    </row>
    <row r="1663" spans="1:10" x14ac:dyDescent="0.25">
      <c r="A1663" s="9"/>
      <c r="B1663" s="9"/>
      <c r="C1663" s="9"/>
      <c r="D1663" s="9"/>
      <c r="E1663" s="9"/>
      <c r="F1663" s="10" t="b">
        <v>0</v>
      </c>
      <c r="G1663" s="10" t="b">
        <v>0</v>
      </c>
      <c r="H1663" s="9"/>
      <c r="I1663" s="9"/>
      <c r="J1663" s="9"/>
    </row>
    <row r="1664" spans="1:10" x14ac:dyDescent="0.25">
      <c r="A1664" s="9"/>
      <c r="B1664" s="9"/>
      <c r="C1664" s="9"/>
      <c r="D1664" s="9"/>
      <c r="E1664" s="9"/>
      <c r="F1664" s="10" t="b">
        <v>0</v>
      </c>
      <c r="G1664" s="10" t="b">
        <v>0</v>
      </c>
      <c r="H1664" s="9"/>
      <c r="I1664" s="9"/>
      <c r="J1664" s="9"/>
    </row>
    <row r="1665" spans="1:10" x14ac:dyDescent="0.25">
      <c r="A1665" s="9"/>
      <c r="B1665" s="9"/>
      <c r="C1665" s="9"/>
      <c r="D1665" s="9"/>
      <c r="E1665" s="9"/>
      <c r="F1665" s="10" t="b">
        <v>0</v>
      </c>
      <c r="G1665" s="10" t="b">
        <v>0</v>
      </c>
      <c r="H1665" s="9"/>
      <c r="I1665" s="9"/>
      <c r="J1665" s="9"/>
    </row>
    <row r="1666" spans="1:10" x14ac:dyDescent="0.25">
      <c r="A1666" s="9"/>
      <c r="B1666" s="9"/>
      <c r="C1666" s="9"/>
      <c r="D1666" s="9"/>
      <c r="E1666" s="9"/>
      <c r="F1666" s="10" t="b">
        <v>0</v>
      </c>
      <c r="G1666" s="10" t="b">
        <v>0</v>
      </c>
      <c r="H1666" s="9"/>
      <c r="I1666" s="9"/>
      <c r="J1666" s="9"/>
    </row>
    <row r="1667" spans="1:10" x14ac:dyDescent="0.25">
      <c r="A1667" s="9"/>
      <c r="B1667" s="9"/>
      <c r="C1667" s="9"/>
      <c r="D1667" s="9"/>
      <c r="E1667" s="9"/>
      <c r="F1667" s="10" t="b">
        <v>0</v>
      </c>
      <c r="G1667" s="10" t="b">
        <v>0</v>
      </c>
      <c r="H1667" s="9"/>
      <c r="I1667" s="9"/>
      <c r="J1667" s="9"/>
    </row>
    <row r="1668" spans="1:10" x14ac:dyDescent="0.25">
      <c r="A1668" s="9"/>
      <c r="B1668" s="9"/>
      <c r="C1668" s="9"/>
      <c r="D1668" s="9"/>
      <c r="E1668" s="9"/>
      <c r="F1668" s="10" t="b">
        <v>0</v>
      </c>
      <c r="G1668" s="10" t="b">
        <v>0</v>
      </c>
      <c r="H1668" s="9"/>
      <c r="I1668" s="9"/>
      <c r="J1668" s="9"/>
    </row>
    <row r="1669" spans="1:10" x14ac:dyDescent="0.25">
      <c r="A1669" s="9"/>
      <c r="B1669" s="9"/>
      <c r="C1669" s="9"/>
      <c r="D1669" s="9"/>
      <c r="E1669" s="9"/>
      <c r="F1669" s="10" t="b">
        <v>0</v>
      </c>
      <c r="G1669" s="10" t="b">
        <v>0</v>
      </c>
      <c r="H1669" s="9"/>
      <c r="I1669" s="9"/>
      <c r="J1669" s="9"/>
    </row>
    <row r="1670" spans="1:10" x14ac:dyDescent="0.25">
      <c r="A1670" s="9"/>
      <c r="B1670" s="9"/>
      <c r="C1670" s="9"/>
      <c r="D1670" s="9"/>
      <c r="E1670" s="9"/>
      <c r="F1670" s="10" t="b">
        <v>0</v>
      </c>
      <c r="G1670" s="10" t="b">
        <v>0</v>
      </c>
      <c r="H1670" s="9"/>
      <c r="I1670" s="9"/>
      <c r="J1670" s="9"/>
    </row>
    <row r="1671" spans="1:10" x14ac:dyDescent="0.25">
      <c r="A1671" s="9"/>
      <c r="B1671" s="9"/>
      <c r="C1671" s="9"/>
      <c r="D1671" s="9"/>
      <c r="E1671" s="9"/>
      <c r="F1671" s="10" t="b">
        <v>0</v>
      </c>
      <c r="G1671" s="10" t="b">
        <v>0</v>
      </c>
      <c r="H1671" s="9"/>
      <c r="I1671" s="9"/>
      <c r="J1671" s="9"/>
    </row>
    <row r="1672" spans="1:10" x14ac:dyDescent="0.25">
      <c r="A1672" s="9"/>
      <c r="B1672" s="9"/>
      <c r="C1672" s="9"/>
      <c r="D1672" s="9"/>
      <c r="E1672" s="9"/>
      <c r="F1672" s="10" t="b">
        <v>0</v>
      </c>
      <c r="G1672" s="10" t="b">
        <v>0</v>
      </c>
      <c r="H1672" s="9"/>
      <c r="I1672" s="9"/>
      <c r="J1672" s="9"/>
    </row>
    <row r="1673" spans="1:10" x14ac:dyDescent="0.25">
      <c r="A1673" s="9"/>
      <c r="B1673" s="9"/>
      <c r="C1673" s="9"/>
      <c r="D1673" s="9"/>
      <c r="E1673" s="9"/>
      <c r="F1673" s="10" t="b">
        <v>0</v>
      </c>
      <c r="G1673" s="10" t="b">
        <v>0</v>
      </c>
      <c r="H1673" s="9"/>
      <c r="I1673" s="9"/>
      <c r="J1673" s="9"/>
    </row>
    <row r="1674" spans="1:10" x14ac:dyDescent="0.25">
      <c r="A1674" s="9"/>
      <c r="B1674" s="9"/>
      <c r="C1674" s="9"/>
      <c r="D1674" s="9"/>
      <c r="E1674" s="9"/>
      <c r="F1674" s="10" t="b">
        <v>0</v>
      </c>
      <c r="G1674" s="10" t="b">
        <v>0</v>
      </c>
      <c r="H1674" s="9"/>
      <c r="I1674" s="9"/>
      <c r="J1674" s="9"/>
    </row>
    <row r="1675" spans="1:10" x14ac:dyDescent="0.25">
      <c r="A1675" s="9"/>
      <c r="B1675" s="9"/>
      <c r="C1675" s="9"/>
      <c r="D1675" s="9"/>
      <c r="E1675" s="9"/>
      <c r="F1675" s="10" t="b">
        <v>0</v>
      </c>
      <c r="G1675" s="10" t="b">
        <v>0</v>
      </c>
      <c r="H1675" s="9"/>
      <c r="I1675" s="9"/>
      <c r="J1675" s="9"/>
    </row>
    <row r="1676" spans="1:10" x14ac:dyDescent="0.25">
      <c r="A1676" s="9"/>
      <c r="B1676" s="9"/>
      <c r="C1676" s="9"/>
      <c r="D1676" s="9"/>
      <c r="E1676" s="9"/>
      <c r="F1676" s="10" t="b">
        <v>0</v>
      </c>
      <c r="G1676" s="10" t="b">
        <v>0</v>
      </c>
      <c r="H1676" s="9"/>
      <c r="I1676" s="9"/>
      <c r="J1676" s="9"/>
    </row>
    <row r="1677" spans="1:10" x14ac:dyDescent="0.25">
      <c r="A1677" s="9"/>
      <c r="B1677" s="9"/>
      <c r="C1677" s="9"/>
      <c r="D1677" s="9"/>
      <c r="E1677" s="9"/>
      <c r="F1677" s="10" t="b">
        <v>0</v>
      </c>
      <c r="G1677" s="10" t="b">
        <v>0</v>
      </c>
      <c r="H1677" s="9"/>
      <c r="I1677" s="9"/>
      <c r="J1677" s="9"/>
    </row>
    <row r="1678" spans="1:10" x14ac:dyDescent="0.25">
      <c r="A1678" s="9"/>
      <c r="B1678" s="9"/>
      <c r="C1678" s="9"/>
      <c r="D1678" s="9"/>
      <c r="E1678" s="9"/>
      <c r="F1678" s="10" t="b">
        <v>0</v>
      </c>
      <c r="G1678" s="10" t="b">
        <v>0</v>
      </c>
      <c r="H1678" s="9"/>
      <c r="I1678" s="9"/>
      <c r="J1678" s="9"/>
    </row>
    <row r="1679" spans="1:10" x14ac:dyDescent="0.25">
      <c r="A1679" s="9"/>
      <c r="B1679" s="9"/>
      <c r="C1679" s="9"/>
      <c r="D1679" s="9"/>
      <c r="E1679" s="9"/>
      <c r="F1679" s="10" t="b">
        <v>0</v>
      </c>
      <c r="G1679" s="10" t="b">
        <v>0</v>
      </c>
      <c r="H1679" s="9"/>
      <c r="I1679" s="9"/>
      <c r="J1679" s="9"/>
    </row>
    <row r="1680" spans="1:10" x14ac:dyDescent="0.25">
      <c r="A1680" s="9"/>
      <c r="B1680" s="9"/>
      <c r="C1680" s="9"/>
      <c r="D1680" s="9"/>
      <c r="E1680" s="9"/>
      <c r="F1680" s="10" t="b">
        <v>0</v>
      </c>
      <c r="G1680" s="10" t="b">
        <v>0</v>
      </c>
      <c r="H1680" s="9"/>
      <c r="I1680" s="9"/>
      <c r="J1680" s="9"/>
    </row>
    <row r="1681" spans="1:10" x14ac:dyDescent="0.25">
      <c r="A1681" s="9"/>
      <c r="B1681" s="9"/>
      <c r="C1681" s="9"/>
      <c r="D1681" s="9"/>
      <c r="E1681" s="9"/>
      <c r="F1681" s="10" t="b">
        <v>0</v>
      </c>
      <c r="G1681" s="10" t="b">
        <v>0</v>
      </c>
      <c r="H1681" s="9"/>
      <c r="I1681" s="9"/>
      <c r="J1681" s="9"/>
    </row>
    <row r="1682" spans="1:10" x14ac:dyDescent="0.25">
      <c r="A1682" s="9"/>
      <c r="B1682" s="9"/>
      <c r="C1682" s="9"/>
      <c r="D1682" s="9"/>
      <c r="E1682" s="9"/>
      <c r="F1682" s="10" t="b">
        <v>0</v>
      </c>
      <c r="G1682" s="10" t="b">
        <v>0</v>
      </c>
      <c r="H1682" s="9"/>
      <c r="I1682" s="9"/>
      <c r="J1682" s="9"/>
    </row>
    <row r="1683" spans="1:10" x14ac:dyDescent="0.25">
      <c r="A1683" s="9"/>
      <c r="B1683" s="9"/>
      <c r="C1683" s="9"/>
      <c r="D1683" s="9"/>
      <c r="E1683" s="9"/>
      <c r="F1683" s="10" t="b">
        <v>0</v>
      </c>
      <c r="G1683" s="10" t="b">
        <v>0</v>
      </c>
      <c r="H1683" s="9"/>
      <c r="I1683" s="9"/>
      <c r="J1683" s="9"/>
    </row>
    <row r="1684" spans="1:10" x14ac:dyDescent="0.25">
      <c r="A1684" s="9"/>
      <c r="B1684" s="9"/>
      <c r="C1684" s="9"/>
      <c r="D1684" s="9"/>
      <c r="E1684" s="9"/>
      <c r="F1684" s="10" t="b">
        <v>0</v>
      </c>
      <c r="G1684" s="10" t="b">
        <v>0</v>
      </c>
      <c r="H1684" s="9"/>
      <c r="I1684" s="9"/>
      <c r="J1684" s="9"/>
    </row>
    <row r="1685" spans="1:10" x14ac:dyDescent="0.25">
      <c r="A1685" s="9"/>
      <c r="B1685" s="9"/>
      <c r="C1685" s="9"/>
      <c r="D1685" s="9"/>
      <c r="E1685" s="9"/>
      <c r="F1685" s="10" t="b">
        <v>0</v>
      </c>
      <c r="G1685" s="10" t="b">
        <v>0</v>
      </c>
      <c r="H1685" s="9"/>
      <c r="I1685" s="9"/>
      <c r="J1685" s="9"/>
    </row>
    <row r="1686" spans="1:10" x14ac:dyDescent="0.25">
      <c r="A1686" s="9"/>
      <c r="B1686" s="9"/>
      <c r="C1686" s="9"/>
      <c r="D1686" s="9"/>
      <c r="E1686" s="9"/>
      <c r="F1686" s="10" t="b">
        <v>0</v>
      </c>
      <c r="G1686" s="10" t="b">
        <v>0</v>
      </c>
      <c r="H1686" s="9"/>
      <c r="I1686" s="9"/>
      <c r="J1686" s="9"/>
    </row>
    <row r="1687" spans="1:10" x14ac:dyDescent="0.25">
      <c r="A1687" s="9"/>
      <c r="B1687" s="9"/>
      <c r="C1687" s="9"/>
      <c r="D1687" s="9"/>
      <c r="E1687" s="9"/>
      <c r="F1687" s="10" t="b">
        <v>0</v>
      </c>
      <c r="G1687" s="10" t="b">
        <v>0</v>
      </c>
      <c r="H1687" s="9"/>
      <c r="I1687" s="9"/>
      <c r="J1687" s="9"/>
    </row>
    <row r="1688" spans="1:10" x14ac:dyDescent="0.25">
      <c r="A1688" s="9"/>
      <c r="B1688" s="9"/>
      <c r="C1688" s="9"/>
      <c r="D1688" s="9"/>
      <c r="E1688" s="9"/>
      <c r="F1688" s="10" t="b">
        <v>0</v>
      </c>
      <c r="G1688" s="10" t="b">
        <v>0</v>
      </c>
      <c r="H1688" s="9"/>
      <c r="I1688" s="9"/>
      <c r="J1688" s="9"/>
    </row>
    <row r="1689" spans="1:10" x14ac:dyDescent="0.25">
      <c r="A1689" s="9"/>
      <c r="B1689" s="9"/>
      <c r="C1689" s="9"/>
      <c r="D1689" s="9"/>
      <c r="E1689" s="9"/>
      <c r="F1689" s="10" t="b">
        <v>0</v>
      </c>
      <c r="G1689" s="10" t="b">
        <v>0</v>
      </c>
      <c r="H1689" s="9"/>
      <c r="I1689" s="9"/>
      <c r="J1689" s="9"/>
    </row>
    <row r="1690" spans="1:10" x14ac:dyDescent="0.25">
      <c r="A1690" s="9"/>
      <c r="B1690" s="9"/>
      <c r="C1690" s="9"/>
      <c r="D1690" s="9"/>
      <c r="E1690" s="9"/>
      <c r="F1690" s="10" t="b">
        <v>0</v>
      </c>
      <c r="G1690" s="10" t="b">
        <v>0</v>
      </c>
      <c r="H1690" s="9"/>
      <c r="I1690" s="9"/>
      <c r="J1690" s="9"/>
    </row>
    <row r="1691" spans="1:10" x14ac:dyDescent="0.25">
      <c r="A1691" s="9"/>
      <c r="B1691" s="9"/>
      <c r="C1691" s="9"/>
      <c r="D1691" s="9"/>
      <c r="E1691" s="9"/>
      <c r="F1691" s="10" t="b">
        <v>0</v>
      </c>
      <c r="G1691" s="10" t="b">
        <v>0</v>
      </c>
      <c r="H1691" s="9"/>
      <c r="I1691" s="9"/>
      <c r="J1691" s="9"/>
    </row>
    <row r="1692" spans="1:10" x14ac:dyDescent="0.25">
      <c r="A1692" s="9"/>
      <c r="B1692" s="9"/>
      <c r="C1692" s="9"/>
      <c r="D1692" s="9"/>
      <c r="E1692" s="9"/>
      <c r="F1692" s="10" t="b">
        <v>0</v>
      </c>
      <c r="G1692" s="10" t="b">
        <v>0</v>
      </c>
      <c r="H1692" s="9"/>
      <c r="I1692" s="9"/>
      <c r="J1692" s="9"/>
    </row>
    <row r="1693" spans="1:10" x14ac:dyDescent="0.25">
      <c r="A1693" s="9"/>
      <c r="B1693" s="9"/>
      <c r="C1693" s="9"/>
      <c r="D1693" s="9"/>
      <c r="E1693" s="9"/>
      <c r="F1693" s="10" t="b">
        <v>0</v>
      </c>
      <c r="G1693" s="10" t="b">
        <v>0</v>
      </c>
      <c r="H1693" s="9"/>
      <c r="I1693" s="9"/>
      <c r="J1693" s="9"/>
    </row>
    <row r="1694" spans="1:10" x14ac:dyDescent="0.25">
      <c r="A1694" s="9"/>
      <c r="B1694" s="9"/>
      <c r="C1694" s="9"/>
      <c r="D1694" s="9"/>
      <c r="E1694" s="9"/>
      <c r="F1694" s="10" t="b">
        <v>0</v>
      </c>
      <c r="G1694" s="10" t="b">
        <v>0</v>
      </c>
      <c r="H1694" s="9"/>
      <c r="I1694" s="9"/>
      <c r="J1694" s="9"/>
    </row>
    <row r="1695" spans="1:10" x14ac:dyDescent="0.25">
      <c r="A1695" s="9"/>
      <c r="B1695" s="9"/>
      <c r="C1695" s="9"/>
      <c r="D1695" s="9"/>
      <c r="E1695" s="9"/>
      <c r="F1695" s="10" t="b">
        <v>0</v>
      </c>
      <c r="G1695" s="10" t="b">
        <v>0</v>
      </c>
      <c r="H1695" s="9"/>
      <c r="I1695" s="9"/>
      <c r="J1695" s="9"/>
    </row>
    <row r="1696" spans="1:10" x14ac:dyDescent="0.25">
      <c r="A1696" s="9"/>
      <c r="B1696" s="9"/>
      <c r="C1696" s="9"/>
      <c r="D1696" s="9"/>
      <c r="E1696" s="9"/>
      <c r="F1696" s="10" t="b">
        <v>0</v>
      </c>
      <c r="G1696" s="10" t="b">
        <v>0</v>
      </c>
      <c r="H1696" s="9"/>
      <c r="I1696" s="9"/>
      <c r="J1696" s="9"/>
    </row>
    <row r="1697" spans="1:10" x14ac:dyDescent="0.25">
      <c r="A1697" s="9"/>
      <c r="B1697" s="9"/>
      <c r="C1697" s="9"/>
      <c r="D1697" s="9"/>
      <c r="E1697" s="9"/>
      <c r="F1697" s="10" t="b">
        <v>0</v>
      </c>
      <c r="G1697" s="10" t="b">
        <v>0</v>
      </c>
      <c r="H1697" s="9"/>
      <c r="I1697" s="9"/>
      <c r="J1697" s="9"/>
    </row>
    <row r="1698" spans="1:10" x14ac:dyDescent="0.25">
      <c r="A1698" s="9"/>
      <c r="B1698" s="9"/>
      <c r="C1698" s="9"/>
      <c r="D1698" s="9"/>
      <c r="E1698" s="9"/>
      <c r="F1698" s="10" t="b">
        <v>0</v>
      </c>
      <c r="G1698" s="10" t="b">
        <v>0</v>
      </c>
      <c r="H1698" s="9"/>
      <c r="I1698" s="9"/>
      <c r="J1698" s="9"/>
    </row>
    <row r="1699" spans="1:10" x14ac:dyDescent="0.25">
      <c r="A1699" s="9"/>
      <c r="B1699" s="9"/>
      <c r="C1699" s="9"/>
      <c r="D1699" s="9"/>
      <c r="E1699" s="9"/>
      <c r="F1699" s="10" t="b">
        <v>0</v>
      </c>
      <c r="G1699" s="10" t="b">
        <v>0</v>
      </c>
      <c r="H1699" s="9"/>
      <c r="I1699" s="9"/>
      <c r="J1699" s="9"/>
    </row>
    <row r="1700" spans="1:10" x14ac:dyDescent="0.25">
      <c r="A1700" s="9"/>
      <c r="B1700" s="9"/>
      <c r="C1700" s="9"/>
      <c r="D1700" s="9"/>
      <c r="E1700" s="9"/>
      <c r="F1700" s="10" t="b">
        <v>0</v>
      </c>
      <c r="G1700" s="10" t="b">
        <v>0</v>
      </c>
      <c r="H1700" s="9"/>
      <c r="I1700" s="9"/>
      <c r="J1700" s="9"/>
    </row>
    <row r="1701" spans="1:10" x14ac:dyDescent="0.25">
      <c r="A1701" s="9"/>
      <c r="B1701" s="9"/>
      <c r="C1701" s="9"/>
      <c r="D1701" s="9"/>
      <c r="E1701" s="9"/>
      <c r="F1701" s="10" t="b">
        <v>0</v>
      </c>
      <c r="G1701" s="10" t="b">
        <v>0</v>
      </c>
      <c r="H1701" s="9"/>
      <c r="I1701" s="9"/>
      <c r="J1701" s="9"/>
    </row>
    <row r="1702" spans="1:10" x14ac:dyDescent="0.25">
      <c r="A1702" s="9"/>
      <c r="B1702" s="9"/>
      <c r="C1702" s="9"/>
      <c r="D1702" s="9"/>
      <c r="E1702" s="9"/>
      <c r="F1702" s="10" t="b">
        <v>0</v>
      </c>
      <c r="G1702" s="10" t="b">
        <v>0</v>
      </c>
      <c r="H1702" s="9"/>
      <c r="I1702" s="9"/>
      <c r="J1702" s="9"/>
    </row>
    <row r="1703" spans="1:10" x14ac:dyDescent="0.25">
      <c r="A1703" s="9"/>
      <c r="B1703" s="9"/>
      <c r="C1703" s="9"/>
      <c r="D1703" s="9"/>
      <c r="E1703" s="9"/>
      <c r="F1703" s="10" t="b">
        <v>0</v>
      </c>
      <c r="G1703" s="10" t="b">
        <v>0</v>
      </c>
      <c r="H1703" s="9"/>
      <c r="I1703" s="9"/>
      <c r="J1703" s="9"/>
    </row>
    <row r="1704" spans="1:10" x14ac:dyDescent="0.25">
      <c r="A1704" s="9"/>
      <c r="B1704" s="9"/>
      <c r="C1704" s="9"/>
      <c r="D1704" s="9"/>
      <c r="E1704" s="9"/>
      <c r="F1704" s="10" t="b">
        <v>0</v>
      </c>
      <c r="G1704" s="10" t="b">
        <v>0</v>
      </c>
      <c r="H1704" s="9"/>
      <c r="I1704" s="9"/>
      <c r="J1704" s="9"/>
    </row>
    <row r="1705" spans="1:10" x14ac:dyDescent="0.25">
      <c r="A1705" s="9"/>
      <c r="B1705" s="9"/>
      <c r="C1705" s="9"/>
      <c r="D1705" s="9"/>
      <c r="E1705" s="9"/>
      <c r="F1705" s="10" t="b">
        <v>0</v>
      </c>
      <c r="G1705" s="10" t="b">
        <v>0</v>
      </c>
      <c r="H1705" s="9"/>
      <c r="I1705" s="9"/>
      <c r="J1705" s="9"/>
    </row>
    <row r="1706" spans="1:10" x14ac:dyDescent="0.25">
      <c r="A1706" s="9"/>
      <c r="B1706" s="9"/>
      <c r="C1706" s="9"/>
      <c r="D1706" s="9"/>
      <c r="E1706" s="9"/>
      <c r="F1706" s="10" t="b">
        <v>0</v>
      </c>
      <c r="G1706" s="10" t="b">
        <v>0</v>
      </c>
      <c r="H1706" s="9"/>
      <c r="I1706" s="9"/>
      <c r="J1706" s="9"/>
    </row>
    <row r="1707" spans="1:10" x14ac:dyDescent="0.25">
      <c r="A1707" s="9"/>
      <c r="B1707" s="9"/>
      <c r="C1707" s="9"/>
      <c r="D1707" s="9"/>
      <c r="E1707" s="9"/>
      <c r="F1707" s="10" t="b">
        <v>0</v>
      </c>
      <c r="G1707" s="10" t="b">
        <v>0</v>
      </c>
      <c r="H1707" s="9"/>
      <c r="I1707" s="9"/>
      <c r="J1707" s="9"/>
    </row>
    <row r="1708" spans="1:10" x14ac:dyDescent="0.25">
      <c r="A1708" s="9"/>
      <c r="B1708" s="9"/>
      <c r="C1708" s="9"/>
      <c r="D1708" s="9"/>
      <c r="E1708" s="9"/>
      <c r="F1708" s="10" t="b">
        <v>0</v>
      </c>
      <c r="G1708" s="10" t="b">
        <v>0</v>
      </c>
      <c r="H1708" s="9"/>
      <c r="I1708" s="9"/>
      <c r="J1708" s="9"/>
    </row>
    <row r="1709" spans="1:10" x14ac:dyDescent="0.25">
      <c r="A1709" s="9"/>
      <c r="B1709" s="9"/>
      <c r="C1709" s="9"/>
      <c r="D1709" s="9"/>
      <c r="E1709" s="9"/>
      <c r="F1709" s="10" t="b">
        <v>0</v>
      </c>
      <c r="G1709" s="10" t="b">
        <v>0</v>
      </c>
      <c r="H1709" s="9"/>
      <c r="I1709" s="9"/>
      <c r="J1709" s="9"/>
    </row>
    <row r="1710" spans="1:10" x14ac:dyDescent="0.25">
      <c r="A1710" s="9"/>
      <c r="B1710" s="9"/>
      <c r="C1710" s="9"/>
      <c r="D1710" s="9"/>
      <c r="E1710" s="9"/>
      <c r="F1710" s="10" t="b">
        <v>0</v>
      </c>
      <c r="G1710" s="10" t="b">
        <v>0</v>
      </c>
      <c r="H1710" s="9"/>
      <c r="I1710" s="9"/>
      <c r="J1710" s="9"/>
    </row>
    <row r="1711" spans="1:10" x14ac:dyDescent="0.25">
      <c r="A1711" s="9"/>
      <c r="B1711" s="9"/>
      <c r="C1711" s="9"/>
      <c r="D1711" s="9"/>
      <c r="E1711" s="9"/>
      <c r="F1711" s="10" t="b">
        <v>0</v>
      </c>
      <c r="G1711" s="10" t="b">
        <v>0</v>
      </c>
      <c r="H1711" s="9"/>
      <c r="I1711" s="9"/>
      <c r="J1711" s="9"/>
    </row>
    <row r="1712" spans="1:10" x14ac:dyDescent="0.25">
      <c r="A1712" s="9"/>
      <c r="B1712" s="9"/>
      <c r="C1712" s="9"/>
      <c r="D1712" s="9"/>
      <c r="E1712" s="9"/>
      <c r="F1712" s="10" t="b">
        <v>0</v>
      </c>
      <c r="G1712" s="10" t="b">
        <v>0</v>
      </c>
      <c r="H1712" s="9"/>
      <c r="I1712" s="9"/>
      <c r="J1712" s="9"/>
    </row>
    <row r="1713" spans="1:10" x14ac:dyDescent="0.25">
      <c r="A1713" s="9"/>
      <c r="B1713" s="9"/>
      <c r="C1713" s="9"/>
      <c r="D1713" s="9"/>
      <c r="E1713" s="9"/>
      <c r="F1713" s="10" t="b">
        <v>0</v>
      </c>
      <c r="G1713" s="10" t="b">
        <v>0</v>
      </c>
      <c r="H1713" s="9"/>
      <c r="I1713" s="9"/>
      <c r="J1713" s="9"/>
    </row>
    <row r="1714" spans="1:10" x14ac:dyDescent="0.25">
      <c r="A1714" s="9"/>
      <c r="B1714" s="9"/>
      <c r="C1714" s="9"/>
      <c r="D1714" s="9"/>
      <c r="E1714" s="9"/>
      <c r="F1714" s="10" t="b">
        <v>0</v>
      </c>
      <c r="G1714" s="10" t="b">
        <v>0</v>
      </c>
      <c r="H1714" s="9"/>
      <c r="I1714" s="9"/>
      <c r="J1714" s="9"/>
    </row>
    <row r="1715" spans="1:10" x14ac:dyDescent="0.25">
      <c r="A1715" s="9"/>
      <c r="B1715" s="9"/>
      <c r="C1715" s="9"/>
      <c r="D1715" s="9"/>
      <c r="E1715" s="9"/>
      <c r="F1715" s="10" t="b">
        <v>0</v>
      </c>
      <c r="G1715" s="10" t="b">
        <v>0</v>
      </c>
      <c r="H1715" s="9"/>
      <c r="I1715" s="9"/>
      <c r="J1715" s="9"/>
    </row>
    <row r="1716" spans="1:10" x14ac:dyDescent="0.25">
      <c r="A1716" s="9"/>
      <c r="B1716" s="9"/>
      <c r="C1716" s="9"/>
      <c r="D1716" s="9"/>
      <c r="E1716" s="9"/>
      <c r="F1716" s="10" t="b">
        <v>0</v>
      </c>
      <c r="G1716" s="10" t="b">
        <v>0</v>
      </c>
      <c r="H1716" s="9"/>
      <c r="I1716" s="9"/>
      <c r="J1716" s="9"/>
    </row>
    <row r="1717" spans="1:10" x14ac:dyDescent="0.25">
      <c r="A1717" s="9"/>
      <c r="B1717" s="9"/>
      <c r="C1717" s="9"/>
      <c r="D1717" s="9"/>
      <c r="E1717" s="9"/>
      <c r="F1717" s="10" t="b">
        <v>0</v>
      </c>
      <c r="G1717" s="10" t="b">
        <v>0</v>
      </c>
      <c r="H1717" s="9"/>
      <c r="I1717" s="9"/>
      <c r="J1717" s="9"/>
    </row>
    <row r="1718" spans="1:10" x14ac:dyDescent="0.25">
      <c r="A1718" s="9"/>
      <c r="B1718" s="9"/>
      <c r="C1718" s="9"/>
      <c r="D1718" s="9"/>
      <c r="E1718" s="9"/>
      <c r="F1718" s="10" t="b">
        <v>0</v>
      </c>
      <c r="G1718" s="10" t="b">
        <v>0</v>
      </c>
      <c r="H1718" s="9"/>
      <c r="I1718" s="9"/>
      <c r="J1718" s="9"/>
    </row>
    <row r="1719" spans="1:10" x14ac:dyDescent="0.25">
      <c r="A1719" s="9"/>
      <c r="B1719" s="9"/>
      <c r="C1719" s="9"/>
      <c r="D1719" s="9"/>
      <c r="E1719" s="9"/>
      <c r="F1719" s="10" t="b">
        <v>0</v>
      </c>
      <c r="G1719" s="10" t="b">
        <v>0</v>
      </c>
      <c r="H1719" s="9"/>
      <c r="I1719" s="9"/>
      <c r="J1719" s="9"/>
    </row>
    <row r="1720" spans="1:10" x14ac:dyDescent="0.25">
      <c r="A1720" s="9"/>
      <c r="B1720" s="9"/>
      <c r="C1720" s="9"/>
      <c r="D1720" s="9"/>
      <c r="E1720" s="9"/>
      <c r="F1720" s="10" t="b">
        <v>0</v>
      </c>
      <c r="G1720" s="10" t="b">
        <v>0</v>
      </c>
      <c r="H1720" s="9"/>
      <c r="I1720" s="9"/>
      <c r="J1720" s="9"/>
    </row>
    <row r="1721" spans="1:10" x14ac:dyDescent="0.25">
      <c r="A1721" s="9"/>
      <c r="B1721" s="9"/>
      <c r="C1721" s="9"/>
      <c r="D1721" s="9"/>
      <c r="E1721" s="9"/>
      <c r="F1721" s="10" t="b">
        <v>0</v>
      </c>
      <c r="G1721" s="10" t="b">
        <v>0</v>
      </c>
      <c r="H1721" s="9"/>
      <c r="I1721" s="9"/>
      <c r="J1721" s="9"/>
    </row>
    <row r="1722" spans="1:10" x14ac:dyDescent="0.25">
      <c r="A1722" s="9"/>
      <c r="B1722" s="9"/>
      <c r="C1722" s="9"/>
      <c r="D1722" s="9"/>
      <c r="E1722" s="9"/>
      <c r="F1722" s="10" t="b">
        <v>0</v>
      </c>
      <c r="G1722" s="10" t="b">
        <v>0</v>
      </c>
      <c r="H1722" s="9"/>
      <c r="I1722" s="9"/>
      <c r="J1722" s="9"/>
    </row>
    <row r="1723" spans="1:10" x14ac:dyDescent="0.25">
      <c r="A1723" s="9"/>
      <c r="B1723" s="9"/>
      <c r="C1723" s="9"/>
      <c r="D1723" s="9"/>
      <c r="E1723" s="9"/>
      <c r="F1723" s="10" t="b">
        <v>0</v>
      </c>
      <c r="G1723" s="10" t="b">
        <v>0</v>
      </c>
      <c r="H1723" s="9"/>
      <c r="I1723" s="9"/>
      <c r="J1723" s="9"/>
    </row>
    <row r="1724" spans="1:10" x14ac:dyDescent="0.25">
      <c r="A1724" s="9"/>
      <c r="B1724" s="9"/>
      <c r="C1724" s="9"/>
      <c r="D1724" s="9"/>
      <c r="E1724" s="9"/>
      <c r="F1724" s="10" t="b">
        <v>0</v>
      </c>
      <c r="G1724" s="10" t="b">
        <v>0</v>
      </c>
      <c r="H1724" s="9"/>
      <c r="I1724" s="9"/>
      <c r="J1724" s="9"/>
    </row>
    <row r="1725" spans="1:10" x14ac:dyDescent="0.25">
      <c r="A1725" s="9"/>
      <c r="B1725" s="9"/>
      <c r="C1725" s="9"/>
      <c r="D1725" s="9"/>
      <c r="E1725" s="9"/>
      <c r="F1725" s="10" t="b">
        <v>0</v>
      </c>
      <c r="G1725" s="10" t="b">
        <v>0</v>
      </c>
      <c r="H1725" s="9"/>
      <c r="I1725" s="9"/>
      <c r="J1725" s="9"/>
    </row>
    <row r="1726" spans="1:10" x14ac:dyDescent="0.25">
      <c r="A1726" s="9"/>
      <c r="B1726" s="9"/>
      <c r="C1726" s="9"/>
      <c r="D1726" s="9"/>
      <c r="E1726" s="9"/>
      <c r="F1726" s="10" t="b">
        <v>0</v>
      </c>
      <c r="G1726" s="10" t="b">
        <v>0</v>
      </c>
      <c r="H1726" s="9"/>
      <c r="I1726" s="9"/>
      <c r="J1726" s="9"/>
    </row>
    <row r="1727" spans="1:10" x14ac:dyDescent="0.25">
      <c r="A1727" s="9"/>
      <c r="B1727" s="9"/>
      <c r="C1727" s="9"/>
      <c r="D1727" s="9"/>
      <c r="E1727" s="9"/>
      <c r="F1727" s="10" t="b">
        <v>0</v>
      </c>
      <c r="G1727" s="10" t="b">
        <v>0</v>
      </c>
      <c r="H1727" s="9"/>
      <c r="I1727" s="9"/>
      <c r="J1727" s="9"/>
    </row>
    <row r="1728" spans="1:10" x14ac:dyDescent="0.25">
      <c r="A1728" s="9"/>
      <c r="B1728" s="9"/>
      <c r="C1728" s="9"/>
      <c r="D1728" s="9"/>
      <c r="E1728" s="9"/>
      <c r="F1728" s="10" t="b">
        <v>0</v>
      </c>
      <c r="G1728" s="10" t="b">
        <v>0</v>
      </c>
      <c r="H1728" s="9"/>
      <c r="I1728" s="9"/>
      <c r="J1728" s="9"/>
    </row>
    <row r="1729" spans="1:10" x14ac:dyDescent="0.25">
      <c r="A1729" s="9"/>
      <c r="B1729" s="9"/>
      <c r="C1729" s="9"/>
      <c r="D1729" s="9"/>
      <c r="E1729" s="9"/>
      <c r="F1729" s="10" t="b">
        <v>0</v>
      </c>
      <c r="G1729" s="10" t="b">
        <v>0</v>
      </c>
      <c r="H1729" s="9"/>
      <c r="I1729" s="9"/>
      <c r="J1729" s="9"/>
    </row>
    <row r="1730" spans="1:10" x14ac:dyDescent="0.25">
      <c r="A1730" s="9"/>
      <c r="B1730" s="9"/>
      <c r="C1730" s="9"/>
      <c r="D1730" s="9"/>
      <c r="E1730" s="9"/>
      <c r="F1730" s="10" t="b">
        <v>0</v>
      </c>
      <c r="G1730" s="10" t="b">
        <v>0</v>
      </c>
      <c r="H1730" s="9"/>
      <c r="I1730" s="9"/>
      <c r="J1730" s="9"/>
    </row>
    <row r="1731" spans="1:10" x14ac:dyDescent="0.25">
      <c r="A1731" s="9"/>
      <c r="B1731" s="9"/>
      <c r="C1731" s="9"/>
      <c r="D1731" s="9"/>
      <c r="E1731" s="9"/>
      <c r="F1731" s="10" t="b">
        <v>0</v>
      </c>
      <c r="G1731" s="10" t="b">
        <v>0</v>
      </c>
      <c r="H1731" s="9"/>
      <c r="I1731" s="9"/>
      <c r="J1731" s="9"/>
    </row>
    <row r="1732" spans="1:10" x14ac:dyDescent="0.25">
      <c r="A1732" s="9"/>
      <c r="B1732" s="9"/>
      <c r="C1732" s="9"/>
      <c r="D1732" s="9"/>
      <c r="E1732" s="9"/>
      <c r="F1732" s="10" t="b">
        <v>0</v>
      </c>
      <c r="G1732" s="10" t="b">
        <v>0</v>
      </c>
      <c r="H1732" s="9"/>
      <c r="I1732" s="9"/>
      <c r="J1732" s="9"/>
    </row>
    <row r="1733" spans="1:10" x14ac:dyDescent="0.25">
      <c r="A1733" s="9"/>
      <c r="B1733" s="9"/>
      <c r="C1733" s="9"/>
      <c r="D1733" s="9"/>
      <c r="E1733" s="9"/>
      <c r="F1733" s="10" t="b">
        <v>0</v>
      </c>
      <c r="G1733" s="10" t="b">
        <v>0</v>
      </c>
      <c r="H1733" s="9"/>
      <c r="I1733" s="9"/>
      <c r="J1733" s="9"/>
    </row>
    <row r="1734" spans="1:10" x14ac:dyDescent="0.25">
      <c r="A1734" s="9"/>
      <c r="B1734" s="9"/>
      <c r="C1734" s="9"/>
      <c r="D1734" s="9"/>
      <c r="E1734" s="9"/>
      <c r="F1734" s="10" t="b">
        <v>0</v>
      </c>
      <c r="G1734" s="10" t="b">
        <v>0</v>
      </c>
      <c r="H1734" s="9"/>
      <c r="I1734" s="9"/>
      <c r="J1734" s="9"/>
    </row>
    <row r="1735" spans="1:10" x14ac:dyDescent="0.25">
      <c r="A1735" s="9"/>
      <c r="B1735" s="9"/>
      <c r="C1735" s="9"/>
      <c r="D1735" s="9"/>
      <c r="E1735" s="9"/>
      <c r="F1735" s="10" t="b">
        <v>0</v>
      </c>
      <c r="G1735" s="10" t="b">
        <v>0</v>
      </c>
      <c r="H1735" s="9"/>
      <c r="I1735" s="9"/>
      <c r="J1735" s="9"/>
    </row>
    <row r="1736" spans="1:10" x14ac:dyDescent="0.25">
      <c r="A1736" s="9"/>
      <c r="B1736" s="9"/>
      <c r="C1736" s="9"/>
      <c r="D1736" s="9"/>
      <c r="E1736" s="9"/>
      <c r="F1736" s="10" t="b">
        <v>0</v>
      </c>
      <c r="G1736" s="10" t="b">
        <v>0</v>
      </c>
      <c r="H1736" s="9"/>
      <c r="I1736" s="9"/>
      <c r="J1736" s="9"/>
    </row>
    <row r="1737" spans="1:10" x14ac:dyDescent="0.25">
      <c r="A1737" s="9"/>
      <c r="B1737" s="9"/>
      <c r="C1737" s="9"/>
      <c r="D1737" s="9"/>
      <c r="E1737" s="9"/>
      <c r="F1737" s="10" t="b">
        <v>0</v>
      </c>
      <c r="G1737" s="10" t="b">
        <v>0</v>
      </c>
      <c r="H1737" s="9"/>
      <c r="I1737" s="9"/>
      <c r="J1737" s="9"/>
    </row>
    <row r="1738" spans="1:10" x14ac:dyDescent="0.25">
      <c r="A1738" s="9"/>
      <c r="B1738" s="9"/>
      <c r="C1738" s="9"/>
      <c r="D1738" s="9"/>
      <c r="E1738" s="9"/>
      <c r="F1738" s="10" t="b">
        <v>0</v>
      </c>
      <c r="G1738" s="10" t="b">
        <v>0</v>
      </c>
      <c r="H1738" s="9"/>
      <c r="I1738" s="9"/>
      <c r="J1738" s="9"/>
    </row>
    <row r="1739" spans="1:10" x14ac:dyDescent="0.25">
      <c r="A1739" s="9"/>
      <c r="B1739" s="9"/>
      <c r="C1739" s="9"/>
      <c r="D1739" s="9"/>
      <c r="E1739" s="9"/>
      <c r="F1739" s="10" t="b">
        <v>0</v>
      </c>
      <c r="G1739" s="10" t="b">
        <v>0</v>
      </c>
      <c r="H1739" s="9"/>
      <c r="I1739" s="9"/>
      <c r="J1739" s="9"/>
    </row>
    <row r="1740" spans="1:10" x14ac:dyDescent="0.25">
      <c r="A1740" s="9"/>
      <c r="B1740" s="9"/>
      <c r="C1740" s="9"/>
      <c r="D1740" s="9"/>
      <c r="E1740" s="9"/>
      <c r="F1740" s="10" t="b">
        <v>0</v>
      </c>
      <c r="G1740" s="10" t="b">
        <v>0</v>
      </c>
      <c r="H1740" s="9"/>
      <c r="I1740" s="9"/>
      <c r="J1740" s="9"/>
    </row>
    <row r="1741" spans="1:10" x14ac:dyDescent="0.25">
      <c r="A1741" s="9"/>
      <c r="B1741" s="9"/>
      <c r="C1741" s="9"/>
      <c r="D1741" s="9"/>
      <c r="E1741" s="9"/>
      <c r="F1741" s="10" t="b">
        <v>0</v>
      </c>
      <c r="G1741" s="10" t="b">
        <v>0</v>
      </c>
      <c r="H1741" s="9"/>
      <c r="I1741" s="9"/>
      <c r="J1741" s="9"/>
    </row>
    <row r="1742" spans="1:10" x14ac:dyDescent="0.25">
      <c r="A1742" s="9"/>
      <c r="B1742" s="9"/>
      <c r="C1742" s="9"/>
      <c r="D1742" s="9"/>
      <c r="E1742" s="9"/>
      <c r="F1742" s="10" t="b">
        <v>0</v>
      </c>
      <c r="G1742" s="10" t="b">
        <v>0</v>
      </c>
      <c r="H1742" s="9"/>
      <c r="I1742" s="9"/>
      <c r="J1742" s="9"/>
    </row>
    <row r="1743" spans="1:10" x14ac:dyDescent="0.25">
      <c r="A1743" s="9"/>
      <c r="B1743" s="9"/>
      <c r="C1743" s="9"/>
      <c r="D1743" s="9"/>
      <c r="E1743" s="9"/>
      <c r="F1743" s="10" t="b">
        <v>0</v>
      </c>
      <c r="G1743" s="10" t="b">
        <v>0</v>
      </c>
      <c r="H1743" s="9"/>
      <c r="I1743" s="9"/>
      <c r="J1743" s="9"/>
    </row>
    <row r="1744" spans="1:10" x14ac:dyDescent="0.25">
      <c r="A1744" s="9"/>
      <c r="B1744" s="9"/>
      <c r="C1744" s="9"/>
      <c r="D1744" s="9"/>
      <c r="E1744" s="9"/>
      <c r="F1744" s="10" t="b">
        <v>0</v>
      </c>
      <c r="G1744" s="10" t="b">
        <v>0</v>
      </c>
      <c r="H1744" s="9"/>
      <c r="I1744" s="9"/>
      <c r="J1744" s="9"/>
    </row>
    <row r="1745" spans="1:10" x14ac:dyDescent="0.25">
      <c r="A1745" s="9"/>
      <c r="B1745" s="9"/>
      <c r="C1745" s="9"/>
      <c r="D1745" s="9"/>
      <c r="E1745" s="9"/>
      <c r="F1745" s="10" t="b">
        <v>0</v>
      </c>
      <c r="G1745" s="10" t="b">
        <v>0</v>
      </c>
      <c r="H1745" s="9"/>
      <c r="I1745" s="9"/>
      <c r="J1745" s="9"/>
    </row>
    <row r="1746" spans="1:10" x14ac:dyDescent="0.25">
      <c r="A1746" s="9"/>
      <c r="B1746" s="9"/>
      <c r="C1746" s="9"/>
      <c r="D1746" s="9"/>
      <c r="E1746" s="9"/>
      <c r="F1746" s="10" t="b">
        <v>0</v>
      </c>
      <c r="G1746" s="10" t="b">
        <v>0</v>
      </c>
      <c r="H1746" s="9"/>
      <c r="I1746" s="9"/>
      <c r="J1746" s="9"/>
    </row>
    <row r="1747" spans="1:10" x14ac:dyDescent="0.25">
      <c r="A1747" s="9"/>
      <c r="B1747" s="9"/>
      <c r="C1747" s="9"/>
      <c r="D1747" s="9"/>
      <c r="E1747" s="9"/>
      <c r="F1747" s="10" t="b">
        <v>0</v>
      </c>
      <c r="G1747" s="10" t="b">
        <v>0</v>
      </c>
      <c r="H1747" s="9"/>
      <c r="I1747" s="9"/>
      <c r="J1747" s="9"/>
    </row>
    <row r="1748" spans="1:10" x14ac:dyDescent="0.25">
      <c r="A1748" s="9"/>
      <c r="B1748" s="9"/>
      <c r="C1748" s="9"/>
      <c r="D1748" s="9"/>
      <c r="E1748" s="9"/>
      <c r="F1748" s="10" t="b">
        <v>0</v>
      </c>
      <c r="G1748" s="10" t="b">
        <v>0</v>
      </c>
      <c r="H1748" s="9"/>
      <c r="I1748" s="9"/>
      <c r="J1748" s="9"/>
    </row>
    <row r="1749" spans="1:10" x14ac:dyDescent="0.25">
      <c r="A1749" s="9"/>
      <c r="B1749" s="9"/>
      <c r="C1749" s="9"/>
      <c r="D1749" s="9"/>
      <c r="E1749" s="9"/>
      <c r="F1749" s="10" t="b">
        <v>0</v>
      </c>
      <c r="G1749" s="10" t="b">
        <v>0</v>
      </c>
      <c r="H1749" s="9"/>
      <c r="I1749" s="9"/>
      <c r="J1749" s="9"/>
    </row>
    <row r="1750" spans="1:10" x14ac:dyDescent="0.25">
      <c r="A1750" s="9"/>
      <c r="B1750" s="9"/>
      <c r="C1750" s="9"/>
      <c r="D1750" s="9"/>
      <c r="E1750" s="9"/>
      <c r="F1750" s="10" t="b">
        <v>0</v>
      </c>
      <c r="G1750" s="10" t="b">
        <v>0</v>
      </c>
      <c r="H1750" s="9"/>
      <c r="I1750" s="9"/>
      <c r="J1750" s="9"/>
    </row>
    <row r="1751" spans="1:10" x14ac:dyDescent="0.25">
      <c r="A1751" s="9"/>
      <c r="B1751" s="9"/>
      <c r="C1751" s="9"/>
      <c r="D1751" s="9"/>
      <c r="E1751" s="9"/>
      <c r="F1751" s="10" t="b">
        <v>0</v>
      </c>
      <c r="G1751" s="10" t="b">
        <v>0</v>
      </c>
      <c r="H1751" s="9"/>
      <c r="I1751" s="9"/>
      <c r="J1751" s="9"/>
    </row>
    <row r="1752" spans="1:10" x14ac:dyDescent="0.25">
      <c r="A1752" s="9"/>
      <c r="B1752" s="9"/>
      <c r="C1752" s="9"/>
      <c r="D1752" s="9"/>
      <c r="E1752" s="9"/>
      <c r="F1752" s="10" t="b">
        <v>0</v>
      </c>
      <c r="G1752" s="10" t="b">
        <v>0</v>
      </c>
      <c r="H1752" s="9"/>
      <c r="I1752" s="9"/>
      <c r="J1752" s="9"/>
    </row>
    <row r="1753" spans="1:10" x14ac:dyDescent="0.25">
      <c r="A1753" s="9"/>
      <c r="B1753" s="9"/>
      <c r="C1753" s="9"/>
      <c r="D1753" s="9"/>
      <c r="E1753" s="9"/>
      <c r="F1753" s="10" t="b">
        <v>0</v>
      </c>
      <c r="G1753" s="10" t="b">
        <v>0</v>
      </c>
      <c r="H1753" s="9"/>
      <c r="I1753" s="9"/>
      <c r="J1753" s="9"/>
    </row>
    <row r="1754" spans="1:10" x14ac:dyDescent="0.25">
      <c r="A1754" s="9"/>
      <c r="B1754" s="9"/>
      <c r="C1754" s="9"/>
      <c r="D1754" s="9"/>
      <c r="E1754" s="9"/>
      <c r="F1754" s="10" t="b">
        <v>0</v>
      </c>
      <c r="G1754" s="10" t="b">
        <v>0</v>
      </c>
      <c r="H1754" s="9"/>
      <c r="I1754" s="9"/>
      <c r="J1754" s="9"/>
    </row>
    <row r="1755" spans="1:10" x14ac:dyDescent="0.25">
      <c r="A1755" s="9"/>
      <c r="B1755" s="9"/>
      <c r="C1755" s="9"/>
      <c r="D1755" s="9"/>
      <c r="E1755" s="9"/>
      <c r="F1755" s="10" t="b">
        <v>0</v>
      </c>
      <c r="G1755" s="10" t="b">
        <v>0</v>
      </c>
      <c r="H1755" s="9"/>
      <c r="I1755" s="9"/>
      <c r="J1755" s="9"/>
    </row>
    <row r="1756" spans="1:10" x14ac:dyDescent="0.25">
      <c r="A1756" s="9"/>
      <c r="B1756" s="9"/>
      <c r="C1756" s="9"/>
      <c r="D1756" s="9"/>
      <c r="E1756" s="9"/>
      <c r="F1756" s="10" t="b">
        <v>0</v>
      </c>
      <c r="G1756" s="10" t="b">
        <v>0</v>
      </c>
      <c r="H1756" s="9"/>
      <c r="I1756" s="9"/>
      <c r="J1756" s="9"/>
    </row>
    <row r="1757" spans="1:10" x14ac:dyDescent="0.25">
      <c r="A1757" s="9"/>
      <c r="B1757" s="9"/>
      <c r="C1757" s="9"/>
      <c r="D1757" s="9"/>
      <c r="E1757" s="9"/>
      <c r="F1757" s="10" t="b">
        <v>0</v>
      </c>
      <c r="G1757" s="10" t="b">
        <v>0</v>
      </c>
      <c r="H1757" s="9"/>
      <c r="I1757" s="9"/>
      <c r="J1757" s="9"/>
    </row>
    <row r="1758" spans="1:10" x14ac:dyDescent="0.25">
      <c r="A1758" s="9"/>
      <c r="B1758" s="9"/>
      <c r="C1758" s="9"/>
      <c r="D1758" s="9"/>
      <c r="E1758" s="9"/>
      <c r="F1758" s="10" t="b">
        <v>0</v>
      </c>
      <c r="G1758" s="10" t="b">
        <v>0</v>
      </c>
      <c r="H1758" s="9"/>
      <c r="I1758" s="9"/>
      <c r="J1758" s="9"/>
    </row>
    <row r="1759" spans="1:10" x14ac:dyDescent="0.25">
      <c r="A1759" s="9"/>
      <c r="B1759" s="9"/>
      <c r="C1759" s="9"/>
      <c r="D1759" s="9"/>
      <c r="E1759" s="9"/>
      <c r="F1759" s="10" t="b">
        <v>0</v>
      </c>
      <c r="G1759" s="10" t="b">
        <v>0</v>
      </c>
      <c r="H1759" s="9"/>
      <c r="I1759" s="9"/>
      <c r="J1759" s="9"/>
    </row>
    <row r="1760" spans="1:10" x14ac:dyDescent="0.25">
      <c r="A1760" s="9"/>
      <c r="B1760" s="9"/>
      <c r="C1760" s="9"/>
      <c r="D1760" s="9"/>
      <c r="E1760" s="9"/>
      <c r="F1760" s="10" t="b">
        <v>0</v>
      </c>
      <c r="G1760" s="10" t="b">
        <v>0</v>
      </c>
      <c r="H1760" s="9"/>
      <c r="I1760" s="9"/>
      <c r="J1760" s="9"/>
    </row>
    <row r="1761" spans="1:10" x14ac:dyDescent="0.25">
      <c r="A1761" s="9"/>
      <c r="B1761" s="9"/>
      <c r="C1761" s="9"/>
      <c r="D1761" s="9"/>
      <c r="E1761" s="9"/>
      <c r="F1761" s="10" t="b">
        <v>0</v>
      </c>
      <c r="G1761" s="10" t="b">
        <v>0</v>
      </c>
      <c r="H1761" s="9"/>
      <c r="I1761" s="9"/>
      <c r="J1761" s="9"/>
    </row>
    <row r="1762" spans="1:10" x14ac:dyDescent="0.25">
      <c r="A1762" s="9"/>
      <c r="B1762" s="9"/>
      <c r="C1762" s="9"/>
      <c r="D1762" s="9"/>
      <c r="E1762" s="9"/>
      <c r="F1762" s="10" t="b">
        <v>0</v>
      </c>
      <c r="G1762" s="10" t="b">
        <v>0</v>
      </c>
      <c r="H1762" s="9"/>
      <c r="I1762" s="9"/>
      <c r="J1762" s="9"/>
    </row>
    <row r="1763" spans="1:10" x14ac:dyDescent="0.25">
      <c r="A1763" s="9"/>
      <c r="B1763" s="9"/>
      <c r="C1763" s="9"/>
      <c r="D1763" s="9"/>
      <c r="E1763" s="9"/>
      <c r="F1763" s="10" t="b">
        <v>0</v>
      </c>
      <c r="G1763" s="10" t="b">
        <v>0</v>
      </c>
      <c r="H1763" s="9"/>
      <c r="I1763" s="9"/>
      <c r="J1763" s="9"/>
    </row>
    <row r="1764" spans="1:10" x14ac:dyDescent="0.25">
      <c r="A1764" s="9"/>
      <c r="B1764" s="9"/>
      <c r="C1764" s="9"/>
      <c r="D1764" s="9"/>
      <c r="E1764" s="9"/>
      <c r="F1764" s="10" t="b">
        <v>0</v>
      </c>
      <c r="G1764" s="10" t="b">
        <v>0</v>
      </c>
      <c r="H1764" s="9"/>
      <c r="I1764" s="9"/>
      <c r="J1764" s="9"/>
    </row>
    <row r="1765" spans="1:10" x14ac:dyDescent="0.25">
      <c r="A1765" s="9"/>
      <c r="B1765" s="9"/>
      <c r="C1765" s="9"/>
      <c r="D1765" s="9"/>
      <c r="E1765" s="9"/>
      <c r="F1765" s="10" t="b">
        <v>0</v>
      </c>
      <c r="G1765" s="10" t="b">
        <v>0</v>
      </c>
      <c r="H1765" s="9"/>
      <c r="I1765" s="9"/>
      <c r="J1765" s="9"/>
    </row>
    <row r="1766" spans="1:10" x14ac:dyDescent="0.25">
      <c r="A1766" s="9"/>
      <c r="B1766" s="9"/>
      <c r="C1766" s="9"/>
      <c r="D1766" s="9"/>
      <c r="E1766" s="9"/>
      <c r="F1766" s="10" t="b">
        <v>0</v>
      </c>
      <c r="G1766" s="10" t="b">
        <v>0</v>
      </c>
      <c r="H1766" s="9"/>
      <c r="I1766" s="9"/>
      <c r="J1766" s="9"/>
    </row>
    <row r="1767" spans="1:10" x14ac:dyDescent="0.25">
      <c r="A1767" s="9"/>
      <c r="B1767" s="9"/>
      <c r="C1767" s="9"/>
      <c r="D1767" s="9"/>
      <c r="E1767" s="9"/>
      <c r="F1767" s="10" t="b">
        <v>0</v>
      </c>
      <c r="G1767" s="10" t="b">
        <v>0</v>
      </c>
      <c r="H1767" s="9"/>
      <c r="I1767" s="9"/>
      <c r="J1767" s="9"/>
    </row>
    <row r="1768" spans="1:10" x14ac:dyDescent="0.25">
      <c r="A1768" s="9"/>
      <c r="B1768" s="9"/>
      <c r="C1768" s="9"/>
      <c r="D1768" s="9"/>
      <c r="E1768" s="9"/>
      <c r="F1768" s="10" t="b">
        <v>0</v>
      </c>
      <c r="G1768" s="10" t="b">
        <v>0</v>
      </c>
      <c r="H1768" s="9"/>
      <c r="I1768" s="9"/>
      <c r="J1768" s="9"/>
    </row>
    <row r="1769" spans="1:10" x14ac:dyDescent="0.25">
      <c r="A1769" s="9"/>
      <c r="B1769" s="9"/>
      <c r="C1769" s="9"/>
      <c r="D1769" s="9"/>
      <c r="E1769" s="9"/>
      <c r="F1769" s="10" t="b">
        <v>0</v>
      </c>
      <c r="G1769" s="10" t="b">
        <v>0</v>
      </c>
      <c r="H1769" s="9"/>
      <c r="I1769" s="9"/>
      <c r="J1769" s="9"/>
    </row>
    <row r="1770" spans="1:10" x14ac:dyDescent="0.25">
      <c r="A1770" s="9"/>
      <c r="B1770" s="9"/>
      <c r="C1770" s="9"/>
      <c r="D1770" s="9"/>
      <c r="E1770" s="9"/>
      <c r="F1770" s="10" t="b">
        <v>0</v>
      </c>
      <c r="G1770" s="10" t="b">
        <v>0</v>
      </c>
      <c r="H1770" s="9"/>
      <c r="I1770" s="9"/>
      <c r="J1770" s="9"/>
    </row>
    <row r="1771" spans="1:10" x14ac:dyDescent="0.25">
      <c r="A1771" s="9"/>
      <c r="B1771" s="9"/>
      <c r="C1771" s="9"/>
      <c r="D1771" s="9"/>
      <c r="E1771" s="9"/>
      <c r="F1771" s="10" t="b">
        <v>0</v>
      </c>
      <c r="G1771" s="10" t="b">
        <v>0</v>
      </c>
      <c r="H1771" s="9"/>
      <c r="I1771" s="9"/>
      <c r="J1771" s="9"/>
    </row>
    <row r="1772" spans="1:10" x14ac:dyDescent="0.25">
      <c r="A1772" s="9"/>
      <c r="B1772" s="9"/>
      <c r="C1772" s="9"/>
      <c r="D1772" s="9"/>
      <c r="E1772" s="9"/>
      <c r="F1772" s="10" t="b">
        <v>0</v>
      </c>
      <c r="G1772" s="10" t="b">
        <v>0</v>
      </c>
      <c r="H1772" s="9"/>
      <c r="I1772" s="9"/>
      <c r="J1772" s="9"/>
    </row>
    <row r="1773" spans="1:10" x14ac:dyDescent="0.25">
      <c r="A1773" s="9"/>
      <c r="B1773" s="9"/>
      <c r="C1773" s="9"/>
      <c r="D1773" s="9"/>
      <c r="E1773" s="9"/>
      <c r="F1773" s="10" t="b">
        <v>0</v>
      </c>
      <c r="G1773" s="10" t="b">
        <v>0</v>
      </c>
      <c r="H1773" s="9"/>
      <c r="I1773" s="9"/>
      <c r="J1773" s="9"/>
    </row>
    <row r="1774" spans="1:10" x14ac:dyDescent="0.25">
      <c r="A1774" s="9"/>
      <c r="B1774" s="9"/>
      <c r="C1774" s="9"/>
      <c r="D1774" s="9"/>
      <c r="E1774" s="9"/>
      <c r="F1774" s="10" t="b">
        <v>0</v>
      </c>
      <c r="G1774" s="10" t="b">
        <v>0</v>
      </c>
      <c r="H1774" s="9"/>
      <c r="I1774" s="9"/>
      <c r="J1774" s="9"/>
    </row>
    <row r="1775" spans="1:10" x14ac:dyDescent="0.25">
      <c r="A1775" s="9"/>
      <c r="B1775" s="9"/>
      <c r="C1775" s="9"/>
      <c r="D1775" s="9"/>
      <c r="E1775" s="9"/>
      <c r="F1775" s="10" t="b">
        <v>0</v>
      </c>
      <c r="G1775" s="10" t="b">
        <v>0</v>
      </c>
      <c r="H1775" s="9"/>
      <c r="I1775" s="9"/>
      <c r="J1775" s="9"/>
    </row>
    <row r="1776" spans="1:10" x14ac:dyDescent="0.25">
      <c r="A1776" s="9"/>
      <c r="B1776" s="9"/>
      <c r="C1776" s="9"/>
      <c r="D1776" s="9"/>
      <c r="E1776" s="9"/>
      <c r="F1776" s="10" t="b">
        <v>0</v>
      </c>
      <c r="G1776" s="10" t="b">
        <v>0</v>
      </c>
      <c r="H1776" s="9"/>
      <c r="I1776" s="9"/>
      <c r="J1776" s="9"/>
    </row>
    <row r="1777" spans="1:10" x14ac:dyDescent="0.25">
      <c r="A1777" s="9"/>
      <c r="B1777" s="9"/>
      <c r="C1777" s="9"/>
      <c r="D1777" s="9"/>
      <c r="E1777" s="9"/>
      <c r="F1777" s="10" t="b">
        <v>0</v>
      </c>
      <c r="G1777" s="10" t="b">
        <v>0</v>
      </c>
      <c r="H1777" s="9"/>
      <c r="I1777" s="9"/>
      <c r="J1777" s="9"/>
    </row>
    <row r="1778" spans="1:10" x14ac:dyDescent="0.25">
      <c r="A1778" s="9"/>
      <c r="B1778" s="9"/>
      <c r="C1778" s="9"/>
      <c r="D1778" s="9"/>
      <c r="E1778" s="9"/>
      <c r="F1778" s="10" t="b">
        <v>0</v>
      </c>
      <c r="G1778" s="10" t="b">
        <v>0</v>
      </c>
      <c r="H1778" s="9"/>
      <c r="I1778" s="9"/>
      <c r="J1778" s="9"/>
    </row>
    <row r="1779" spans="1:10" x14ac:dyDescent="0.25">
      <c r="A1779" s="9"/>
      <c r="B1779" s="9"/>
      <c r="C1779" s="9"/>
      <c r="D1779" s="9"/>
      <c r="E1779" s="9"/>
      <c r="F1779" s="10" t="b">
        <v>0</v>
      </c>
      <c r="G1779" s="10" t="b">
        <v>0</v>
      </c>
      <c r="H1779" s="9"/>
      <c r="I1779" s="9"/>
      <c r="J1779" s="9"/>
    </row>
    <row r="1780" spans="1:10" x14ac:dyDescent="0.25">
      <c r="A1780" s="9"/>
      <c r="B1780" s="9"/>
      <c r="C1780" s="9"/>
      <c r="D1780" s="9"/>
      <c r="E1780" s="9"/>
      <c r="F1780" s="10" t="b">
        <v>0</v>
      </c>
      <c r="G1780" s="10" t="b">
        <v>0</v>
      </c>
      <c r="H1780" s="9"/>
      <c r="I1780" s="9"/>
      <c r="J1780" s="9"/>
    </row>
    <row r="1781" spans="1:10" x14ac:dyDescent="0.25">
      <c r="A1781" s="9"/>
      <c r="B1781" s="9"/>
      <c r="C1781" s="9"/>
      <c r="D1781" s="9"/>
      <c r="E1781" s="9"/>
      <c r="F1781" s="10" t="b">
        <v>0</v>
      </c>
      <c r="G1781" s="10" t="b">
        <v>0</v>
      </c>
      <c r="H1781" s="9"/>
      <c r="I1781" s="9"/>
      <c r="J1781" s="9"/>
    </row>
    <row r="1782" spans="1:10" x14ac:dyDescent="0.25">
      <c r="A1782" s="9"/>
      <c r="B1782" s="9"/>
      <c r="C1782" s="9"/>
      <c r="D1782" s="9"/>
      <c r="E1782" s="9"/>
      <c r="F1782" s="10" t="b">
        <v>0</v>
      </c>
      <c r="G1782" s="10" t="b">
        <v>0</v>
      </c>
      <c r="H1782" s="9"/>
      <c r="I1782" s="9"/>
      <c r="J1782" s="9"/>
    </row>
    <row r="1783" spans="1:10" x14ac:dyDescent="0.25">
      <c r="A1783" s="9"/>
      <c r="B1783" s="9"/>
      <c r="C1783" s="9"/>
      <c r="D1783" s="9"/>
      <c r="E1783" s="9"/>
      <c r="F1783" s="10" t="b">
        <v>0</v>
      </c>
      <c r="G1783" s="10" t="b">
        <v>0</v>
      </c>
      <c r="H1783" s="9"/>
      <c r="I1783" s="9"/>
      <c r="J1783" s="9"/>
    </row>
    <row r="1784" spans="1:10" x14ac:dyDescent="0.25">
      <c r="A1784" s="9"/>
      <c r="B1784" s="9"/>
      <c r="C1784" s="9"/>
      <c r="D1784" s="9"/>
      <c r="E1784" s="9"/>
      <c r="F1784" s="10" t="b">
        <v>0</v>
      </c>
      <c r="G1784" s="10" t="b">
        <v>0</v>
      </c>
      <c r="H1784" s="9"/>
      <c r="I1784" s="9"/>
      <c r="J1784" s="9"/>
    </row>
    <row r="1785" spans="1:10" x14ac:dyDescent="0.25">
      <c r="A1785" s="9"/>
      <c r="B1785" s="9"/>
      <c r="C1785" s="9"/>
      <c r="D1785" s="9"/>
      <c r="E1785" s="9"/>
      <c r="F1785" s="10" t="b">
        <v>0</v>
      </c>
      <c r="G1785" s="10" t="b">
        <v>0</v>
      </c>
      <c r="H1785" s="9"/>
      <c r="I1785" s="9"/>
      <c r="J1785" s="9"/>
    </row>
    <row r="1786" spans="1:10" x14ac:dyDescent="0.25">
      <c r="A1786" s="9"/>
      <c r="B1786" s="9"/>
      <c r="C1786" s="9"/>
      <c r="D1786" s="9"/>
      <c r="E1786" s="9"/>
      <c r="F1786" s="10" t="b">
        <v>0</v>
      </c>
      <c r="G1786" s="10" t="b">
        <v>0</v>
      </c>
      <c r="H1786" s="9"/>
      <c r="I1786" s="9"/>
      <c r="J1786" s="9"/>
    </row>
    <row r="1787" spans="1:10" x14ac:dyDescent="0.25">
      <c r="A1787" s="9"/>
      <c r="B1787" s="9"/>
      <c r="C1787" s="9"/>
      <c r="D1787" s="9"/>
      <c r="E1787" s="9"/>
      <c r="F1787" s="10" t="b">
        <v>0</v>
      </c>
      <c r="G1787" s="10" t="b">
        <v>0</v>
      </c>
      <c r="H1787" s="9"/>
      <c r="I1787" s="9"/>
      <c r="J1787" s="9"/>
    </row>
    <row r="1788" spans="1:10" x14ac:dyDescent="0.25">
      <c r="A1788" s="9"/>
      <c r="B1788" s="9"/>
      <c r="C1788" s="9"/>
      <c r="D1788" s="9"/>
      <c r="E1788" s="9"/>
      <c r="F1788" s="10" t="b">
        <v>0</v>
      </c>
      <c r="G1788" s="10" t="b">
        <v>0</v>
      </c>
      <c r="H1788" s="9"/>
      <c r="I1788" s="9"/>
      <c r="J1788" s="9"/>
    </row>
    <row r="1789" spans="1:10" x14ac:dyDescent="0.25">
      <c r="A1789" s="9"/>
      <c r="B1789" s="9"/>
      <c r="C1789" s="9"/>
      <c r="D1789" s="9"/>
      <c r="E1789" s="9"/>
      <c r="F1789" s="10" t="b">
        <v>0</v>
      </c>
      <c r="G1789" s="10" t="b">
        <v>0</v>
      </c>
      <c r="H1789" s="9"/>
      <c r="I1789" s="9"/>
      <c r="J1789" s="9"/>
    </row>
    <row r="1790" spans="1:10" x14ac:dyDescent="0.25">
      <c r="A1790" s="9"/>
      <c r="B1790" s="9"/>
      <c r="C1790" s="9"/>
      <c r="D1790" s="9"/>
      <c r="E1790" s="9"/>
      <c r="F1790" s="10" t="b">
        <v>0</v>
      </c>
      <c r="G1790" s="10" t="b">
        <v>0</v>
      </c>
      <c r="H1790" s="9"/>
      <c r="I1790" s="9"/>
      <c r="J1790" s="9"/>
    </row>
    <row r="1791" spans="1:10" x14ac:dyDescent="0.25">
      <c r="A1791" s="9"/>
      <c r="B1791" s="9"/>
      <c r="C1791" s="9"/>
      <c r="D1791" s="9"/>
      <c r="E1791" s="9"/>
      <c r="F1791" s="10" t="b">
        <v>0</v>
      </c>
      <c r="G1791" s="10" t="b">
        <v>0</v>
      </c>
      <c r="H1791" s="9"/>
      <c r="I1791" s="9"/>
      <c r="J1791" s="9"/>
    </row>
    <row r="1792" spans="1:10" x14ac:dyDescent="0.25">
      <c r="A1792" s="9"/>
      <c r="B1792" s="9"/>
      <c r="C1792" s="9"/>
      <c r="D1792" s="9"/>
      <c r="E1792" s="9"/>
      <c r="F1792" s="10" t="b">
        <v>0</v>
      </c>
      <c r="G1792" s="10" t="b">
        <v>0</v>
      </c>
      <c r="H1792" s="9"/>
      <c r="I1792" s="9"/>
      <c r="J1792" s="9"/>
    </row>
    <row r="1793" spans="1:10" x14ac:dyDescent="0.25">
      <c r="A1793" s="9"/>
      <c r="B1793" s="9"/>
      <c r="C1793" s="9"/>
      <c r="D1793" s="9"/>
      <c r="E1793" s="9"/>
      <c r="F1793" s="10" t="b">
        <v>0</v>
      </c>
      <c r="G1793" s="10" t="b">
        <v>0</v>
      </c>
      <c r="H1793" s="9"/>
      <c r="I1793" s="9"/>
      <c r="J1793" s="9"/>
    </row>
    <row r="1794" spans="1:10" x14ac:dyDescent="0.25">
      <c r="A1794" s="9"/>
      <c r="B1794" s="9"/>
      <c r="C1794" s="9"/>
      <c r="D1794" s="9"/>
      <c r="E1794" s="9"/>
      <c r="F1794" s="10" t="b">
        <v>0</v>
      </c>
      <c r="G1794" s="10" t="b">
        <v>0</v>
      </c>
      <c r="H1794" s="9"/>
      <c r="I1794" s="9"/>
      <c r="J1794" s="9"/>
    </row>
    <row r="1795" spans="1:10" x14ac:dyDescent="0.25">
      <c r="A1795" s="9"/>
      <c r="B1795" s="9"/>
      <c r="C1795" s="9"/>
      <c r="D1795" s="9"/>
      <c r="E1795" s="9"/>
      <c r="F1795" s="10" t="b">
        <v>0</v>
      </c>
      <c r="G1795" s="10" t="b">
        <v>0</v>
      </c>
      <c r="H1795" s="9"/>
      <c r="I1795" s="9"/>
      <c r="J1795" s="9"/>
    </row>
    <row r="1796" spans="1:10" x14ac:dyDescent="0.25">
      <c r="A1796" s="9"/>
      <c r="B1796" s="9"/>
      <c r="C1796" s="9"/>
      <c r="D1796" s="9"/>
      <c r="E1796" s="9"/>
      <c r="F1796" s="10" t="b">
        <v>0</v>
      </c>
      <c r="G1796" s="10" t="b">
        <v>0</v>
      </c>
      <c r="H1796" s="9"/>
      <c r="I1796" s="9"/>
      <c r="J1796" s="9"/>
    </row>
    <row r="1797" spans="1:10" x14ac:dyDescent="0.25">
      <c r="A1797" s="9"/>
      <c r="B1797" s="9"/>
      <c r="C1797" s="9"/>
      <c r="D1797" s="9"/>
      <c r="E1797" s="9"/>
      <c r="F1797" s="10" t="b">
        <v>0</v>
      </c>
      <c r="G1797" s="10" t="b">
        <v>0</v>
      </c>
      <c r="H1797" s="9"/>
      <c r="I1797" s="9"/>
      <c r="J1797" s="9"/>
    </row>
    <row r="1798" spans="1:10" x14ac:dyDescent="0.25">
      <c r="A1798" s="9"/>
      <c r="B1798" s="9"/>
      <c r="C1798" s="9"/>
      <c r="D1798" s="9"/>
      <c r="E1798" s="9"/>
      <c r="F1798" s="10" t="b">
        <v>0</v>
      </c>
      <c r="G1798" s="10" t="b">
        <v>0</v>
      </c>
      <c r="H1798" s="9"/>
      <c r="I1798" s="9"/>
      <c r="J1798" s="9"/>
    </row>
    <row r="1799" spans="1:10" x14ac:dyDescent="0.25">
      <c r="A1799" s="9"/>
      <c r="B1799" s="9"/>
      <c r="C1799" s="9"/>
      <c r="D1799" s="9"/>
      <c r="E1799" s="9"/>
      <c r="F1799" s="10" t="b">
        <v>0</v>
      </c>
      <c r="G1799" s="10" t="b">
        <v>0</v>
      </c>
      <c r="H1799" s="9"/>
      <c r="I1799" s="9"/>
      <c r="J1799" s="9"/>
    </row>
    <row r="1800" spans="1:10" x14ac:dyDescent="0.25">
      <c r="A1800" s="9"/>
      <c r="B1800" s="9"/>
      <c r="C1800" s="9"/>
      <c r="D1800" s="9"/>
      <c r="E1800" s="9"/>
      <c r="F1800" s="10" t="b">
        <v>0</v>
      </c>
      <c r="G1800" s="10" t="b">
        <v>0</v>
      </c>
      <c r="H1800" s="9"/>
      <c r="I1800" s="9"/>
      <c r="J1800" s="9"/>
    </row>
    <row r="1801" spans="1:10" x14ac:dyDescent="0.25">
      <c r="A1801" s="9"/>
      <c r="B1801" s="9"/>
      <c r="C1801" s="9"/>
      <c r="D1801" s="9"/>
      <c r="E1801" s="9"/>
      <c r="F1801" s="10" t="b">
        <v>0</v>
      </c>
      <c r="G1801" s="10" t="b">
        <v>0</v>
      </c>
      <c r="H1801" s="9"/>
      <c r="I1801" s="9"/>
      <c r="J1801" s="9"/>
    </row>
    <row r="1802" spans="1:10" x14ac:dyDescent="0.25">
      <c r="A1802" s="9"/>
      <c r="B1802" s="9"/>
      <c r="C1802" s="9"/>
      <c r="D1802" s="9"/>
      <c r="E1802" s="9"/>
      <c r="F1802" s="10" t="b">
        <v>0</v>
      </c>
      <c r="G1802" s="10" t="b">
        <v>0</v>
      </c>
      <c r="H1802" s="9"/>
      <c r="I1802" s="9"/>
      <c r="J1802" s="9"/>
    </row>
    <row r="1803" spans="1:10" x14ac:dyDescent="0.25">
      <c r="A1803" s="9"/>
      <c r="B1803" s="9"/>
      <c r="C1803" s="9"/>
      <c r="D1803" s="9"/>
      <c r="E1803" s="9"/>
      <c r="F1803" s="10" t="b">
        <v>0</v>
      </c>
      <c r="G1803" s="10" t="b">
        <v>0</v>
      </c>
      <c r="H1803" s="9"/>
      <c r="I1803" s="9"/>
      <c r="J1803" s="9"/>
    </row>
    <row r="1804" spans="1:10" x14ac:dyDescent="0.25">
      <c r="A1804" s="9"/>
      <c r="B1804" s="9"/>
      <c r="C1804" s="9"/>
      <c r="D1804" s="9"/>
      <c r="E1804" s="9"/>
      <c r="F1804" s="10" t="b">
        <v>0</v>
      </c>
      <c r="G1804" s="10" t="b">
        <v>0</v>
      </c>
      <c r="H1804" s="9"/>
      <c r="I1804" s="9"/>
      <c r="J1804" s="9"/>
    </row>
    <row r="1805" spans="1:10" x14ac:dyDescent="0.25">
      <c r="A1805" s="9"/>
      <c r="B1805" s="9"/>
      <c r="C1805" s="9"/>
      <c r="D1805" s="9"/>
      <c r="E1805" s="9"/>
      <c r="F1805" s="10" t="b">
        <v>0</v>
      </c>
      <c r="G1805" s="10" t="b">
        <v>0</v>
      </c>
      <c r="H1805" s="9"/>
      <c r="I1805" s="9"/>
      <c r="J1805" s="9"/>
    </row>
    <row r="1806" spans="1:10" x14ac:dyDescent="0.25">
      <c r="A1806" s="9"/>
      <c r="B1806" s="9"/>
      <c r="C1806" s="9"/>
      <c r="D1806" s="9"/>
      <c r="E1806" s="9"/>
      <c r="F1806" s="10" t="b">
        <v>0</v>
      </c>
      <c r="G1806" s="10" t="b">
        <v>0</v>
      </c>
      <c r="H1806" s="9"/>
      <c r="I1806" s="9"/>
      <c r="J1806" s="9"/>
    </row>
    <row r="1807" spans="1:10" x14ac:dyDescent="0.25">
      <c r="A1807" s="9"/>
      <c r="B1807" s="9"/>
      <c r="C1807" s="9"/>
      <c r="D1807" s="9"/>
      <c r="E1807" s="9"/>
      <c r="F1807" s="10" t="b">
        <v>0</v>
      </c>
      <c r="G1807" s="10" t="b">
        <v>0</v>
      </c>
      <c r="H1807" s="9"/>
      <c r="I1807" s="9"/>
      <c r="J1807" s="9"/>
    </row>
    <row r="1808" spans="1:10" x14ac:dyDescent="0.25">
      <c r="A1808" s="9"/>
      <c r="B1808" s="9"/>
      <c r="C1808" s="9"/>
      <c r="D1808" s="9"/>
      <c r="E1808" s="9"/>
      <c r="F1808" s="10" t="b">
        <v>0</v>
      </c>
      <c r="G1808" s="10" t="b">
        <v>0</v>
      </c>
      <c r="H1808" s="9"/>
      <c r="I1808" s="9"/>
      <c r="J1808" s="9"/>
    </row>
    <row r="1809" spans="1:10" x14ac:dyDescent="0.25">
      <c r="A1809" s="9"/>
      <c r="B1809" s="9"/>
      <c r="C1809" s="9"/>
      <c r="D1809" s="9"/>
      <c r="E1809" s="9"/>
      <c r="F1809" s="10" t="b">
        <v>0</v>
      </c>
      <c r="G1809" s="10" t="b">
        <v>0</v>
      </c>
      <c r="H1809" s="9"/>
      <c r="I1809" s="9"/>
      <c r="J1809" s="9"/>
    </row>
    <row r="1810" spans="1:10" x14ac:dyDescent="0.25">
      <c r="A1810" s="9"/>
      <c r="B1810" s="9"/>
      <c r="C1810" s="9"/>
      <c r="D1810" s="9"/>
      <c r="E1810" s="9"/>
      <c r="F1810" s="10" t="b">
        <v>0</v>
      </c>
      <c r="G1810" s="10" t="b">
        <v>0</v>
      </c>
      <c r="H1810" s="9"/>
      <c r="I1810" s="9"/>
      <c r="J1810" s="9"/>
    </row>
    <row r="1811" spans="1:10" x14ac:dyDescent="0.25">
      <c r="A1811" s="9"/>
      <c r="B1811" s="9"/>
      <c r="C1811" s="9"/>
      <c r="D1811" s="9"/>
      <c r="E1811" s="9"/>
      <c r="F1811" s="10" t="b">
        <v>0</v>
      </c>
      <c r="G1811" s="10" t="b">
        <v>0</v>
      </c>
      <c r="H1811" s="9"/>
      <c r="I1811" s="9"/>
      <c r="J1811" s="9"/>
    </row>
    <row r="1812" spans="1:10" x14ac:dyDescent="0.25">
      <c r="A1812" s="9"/>
      <c r="B1812" s="9"/>
      <c r="C1812" s="9"/>
      <c r="D1812" s="9"/>
      <c r="E1812" s="9"/>
      <c r="F1812" s="10" t="b">
        <v>0</v>
      </c>
      <c r="G1812" s="10" t="b">
        <v>0</v>
      </c>
      <c r="H1812" s="9"/>
      <c r="I1812" s="9"/>
      <c r="J1812" s="9"/>
    </row>
    <row r="1813" spans="1:10" x14ac:dyDescent="0.25">
      <c r="A1813" s="9"/>
      <c r="B1813" s="9"/>
      <c r="C1813" s="9"/>
      <c r="D1813" s="9"/>
      <c r="E1813" s="9"/>
      <c r="F1813" s="10" t="b">
        <v>0</v>
      </c>
      <c r="G1813" s="10" t="b">
        <v>0</v>
      </c>
      <c r="H1813" s="9"/>
      <c r="I1813" s="9"/>
      <c r="J1813" s="9"/>
    </row>
    <row r="1814" spans="1:10" x14ac:dyDescent="0.25">
      <c r="A1814" s="9"/>
      <c r="B1814" s="9"/>
      <c r="C1814" s="9"/>
      <c r="D1814" s="9"/>
      <c r="E1814" s="9"/>
      <c r="F1814" s="10" t="b">
        <v>0</v>
      </c>
      <c r="G1814" s="10" t="b">
        <v>0</v>
      </c>
      <c r="H1814" s="9"/>
      <c r="I1814" s="9"/>
      <c r="J1814" s="9"/>
    </row>
    <row r="1815" spans="1:10" x14ac:dyDescent="0.25">
      <c r="A1815" s="9"/>
      <c r="B1815" s="9"/>
      <c r="C1815" s="9"/>
      <c r="D1815" s="9"/>
      <c r="E1815" s="9"/>
      <c r="F1815" s="10" t="b">
        <v>0</v>
      </c>
      <c r="G1815" s="10" t="b">
        <v>0</v>
      </c>
      <c r="H1815" s="9"/>
      <c r="I1815" s="9"/>
      <c r="J1815" s="9"/>
    </row>
    <row r="1816" spans="1:10" x14ac:dyDescent="0.25">
      <c r="A1816" s="9"/>
      <c r="B1816" s="9"/>
      <c r="C1816" s="9"/>
      <c r="D1816" s="9"/>
      <c r="E1816" s="9"/>
      <c r="F1816" s="10" t="b">
        <v>0</v>
      </c>
      <c r="G1816" s="10" t="b">
        <v>0</v>
      </c>
      <c r="H1816" s="9"/>
      <c r="I1816" s="9"/>
      <c r="J1816" s="9"/>
    </row>
    <row r="1817" spans="1:10" x14ac:dyDescent="0.25">
      <c r="A1817" s="9"/>
      <c r="B1817" s="9"/>
      <c r="C1817" s="9"/>
      <c r="D1817" s="9"/>
      <c r="E1817" s="9"/>
      <c r="F1817" s="10" t="b">
        <v>0</v>
      </c>
      <c r="G1817" s="10" t="b">
        <v>0</v>
      </c>
      <c r="H1817" s="9"/>
      <c r="I1817" s="9"/>
      <c r="J1817" s="9"/>
    </row>
    <row r="1818" spans="1:10" x14ac:dyDescent="0.25">
      <c r="A1818" s="9"/>
      <c r="B1818" s="9"/>
      <c r="C1818" s="9"/>
      <c r="D1818" s="9"/>
      <c r="E1818" s="9"/>
      <c r="F1818" s="10" t="b">
        <v>0</v>
      </c>
      <c r="G1818" s="10" t="b">
        <v>0</v>
      </c>
      <c r="H1818" s="9"/>
      <c r="I1818" s="9"/>
      <c r="J1818" s="9"/>
    </row>
    <row r="1819" spans="1:10" x14ac:dyDescent="0.25">
      <c r="A1819" s="9"/>
      <c r="B1819" s="9"/>
      <c r="C1819" s="9"/>
      <c r="D1819" s="9"/>
      <c r="E1819" s="9"/>
      <c r="F1819" s="10" t="b">
        <v>0</v>
      </c>
      <c r="G1819" s="10" t="b">
        <v>0</v>
      </c>
      <c r="H1819" s="9"/>
      <c r="I1819" s="9"/>
      <c r="J1819" s="9"/>
    </row>
    <row r="1820" spans="1:10" x14ac:dyDescent="0.25">
      <c r="A1820" s="9"/>
      <c r="B1820" s="9"/>
      <c r="C1820" s="9"/>
      <c r="D1820" s="9"/>
      <c r="E1820" s="9"/>
      <c r="F1820" s="10" t="b">
        <v>0</v>
      </c>
      <c r="G1820" s="10" t="b">
        <v>0</v>
      </c>
      <c r="H1820" s="9"/>
      <c r="I1820" s="9"/>
      <c r="J1820" s="9"/>
    </row>
    <row r="1821" spans="1:10" x14ac:dyDescent="0.25">
      <c r="A1821" s="9"/>
      <c r="B1821" s="9"/>
      <c r="C1821" s="9"/>
      <c r="D1821" s="9"/>
      <c r="E1821" s="9"/>
      <c r="F1821" s="10" t="b">
        <v>0</v>
      </c>
      <c r="G1821" s="10" t="b">
        <v>0</v>
      </c>
      <c r="H1821" s="9"/>
      <c r="I1821" s="9"/>
      <c r="J1821" s="9"/>
    </row>
    <row r="1822" spans="1:10" x14ac:dyDescent="0.25">
      <c r="A1822" s="9"/>
      <c r="B1822" s="9"/>
      <c r="C1822" s="9"/>
      <c r="D1822" s="9"/>
      <c r="E1822" s="9"/>
      <c r="F1822" s="10" t="b">
        <v>0</v>
      </c>
      <c r="G1822" s="10" t="b">
        <v>0</v>
      </c>
      <c r="H1822" s="9"/>
      <c r="I1822" s="9"/>
      <c r="J1822" s="9"/>
    </row>
    <row r="1823" spans="1:10" x14ac:dyDescent="0.25">
      <c r="A1823" s="9"/>
      <c r="B1823" s="9"/>
      <c r="C1823" s="9"/>
      <c r="D1823" s="9"/>
      <c r="E1823" s="9"/>
      <c r="F1823" s="10" t="b">
        <v>0</v>
      </c>
      <c r="G1823" s="10" t="b">
        <v>0</v>
      </c>
      <c r="H1823" s="9"/>
      <c r="I1823" s="9"/>
      <c r="J1823" s="9"/>
    </row>
    <row r="1824" spans="1:10" x14ac:dyDescent="0.25">
      <c r="A1824" s="9"/>
      <c r="B1824" s="9"/>
      <c r="C1824" s="9"/>
      <c r="D1824" s="9"/>
      <c r="E1824" s="9"/>
      <c r="F1824" s="10" t="b">
        <v>0</v>
      </c>
      <c r="G1824" s="10" t="b">
        <v>0</v>
      </c>
      <c r="H1824" s="9"/>
      <c r="I1824" s="9"/>
      <c r="J1824" s="9"/>
    </row>
    <row r="1825" spans="1:10" x14ac:dyDescent="0.25">
      <c r="A1825" s="9"/>
      <c r="B1825" s="9"/>
      <c r="C1825" s="9"/>
      <c r="D1825" s="9"/>
      <c r="E1825" s="9"/>
      <c r="F1825" s="10" t="b">
        <v>0</v>
      </c>
      <c r="G1825" s="10" t="b">
        <v>0</v>
      </c>
      <c r="H1825" s="9"/>
      <c r="I1825" s="9"/>
      <c r="J1825" s="9"/>
    </row>
    <row r="1826" spans="1:10" x14ac:dyDescent="0.25">
      <c r="A1826" s="9"/>
      <c r="B1826" s="9"/>
      <c r="C1826" s="9"/>
      <c r="D1826" s="9"/>
      <c r="E1826" s="9"/>
      <c r="F1826" s="10" t="b">
        <v>0</v>
      </c>
      <c r="G1826" s="10" t="b">
        <v>0</v>
      </c>
      <c r="H1826" s="9"/>
      <c r="I1826" s="9"/>
      <c r="J1826" s="9"/>
    </row>
    <row r="1827" spans="1:10" x14ac:dyDescent="0.25">
      <c r="A1827" s="9"/>
      <c r="B1827" s="9"/>
      <c r="C1827" s="9"/>
      <c r="D1827" s="9"/>
      <c r="E1827" s="9"/>
      <c r="F1827" s="10" t="b">
        <v>0</v>
      </c>
      <c r="G1827" s="10" t="b">
        <v>0</v>
      </c>
      <c r="H1827" s="9"/>
      <c r="I1827" s="9"/>
      <c r="J1827" s="9"/>
    </row>
    <row r="1828" spans="1:10" x14ac:dyDescent="0.25">
      <c r="A1828" s="9"/>
      <c r="B1828" s="9"/>
      <c r="C1828" s="9"/>
      <c r="D1828" s="9"/>
      <c r="E1828" s="9"/>
      <c r="F1828" s="10" t="b">
        <v>0</v>
      </c>
      <c r="G1828" s="10" t="b">
        <v>0</v>
      </c>
      <c r="H1828" s="9"/>
      <c r="I1828" s="9"/>
      <c r="J1828" s="9"/>
    </row>
    <row r="1829" spans="1:10" x14ac:dyDescent="0.25">
      <c r="A1829" s="9"/>
      <c r="B1829" s="9"/>
      <c r="C1829" s="9"/>
      <c r="D1829" s="9"/>
      <c r="E1829" s="9"/>
      <c r="F1829" s="10" t="b">
        <v>0</v>
      </c>
      <c r="G1829" s="10" t="b">
        <v>0</v>
      </c>
      <c r="H1829" s="9"/>
      <c r="I1829" s="9"/>
      <c r="J1829" s="9"/>
    </row>
    <row r="1830" spans="1:10" x14ac:dyDescent="0.25">
      <c r="A1830" s="9"/>
      <c r="B1830" s="9"/>
      <c r="C1830" s="9"/>
      <c r="D1830" s="9"/>
      <c r="E1830" s="9"/>
      <c r="F1830" s="10" t="b">
        <v>0</v>
      </c>
      <c r="G1830" s="10" t="b">
        <v>0</v>
      </c>
      <c r="H1830" s="9"/>
      <c r="I1830" s="9"/>
      <c r="J1830" s="9"/>
    </row>
    <row r="1831" spans="1:10" x14ac:dyDescent="0.25">
      <c r="A1831" s="9"/>
      <c r="B1831" s="9"/>
      <c r="C1831" s="9"/>
      <c r="D1831" s="9"/>
      <c r="E1831" s="9"/>
      <c r="F1831" s="10" t="b">
        <v>0</v>
      </c>
      <c r="G1831" s="10" t="b">
        <v>0</v>
      </c>
      <c r="H1831" s="9"/>
      <c r="I1831" s="9"/>
      <c r="J1831" s="9"/>
    </row>
    <row r="1832" spans="1:10" x14ac:dyDescent="0.25">
      <c r="A1832" s="9"/>
      <c r="B1832" s="9"/>
      <c r="C1832" s="9"/>
      <c r="D1832" s="9"/>
      <c r="E1832" s="9"/>
      <c r="F1832" s="10" t="b">
        <v>0</v>
      </c>
      <c r="G1832" s="10" t="b">
        <v>0</v>
      </c>
      <c r="H1832" s="9"/>
      <c r="I1832" s="9"/>
      <c r="J1832" s="9"/>
    </row>
    <row r="1833" spans="1:10" x14ac:dyDescent="0.25">
      <c r="A1833" s="9"/>
      <c r="B1833" s="9"/>
      <c r="C1833" s="9"/>
      <c r="D1833" s="9"/>
      <c r="E1833" s="9"/>
      <c r="F1833" s="10" t="b">
        <v>0</v>
      </c>
      <c r="G1833" s="10" t="b">
        <v>0</v>
      </c>
      <c r="H1833" s="9"/>
      <c r="I1833" s="9"/>
      <c r="J1833" s="9"/>
    </row>
    <row r="1834" spans="1:10" x14ac:dyDescent="0.25">
      <c r="A1834" s="9"/>
      <c r="B1834" s="9"/>
      <c r="C1834" s="9"/>
      <c r="D1834" s="9"/>
      <c r="E1834" s="9"/>
      <c r="F1834" s="10" t="b">
        <v>0</v>
      </c>
      <c r="G1834" s="10" t="b">
        <v>0</v>
      </c>
      <c r="H1834" s="9"/>
      <c r="I1834" s="9"/>
      <c r="J1834" s="9"/>
    </row>
    <row r="1835" spans="1:10" x14ac:dyDescent="0.25">
      <c r="A1835" s="9"/>
      <c r="B1835" s="9"/>
      <c r="C1835" s="9"/>
      <c r="D1835" s="9"/>
      <c r="E1835" s="9"/>
      <c r="F1835" s="10" t="b">
        <v>0</v>
      </c>
      <c r="G1835" s="10" t="b">
        <v>0</v>
      </c>
      <c r="H1835" s="9"/>
      <c r="I1835" s="9"/>
      <c r="J1835" s="9"/>
    </row>
    <row r="1836" spans="1:10" x14ac:dyDescent="0.25">
      <c r="A1836" s="9"/>
      <c r="B1836" s="9"/>
      <c r="C1836" s="9"/>
      <c r="D1836" s="9"/>
      <c r="E1836" s="9"/>
      <c r="F1836" s="10" t="b">
        <v>0</v>
      </c>
      <c r="G1836" s="10" t="b">
        <v>0</v>
      </c>
      <c r="H1836" s="9"/>
      <c r="I1836" s="9"/>
      <c r="J1836" s="9"/>
    </row>
    <row r="1837" spans="1:10" x14ac:dyDescent="0.25">
      <c r="A1837" s="9"/>
      <c r="B1837" s="9"/>
      <c r="C1837" s="9"/>
      <c r="D1837" s="9"/>
      <c r="E1837" s="9"/>
      <c r="F1837" s="10" t="b">
        <v>0</v>
      </c>
      <c r="G1837" s="10" t="b">
        <v>0</v>
      </c>
      <c r="H1837" s="9"/>
      <c r="I1837" s="9"/>
      <c r="J1837" s="9"/>
    </row>
    <row r="1838" spans="1:10" x14ac:dyDescent="0.25">
      <c r="A1838" s="9"/>
      <c r="B1838" s="9"/>
      <c r="C1838" s="9"/>
      <c r="D1838" s="9"/>
      <c r="E1838" s="9"/>
      <c r="F1838" s="10" t="b">
        <v>0</v>
      </c>
      <c r="G1838" s="10" t="b">
        <v>0</v>
      </c>
      <c r="H1838" s="9"/>
      <c r="I1838" s="9"/>
      <c r="J1838" s="9"/>
    </row>
    <row r="1839" spans="1:10" x14ac:dyDescent="0.25">
      <c r="A1839" s="9"/>
      <c r="B1839" s="9"/>
      <c r="C1839" s="9"/>
      <c r="D1839" s="9"/>
      <c r="E1839" s="9"/>
      <c r="F1839" s="10" t="b">
        <v>0</v>
      </c>
      <c r="G1839" s="10" t="b">
        <v>0</v>
      </c>
      <c r="H1839" s="9"/>
      <c r="I1839" s="9"/>
      <c r="J1839" s="9"/>
    </row>
    <row r="1840" spans="1:10" x14ac:dyDescent="0.25">
      <c r="A1840" s="9"/>
      <c r="B1840" s="9"/>
      <c r="C1840" s="9"/>
      <c r="D1840" s="9"/>
      <c r="E1840" s="9"/>
      <c r="F1840" s="10" t="b">
        <v>0</v>
      </c>
      <c r="G1840" s="10" t="b">
        <v>0</v>
      </c>
      <c r="H1840" s="9"/>
      <c r="I1840" s="9"/>
      <c r="J1840" s="9"/>
    </row>
    <row r="1841" spans="1:10" x14ac:dyDescent="0.25">
      <c r="A1841" s="9"/>
      <c r="B1841" s="9"/>
      <c r="C1841" s="9"/>
      <c r="D1841" s="9"/>
      <c r="E1841" s="9"/>
      <c r="F1841" s="10" t="b">
        <v>0</v>
      </c>
      <c r="G1841" s="10" t="b">
        <v>0</v>
      </c>
      <c r="H1841" s="9"/>
      <c r="I1841" s="9"/>
      <c r="J1841" s="9"/>
    </row>
    <row r="1842" spans="1:10" x14ac:dyDescent="0.25">
      <c r="A1842" s="9"/>
      <c r="B1842" s="9"/>
      <c r="C1842" s="9"/>
      <c r="D1842" s="9"/>
      <c r="E1842" s="9"/>
      <c r="F1842" s="10" t="b">
        <v>0</v>
      </c>
      <c r="G1842" s="10" t="b">
        <v>0</v>
      </c>
      <c r="H1842" s="9"/>
      <c r="I1842" s="9"/>
      <c r="J1842" s="9"/>
    </row>
    <row r="1843" spans="1:10" x14ac:dyDescent="0.25">
      <c r="A1843" s="9"/>
      <c r="B1843" s="9"/>
      <c r="C1843" s="9"/>
      <c r="D1843" s="9"/>
      <c r="E1843" s="9"/>
      <c r="F1843" s="10" t="b">
        <v>0</v>
      </c>
      <c r="G1843" s="10" t="b">
        <v>0</v>
      </c>
      <c r="H1843" s="9"/>
      <c r="I1843" s="9"/>
      <c r="J1843" s="9"/>
    </row>
    <row r="1844" spans="1:10" x14ac:dyDescent="0.25">
      <c r="A1844" s="9"/>
      <c r="B1844" s="9"/>
      <c r="C1844" s="9"/>
      <c r="D1844" s="9"/>
      <c r="E1844" s="9"/>
      <c r="F1844" s="10" t="b">
        <v>0</v>
      </c>
      <c r="G1844" s="10" t="b">
        <v>0</v>
      </c>
      <c r="H1844" s="9"/>
      <c r="I1844" s="9"/>
      <c r="J1844" s="9"/>
    </row>
    <row r="1845" spans="1:10" x14ac:dyDescent="0.25">
      <c r="A1845" s="9"/>
      <c r="B1845" s="9"/>
      <c r="C1845" s="9"/>
      <c r="D1845" s="9"/>
      <c r="E1845" s="9"/>
      <c r="F1845" s="10" t="b">
        <v>0</v>
      </c>
      <c r="G1845" s="10" t="b">
        <v>0</v>
      </c>
      <c r="H1845" s="9"/>
      <c r="I1845" s="9"/>
      <c r="J1845" s="9"/>
    </row>
    <row r="1846" spans="1:10" x14ac:dyDescent="0.25">
      <c r="A1846" s="9"/>
      <c r="B1846" s="9"/>
      <c r="C1846" s="9"/>
      <c r="D1846" s="9"/>
      <c r="E1846" s="9"/>
      <c r="F1846" s="10" t="b">
        <v>0</v>
      </c>
      <c r="G1846" s="10" t="b">
        <v>0</v>
      </c>
      <c r="H1846" s="9"/>
      <c r="I1846" s="9"/>
      <c r="J1846" s="9"/>
    </row>
    <row r="1847" spans="1:10" x14ac:dyDescent="0.25">
      <c r="A1847" s="9"/>
      <c r="B1847" s="9"/>
      <c r="C1847" s="9"/>
      <c r="D1847" s="9"/>
      <c r="E1847" s="9"/>
      <c r="F1847" s="10" t="b">
        <v>0</v>
      </c>
      <c r="G1847" s="10" t="b">
        <v>0</v>
      </c>
      <c r="H1847" s="9"/>
      <c r="I1847" s="9"/>
      <c r="J1847" s="9"/>
    </row>
    <row r="1848" spans="1:10" x14ac:dyDescent="0.25">
      <c r="A1848" s="9"/>
      <c r="B1848" s="9"/>
      <c r="C1848" s="9"/>
      <c r="D1848" s="9"/>
      <c r="E1848" s="9"/>
      <c r="F1848" s="10" t="b">
        <v>0</v>
      </c>
      <c r="G1848" s="10" t="b">
        <v>0</v>
      </c>
      <c r="H1848" s="9"/>
      <c r="I1848" s="9"/>
      <c r="J1848" s="9"/>
    </row>
    <row r="1849" spans="1:10" x14ac:dyDescent="0.25">
      <c r="A1849" s="9"/>
      <c r="B1849" s="9"/>
      <c r="C1849" s="9"/>
      <c r="D1849" s="9"/>
      <c r="E1849" s="9"/>
      <c r="F1849" s="10" t="b">
        <v>0</v>
      </c>
      <c r="G1849" s="10" t="b">
        <v>0</v>
      </c>
      <c r="H1849" s="9"/>
      <c r="I1849" s="9"/>
      <c r="J1849" s="9"/>
    </row>
    <row r="1850" spans="1:10" x14ac:dyDescent="0.25">
      <c r="A1850" s="9"/>
      <c r="B1850" s="9"/>
      <c r="C1850" s="9"/>
      <c r="D1850" s="9"/>
      <c r="E1850" s="9"/>
      <c r="F1850" s="10" t="b">
        <v>0</v>
      </c>
      <c r="G1850" s="10" t="b">
        <v>0</v>
      </c>
      <c r="H1850" s="9"/>
      <c r="I1850" s="9"/>
      <c r="J1850" s="9"/>
    </row>
    <row r="1851" spans="1:10" x14ac:dyDescent="0.25">
      <c r="A1851" s="9"/>
      <c r="B1851" s="9"/>
      <c r="C1851" s="9"/>
      <c r="D1851" s="9"/>
      <c r="E1851" s="9"/>
      <c r="F1851" s="10" t="b">
        <v>0</v>
      </c>
      <c r="G1851" s="10" t="b">
        <v>0</v>
      </c>
      <c r="H1851" s="9"/>
      <c r="I1851" s="9"/>
      <c r="J1851" s="9"/>
    </row>
    <row r="1852" spans="1:10" x14ac:dyDescent="0.25">
      <c r="A1852" s="9"/>
      <c r="B1852" s="9"/>
      <c r="C1852" s="9"/>
      <c r="D1852" s="9"/>
      <c r="E1852" s="9"/>
      <c r="F1852" s="10" t="b">
        <v>0</v>
      </c>
      <c r="G1852" s="10" t="b">
        <v>0</v>
      </c>
      <c r="H1852" s="9"/>
      <c r="I1852" s="9"/>
      <c r="J1852" s="9"/>
    </row>
    <row r="1853" spans="1:10" x14ac:dyDescent="0.25">
      <c r="A1853" s="9"/>
      <c r="B1853" s="9"/>
      <c r="C1853" s="9"/>
      <c r="D1853" s="9"/>
      <c r="E1853" s="9"/>
      <c r="F1853" s="10" t="b">
        <v>0</v>
      </c>
      <c r="G1853" s="10" t="b">
        <v>0</v>
      </c>
      <c r="H1853" s="9"/>
      <c r="I1853" s="9"/>
      <c r="J1853" s="9"/>
    </row>
    <row r="1854" spans="1:10" x14ac:dyDescent="0.25">
      <c r="A1854" s="9"/>
      <c r="B1854" s="9"/>
      <c r="C1854" s="9"/>
      <c r="D1854" s="9"/>
      <c r="E1854" s="9"/>
      <c r="F1854" s="10" t="b">
        <v>0</v>
      </c>
      <c r="G1854" s="10" t="b">
        <v>0</v>
      </c>
      <c r="H1854" s="9"/>
      <c r="I1854" s="9"/>
      <c r="J1854" s="9"/>
    </row>
    <row r="1855" spans="1:10" x14ac:dyDescent="0.25">
      <c r="A1855" s="9"/>
      <c r="B1855" s="9"/>
      <c r="C1855" s="9"/>
      <c r="D1855" s="9"/>
      <c r="E1855" s="9"/>
      <c r="F1855" s="10" t="b">
        <v>0</v>
      </c>
      <c r="G1855" s="10" t="b">
        <v>0</v>
      </c>
      <c r="H1855" s="9"/>
      <c r="I1855" s="9"/>
      <c r="J1855" s="9"/>
    </row>
    <row r="1856" spans="1:10" x14ac:dyDescent="0.25">
      <c r="A1856" s="9"/>
      <c r="B1856" s="9"/>
      <c r="C1856" s="9"/>
      <c r="D1856" s="9"/>
      <c r="E1856" s="9"/>
      <c r="F1856" s="10" t="b">
        <v>0</v>
      </c>
      <c r="G1856" s="10" t="b">
        <v>0</v>
      </c>
      <c r="H1856" s="9"/>
      <c r="I1856" s="9"/>
      <c r="J1856" s="9"/>
    </row>
    <row r="1857" spans="1:10" x14ac:dyDescent="0.25">
      <c r="A1857" s="9"/>
      <c r="B1857" s="9"/>
      <c r="C1857" s="9"/>
      <c r="D1857" s="9"/>
      <c r="E1857" s="9"/>
      <c r="F1857" s="10" t="b">
        <v>0</v>
      </c>
      <c r="G1857" s="10" t="b">
        <v>0</v>
      </c>
      <c r="H1857" s="9"/>
      <c r="I1857" s="9"/>
      <c r="J1857" s="9"/>
    </row>
    <row r="1858" spans="1:10" x14ac:dyDescent="0.25">
      <c r="A1858" s="9"/>
      <c r="B1858" s="9"/>
      <c r="C1858" s="9"/>
      <c r="D1858" s="9"/>
      <c r="E1858" s="9"/>
      <c r="F1858" s="10" t="b">
        <v>0</v>
      </c>
      <c r="G1858" s="10" t="b">
        <v>0</v>
      </c>
      <c r="H1858" s="9"/>
      <c r="I1858" s="9"/>
      <c r="J1858" s="9"/>
    </row>
    <row r="1859" spans="1:10" x14ac:dyDescent="0.25">
      <c r="A1859" s="9"/>
      <c r="B1859" s="9"/>
      <c r="C1859" s="9"/>
      <c r="D1859" s="9"/>
      <c r="E1859" s="9"/>
      <c r="F1859" s="10" t="b">
        <v>0</v>
      </c>
      <c r="G1859" s="10" t="b">
        <v>0</v>
      </c>
      <c r="H1859" s="9"/>
      <c r="I1859" s="9"/>
      <c r="J1859" s="9"/>
    </row>
    <row r="1860" spans="1:10" x14ac:dyDescent="0.25">
      <c r="A1860" s="9"/>
      <c r="B1860" s="9"/>
      <c r="C1860" s="9"/>
      <c r="D1860" s="9"/>
      <c r="E1860" s="9"/>
      <c r="F1860" s="10" t="b">
        <v>0</v>
      </c>
      <c r="G1860" s="10" t="b">
        <v>0</v>
      </c>
      <c r="H1860" s="9"/>
      <c r="I1860" s="9"/>
      <c r="J1860" s="9"/>
    </row>
    <row r="1861" spans="1:10" x14ac:dyDescent="0.25">
      <c r="A1861" s="9"/>
      <c r="B1861" s="9"/>
      <c r="C1861" s="9"/>
      <c r="D1861" s="9"/>
      <c r="E1861" s="9"/>
      <c r="F1861" s="10" t="b">
        <v>0</v>
      </c>
      <c r="G1861" s="10" t="b">
        <v>0</v>
      </c>
      <c r="H1861" s="9"/>
      <c r="I1861" s="9"/>
      <c r="J1861" s="9"/>
    </row>
    <row r="1862" spans="1:10" x14ac:dyDescent="0.25">
      <c r="A1862" s="9"/>
      <c r="B1862" s="9"/>
      <c r="C1862" s="9"/>
      <c r="D1862" s="9"/>
      <c r="E1862" s="9"/>
      <c r="F1862" s="10" t="b">
        <v>0</v>
      </c>
      <c r="G1862" s="10" t="b">
        <v>0</v>
      </c>
      <c r="H1862" s="9"/>
      <c r="I1862" s="9"/>
      <c r="J1862" s="9"/>
    </row>
    <row r="1863" spans="1:10" x14ac:dyDescent="0.25">
      <c r="A1863" s="9"/>
      <c r="B1863" s="9"/>
      <c r="C1863" s="9"/>
      <c r="D1863" s="9"/>
      <c r="E1863" s="9"/>
      <c r="F1863" s="10" t="b">
        <v>0</v>
      </c>
      <c r="G1863" s="10" t="b">
        <v>0</v>
      </c>
      <c r="H1863" s="9"/>
      <c r="I1863" s="9"/>
      <c r="J1863"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#REF!</xm:f>
          </x14:formula1>
          <xm:sqref>H2:H1863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49"/>
  <sheetViews>
    <sheetView workbookViewId="0">
      <pane xSplit="1" ySplit="2" topLeftCell="B3" activePane="bottomRight" state="frozen"/>
      <selection pane="topRight" activeCell="B1" sqref="B1"/>
      <selection pane="bottomLeft" activeCell="A3" sqref="A3"/>
      <selection pane="bottomRight" activeCell="B4" sqref="B4"/>
    </sheetView>
  </sheetViews>
  <sheetFormatPr baseColWidth="10" defaultColWidth="12.6640625" defaultRowHeight="15.75" customHeight="1" x14ac:dyDescent="0.25"/>
  <cols>
    <col min="1" max="1" width="37" customWidth="1"/>
    <col min="2" max="31" width="8.77734375" customWidth="1"/>
  </cols>
  <sheetData>
    <row r="1" spans="1:31" x14ac:dyDescent="0.25">
      <c r="A1" s="2"/>
      <c r="B1" s="2" t="s">
        <v>94</v>
      </c>
      <c r="C1" s="2" t="s">
        <v>190</v>
      </c>
      <c r="D1" s="2" t="s">
        <v>223</v>
      </c>
      <c r="E1" s="2" t="s">
        <v>652</v>
      </c>
      <c r="F1" s="2" t="s">
        <v>379</v>
      </c>
      <c r="G1" s="2" t="s">
        <v>883</v>
      </c>
      <c r="H1" s="2" t="s">
        <v>2260</v>
      </c>
      <c r="I1" s="2" t="s">
        <v>2321</v>
      </c>
      <c r="J1" s="2" t="s">
        <v>2296</v>
      </c>
      <c r="K1" s="2" t="s">
        <v>2363</v>
      </c>
      <c r="L1" s="2" t="s">
        <v>2508</v>
      </c>
      <c r="M1" s="2" t="s">
        <v>2616</v>
      </c>
      <c r="N1" s="2" t="s">
        <v>2529</v>
      </c>
      <c r="O1" s="2" t="s">
        <v>2886</v>
      </c>
      <c r="P1" s="2" t="s">
        <v>1536</v>
      </c>
      <c r="Q1" s="2" t="s">
        <v>1619</v>
      </c>
      <c r="R1" s="2" t="s">
        <v>1672</v>
      </c>
      <c r="S1" s="2" t="s">
        <v>2015</v>
      </c>
      <c r="T1" s="2" t="s">
        <v>1104</v>
      </c>
      <c r="U1" s="2" t="s">
        <v>1144</v>
      </c>
      <c r="V1" s="2" t="s">
        <v>1168</v>
      </c>
      <c r="W1" s="2" t="s">
        <v>1330</v>
      </c>
      <c r="X1" s="2" t="s">
        <v>2394</v>
      </c>
      <c r="Y1" s="2" t="s">
        <v>2418</v>
      </c>
      <c r="Z1" s="2" t="s">
        <v>2441</v>
      </c>
      <c r="AA1" s="2" t="s">
        <v>2463</v>
      </c>
      <c r="AB1" s="2" t="s">
        <v>3079</v>
      </c>
      <c r="AC1" s="2" t="s">
        <v>3096</v>
      </c>
      <c r="AD1" s="2" t="s">
        <v>3248</v>
      </c>
      <c r="AE1" s="2" t="s">
        <v>3338</v>
      </c>
    </row>
    <row r="2" spans="1:31" x14ac:dyDescent="0.25">
      <c r="A2" s="1" t="s">
        <v>6911</v>
      </c>
      <c r="B2" s="14">
        <f t="shared" ref="B2:AE2" si="0">IF(COUNTA(B$3:B$47)&gt;0,COUNTIF(B$3:B$47,"Yes")/(COUNTIF(B$3:B$47,"Yes")+COUNTIF(B$3:B$47,"No")),"")</f>
        <v>0.80555555555555558</v>
      </c>
      <c r="C2" s="14">
        <f t="shared" si="0"/>
        <v>0.41935483870967744</v>
      </c>
      <c r="D2" s="14">
        <f t="shared" si="0"/>
        <v>0.67647058823529416</v>
      </c>
      <c r="E2" s="14">
        <f t="shared" si="0"/>
        <v>0.82051282051282048</v>
      </c>
      <c r="F2" s="14">
        <f t="shared" si="0"/>
        <v>0.80555555555555558</v>
      </c>
      <c r="G2" s="14">
        <f t="shared" si="0"/>
        <v>0.79411764705882348</v>
      </c>
      <c r="H2" s="14">
        <f t="shared" si="0"/>
        <v>1</v>
      </c>
      <c r="I2" s="14">
        <f t="shared" si="0"/>
        <v>1</v>
      </c>
      <c r="J2" s="14">
        <f t="shared" si="0"/>
        <v>1</v>
      </c>
      <c r="K2" s="14">
        <f t="shared" si="0"/>
        <v>1</v>
      </c>
      <c r="L2" s="14">
        <f t="shared" si="0"/>
        <v>0.27586206896551724</v>
      </c>
      <c r="M2" s="14">
        <f t="shared" si="0"/>
        <v>0.91891891891891897</v>
      </c>
      <c r="N2" s="14">
        <f t="shared" si="0"/>
        <v>0.5625</v>
      </c>
      <c r="O2" s="14">
        <f t="shared" si="0"/>
        <v>0.8125</v>
      </c>
      <c r="P2" s="14">
        <f t="shared" si="0"/>
        <v>0.82352941176470584</v>
      </c>
      <c r="Q2" s="14">
        <f t="shared" si="0"/>
        <v>0.59375</v>
      </c>
      <c r="R2" s="14">
        <f t="shared" si="0"/>
        <v>0.89743589743589747</v>
      </c>
      <c r="S2" s="14">
        <f t="shared" si="0"/>
        <v>0.78947368421052633</v>
      </c>
      <c r="T2" s="14">
        <f t="shared" si="0"/>
        <v>0.44827586206896552</v>
      </c>
      <c r="U2" s="14">
        <f t="shared" si="0"/>
        <v>0.35714285714285715</v>
      </c>
      <c r="V2" s="14">
        <f t="shared" si="0"/>
        <v>0.7142857142857143</v>
      </c>
      <c r="W2" s="14">
        <f t="shared" si="0"/>
        <v>0.70588235294117652</v>
      </c>
      <c r="X2" s="14">
        <f t="shared" si="0"/>
        <v>0.46153846153846156</v>
      </c>
      <c r="Y2" s="14">
        <f t="shared" si="0"/>
        <v>1</v>
      </c>
      <c r="Z2" s="14">
        <f t="shared" si="0"/>
        <v>0.75</v>
      </c>
      <c r="AA2" s="14">
        <f t="shared" si="0"/>
        <v>1</v>
      </c>
      <c r="AB2" s="14">
        <f t="shared" si="0"/>
        <v>0.5</v>
      </c>
      <c r="AC2" s="14">
        <f t="shared" si="0"/>
        <v>0.84375</v>
      </c>
      <c r="AD2" s="14">
        <f t="shared" si="0"/>
        <v>0.7</v>
      </c>
      <c r="AE2" s="14">
        <f t="shared" si="0"/>
        <v>0.83870967741935487</v>
      </c>
    </row>
    <row r="3" spans="1:31" x14ac:dyDescent="0.25">
      <c r="A3" s="1" t="s">
        <v>6</v>
      </c>
      <c r="B3" s="1" t="str">
        <f t="array" ref="B3">CHOOSE(INDEX('Ontology and concepts per UC'!$G$2:$I$46,MATCH($A3,'Ontology and concepts per UC'!$F$2:$F$46,0),MATCH(LEFT(B$1,3),'Ontology and concepts per UC'!$G$1:$I$1,0))+1,"NA",IF(COUNTIFS(Validation!$A:$A,B$1,Validation!$S:$S,$A3)&gt;0,"Yes","No"),IF(COUNTIFS(Validation!$A:$A,B$1,Validation!$S:$S,$A3)&gt;0,"Yes","NA"))</f>
        <v>Yes</v>
      </c>
      <c r="C3" s="1" t="str">
        <f t="array" ref="C3">CHOOSE(INDEX('Ontology and concepts per UC'!$G$2:$I$46,MATCH($A3,'Ontology and concepts per UC'!$F$2:$F$46,0),MATCH(LEFT(C$1,3),'Ontology and concepts per UC'!$G$1:$I$1,0))+1,"NA",IF(COUNTIFS(Validation!$A:$A,C$1,Validation!$S:$S,$A3)&gt;0,"Yes","No"),IF(COUNTIFS(Validation!$A:$A,C$1,Validation!$S:$S,$A3)&gt;0,"Yes","NA"))</f>
        <v>Yes</v>
      </c>
      <c r="D3" s="1" t="str">
        <f t="array" ref="D3">CHOOSE(INDEX('Ontology and concepts per UC'!$G$2:$I$46,MATCH($A3,'Ontology and concepts per UC'!$F$2:$F$46,0),MATCH(LEFT(D$1,3),'Ontology and concepts per UC'!$G$1:$I$1,0))+1,"NA",IF(COUNTIFS(Validation!$A:$A,D$1,Validation!$S:$S,$A3)&gt;0,"Yes","No"),IF(COUNTIFS(Validation!$A:$A,D$1,Validation!$S:$S,$A3)&gt;0,"Yes","NA"))</f>
        <v>NA</v>
      </c>
      <c r="E3" s="1" t="str">
        <f t="array" ref="E3">CHOOSE(INDEX('Ontology and concepts per UC'!$G$2:$I$46,MATCH($A3,'Ontology and concepts per UC'!$F$2:$F$46,0),MATCH(LEFT(E$1,3),'Ontology and concepts per UC'!$G$1:$I$1,0))+1,"NA",IF(COUNTIFS(Validation!$A:$A,E$1,Validation!$S:$S,$A3)&gt;0,"Yes","No"),IF(COUNTIFS(Validation!$A:$A,E$1,Validation!$S:$S,$A3)&gt;0,"Yes","NA"))</f>
        <v>Yes</v>
      </c>
      <c r="F3" s="1" t="str">
        <f t="array" ref="F3">CHOOSE(INDEX('Ontology and concepts per UC'!$G$2:$I$46,MATCH($A3,'Ontology and concepts per UC'!$F$2:$F$46,0),MATCH(LEFT(F$1,3),'Ontology and concepts per UC'!$G$1:$I$1,0))+1,"NA",IF(COUNTIFS(Validation!$A:$A,F$1,Validation!$S:$S,$A3)&gt;0,"Yes","No"),IF(COUNTIFS(Validation!$A:$A,F$1,Validation!$S:$S,$A3)&gt;0,"Yes","NA"))</f>
        <v>NA</v>
      </c>
      <c r="G3" s="1" t="str">
        <f t="array" ref="G3">CHOOSE(INDEX('Ontology and concepts per UC'!$G$2:$I$46,MATCH($A3,'Ontology and concepts per UC'!$F$2:$F$46,0),MATCH(LEFT(G$1,3),'Ontology and concepts per UC'!$G$1:$I$1,0))+1,"NA",IF(COUNTIFS(Validation!$A:$A,G$1,Validation!$S:$S,$A3)&gt;0,"Yes","No"),IF(COUNTIFS(Validation!$A:$A,G$1,Validation!$S:$S,$A3)&gt;0,"Yes","NA"))</f>
        <v>NA</v>
      </c>
      <c r="H3" s="1" t="str">
        <f t="array" ref="H3">CHOOSE(INDEX('Ontology and concepts per UC'!$G$2:$I$46,MATCH($A3,'Ontology and concepts per UC'!$F$2:$F$46,0),MATCH(LEFT(H$1,3),'Ontology and concepts per UC'!$G$1:$I$1,0))+1,"NA",IF(COUNTIFS(Validation!$A:$A,H$1,Validation!$S:$S,$A3)&gt;0,"Yes","No"),IF(COUNTIFS(Validation!$A:$A,H$1,Validation!$S:$S,$A3)&gt;0,"Yes","NA"))</f>
        <v>NA</v>
      </c>
      <c r="I3" s="1" t="str">
        <f t="array" ref="I3">CHOOSE(INDEX('Ontology and concepts per UC'!$G$2:$I$46,MATCH($A3,'Ontology and concepts per UC'!$F$2:$F$46,0),MATCH(LEFT(I$1,3),'Ontology and concepts per UC'!$G$1:$I$1,0))+1,"NA",IF(COUNTIFS(Validation!$A:$A,I$1,Validation!$S:$S,$A3)&gt;0,"Yes","No"),IF(COUNTIFS(Validation!$A:$A,I$1,Validation!$S:$S,$A3)&gt;0,"Yes","NA"))</f>
        <v>NA</v>
      </c>
      <c r="J3" s="1" t="str">
        <f t="array" ref="J3">CHOOSE(INDEX('Ontology and concepts per UC'!$G$2:$I$46,MATCH($A3,'Ontology and concepts per UC'!$F$2:$F$46,0),MATCH(LEFT(J$1,3),'Ontology and concepts per UC'!$G$1:$I$1,0))+1,"NA",IF(COUNTIFS(Validation!$A:$A,J$1,Validation!$S:$S,$A3)&gt;0,"Yes","No"),IF(COUNTIFS(Validation!$A:$A,J$1,Validation!$S:$S,$A3)&gt;0,"Yes","NA"))</f>
        <v>NA</v>
      </c>
      <c r="K3" s="1" t="str">
        <f t="array" ref="K3">CHOOSE(INDEX('Ontology and concepts per UC'!$G$2:$I$46,MATCH($A3,'Ontology and concepts per UC'!$F$2:$F$46,0),MATCH(LEFT(K$1,3),'Ontology and concepts per UC'!$G$1:$I$1,0))+1,"NA",IF(COUNTIFS(Validation!$A:$A,K$1,Validation!$S:$S,$A3)&gt;0,"Yes","No"),IF(COUNTIFS(Validation!$A:$A,K$1,Validation!$S:$S,$A3)&gt;0,"Yes","NA"))</f>
        <v>NA</v>
      </c>
      <c r="L3" s="1" t="str">
        <f t="array" ref="L3">CHOOSE(INDEX('Ontology and concepts per UC'!$G$2:$I$46,MATCH($A3,'Ontology and concepts per UC'!$F$2:$F$46,0),MATCH(LEFT(L$1,3),'Ontology and concepts per UC'!$G$1:$I$1,0))+1,"NA",IF(COUNTIFS(Validation!$A:$A,L$1,Validation!$S:$S,$A3)&gt;0,"Yes","No"),IF(COUNTIFS(Validation!$A:$A,L$1,Validation!$S:$S,$A3)&gt;0,"Yes","NA"))</f>
        <v>NA</v>
      </c>
      <c r="M3" s="1" t="str">
        <f t="array" ref="M3">CHOOSE(INDEX('Ontology and concepts per UC'!$G$2:$I$46,MATCH($A3,'Ontology and concepts per UC'!$F$2:$F$46,0),MATCH(LEFT(M$1,3),'Ontology and concepts per UC'!$G$1:$I$1,0))+1,"NA",IF(COUNTIFS(Validation!$A:$A,M$1,Validation!$S:$S,$A3)&gt;0,"Yes","No"),IF(COUNTIFS(Validation!$A:$A,M$1,Validation!$S:$S,$A3)&gt;0,"Yes","NA"))</f>
        <v>Yes</v>
      </c>
      <c r="N3" s="1" t="str">
        <f t="array" ref="N3">CHOOSE(INDEX('Ontology and concepts per UC'!$G$2:$I$46,MATCH($A3,'Ontology and concepts per UC'!$F$2:$F$46,0),MATCH(LEFT(N$1,3),'Ontology and concepts per UC'!$G$1:$I$1,0))+1,"NA",IF(COUNTIFS(Validation!$A:$A,N$1,Validation!$S:$S,$A3)&gt;0,"Yes","No"),IF(COUNTIFS(Validation!$A:$A,N$1,Validation!$S:$S,$A3)&gt;0,"Yes","NA"))</f>
        <v>NA</v>
      </c>
      <c r="O3" s="1" t="str">
        <f t="array" ref="O3">CHOOSE(INDEX('Ontology and concepts per UC'!$G$2:$I$46,MATCH($A3,'Ontology and concepts per UC'!$F$2:$F$46,0),MATCH(LEFT(O$1,3),'Ontology and concepts per UC'!$G$1:$I$1,0))+1,"NA",IF(COUNTIFS(Validation!$A:$A,O$1,Validation!$S:$S,$A3)&gt;0,"Yes","No"),IF(COUNTIFS(Validation!$A:$A,O$1,Validation!$S:$S,$A3)&gt;0,"Yes","NA"))</f>
        <v>NA</v>
      </c>
      <c r="P3" s="1" t="str">
        <f t="array" ref="P3">CHOOSE(INDEX('Ontology and concepts per UC'!$G$2:$I$46,MATCH($A3,'Ontology and concepts per UC'!$F$2:$F$46,0),MATCH(LEFT(P$1,3),'Ontology and concepts per UC'!$G$1:$I$1,0))+1,"NA",IF(COUNTIFS(Validation!$A:$A,P$1,Validation!$S:$S,$A3)&gt;0,"Yes","No"),IF(COUNTIFS(Validation!$A:$A,P$1,Validation!$S:$S,$A3)&gt;0,"Yes","NA"))</f>
        <v>NA</v>
      </c>
      <c r="Q3" s="1" t="str">
        <f t="array" ref="Q3">CHOOSE(INDEX('Ontology and concepts per UC'!$G$2:$I$46,MATCH($A3,'Ontology and concepts per UC'!$F$2:$F$46,0),MATCH(LEFT(Q$1,3),'Ontology and concepts per UC'!$G$1:$I$1,0))+1,"NA",IF(COUNTIFS(Validation!$A:$A,Q$1,Validation!$S:$S,$A3)&gt;0,"Yes","No"),IF(COUNTIFS(Validation!$A:$A,Q$1,Validation!$S:$S,$A3)&gt;0,"Yes","NA"))</f>
        <v>NA</v>
      </c>
      <c r="R3" s="1" t="str">
        <f t="array" ref="R3">CHOOSE(INDEX('Ontology and concepts per UC'!$G$2:$I$46,MATCH($A3,'Ontology and concepts per UC'!$F$2:$F$46,0),MATCH(LEFT(R$1,3),'Ontology and concepts per UC'!$G$1:$I$1,0))+1,"NA",IF(COUNTIFS(Validation!$A:$A,R$1,Validation!$S:$S,$A3)&gt;0,"Yes","No"),IF(COUNTIFS(Validation!$A:$A,R$1,Validation!$S:$S,$A3)&gt;0,"Yes","NA"))</f>
        <v>NA</v>
      </c>
      <c r="S3" s="1" t="str">
        <f t="array" ref="S3">CHOOSE(INDEX('Ontology and concepts per UC'!$G$2:$I$46,MATCH($A3,'Ontology and concepts per UC'!$F$2:$F$46,0),MATCH(LEFT(S$1,3),'Ontology and concepts per UC'!$G$1:$I$1,0))+1,"NA",IF(COUNTIFS(Validation!$A:$A,S$1,Validation!$S:$S,$A3)&gt;0,"Yes","No"),IF(COUNTIFS(Validation!$A:$A,S$1,Validation!$S:$S,$A3)&gt;0,"Yes","NA"))</f>
        <v>NA</v>
      </c>
      <c r="T3" s="1" t="str">
        <f t="array" ref="T3">CHOOSE(INDEX('Ontology and concepts per UC'!$G$2:$I$46,MATCH($A3,'Ontology and concepts per UC'!$F$2:$F$46,0),MATCH(LEFT(T$1,3),'Ontology and concepts per UC'!$G$1:$I$1,0))+1,"NA",IF(COUNTIFS(Validation!$A:$A,T$1,Validation!$S:$S,$A3)&gt;0,"Yes","No"),IF(COUNTIFS(Validation!$A:$A,T$1,Validation!$S:$S,$A3)&gt;0,"Yes","NA"))</f>
        <v>NA</v>
      </c>
      <c r="U3" s="1" t="str">
        <f t="array" ref="U3">CHOOSE(INDEX('Ontology and concepts per UC'!$G$2:$I$46,MATCH($A3,'Ontology and concepts per UC'!$F$2:$F$46,0),MATCH(LEFT(U$1,3),'Ontology and concepts per UC'!$G$1:$I$1,0))+1,"NA",IF(COUNTIFS(Validation!$A:$A,U$1,Validation!$S:$S,$A3)&gt;0,"Yes","No"),IF(COUNTIFS(Validation!$A:$A,U$1,Validation!$S:$S,$A3)&gt;0,"Yes","NA"))</f>
        <v>NA</v>
      </c>
      <c r="V3" s="1" t="str">
        <f t="array" ref="V3">CHOOSE(INDEX('Ontology and concepts per UC'!$G$2:$I$46,MATCH($A3,'Ontology and concepts per UC'!$F$2:$F$46,0),MATCH(LEFT(V$1,3),'Ontology and concepts per UC'!$G$1:$I$1,0))+1,"NA",IF(COUNTIFS(Validation!$A:$A,V$1,Validation!$S:$S,$A3)&gt;0,"Yes","No"),IF(COUNTIFS(Validation!$A:$A,V$1,Validation!$S:$S,$A3)&gt;0,"Yes","NA"))</f>
        <v>NA</v>
      </c>
      <c r="W3" s="1" t="str">
        <f t="array" ref="W3">CHOOSE(INDEX('Ontology and concepts per UC'!$G$2:$I$46,MATCH($A3,'Ontology and concepts per UC'!$F$2:$F$46,0),MATCH(LEFT(W$1,3),'Ontology and concepts per UC'!$G$1:$I$1,0))+1,"NA",IF(COUNTIFS(Validation!$A:$A,W$1,Validation!$S:$S,$A3)&gt;0,"Yes","No"),IF(COUNTIFS(Validation!$A:$A,W$1,Validation!$S:$S,$A3)&gt;0,"Yes","NA"))</f>
        <v>NA</v>
      </c>
      <c r="X3" s="1" t="str">
        <f t="array" ref="X3">CHOOSE(INDEX('Ontology and concepts per UC'!$G$2:$I$46,MATCH($A3,'Ontology and concepts per UC'!$F$2:$F$46,0),MATCH(LEFT(X$1,3),'Ontology and concepts per UC'!$G$1:$I$1,0))+1,"NA",IF(COUNTIFS(Validation!$A:$A,X$1,Validation!$S:$S,$A3)&gt;0,"Yes","No"),IF(COUNTIFS(Validation!$A:$A,X$1,Validation!$S:$S,$A3)&gt;0,"Yes","NA"))</f>
        <v>NA</v>
      </c>
      <c r="Y3" s="1" t="str">
        <f t="array" ref="Y3">CHOOSE(INDEX('Ontology and concepts per UC'!$G$2:$I$46,MATCH($A3,'Ontology and concepts per UC'!$F$2:$F$46,0),MATCH(LEFT(Y$1,3),'Ontology and concepts per UC'!$G$1:$I$1,0))+1,"NA",IF(COUNTIFS(Validation!$A:$A,Y$1,Validation!$S:$S,$A3)&gt;0,"Yes","No"),IF(COUNTIFS(Validation!$A:$A,Y$1,Validation!$S:$S,$A3)&gt;0,"Yes","NA"))</f>
        <v>NA</v>
      </c>
      <c r="Z3" s="1" t="str">
        <f t="array" ref="Z3">CHOOSE(INDEX('Ontology and concepts per UC'!$G$2:$I$46,MATCH($A3,'Ontology and concepts per UC'!$F$2:$F$46,0),MATCH(LEFT(Z$1,3),'Ontology and concepts per UC'!$G$1:$I$1,0))+1,"NA",IF(COUNTIFS(Validation!$A:$A,Z$1,Validation!$S:$S,$A3)&gt;0,"Yes","No"),IF(COUNTIFS(Validation!$A:$A,Z$1,Validation!$S:$S,$A3)&gt;0,"Yes","NA"))</f>
        <v>NA</v>
      </c>
      <c r="AA3" s="1" t="str">
        <f t="array" ref="AA3">CHOOSE(INDEX('Ontology and concepts per UC'!$G$2:$I$46,MATCH($A3,'Ontology and concepts per UC'!$F$2:$F$46,0),MATCH(LEFT(AA$1,3),'Ontology and concepts per UC'!$G$1:$I$1,0))+1,"NA",IF(COUNTIFS(Validation!$A:$A,AA$1,Validation!$S:$S,$A3)&gt;0,"Yes","No"),IF(COUNTIFS(Validation!$A:$A,AA$1,Validation!$S:$S,$A3)&gt;0,"Yes","NA"))</f>
        <v>NA</v>
      </c>
      <c r="AB3" s="1" t="str">
        <f t="array" ref="AB3">CHOOSE(INDEX('Ontology and concepts per UC'!$G$2:$I$46,MATCH($A3,'Ontology and concepts per UC'!$F$2:$F$46,0),MATCH(LEFT(AB$1,3),'Ontology and concepts per UC'!$G$1:$I$1,0))+1,"NA",IF(COUNTIFS(Validation!$A:$A,AB$1,Validation!$S:$S,$A3)&gt;0,"Yes","No"),IF(COUNTIFS(Validation!$A:$A,AB$1,Validation!$S:$S,$A3)&gt;0,"Yes","NA"))</f>
        <v>NA</v>
      </c>
      <c r="AC3" s="1" t="str">
        <f t="array" ref="AC3">CHOOSE(INDEX('Ontology and concepts per UC'!$G$2:$I$46,MATCH($A3,'Ontology and concepts per UC'!$F$2:$F$46,0),MATCH(LEFT(AC$1,3),'Ontology and concepts per UC'!$G$1:$I$1,0))+1,"NA",IF(COUNTIFS(Validation!$A:$A,AC$1,Validation!$S:$S,$A3)&gt;0,"Yes","No"),IF(COUNTIFS(Validation!$A:$A,AC$1,Validation!$S:$S,$A3)&gt;0,"Yes","NA"))</f>
        <v>NA</v>
      </c>
      <c r="AD3" s="1" t="str">
        <f t="array" ref="AD3">CHOOSE(INDEX('Ontology and concepts per UC'!$G$2:$I$46,MATCH($A3,'Ontology and concepts per UC'!$F$2:$F$46,0),MATCH(LEFT(AD$1,3),'Ontology and concepts per UC'!$G$1:$I$1,0))+1,"NA",IF(COUNTIFS(Validation!$A:$A,AD$1,Validation!$S:$S,$A3)&gt;0,"Yes","No"),IF(COUNTIFS(Validation!$A:$A,AD$1,Validation!$S:$S,$A3)&gt;0,"Yes","NA"))</f>
        <v>NA</v>
      </c>
      <c r="AE3" s="1" t="str">
        <f t="array" ref="AE3">CHOOSE(INDEX('Ontology and concepts per UC'!$G$2:$I$46,MATCH($A3,'Ontology and concepts per UC'!$F$2:$F$46,0),MATCH(LEFT(AE$1,3),'Ontology and concepts per UC'!$G$1:$I$1,0))+1,"NA",IF(COUNTIFS(Validation!$A:$A,AE$1,Validation!$S:$S,$A3)&gt;0,"Yes","No"),IF(COUNTIFS(Validation!$A:$A,AE$1,Validation!$S:$S,$A3)&gt;0,"Yes","NA"))</f>
        <v>NA</v>
      </c>
    </row>
    <row r="4" spans="1:31" x14ac:dyDescent="0.25">
      <c r="A4" s="1" t="s">
        <v>8</v>
      </c>
      <c r="B4" s="1" t="str">
        <f t="array" ref="B4">CHOOSE(INDEX('Ontology and concepts per UC'!$G$2:$I$46,MATCH($A4,'Ontology and concepts per UC'!$F$2:$F$46,0),MATCH(LEFT(B$1,3),'Ontology and concepts per UC'!$G$1:$I$1,0))+1,"NA",IF(COUNTIFS(Validation!$A:$A,B$1,Validation!$S:$S,$A4)&gt;0,"Yes","No"),IF(COUNTIFS(Validation!$A:$A,B$1,Validation!$S:$S,$A4)&gt;0,"Yes","NA"))</f>
        <v>NA</v>
      </c>
      <c r="C4" s="1" t="str">
        <f t="array" ref="C4">CHOOSE(INDEX('Ontology and concepts per UC'!$G$2:$I$46,MATCH($A4,'Ontology and concepts per UC'!$F$2:$F$46,0),MATCH(LEFT(C$1,3),'Ontology and concepts per UC'!$G$1:$I$1,0))+1,"NA",IF(COUNTIFS(Validation!$A:$A,C$1,Validation!$S:$S,$A4)&gt;0,"Yes","No"),IF(COUNTIFS(Validation!$A:$A,C$1,Validation!$S:$S,$A4)&gt;0,"Yes","NA"))</f>
        <v>NA</v>
      </c>
      <c r="D4" s="1" t="str">
        <f t="array" ref="D4">CHOOSE(INDEX('Ontology and concepts per UC'!$G$2:$I$46,MATCH($A4,'Ontology and concepts per UC'!$F$2:$F$46,0),MATCH(LEFT(D$1,3),'Ontology and concepts per UC'!$G$1:$I$1,0))+1,"NA",IF(COUNTIFS(Validation!$A:$A,D$1,Validation!$S:$S,$A4)&gt;0,"Yes","No"),IF(COUNTIFS(Validation!$A:$A,D$1,Validation!$S:$S,$A4)&gt;0,"Yes","NA"))</f>
        <v>NA</v>
      </c>
      <c r="E4" s="1" t="str">
        <f t="array" ref="E4">CHOOSE(INDEX('Ontology and concepts per UC'!$G$2:$I$46,MATCH($A4,'Ontology and concepts per UC'!$F$2:$F$46,0),MATCH(LEFT(E$1,3),'Ontology and concepts per UC'!$G$1:$I$1,0))+1,"NA",IF(COUNTIFS(Validation!$A:$A,E$1,Validation!$S:$S,$A4)&gt;0,"Yes","No"),IF(COUNTIFS(Validation!$A:$A,E$1,Validation!$S:$S,$A4)&gt;0,"Yes","NA"))</f>
        <v>NA</v>
      </c>
      <c r="F4" s="1" t="str">
        <f t="array" ref="F4">CHOOSE(INDEX('Ontology and concepts per UC'!$G$2:$I$46,MATCH($A4,'Ontology and concepts per UC'!$F$2:$F$46,0),MATCH(LEFT(F$1,3),'Ontology and concepts per UC'!$G$1:$I$1,0))+1,"NA",IF(COUNTIFS(Validation!$A:$A,F$1,Validation!$S:$S,$A4)&gt;0,"Yes","No"),IF(COUNTIFS(Validation!$A:$A,F$1,Validation!$S:$S,$A4)&gt;0,"Yes","NA"))</f>
        <v>NA</v>
      </c>
      <c r="G4" s="1" t="str">
        <f t="array" ref="G4">CHOOSE(INDEX('Ontology and concepts per UC'!$G$2:$I$46,MATCH($A4,'Ontology and concepts per UC'!$F$2:$F$46,0),MATCH(LEFT(G$1,3),'Ontology and concepts per UC'!$G$1:$I$1,0))+1,"NA",IF(COUNTIFS(Validation!$A:$A,G$1,Validation!$S:$S,$A4)&gt;0,"Yes","No"),IF(COUNTIFS(Validation!$A:$A,G$1,Validation!$S:$S,$A4)&gt;0,"Yes","NA"))</f>
        <v>NA</v>
      </c>
      <c r="H4" s="1" t="str">
        <f t="array" ref="H4">CHOOSE(INDEX('Ontology and concepts per UC'!$G$2:$I$46,MATCH($A4,'Ontology and concepts per UC'!$F$2:$F$46,0),MATCH(LEFT(H$1,3),'Ontology and concepts per UC'!$G$1:$I$1,0))+1,"NA",IF(COUNTIFS(Validation!$A:$A,H$1,Validation!$S:$S,$A4)&gt;0,"Yes","No"),IF(COUNTIFS(Validation!$A:$A,H$1,Validation!$S:$S,$A4)&gt;0,"Yes","NA"))</f>
        <v>NA</v>
      </c>
      <c r="I4" s="1" t="str">
        <f t="array" ref="I4">CHOOSE(INDEX('Ontology and concepts per UC'!$G$2:$I$46,MATCH($A4,'Ontology and concepts per UC'!$F$2:$F$46,0),MATCH(LEFT(I$1,3),'Ontology and concepts per UC'!$G$1:$I$1,0))+1,"NA",IF(COUNTIFS(Validation!$A:$A,I$1,Validation!$S:$S,$A4)&gt;0,"Yes","No"),IF(COUNTIFS(Validation!$A:$A,I$1,Validation!$S:$S,$A4)&gt;0,"Yes","NA"))</f>
        <v>NA</v>
      </c>
      <c r="J4" s="1" t="str">
        <f t="array" ref="J4">CHOOSE(INDEX('Ontology and concepts per UC'!$G$2:$I$46,MATCH($A4,'Ontology and concepts per UC'!$F$2:$F$46,0),MATCH(LEFT(J$1,3),'Ontology and concepts per UC'!$G$1:$I$1,0))+1,"NA",IF(COUNTIFS(Validation!$A:$A,J$1,Validation!$S:$S,$A4)&gt;0,"Yes","No"),IF(COUNTIFS(Validation!$A:$A,J$1,Validation!$S:$S,$A4)&gt;0,"Yes","NA"))</f>
        <v>NA</v>
      </c>
      <c r="K4" s="1" t="str">
        <f t="array" ref="K4">CHOOSE(INDEX('Ontology and concepts per UC'!$G$2:$I$46,MATCH($A4,'Ontology and concepts per UC'!$F$2:$F$46,0),MATCH(LEFT(K$1,3),'Ontology and concepts per UC'!$G$1:$I$1,0))+1,"NA",IF(COUNTIFS(Validation!$A:$A,K$1,Validation!$S:$S,$A4)&gt;0,"Yes","No"),IF(COUNTIFS(Validation!$A:$A,K$1,Validation!$S:$S,$A4)&gt;0,"Yes","NA"))</f>
        <v>NA</v>
      </c>
      <c r="L4" s="1" t="str">
        <f t="array" ref="L4">CHOOSE(INDEX('Ontology and concepts per UC'!$G$2:$I$46,MATCH($A4,'Ontology and concepts per UC'!$F$2:$F$46,0),MATCH(LEFT(L$1,3),'Ontology and concepts per UC'!$G$1:$I$1,0))+1,"NA",IF(COUNTIFS(Validation!$A:$A,L$1,Validation!$S:$S,$A4)&gt;0,"Yes","No"),IF(COUNTIFS(Validation!$A:$A,L$1,Validation!$S:$S,$A4)&gt;0,"Yes","NA"))</f>
        <v>NA</v>
      </c>
      <c r="M4" s="1" t="str">
        <f t="array" ref="M4">CHOOSE(INDEX('Ontology and concepts per UC'!$G$2:$I$46,MATCH($A4,'Ontology and concepts per UC'!$F$2:$F$46,0),MATCH(LEFT(M$1,3),'Ontology and concepts per UC'!$G$1:$I$1,0))+1,"NA",IF(COUNTIFS(Validation!$A:$A,M$1,Validation!$S:$S,$A4)&gt;0,"Yes","No"),IF(COUNTIFS(Validation!$A:$A,M$1,Validation!$S:$S,$A4)&gt;0,"Yes","NA"))</f>
        <v>NA</v>
      </c>
      <c r="N4" s="1" t="str">
        <f t="array" ref="N4">CHOOSE(INDEX('Ontology and concepts per UC'!$G$2:$I$46,MATCH($A4,'Ontology and concepts per UC'!$F$2:$F$46,0),MATCH(LEFT(N$1,3),'Ontology and concepts per UC'!$G$1:$I$1,0))+1,"NA",IF(COUNTIFS(Validation!$A:$A,N$1,Validation!$S:$S,$A4)&gt;0,"Yes","No"),IF(COUNTIFS(Validation!$A:$A,N$1,Validation!$S:$S,$A4)&gt;0,"Yes","NA"))</f>
        <v>NA</v>
      </c>
      <c r="O4" s="1" t="str">
        <f t="array" ref="O4">CHOOSE(INDEX('Ontology and concepts per UC'!$G$2:$I$46,MATCH($A4,'Ontology and concepts per UC'!$F$2:$F$46,0),MATCH(LEFT(O$1,3),'Ontology and concepts per UC'!$G$1:$I$1,0))+1,"NA",IF(COUNTIFS(Validation!$A:$A,O$1,Validation!$S:$S,$A4)&gt;0,"Yes","No"),IF(COUNTIFS(Validation!$A:$A,O$1,Validation!$S:$S,$A4)&gt;0,"Yes","NA"))</f>
        <v>NA</v>
      </c>
      <c r="P4" s="1" t="str">
        <f t="array" ref="P4">CHOOSE(INDEX('Ontology and concepts per UC'!$G$2:$I$46,MATCH($A4,'Ontology and concepts per UC'!$F$2:$F$46,0),MATCH(LEFT(P$1,3),'Ontology and concepts per UC'!$G$1:$I$1,0))+1,"NA",IF(COUNTIFS(Validation!$A:$A,P$1,Validation!$S:$S,$A4)&gt;0,"Yes","No"),IF(COUNTIFS(Validation!$A:$A,P$1,Validation!$S:$S,$A4)&gt;0,"Yes","NA"))</f>
        <v>NA</v>
      </c>
      <c r="Q4" s="1" t="str">
        <f t="array" ref="Q4">CHOOSE(INDEX('Ontology and concepts per UC'!$G$2:$I$46,MATCH($A4,'Ontology and concepts per UC'!$F$2:$F$46,0),MATCH(LEFT(Q$1,3),'Ontology and concepts per UC'!$G$1:$I$1,0))+1,"NA",IF(COUNTIFS(Validation!$A:$A,Q$1,Validation!$S:$S,$A4)&gt;0,"Yes","No"),IF(COUNTIFS(Validation!$A:$A,Q$1,Validation!$S:$S,$A4)&gt;0,"Yes","NA"))</f>
        <v>NA</v>
      </c>
      <c r="R4" s="1" t="str">
        <f t="array" ref="R4">CHOOSE(INDEX('Ontology and concepts per UC'!$G$2:$I$46,MATCH($A4,'Ontology and concepts per UC'!$F$2:$F$46,0),MATCH(LEFT(R$1,3),'Ontology and concepts per UC'!$G$1:$I$1,0))+1,"NA",IF(COUNTIFS(Validation!$A:$A,R$1,Validation!$S:$S,$A4)&gt;0,"Yes","No"),IF(COUNTIFS(Validation!$A:$A,R$1,Validation!$S:$S,$A4)&gt;0,"Yes","NA"))</f>
        <v>Yes</v>
      </c>
      <c r="S4" s="1" t="str">
        <f t="array" ref="S4">CHOOSE(INDEX('Ontology and concepts per UC'!$G$2:$I$46,MATCH($A4,'Ontology and concepts per UC'!$F$2:$F$46,0),MATCH(LEFT(S$1,3),'Ontology and concepts per UC'!$G$1:$I$1,0))+1,"NA",IF(COUNTIFS(Validation!$A:$A,S$1,Validation!$S:$S,$A4)&gt;0,"Yes","No"),IF(COUNTIFS(Validation!$A:$A,S$1,Validation!$S:$S,$A4)&gt;0,"Yes","NA"))</f>
        <v>Yes</v>
      </c>
      <c r="T4" s="1" t="str">
        <f t="array" ref="T4">CHOOSE(INDEX('Ontology and concepts per UC'!$G$2:$I$46,MATCH($A4,'Ontology and concepts per UC'!$F$2:$F$46,0),MATCH(LEFT(T$1,3),'Ontology and concepts per UC'!$G$1:$I$1,0))+1,"NA",IF(COUNTIFS(Validation!$A:$A,T$1,Validation!$S:$S,$A4)&gt;0,"Yes","No"),IF(COUNTIFS(Validation!$A:$A,T$1,Validation!$S:$S,$A4)&gt;0,"Yes","NA"))</f>
        <v>NA</v>
      </c>
      <c r="U4" s="1" t="str">
        <f t="array" ref="U4">CHOOSE(INDEX('Ontology and concepts per UC'!$G$2:$I$46,MATCH($A4,'Ontology and concepts per UC'!$F$2:$F$46,0),MATCH(LEFT(U$1,3),'Ontology and concepts per UC'!$G$1:$I$1,0))+1,"NA",IF(COUNTIFS(Validation!$A:$A,U$1,Validation!$S:$S,$A4)&gt;0,"Yes","No"),IF(COUNTIFS(Validation!$A:$A,U$1,Validation!$S:$S,$A4)&gt;0,"Yes","NA"))</f>
        <v>NA</v>
      </c>
      <c r="V4" s="1" t="str">
        <f t="array" ref="V4">CHOOSE(INDEX('Ontology and concepts per UC'!$G$2:$I$46,MATCH($A4,'Ontology and concepts per UC'!$F$2:$F$46,0),MATCH(LEFT(V$1,3),'Ontology and concepts per UC'!$G$1:$I$1,0))+1,"NA",IF(COUNTIFS(Validation!$A:$A,V$1,Validation!$S:$S,$A4)&gt;0,"Yes","No"),IF(COUNTIFS(Validation!$A:$A,V$1,Validation!$S:$S,$A4)&gt;0,"Yes","NA"))</f>
        <v>NA</v>
      </c>
      <c r="W4" s="1" t="str">
        <f t="array" ref="W4">CHOOSE(INDEX('Ontology and concepts per UC'!$G$2:$I$46,MATCH($A4,'Ontology and concepts per UC'!$F$2:$F$46,0),MATCH(LEFT(W$1,3),'Ontology and concepts per UC'!$G$1:$I$1,0))+1,"NA",IF(COUNTIFS(Validation!$A:$A,W$1,Validation!$S:$S,$A4)&gt;0,"Yes","No"),IF(COUNTIFS(Validation!$A:$A,W$1,Validation!$S:$S,$A4)&gt;0,"Yes","NA"))</f>
        <v>NA</v>
      </c>
      <c r="X4" s="1" t="str">
        <f t="array" ref="X4">CHOOSE(INDEX('Ontology and concepts per UC'!$G$2:$I$46,MATCH($A4,'Ontology and concepts per UC'!$F$2:$F$46,0),MATCH(LEFT(X$1,3),'Ontology and concepts per UC'!$G$1:$I$1,0))+1,"NA",IF(COUNTIFS(Validation!$A:$A,X$1,Validation!$S:$S,$A4)&gt;0,"Yes","No"),IF(COUNTIFS(Validation!$A:$A,X$1,Validation!$S:$S,$A4)&gt;0,"Yes","NA"))</f>
        <v>NA</v>
      </c>
      <c r="Y4" s="1" t="str">
        <f t="array" ref="Y4">CHOOSE(INDEX('Ontology and concepts per UC'!$G$2:$I$46,MATCH($A4,'Ontology and concepts per UC'!$F$2:$F$46,0),MATCH(LEFT(Y$1,3),'Ontology and concepts per UC'!$G$1:$I$1,0))+1,"NA",IF(COUNTIFS(Validation!$A:$A,Y$1,Validation!$S:$S,$A4)&gt;0,"Yes","No"),IF(COUNTIFS(Validation!$A:$A,Y$1,Validation!$S:$S,$A4)&gt;0,"Yes","NA"))</f>
        <v>NA</v>
      </c>
      <c r="Z4" s="1" t="str">
        <f t="array" ref="Z4">CHOOSE(INDEX('Ontology and concepts per UC'!$G$2:$I$46,MATCH($A4,'Ontology and concepts per UC'!$F$2:$F$46,0),MATCH(LEFT(Z$1,3),'Ontology and concepts per UC'!$G$1:$I$1,0))+1,"NA",IF(COUNTIFS(Validation!$A:$A,Z$1,Validation!$S:$S,$A4)&gt;0,"Yes","No"),IF(COUNTIFS(Validation!$A:$A,Z$1,Validation!$S:$S,$A4)&gt;0,"Yes","NA"))</f>
        <v>NA</v>
      </c>
      <c r="AA4" s="1" t="str">
        <f t="array" ref="AA4">CHOOSE(INDEX('Ontology and concepts per UC'!$G$2:$I$46,MATCH($A4,'Ontology and concepts per UC'!$F$2:$F$46,0),MATCH(LEFT(AA$1,3),'Ontology and concepts per UC'!$G$1:$I$1,0))+1,"NA",IF(COUNTIFS(Validation!$A:$A,AA$1,Validation!$S:$S,$A4)&gt;0,"Yes","No"),IF(COUNTIFS(Validation!$A:$A,AA$1,Validation!$S:$S,$A4)&gt;0,"Yes","NA"))</f>
        <v>NA</v>
      </c>
      <c r="AB4" s="1" t="str">
        <f t="array" ref="AB4">CHOOSE(INDEX('Ontology and concepts per UC'!$G$2:$I$46,MATCH($A4,'Ontology and concepts per UC'!$F$2:$F$46,0),MATCH(LEFT(AB$1,3),'Ontology and concepts per UC'!$G$1:$I$1,0))+1,"NA",IF(COUNTIFS(Validation!$A:$A,AB$1,Validation!$S:$S,$A4)&gt;0,"Yes","No"),IF(COUNTIFS(Validation!$A:$A,AB$1,Validation!$S:$S,$A4)&gt;0,"Yes","NA"))</f>
        <v>NA</v>
      </c>
      <c r="AC4" s="1" t="str">
        <f t="array" ref="AC4">CHOOSE(INDEX('Ontology and concepts per UC'!$G$2:$I$46,MATCH($A4,'Ontology and concepts per UC'!$F$2:$F$46,0),MATCH(LEFT(AC$1,3),'Ontology and concepts per UC'!$G$1:$I$1,0))+1,"NA",IF(COUNTIFS(Validation!$A:$A,AC$1,Validation!$S:$S,$A4)&gt;0,"Yes","No"),IF(COUNTIFS(Validation!$A:$A,AC$1,Validation!$S:$S,$A4)&gt;0,"Yes","NA"))</f>
        <v>NA</v>
      </c>
      <c r="AD4" s="1" t="str">
        <f t="array" ref="AD4">CHOOSE(INDEX('Ontology and concepts per UC'!$G$2:$I$46,MATCH($A4,'Ontology and concepts per UC'!$F$2:$F$46,0),MATCH(LEFT(AD$1,3),'Ontology and concepts per UC'!$G$1:$I$1,0))+1,"NA",IF(COUNTIFS(Validation!$A:$A,AD$1,Validation!$S:$S,$A4)&gt;0,"Yes","No"),IF(COUNTIFS(Validation!$A:$A,AD$1,Validation!$S:$S,$A4)&gt;0,"Yes","NA"))</f>
        <v>NA</v>
      </c>
      <c r="AE4" s="1" t="str">
        <f t="array" ref="AE4">CHOOSE(INDEX('Ontology and concepts per UC'!$G$2:$I$46,MATCH($A4,'Ontology and concepts per UC'!$F$2:$F$46,0),MATCH(LEFT(AE$1,3),'Ontology and concepts per UC'!$G$1:$I$1,0))+1,"NA",IF(COUNTIFS(Validation!$A:$A,AE$1,Validation!$S:$S,$A4)&gt;0,"Yes","No"),IF(COUNTIFS(Validation!$A:$A,AE$1,Validation!$S:$S,$A4)&gt;0,"Yes","NA"))</f>
        <v>NA</v>
      </c>
    </row>
    <row r="5" spans="1:31" x14ac:dyDescent="0.25">
      <c r="A5" s="1" t="s">
        <v>9</v>
      </c>
      <c r="B5" s="1" t="str">
        <f t="array" ref="B5">CHOOSE(INDEX('Ontology and concepts per UC'!$G$2:$I$46,MATCH($A5,'Ontology and concepts per UC'!$F$2:$F$46,0),MATCH(LEFT(B$1,3),'Ontology and concepts per UC'!$G$1:$I$1,0))+1,"NA",IF(COUNTIFS(Validation!$A:$A,B$1,Validation!$S:$S,$A5)&gt;0,"Yes","No"),IF(COUNTIFS(Validation!$A:$A,B$1,Validation!$S:$S,$A5)&gt;0,"Yes","NA"))</f>
        <v>NA</v>
      </c>
      <c r="C5" s="1" t="str">
        <f t="array" ref="C5">CHOOSE(INDEX('Ontology and concepts per UC'!$G$2:$I$46,MATCH($A5,'Ontology and concepts per UC'!$F$2:$F$46,0),MATCH(LEFT(C$1,3),'Ontology and concepts per UC'!$G$1:$I$1,0))+1,"NA",IF(COUNTIFS(Validation!$A:$A,C$1,Validation!$S:$S,$A5)&gt;0,"Yes","No"),IF(COUNTIFS(Validation!$A:$A,C$1,Validation!$S:$S,$A5)&gt;0,"Yes","NA"))</f>
        <v>NA</v>
      </c>
      <c r="D5" s="1" t="str">
        <f t="array" ref="D5">CHOOSE(INDEX('Ontology and concepts per UC'!$G$2:$I$46,MATCH($A5,'Ontology and concepts per UC'!$F$2:$F$46,0),MATCH(LEFT(D$1,3),'Ontology and concepts per UC'!$G$1:$I$1,0))+1,"NA",IF(COUNTIFS(Validation!$A:$A,D$1,Validation!$S:$S,$A5)&gt;0,"Yes","No"),IF(COUNTIFS(Validation!$A:$A,D$1,Validation!$S:$S,$A5)&gt;0,"Yes","NA"))</f>
        <v>NA</v>
      </c>
      <c r="E5" s="1" t="str">
        <f t="array" ref="E5">CHOOSE(INDEX('Ontology and concepts per UC'!$G$2:$I$46,MATCH($A5,'Ontology and concepts per UC'!$F$2:$F$46,0),MATCH(LEFT(E$1,3),'Ontology and concepts per UC'!$G$1:$I$1,0))+1,"NA",IF(COUNTIFS(Validation!$A:$A,E$1,Validation!$S:$S,$A5)&gt;0,"Yes","No"),IF(COUNTIFS(Validation!$A:$A,E$1,Validation!$S:$S,$A5)&gt;0,"Yes","NA"))</f>
        <v>NA</v>
      </c>
      <c r="F5" s="1" t="str">
        <f t="array" ref="F5">CHOOSE(INDEX('Ontology and concepts per UC'!$G$2:$I$46,MATCH($A5,'Ontology and concepts per UC'!$F$2:$F$46,0),MATCH(LEFT(F$1,3),'Ontology and concepts per UC'!$G$1:$I$1,0))+1,"NA",IF(COUNTIFS(Validation!$A:$A,F$1,Validation!$S:$S,$A5)&gt;0,"Yes","No"),IF(COUNTIFS(Validation!$A:$A,F$1,Validation!$S:$S,$A5)&gt;0,"Yes","NA"))</f>
        <v>NA</v>
      </c>
      <c r="G5" s="1" t="str">
        <f t="array" ref="G5">CHOOSE(INDEX('Ontology and concepts per UC'!$G$2:$I$46,MATCH($A5,'Ontology and concepts per UC'!$F$2:$F$46,0),MATCH(LEFT(G$1,3),'Ontology and concepts per UC'!$G$1:$I$1,0))+1,"NA",IF(COUNTIFS(Validation!$A:$A,G$1,Validation!$S:$S,$A5)&gt;0,"Yes","No"),IF(COUNTIFS(Validation!$A:$A,G$1,Validation!$S:$S,$A5)&gt;0,"Yes","NA"))</f>
        <v>NA</v>
      </c>
      <c r="H5" s="1" t="str">
        <f t="array" ref="H5">CHOOSE(INDEX('Ontology and concepts per UC'!$G$2:$I$46,MATCH($A5,'Ontology and concepts per UC'!$F$2:$F$46,0),MATCH(LEFT(H$1,3),'Ontology and concepts per UC'!$G$1:$I$1,0))+1,"NA",IF(COUNTIFS(Validation!$A:$A,H$1,Validation!$S:$S,$A5)&gt;0,"Yes","No"),IF(COUNTIFS(Validation!$A:$A,H$1,Validation!$S:$S,$A5)&gt;0,"Yes","NA"))</f>
        <v>NA</v>
      </c>
      <c r="I5" s="1" t="str">
        <f t="array" ref="I5">CHOOSE(INDEX('Ontology and concepts per UC'!$G$2:$I$46,MATCH($A5,'Ontology and concepts per UC'!$F$2:$F$46,0),MATCH(LEFT(I$1,3),'Ontology and concepts per UC'!$G$1:$I$1,0))+1,"NA",IF(COUNTIFS(Validation!$A:$A,I$1,Validation!$S:$S,$A5)&gt;0,"Yes","No"),IF(COUNTIFS(Validation!$A:$A,I$1,Validation!$S:$S,$A5)&gt;0,"Yes","NA"))</f>
        <v>NA</v>
      </c>
      <c r="J5" s="1" t="str">
        <f t="array" ref="J5">CHOOSE(INDEX('Ontology and concepts per UC'!$G$2:$I$46,MATCH($A5,'Ontology and concepts per UC'!$F$2:$F$46,0),MATCH(LEFT(J$1,3),'Ontology and concepts per UC'!$G$1:$I$1,0))+1,"NA",IF(COUNTIFS(Validation!$A:$A,J$1,Validation!$S:$S,$A5)&gt;0,"Yes","No"),IF(COUNTIFS(Validation!$A:$A,J$1,Validation!$S:$S,$A5)&gt;0,"Yes","NA"))</f>
        <v>NA</v>
      </c>
      <c r="K5" s="1" t="str">
        <f t="array" ref="K5">CHOOSE(INDEX('Ontology and concepts per UC'!$G$2:$I$46,MATCH($A5,'Ontology and concepts per UC'!$F$2:$F$46,0),MATCH(LEFT(K$1,3),'Ontology and concepts per UC'!$G$1:$I$1,0))+1,"NA",IF(COUNTIFS(Validation!$A:$A,K$1,Validation!$S:$S,$A5)&gt;0,"Yes","No"),IF(COUNTIFS(Validation!$A:$A,K$1,Validation!$S:$S,$A5)&gt;0,"Yes","NA"))</f>
        <v>NA</v>
      </c>
      <c r="L5" s="1" t="str">
        <f t="array" ref="L5">CHOOSE(INDEX('Ontology and concepts per UC'!$G$2:$I$46,MATCH($A5,'Ontology and concepts per UC'!$F$2:$F$46,0),MATCH(LEFT(L$1,3),'Ontology and concepts per UC'!$G$1:$I$1,0))+1,"NA",IF(COUNTIFS(Validation!$A:$A,L$1,Validation!$S:$S,$A5)&gt;0,"Yes","No"),IF(COUNTIFS(Validation!$A:$A,L$1,Validation!$S:$S,$A5)&gt;0,"Yes","NA"))</f>
        <v>NA</v>
      </c>
      <c r="M5" s="1" t="str">
        <f t="array" ref="M5">CHOOSE(INDEX('Ontology and concepts per UC'!$G$2:$I$46,MATCH($A5,'Ontology and concepts per UC'!$F$2:$F$46,0),MATCH(LEFT(M$1,3),'Ontology and concepts per UC'!$G$1:$I$1,0))+1,"NA",IF(COUNTIFS(Validation!$A:$A,M$1,Validation!$S:$S,$A5)&gt;0,"Yes","No"),IF(COUNTIFS(Validation!$A:$A,M$1,Validation!$S:$S,$A5)&gt;0,"Yes","NA"))</f>
        <v>NA</v>
      </c>
      <c r="N5" s="1" t="str">
        <f t="array" ref="N5">CHOOSE(INDEX('Ontology and concepts per UC'!$G$2:$I$46,MATCH($A5,'Ontology and concepts per UC'!$F$2:$F$46,0),MATCH(LEFT(N$1,3),'Ontology and concepts per UC'!$G$1:$I$1,0))+1,"NA",IF(COUNTIFS(Validation!$A:$A,N$1,Validation!$S:$S,$A5)&gt;0,"Yes","No"),IF(COUNTIFS(Validation!$A:$A,N$1,Validation!$S:$S,$A5)&gt;0,"Yes","NA"))</f>
        <v>NA</v>
      </c>
      <c r="O5" s="1" t="str">
        <f t="array" ref="O5">CHOOSE(INDEX('Ontology and concepts per UC'!$G$2:$I$46,MATCH($A5,'Ontology and concepts per UC'!$F$2:$F$46,0),MATCH(LEFT(O$1,3),'Ontology and concepts per UC'!$G$1:$I$1,0))+1,"NA",IF(COUNTIFS(Validation!$A:$A,O$1,Validation!$S:$S,$A5)&gt;0,"Yes","No"),IF(COUNTIFS(Validation!$A:$A,O$1,Validation!$S:$S,$A5)&gt;0,"Yes","NA"))</f>
        <v>NA</v>
      </c>
      <c r="P5" s="1" t="str">
        <f t="array" ref="P5">CHOOSE(INDEX('Ontology and concepts per UC'!$G$2:$I$46,MATCH($A5,'Ontology and concepts per UC'!$F$2:$F$46,0),MATCH(LEFT(P$1,3),'Ontology and concepts per UC'!$G$1:$I$1,0))+1,"NA",IF(COUNTIFS(Validation!$A:$A,P$1,Validation!$S:$S,$A5)&gt;0,"Yes","No"),IF(COUNTIFS(Validation!$A:$A,P$1,Validation!$S:$S,$A5)&gt;0,"Yes","NA"))</f>
        <v>NA</v>
      </c>
      <c r="Q5" s="1" t="str">
        <f t="array" ref="Q5">CHOOSE(INDEX('Ontology and concepts per UC'!$G$2:$I$46,MATCH($A5,'Ontology and concepts per UC'!$F$2:$F$46,0),MATCH(LEFT(Q$1,3),'Ontology and concepts per UC'!$G$1:$I$1,0))+1,"NA",IF(COUNTIFS(Validation!$A:$A,Q$1,Validation!$S:$S,$A5)&gt;0,"Yes","No"),IF(COUNTIFS(Validation!$A:$A,Q$1,Validation!$S:$S,$A5)&gt;0,"Yes","NA"))</f>
        <v>NA</v>
      </c>
      <c r="R5" s="1" t="str">
        <f t="array" ref="R5">CHOOSE(INDEX('Ontology and concepts per UC'!$G$2:$I$46,MATCH($A5,'Ontology and concepts per UC'!$F$2:$F$46,0),MATCH(LEFT(R$1,3),'Ontology and concepts per UC'!$G$1:$I$1,0))+1,"NA",IF(COUNTIFS(Validation!$A:$A,R$1,Validation!$S:$S,$A5)&gt;0,"Yes","No"),IF(COUNTIFS(Validation!$A:$A,R$1,Validation!$S:$S,$A5)&gt;0,"Yes","NA"))</f>
        <v>NA</v>
      </c>
      <c r="S5" s="1" t="str">
        <f t="array" ref="S5">CHOOSE(INDEX('Ontology and concepts per UC'!$G$2:$I$46,MATCH($A5,'Ontology and concepts per UC'!$F$2:$F$46,0),MATCH(LEFT(S$1,3),'Ontology and concepts per UC'!$G$1:$I$1,0))+1,"NA",IF(COUNTIFS(Validation!$A:$A,S$1,Validation!$S:$S,$A5)&gt;0,"Yes","No"),IF(COUNTIFS(Validation!$A:$A,S$1,Validation!$S:$S,$A5)&gt;0,"Yes","NA"))</f>
        <v>NA</v>
      </c>
      <c r="T5" s="1" t="str">
        <f t="array" ref="T5">CHOOSE(INDEX('Ontology and concepts per UC'!$G$2:$I$46,MATCH($A5,'Ontology and concepts per UC'!$F$2:$F$46,0),MATCH(LEFT(T$1,3),'Ontology and concepts per UC'!$G$1:$I$1,0))+1,"NA",IF(COUNTIFS(Validation!$A:$A,T$1,Validation!$S:$S,$A5)&gt;0,"Yes","No"),IF(COUNTIFS(Validation!$A:$A,T$1,Validation!$S:$S,$A5)&gt;0,"Yes","NA"))</f>
        <v>NA</v>
      </c>
      <c r="U5" s="1" t="str">
        <f t="array" ref="U5">CHOOSE(INDEX('Ontology and concepts per UC'!$G$2:$I$46,MATCH($A5,'Ontology and concepts per UC'!$F$2:$F$46,0),MATCH(LEFT(U$1,3),'Ontology and concepts per UC'!$G$1:$I$1,0))+1,"NA",IF(COUNTIFS(Validation!$A:$A,U$1,Validation!$S:$S,$A5)&gt;0,"Yes","No"),IF(COUNTIFS(Validation!$A:$A,U$1,Validation!$S:$S,$A5)&gt;0,"Yes","NA"))</f>
        <v>NA</v>
      </c>
      <c r="V5" s="1" t="str">
        <f t="array" ref="V5">CHOOSE(INDEX('Ontology and concepts per UC'!$G$2:$I$46,MATCH($A5,'Ontology and concepts per UC'!$F$2:$F$46,0),MATCH(LEFT(V$1,3),'Ontology and concepts per UC'!$G$1:$I$1,0))+1,"NA",IF(COUNTIFS(Validation!$A:$A,V$1,Validation!$S:$S,$A5)&gt;0,"Yes","No"),IF(COUNTIFS(Validation!$A:$A,V$1,Validation!$S:$S,$A5)&gt;0,"Yes","NA"))</f>
        <v>NA</v>
      </c>
      <c r="W5" s="1" t="str">
        <f t="array" ref="W5">CHOOSE(INDEX('Ontology and concepts per UC'!$G$2:$I$46,MATCH($A5,'Ontology and concepts per UC'!$F$2:$F$46,0),MATCH(LEFT(W$1,3),'Ontology and concepts per UC'!$G$1:$I$1,0))+1,"NA",IF(COUNTIFS(Validation!$A:$A,W$1,Validation!$S:$S,$A5)&gt;0,"Yes","No"),IF(COUNTIFS(Validation!$A:$A,W$1,Validation!$S:$S,$A5)&gt;0,"Yes","NA"))</f>
        <v>NA</v>
      </c>
      <c r="X5" s="1" t="str">
        <f t="array" ref="X5">CHOOSE(INDEX('Ontology and concepts per UC'!$G$2:$I$46,MATCH($A5,'Ontology and concepts per UC'!$F$2:$F$46,0),MATCH(LEFT(X$1,3),'Ontology and concepts per UC'!$G$1:$I$1,0))+1,"NA",IF(COUNTIFS(Validation!$A:$A,X$1,Validation!$S:$S,$A5)&gt;0,"Yes","No"),IF(COUNTIFS(Validation!$A:$A,X$1,Validation!$S:$S,$A5)&gt;0,"Yes","NA"))</f>
        <v>NA</v>
      </c>
      <c r="Y5" s="1" t="str">
        <f t="array" ref="Y5">CHOOSE(INDEX('Ontology and concepts per UC'!$G$2:$I$46,MATCH($A5,'Ontology and concepts per UC'!$F$2:$F$46,0),MATCH(LEFT(Y$1,3),'Ontology and concepts per UC'!$G$1:$I$1,0))+1,"NA",IF(COUNTIFS(Validation!$A:$A,Y$1,Validation!$S:$S,$A5)&gt;0,"Yes","No"),IF(COUNTIFS(Validation!$A:$A,Y$1,Validation!$S:$S,$A5)&gt;0,"Yes","NA"))</f>
        <v>NA</v>
      </c>
      <c r="Z5" s="1" t="str">
        <f t="array" ref="Z5">CHOOSE(INDEX('Ontology and concepts per UC'!$G$2:$I$46,MATCH($A5,'Ontology and concepts per UC'!$F$2:$F$46,0),MATCH(LEFT(Z$1,3),'Ontology and concepts per UC'!$G$1:$I$1,0))+1,"NA",IF(COUNTIFS(Validation!$A:$A,Z$1,Validation!$S:$S,$A5)&gt;0,"Yes","No"),IF(COUNTIFS(Validation!$A:$A,Z$1,Validation!$S:$S,$A5)&gt;0,"Yes","NA"))</f>
        <v>NA</v>
      </c>
      <c r="AA5" s="1" t="str">
        <f t="array" ref="AA5">CHOOSE(INDEX('Ontology and concepts per UC'!$G$2:$I$46,MATCH($A5,'Ontology and concepts per UC'!$F$2:$F$46,0),MATCH(LEFT(AA$1,3),'Ontology and concepts per UC'!$G$1:$I$1,0))+1,"NA",IF(COUNTIFS(Validation!$A:$A,AA$1,Validation!$S:$S,$A5)&gt;0,"Yes","No"),IF(COUNTIFS(Validation!$A:$A,AA$1,Validation!$S:$S,$A5)&gt;0,"Yes","NA"))</f>
        <v>NA</v>
      </c>
      <c r="AB5" s="1" t="str">
        <f t="array" ref="AB5">CHOOSE(INDEX('Ontology and concepts per UC'!$G$2:$I$46,MATCH($A5,'Ontology and concepts per UC'!$F$2:$F$46,0),MATCH(LEFT(AB$1,3),'Ontology and concepts per UC'!$G$1:$I$1,0))+1,"NA",IF(COUNTIFS(Validation!$A:$A,AB$1,Validation!$S:$S,$A5)&gt;0,"Yes","No"),IF(COUNTIFS(Validation!$A:$A,AB$1,Validation!$S:$S,$A5)&gt;0,"Yes","NA"))</f>
        <v>NA</v>
      </c>
      <c r="AC5" s="1" t="str">
        <f t="array" ref="AC5">CHOOSE(INDEX('Ontology and concepts per UC'!$G$2:$I$46,MATCH($A5,'Ontology and concepts per UC'!$F$2:$F$46,0),MATCH(LEFT(AC$1,3),'Ontology and concepts per UC'!$G$1:$I$1,0))+1,"NA",IF(COUNTIFS(Validation!$A:$A,AC$1,Validation!$S:$S,$A5)&gt;0,"Yes","No"),IF(COUNTIFS(Validation!$A:$A,AC$1,Validation!$S:$S,$A5)&gt;0,"Yes","NA"))</f>
        <v>NA</v>
      </c>
      <c r="AD5" s="1" t="str">
        <f t="array" ref="AD5">CHOOSE(INDEX('Ontology and concepts per UC'!$G$2:$I$46,MATCH($A5,'Ontology and concepts per UC'!$F$2:$F$46,0),MATCH(LEFT(AD$1,3),'Ontology and concepts per UC'!$G$1:$I$1,0))+1,"NA",IF(COUNTIFS(Validation!$A:$A,AD$1,Validation!$S:$S,$A5)&gt;0,"Yes","No"),IF(COUNTIFS(Validation!$A:$A,AD$1,Validation!$S:$S,$A5)&gt;0,"Yes","NA"))</f>
        <v>NA</v>
      </c>
      <c r="AE5" s="1" t="str">
        <f t="array" ref="AE5">CHOOSE(INDEX('Ontology and concepts per UC'!$G$2:$I$46,MATCH($A5,'Ontology and concepts per UC'!$F$2:$F$46,0),MATCH(LEFT(AE$1,3),'Ontology and concepts per UC'!$G$1:$I$1,0))+1,"NA",IF(COUNTIFS(Validation!$A:$A,AE$1,Validation!$S:$S,$A5)&gt;0,"Yes","No"),IF(COUNTIFS(Validation!$A:$A,AE$1,Validation!$S:$S,$A5)&gt;0,"Yes","NA"))</f>
        <v>NA</v>
      </c>
    </row>
    <row r="6" spans="1:31" x14ac:dyDescent="0.25">
      <c r="A6" s="1" t="s">
        <v>10</v>
      </c>
      <c r="B6" s="1" t="str">
        <f t="array" ref="B6">CHOOSE(INDEX('Ontology and concepts per UC'!$G$2:$I$46,MATCH($A6,'Ontology and concepts per UC'!$F$2:$F$46,0),MATCH(LEFT(B$1,3),'Ontology and concepts per UC'!$G$1:$I$1,0))+1,"NA",IF(COUNTIFS(Validation!$A:$A,B$1,Validation!$S:$S,$A6)&gt;0,"Yes","No"),IF(COUNTIFS(Validation!$A:$A,B$1,Validation!$S:$S,$A6)&gt;0,"Yes","NA"))</f>
        <v>Yes</v>
      </c>
      <c r="C6" s="1" t="str">
        <f t="array" ref="C6">CHOOSE(INDEX('Ontology and concepts per UC'!$G$2:$I$46,MATCH($A6,'Ontology and concepts per UC'!$F$2:$F$46,0),MATCH(LEFT(C$1,3),'Ontology and concepts per UC'!$G$1:$I$1,0))+1,"NA",IF(COUNTIFS(Validation!$A:$A,C$1,Validation!$S:$S,$A6)&gt;0,"Yes","No"),IF(COUNTIFS(Validation!$A:$A,C$1,Validation!$S:$S,$A6)&gt;0,"Yes","NA"))</f>
        <v>Yes</v>
      </c>
      <c r="D6" s="1" t="str">
        <f t="array" ref="D6">CHOOSE(INDEX('Ontology and concepts per UC'!$G$2:$I$46,MATCH($A6,'Ontology and concepts per UC'!$F$2:$F$46,0),MATCH(LEFT(D$1,3),'Ontology and concepts per UC'!$G$1:$I$1,0))+1,"NA",IF(COUNTIFS(Validation!$A:$A,D$1,Validation!$S:$S,$A6)&gt;0,"Yes","No"),IF(COUNTIFS(Validation!$A:$A,D$1,Validation!$S:$S,$A6)&gt;0,"Yes","NA"))</f>
        <v>NA</v>
      </c>
      <c r="E6" s="1" t="str">
        <f t="array" ref="E6">CHOOSE(INDEX('Ontology and concepts per UC'!$G$2:$I$46,MATCH($A6,'Ontology and concepts per UC'!$F$2:$F$46,0),MATCH(LEFT(E$1,3),'Ontology and concepts per UC'!$G$1:$I$1,0))+1,"NA",IF(COUNTIFS(Validation!$A:$A,E$1,Validation!$S:$S,$A6)&gt;0,"Yes","No"),IF(COUNTIFS(Validation!$A:$A,E$1,Validation!$S:$S,$A6)&gt;0,"Yes","NA"))</f>
        <v>Yes</v>
      </c>
      <c r="F6" s="1" t="str">
        <f t="array" ref="F6">CHOOSE(INDEX('Ontology and concepts per UC'!$G$2:$I$46,MATCH($A6,'Ontology and concepts per UC'!$F$2:$F$46,0),MATCH(LEFT(F$1,3),'Ontology and concepts per UC'!$G$1:$I$1,0))+1,"NA",IF(COUNTIFS(Validation!$A:$A,F$1,Validation!$S:$S,$A6)&gt;0,"Yes","No"),IF(COUNTIFS(Validation!$A:$A,F$1,Validation!$S:$S,$A6)&gt;0,"Yes","NA"))</f>
        <v>NA</v>
      </c>
      <c r="G6" s="1" t="str">
        <f t="array" ref="G6">CHOOSE(INDEX('Ontology and concepts per UC'!$G$2:$I$46,MATCH($A6,'Ontology and concepts per UC'!$F$2:$F$46,0),MATCH(LEFT(G$1,3),'Ontology and concepts per UC'!$G$1:$I$1,0))+1,"NA",IF(COUNTIFS(Validation!$A:$A,G$1,Validation!$S:$S,$A6)&gt;0,"Yes","No"),IF(COUNTIFS(Validation!$A:$A,G$1,Validation!$S:$S,$A6)&gt;0,"Yes","NA"))</f>
        <v>NA</v>
      </c>
      <c r="H6" s="1" t="str">
        <f t="array" ref="H6">CHOOSE(INDEX('Ontology and concepts per UC'!$G$2:$I$46,MATCH($A6,'Ontology and concepts per UC'!$F$2:$F$46,0),MATCH(LEFT(H$1,3),'Ontology and concepts per UC'!$G$1:$I$1,0))+1,"NA",IF(COUNTIFS(Validation!$A:$A,H$1,Validation!$S:$S,$A6)&gt;0,"Yes","No"),IF(COUNTIFS(Validation!$A:$A,H$1,Validation!$S:$S,$A6)&gt;0,"Yes","NA"))</f>
        <v>NA</v>
      </c>
      <c r="I6" s="1" t="str">
        <f t="array" ref="I6">CHOOSE(INDEX('Ontology and concepts per UC'!$G$2:$I$46,MATCH($A6,'Ontology and concepts per UC'!$F$2:$F$46,0),MATCH(LEFT(I$1,3),'Ontology and concepts per UC'!$G$1:$I$1,0))+1,"NA",IF(COUNTIFS(Validation!$A:$A,I$1,Validation!$S:$S,$A6)&gt;0,"Yes","No"),IF(COUNTIFS(Validation!$A:$A,I$1,Validation!$S:$S,$A6)&gt;0,"Yes","NA"))</f>
        <v>NA</v>
      </c>
      <c r="J6" s="1" t="str">
        <f t="array" ref="J6">CHOOSE(INDEX('Ontology and concepts per UC'!$G$2:$I$46,MATCH($A6,'Ontology and concepts per UC'!$F$2:$F$46,0),MATCH(LEFT(J$1,3),'Ontology and concepts per UC'!$G$1:$I$1,0))+1,"NA",IF(COUNTIFS(Validation!$A:$A,J$1,Validation!$S:$S,$A6)&gt;0,"Yes","No"),IF(COUNTIFS(Validation!$A:$A,J$1,Validation!$S:$S,$A6)&gt;0,"Yes","NA"))</f>
        <v>NA</v>
      </c>
      <c r="K6" s="1" t="str">
        <f t="array" ref="K6">CHOOSE(INDEX('Ontology and concepts per UC'!$G$2:$I$46,MATCH($A6,'Ontology and concepts per UC'!$F$2:$F$46,0),MATCH(LEFT(K$1,3),'Ontology and concepts per UC'!$G$1:$I$1,0))+1,"NA",IF(COUNTIFS(Validation!$A:$A,K$1,Validation!$S:$S,$A6)&gt;0,"Yes","No"),IF(COUNTIFS(Validation!$A:$A,K$1,Validation!$S:$S,$A6)&gt;0,"Yes","NA"))</f>
        <v>NA</v>
      </c>
      <c r="L6" s="1" t="str">
        <f t="array" ref="L6">CHOOSE(INDEX('Ontology and concepts per UC'!$G$2:$I$46,MATCH($A6,'Ontology and concepts per UC'!$F$2:$F$46,0),MATCH(LEFT(L$1,3),'Ontology and concepts per UC'!$G$1:$I$1,0))+1,"NA",IF(COUNTIFS(Validation!$A:$A,L$1,Validation!$S:$S,$A6)&gt;0,"Yes","No"),IF(COUNTIFS(Validation!$A:$A,L$1,Validation!$S:$S,$A6)&gt;0,"Yes","NA"))</f>
        <v>Yes</v>
      </c>
      <c r="M6" s="1" t="str">
        <f t="array" ref="M6">CHOOSE(INDEX('Ontology and concepts per UC'!$G$2:$I$46,MATCH($A6,'Ontology and concepts per UC'!$F$2:$F$46,0),MATCH(LEFT(M$1,3),'Ontology and concepts per UC'!$G$1:$I$1,0))+1,"NA",IF(COUNTIFS(Validation!$A:$A,M$1,Validation!$S:$S,$A6)&gt;0,"Yes","No"),IF(COUNTIFS(Validation!$A:$A,M$1,Validation!$S:$S,$A6)&gt;0,"Yes","NA"))</f>
        <v>Yes</v>
      </c>
      <c r="N6" s="1" t="str">
        <f t="array" ref="N6">CHOOSE(INDEX('Ontology and concepts per UC'!$G$2:$I$46,MATCH($A6,'Ontology and concepts per UC'!$F$2:$F$46,0),MATCH(LEFT(N$1,3),'Ontology and concepts per UC'!$G$1:$I$1,0))+1,"NA",IF(COUNTIFS(Validation!$A:$A,N$1,Validation!$S:$S,$A6)&gt;0,"Yes","No"),IF(COUNTIFS(Validation!$A:$A,N$1,Validation!$S:$S,$A6)&gt;0,"Yes","NA"))</f>
        <v>Yes</v>
      </c>
      <c r="O6" s="1" t="str">
        <f t="array" ref="O6">CHOOSE(INDEX('Ontology and concepts per UC'!$G$2:$I$46,MATCH($A6,'Ontology and concepts per UC'!$F$2:$F$46,0),MATCH(LEFT(O$1,3),'Ontology and concepts per UC'!$G$1:$I$1,0))+1,"NA",IF(COUNTIFS(Validation!$A:$A,O$1,Validation!$S:$S,$A6)&gt;0,"Yes","No"),IF(COUNTIFS(Validation!$A:$A,O$1,Validation!$S:$S,$A6)&gt;0,"Yes","NA"))</f>
        <v>NA</v>
      </c>
      <c r="P6" s="1" t="str">
        <f t="array" ref="P6">CHOOSE(INDEX('Ontology and concepts per UC'!$G$2:$I$46,MATCH($A6,'Ontology and concepts per UC'!$F$2:$F$46,0),MATCH(LEFT(P$1,3),'Ontology and concepts per UC'!$G$1:$I$1,0))+1,"NA",IF(COUNTIFS(Validation!$A:$A,P$1,Validation!$S:$S,$A6)&gt;0,"Yes","No"),IF(COUNTIFS(Validation!$A:$A,P$1,Validation!$S:$S,$A6)&gt;0,"Yes","NA"))</f>
        <v>NA</v>
      </c>
      <c r="Q6" s="1" t="str">
        <f t="array" ref="Q6">CHOOSE(INDEX('Ontology and concepts per UC'!$G$2:$I$46,MATCH($A6,'Ontology and concepts per UC'!$F$2:$F$46,0),MATCH(LEFT(Q$1,3),'Ontology and concepts per UC'!$G$1:$I$1,0))+1,"NA",IF(COUNTIFS(Validation!$A:$A,Q$1,Validation!$S:$S,$A6)&gt;0,"Yes","No"),IF(COUNTIFS(Validation!$A:$A,Q$1,Validation!$S:$S,$A6)&gt;0,"Yes","NA"))</f>
        <v>NA</v>
      </c>
      <c r="R6" s="1" t="str">
        <f t="array" ref="R6">CHOOSE(INDEX('Ontology and concepts per UC'!$G$2:$I$46,MATCH($A6,'Ontology and concepts per UC'!$F$2:$F$46,0),MATCH(LEFT(R$1,3),'Ontology and concepts per UC'!$G$1:$I$1,0))+1,"NA",IF(COUNTIFS(Validation!$A:$A,R$1,Validation!$S:$S,$A6)&gt;0,"Yes","No"),IF(COUNTIFS(Validation!$A:$A,R$1,Validation!$S:$S,$A6)&gt;0,"Yes","NA"))</f>
        <v>Yes</v>
      </c>
      <c r="S6" s="1" t="str">
        <f t="array" ref="S6">CHOOSE(INDEX('Ontology and concepts per UC'!$G$2:$I$46,MATCH($A6,'Ontology and concepts per UC'!$F$2:$F$46,0),MATCH(LEFT(S$1,3),'Ontology and concepts per UC'!$G$1:$I$1,0))+1,"NA",IF(COUNTIFS(Validation!$A:$A,S$1,Validation!$S:$S,$A6)&gt;0,"Yes","No"),IF(COUNTIFS(Validation!$A:$A,S$1,Validation!$S:$S,$A6)&gt;0,"Yes","NA"))</f>
        <v>NA</v>
      </c>
      <c r="T6" s="1" t="str">
        <f t="array" ref="T6">CHOOSE(INDEX('Ontology and concepts per UC'!$G$2:$I$46,MATCH($A6,'Ontology and concepts per UC'!$F$2:$F$46,0),MATCH(LEFT(T$1,3),'Ontology and concepts per UC'!$G$1:$I$1,0))+1,"NA",IF(COUNTIFS(Validation!$A:$A,T$1,Validation!$S:$S,$A6)&gt;0,"Yes","No"),IF(COUNTIFS(Validation!$A:$A,T$1,Validation!$S:$S,$A6)&gt;0,"Yes","NA"))</f>
        <v>NA</v>
      </c>
      <c r="U6" s="1" t="str">
        <f t="array" ref="U6">CHOOSE(INDEX('Ontology and concepts per UC'!$G$2:$I$46,MATCH($A6,'Ontology and concepts per UC'!$F$2:$F$46,0),MATCH(LEFT(U$1,3),'Ontology and concepts per UC'!$G$1:$I$1,0))+1,"NA",IF(COUNTIFS(Validation!$A:$A,U$1,Validation!$S:$S,$A6)&gt;0,"Yes","No"),IF(COUNTIFS(Validation!$A:$A,U$1,Validation!$S:$S,$A6)&gt;0,"Yes","NA"))</f>
        <v>NA</v>
      </c>
      <c r="V6" s="1" t="str">
        <f t="array" ref="V6">CHOOSE(INDEX('Ontology and concepts per UC'!$G$2:$I$46,MATCH($A6,'Ontology and concepts per UC'!$F$2:$F$46,0),MATCH(LEFT(V$1,3),'Ontology and concepts per UC'!$G$1:$I$1,0))+1,"NA",IF(COUNTIFS(Validation!$A:$A,V$1,Validation!$S:$S,$A6)&gt;0,"Yes","No"),IF(COUNTIFS(Validation!$A:$A,V$1,Validation!$S:$S,$A6)&gt;0,"Yes","NA"))</f>
        <v>NA</v>
      </c>
      <c r="W6" s="1" t="str">
        <f t="array" ref="W6">CHOOSE(INDEX('Ontology and concepts per UC'!$G$2:$I$46,MATCH($A6,'Ontology and concepts per UC'!$F$2:$F$46,0),MATCH(LEFT(W$1,3),'Ontology and concepts per UC'!$G$1:$I$1,0))+1,"NA",IF(COUNTIFS(Validation!$A:$A,W$1,Validation!$S:$S,$A6)&gt;0,"Yes","No"),IF(COUNTIFS(Validation!$A:$A,W$1,Validation!$S:$S,$A6)&gt;0,"Yes","NA"))</f>
        <v>NA</v>
      </c>
      <c r="X6" s="1" t="str">
        <f t="array" ref="X6">CHOOSE(INDEX('Ontology and concepts per UC'!$G$2:$I$46,MATCH($A6,'Ontology and concepts per UC'!$F$2:$F$46,0),MATCH(LEFT(X$1,3),'Ontology and concepts per UC'!$G$1:$I$1,0))+1,"NA",IF(COUNTIFS(Validation!$A:$A,X$1,Validation!$S:$S,$A6)&gt;0,"Yes","No"),IF(COUNTIFS(Validation!$A:$A,X$1,Validation!$S:$S,$A6)&gt;0,"Yes","NA"))</f>
        <v>NA</v>
      </c>
      <c r="Y6" s="1" t="str">
        <f t="array" ref="Y6">CHOOSE(INDEX('Ontology and concepts per UC'!$G$2:$I$46,MATCH($A6,'Ontology and concepts per UC'!$F$2:$F$46,0),MATCH(LEFT(Y$1,3),'Ontology and concepts per UC'!$G$1:$I$1,0))+1,"NA",IF(COUNTIFS(Validation!$A:$A,Y$1,Validation!$S:$S,$A6)&gt;0,"Yes","No"),IF(COUNTIFS(Validation!$A:$A,Y$1,Validation!$S:$S,$A6)&gt;0,"Yes","NA"))</f>
        <v>NA</v>
      </c>
      <c r="Z6" s="1" t="str">
        <f t="array" ref="Z6">CHOOSE(INDEX('Ontology and concepts per UC'!$G$2:$I$46,MATCH($A6,'Ontology and concepts per UC'!$F$2:$F$46,0),MATCH(LEFT(Z$1,3),'Ontology and concepts per UC'!$G$1:$I$1,0))+1,"NA",IF(COUNTIFS(Validation!$A:$A,Z$1,Validation!$S:$S,$A6)&gt;0,"Yes","No"),IF(COUNTIFS(Validation!$A:$A,Z$1,Validation!$S:$S,$A6)&gt;0,"Yes","NA"))</f>
        <v>NA</v>
      </c>
      <c r="AA6" s="1" t="str">
        <f t="array" ref="AA6">CHOOSE(INDEX('Ontology and concepts per UC'!$G$2:$I$46,MATCH($A6,'Ontology and concepts per UC'!$F$2:$F$46,0),MATCH(LEFT(AA$1,3),'Ontology and concepts per UC'!$G$1:$I$1,0))+1,"NA",IF(COUNTIFS(Validation!$A:$A,AA$1,Validation!$S:$S,$A6)&gt;0,"Yes","No"),IF(COUNTIFS(Validation!$A:$A,AA$1,Validation!$S:$S,$A6)&gt;0,"Yes","NA"))</f>
        <v>NA</v>
      </c>
      <c r="AB6" s="1" t="str">
        <f t="array" ref="AB6">CHOOSE(INDEX('Ontology and concepts per UC'!$G$2:$I$46,MATCH($A6,'Ontology and concepts per UC'!$F$2:$F$46,0),MATCH(LEFT(AB$1,3),'Ontology and concepts per UC'!$G$1:$I$1,0))+1,"NA",IF(COUNTIFS(Validation!$A:$A,AB$1,Validation!$S:$S,$A6)&gt;0,"Yes","No"),IF(COUNTIFS(Validation!$A:$A,AB$1,Validation!$S:$S,$A6)&gt;0,"Yes","NA"))</f>
        <v>NA</v>
      </c>
      <c r="AC6" s="1" t="str">
        <f t="array" ref="AC6">CHOOSE(INDEX('Ontology and concepts per UC'!$G$2:$I$46,MATCH($A6,'Ontology and concepts per UC'!$F$2:$F$46,0),MATCH(LEFT(AC$1,3),'Ontology and concepts per UC'!$G$1:$I$1,0))+1,"NA",IF(COUNTIFS(Validation!$A:$A,AC$1,Validation!$S:$S,$A6)&gt;0,"Yes","No"),IF(COUNTIFS(Validation!$A:$A,AC$1,Validation!$S:$S,$A6)&gt;0,"Yes","NA"))</f>
        <v>NA</v>
      </c>
      <c r="AD6" s="1" t="str">
        <f t="array" ref="AD6">CHOOSE(INDEX('Ontology and concepts per UC'!$G$2:$I$46,MATCH($A6,'Ontology and concepts per UC'!$F$2:$F$46,0),MATCH(LEFT(AD$1,3),'Ontology and concepts per UC'!$G$1:$I$1,0))+1,"NA",IF(COUNTIFS(Validation!$A:$A,AD$1,Validation!$S:$S,$A6)&gt;0,"Yes","No"),IF(COUNTIFS(Validation!$A:$A,AD$1,Validation!$S:$S,$A6)&gt;0,"Yes","NA"))</f>
        <v>NA</v>
      </c>
      <c r="AE6" s="1" t="str">
        <f t="array" ref="AE6">CHOOSE(INDEX('Ontology and concepts per UC'!$G$2:$I$46,MATCH($A6,'Ontology and concepts per UC'!$F$2:$F$46,0),MATCH(LEFT(AE$1,3),'Ontology and concepts per UC'!$G$1:$I$1,0))+1,"NA",IF(COUNTIFS(Validation!$A:$A,AE$1,Validation!$S:$S,$A6)&gt;0,"Yes","No"),IF(COUNTIFS(Validation!$A:$A,AE$1,Validation!$S:$S,$A6)&gt;0,"Yes","NA"))</f>
        <v>NA</v>
      </c>
    </row>
    <row r="7" spans="1:31" x14ac:dyDescent="0.25">
      <c r="A7" s="1" t="s">
        <v>11</v>
      </c>
      <c r="B7" s="1" t="str">
        <f t="array" ref="B7">CHOOSE(INDEX('Ontology and concepts per UC'!$G$2:$I$46,MATCH($A7,'Ontology and concepts per UC'!$F$2:$F$46,0),MATCH(LEFT(B$1,3),'Ontology and concepts per UC'!$G$1:$I$1,0))+1,"NA",IF(COUNTIFS(Validation!$A:$A,B$1,Validation!$S:$S,$A7)&gt;0,"Yes","No"),IF(COUNTIFS(Validation!$A:$A,B$1,Validation!$S:$S,$A7)&gt;0,"Yes","NA"))</f>
        <v>Yes</v>
      </c>
      <c r="C7" s="1" t="str">
        <f t="array" ref="C7">CHOOSE(INDEX('Ontology and concepts per UC'!$G$2:$I$46,MATCH($A7,'Ontology and concepts per UC'!$F$2:$F$46,0),MATCH(LEFT(C$1,3),'Ontology and concepts per UC'!$G$1:$I$1,0))+1,"NA",IF(COUNTIFS(Validation!$A:$A,C$1,Validation!$S:$S,$A7)&gt;0,"Yes","No"),IF(COUNTIFS(Validation!$A:$A,C$1,Validation!$S:$S,$A7)&gt;0,"Yes","NA"))</f>
        <v>NA</v>
      </c>
      <c r="D7" s="1" t="str">
        <f t="array" ref="D7">CHOOSE(INDEX('Ontology and concepts per UC'!$G$2:$I$46,MATCH($A7,'Ontology and concepts per UC'!$F$2:$F$46,0),MATCH(LEFT(D$1,3),'Ontology and concepts per UC'!$G$1:$I$1,0))+1,"NA",IF(COUNTIFS(Validation!$A:$A,D$1,Validation!$S:$S,$A7)&gt;0,"Yes","No"),IF(COUNTIFS(Validation!$A:$A,D$1,Validation!$S:$S,$A7)&gt;0,"Yes","NA"))</f>
        <v>NA</v>
      </c>
      <c r="E7" s="1" t="str">
        <f t="array" ref="E7">CHOOSE(INDEX('Ontology and concepts per UC'!$G$2:$I$46,MATCH($A7,'Ontology and concepts per UC'!$F$2:$F$46,0),MATCH(LEFT(E$1,3),'Ontology and concepts per UC'!$G$1:$I$1,0))+1,"NA",IF(COUNTIFS(Validation!$A:$A,E$1,Validation!$S:$S,$A7)&gt;0,"Yes","No"),IF(COUNTIFS(Validation!$A:$A,E$1,Validation!$S:$S,$A7)&gt;0,"Yes","NA"))</f>
        <v>Yes</v>
      </c>
      <c r="F7" s="1" t="str">
        <f t="array" ref="F7">CHOOSE(INDEX('Ontology and concepts per UC'!$G$2:$I$46,MATCH($A7,'Ontology and concepts per UC'!$F$2:$F$46,0),MATCH(LEFT(F$1,3),'Ontology and concepts per UC'!$G$1:$I$1,0))+1,"NA",IF(COUNTIFS(Validation!$A:$A,F$1,Validation!$S:$S,$A7)&gt;0,"Yes","No"),IF(COUNTIFS(Validation!$A:$A,F$1,Validation!$S:$S,$A7)&gt;0,"Yes","NA"))</f>
        <v>NA</v>
      </c>
      <c r="G7" s="1" t="str">
        <f t="array" ref="G7">CHOOSE(INDEX('Ontology and concepts per UC'!$G$2:$I$46,MATCH($A7,'Ontology and concepts per UC'!$F$2:$F$46,0),MATCH(LEFT(G$1,3),'Ontology and concepts per UC'!$G$1:$I$1,0))+1,"NA",IF(COUNTIFS(Validation!$A:$A,G$1,Validation!$S:$S,$A7)&gt;0,"Yes","No"),IF(COUNTIFS(Validation!$A:$A,G$1,Validation!$S:$S,$A7)&gt;0,"Yes","NA"))</f>
        <v>NA</v>
      </c>
      <c r="H7" s="1" t="str">
        <f t="array" ref="H7">CHOOSE(INDEX('Ontology and concepts per UC'!$G$2:$I$46,MATCH($A7,'Ontology and concepts per UC'!$F$2:$F$46,0),MATCH(LEFT(H$1,3),'Ontology and concepts per UC'!$G$1:$I$1,0))+1,"NA",IF(COUNTIFS(Validation!$A:$A,H$1,Validation!$S:$S,$A7)&gt;0,"Yes","No"),IF(COUNTIFS(Validation!$A:$A,H$1,Validation!$S:$S,$A7)&gt;0,"Yes","NA"))</f>
        <v>NA</v>
      </c>
      <c r="I7" s="1" t="str">
        <f t="array" ref="I7">CHOOSE(INDEX('Ontology and concepts per UC'!$G$2:$I$46,MATCH($A7,'Ontology and concepts per UC'!$F$2:$F$46,0),MATCH(LEFT(I$1,3),'Ontology and concepts per UC'!$G$1:$I$1,0))+1,"NA",IF(COUNTIFS(Validation!$A:$A,I$1,Validation!$S:$S,$A7)&gt;0,"Yes","No"),IF(COUNTIFS(Validation!$A:$A,I$1,Validation!$S:$S,$A7)&gt;0,"Yes","NA"))</f>
        <v>NA</v>
      </c>
      <c r="J7" s="1" t="str">
        <f t="array" ref="J7">CHOOSE(INDEX('Ontology and concepts per UC'!$G$2:$I$46,MATCH($A7,'Ontology and concepts per UC'!$F$2:$F$46,0),MATCH(LEFT(J$1,3),'Ontology and concepts per UC'!$G$1:$I$1,0))+1,"NA",IF(COUNTIFS(Validation!$A:$A,J$1,Validation!$S:$S,$A7)&gt;0,"Yes","No"),IF(COUNTIFS(Validation!$A:$A,J$1,Validation!$S:$S,$A7)&gt;0,"Yes","NA"))</f>
        <v>NA</v>
      </c>
      <c r="K7" s="1" t="str">
        <f t="array" ref="K7">CHOOSE(INDEX('Ontology and concepts per UC'!$G$2:$I$46,MATCH($A7,'Ontology and concepts per UC'!$F$2:$F$46,0),MATCH(LEFT(K$1,3),'Ontology and concepts per UC'!$G$1:$I$1,0))+1,"NA",IF(COUNTIFS(Validation!$A:$A,K$1,Validation!$S:$S,$A7)&gt;0,"Yes","No"),IF(COUNTIFS(Validation!$A:$A,K$1,Validation!$S:$S,$A7)&gt;0,"Yes","NA"))</f>
        <v>NA</v>
      </c>
      <c r="L7" s="1" t="str">
        <f t="array" ref="L7">CHOOSE(INDEX('Ontology and concepts per UC'!$G$2:$I$46,MATCH($A7,'Ontology and concepts per UC'!$F$2:$F$46,0),MATCH(LEFT(L$1,3),'Ontology and concepts per UC'!$G$1:$I$1,0))+1,"NA",IF(COUNTIFS(Validation!$A:$A,L$1,Validation!$S:$S,$A7)&gt;0,"Yes","No"),IF(COUNTIFS(Validation!$A:$A,L$1,Validation!$S:$S,$A7)&gt;0,"Yes","NA"))</f>
        <v>NA</v>
      </c>
      <c r="M7" s="1" t="str">
        <f t="array" ref="M7">CHOOSE(INDEX('Ontology and concepts per UC'!$G$2:$I$46,MATCH($A7,'Ontology and concepts per UC'!$F$2:$F$46,0),MATCH(LEFT(M$1,3),'Ontology and concepts per UC'!$G$1:$I$1,0))+1,"NA",IF(COUNTIFS(Validation!$A:$A,M$1,Validation!$S:$S,$A7)&gt;0,"Yes","No"),IF(COUNTIFS(Validation!$A:$A,M$1,Validation!$S:$S,$A7)&gt;0,"Yes","NA"))</f>
        <v>Yes</v>
      </c>
      <c r="N7" s="1" t="str">
        <f t="array" ref="N7">CHOOSE(INDEX('Ontology and concepts per UC'!$G$2:$I$46,MATCH($A7,'Ontology and concepts per UC'!$F$2:$F$46,0),MATCH(LEFT(N$1,3),'Ontology and concepts per UC'!$G$1:$I$1,0))+1,"NA",IF(COUNTIFS(Validation!$A:$A,N$1,Validation!$S:$S,$A7)&gt;0,"Yes","No"),IF(COUNTIFS(Validation!$A:$A,N$1,Validation!$S:$S,$A7)&gt;0,"Yes","NA"))</f>
        <v>Yes</v>
      </c>
      <c r="O7" s="1" t="str">
        <f t="array" ref="O7">CHOOSE(INDEX('Ontology and concepts per UC'!$G$2:$I$46,MATCH($A7,'Ontology and concepts per UC'!$F$2:$F$46,0),MATCH(LEFT(O$1,3),'Ontology and concepts per UC'!$G$1:$I$1,0))+1,"NA",IF(COUNTIFS(Validation!$A:$A,O$1,Validation!$S:$S,$A7)&gt;0,"Yes","No"),IF(COUNTIFS(Validation!$A:$A,O$1,Validation!$S:$S,$A7)&gt;0,"Yes","NA"))</f>
        <v>NA</v>
      </c>
      <c r="P7" s="1" t="str">
        <f t="array" ref="P7">CHOOSE(INDEX('Ontology and concepts per UC'!$G$2:$I$46,MATCH($A7,'Ontology and concepts per UC'!$F$2:$F$46,0),MATCH(LEFT(P$1,3),'Ontology and concepts per UC'!$G$1:$I$1,0))+1,"NA",IF(COUNTIFS(Validation!$A:$A,P$1,Validation!$S:$S,$A7)&gt;0,"Yes","No"),IF(COUNTIFS(Validation!$A:$A,P$1,Validation!$S:$S,$A7)&gt;0,"Yes","NA"))</f>
        <v>NA</v>
      </c>
      <c r="Q7" s="1" t="str">
        <f t="array" ref="Q7">CHOOSE(INDEX('Ontology and concepts per UC'!$G$2:$I$46,MATCH($A7,'Ontology and concepts per UC'!$F$2:$F$46,0),MATCH(LEFT(Q$1,3),'Ontology and concepts per UC'!$G$1:$I$1,0))+1,"NA",IF(COUNTIFS(Validation!$A:$A,Q$1,Validation!$S:$S,$A7)&gt;0,"Yes","No"),IF(COUNTIFS(Validation!$A:$A,Q$1,Validation!$S:$S,$A7)&gt;0,"Yes","NA"))</f>
        <v>NA</v>
      </c>
      <c r="R7" s="1" t="str">
        <f t="array" ref="R7">CHOOSE(INDEX('Ontology and concepts per UC'!$G$2:$I$46,MATCH($A7,'Ontology and concepts per UC'!$F$2:$F$46,0),MATCH(LEFT(R$1,3),'Ontology and concepts per UC'!$G$1:$I$1,0))+1,"NA",IF(COUNTIFS(Validation!$A:$A,R$1,Validation!$S:$S,$A7)&gt;0,"Yes","No"),IF(COUNTIFS(Validation!$A:$A,R$1,Validation!$S:$S,$A7)&gt;0,"Yes","NA"))</f>
        <v>Yes</v>
      </c>
      <c r="S7" s="1" t="str">
        <f t="array" ref="S7">CHOOSE(INDEX('Ontology and concepts per UC'!$G$2:$I$46,MATCH($A7,'Ontology and concepts per UC'!$F$2:$F$46,0),MATCH(LEFT(S$1,3),'Ontology and concepts per UC'!$G$1:$I$1,0))+1,"NA",IF(COUNTIFS(Validation!$A:$A,S$1,Validation!$S:$S,$A7)&gt;0,"Yes","No"),IF(COUNTIFS(Validation!$A:$A,S$1,Validation!$S:$S,$A7)&gt;0,"Yes","NA"))</f>
        <v>Yes</v>
      </c>
      <c r="T7" s="1" t="str">
        <f t="array" ref="T7">CHOOSE(INDEX('Ontology and concepts per UC'!$G$2:$I$46,MATCH($A7,'Ontology and concepts per UC'!$F$2:$F$46,0),MATCH(LEFT(T$1,3),'Ontology and concepts per UC'!$G$1:$I$1,0))+1,"NA",IF(COUNTIFS(Validation!$A:$A,T$1,Validation!$S:$S,$A7)&gt;0,"Yes","No"),IF(COUNTIFS(Validation!$A:$A,T$1,Validation!$S:$S,$A7)&gt;0,"Yes","NA"))</f>
        <v>NA</v>
      </c>
      <c r="U7" s="1" t="str">
        <f t="array" ref="U7">CHOOSE(INDEX('Ontology and concepts per UC'!$G$2:$I$46,MATCH($A7,'Ontology and concepts per UC'!$F$2:$F$46,0),MATCH(LEFT(U$1,3),'Ontology and concepts per UC'!$G$1:$I$1,0))+1,"NA",IF(COUNTIFS(Validation!$A:$A,U$1,Validation!$S:$S,$A7)&gt;0,"Yes","No"),IF(COUNTIFS(Validation!$A:$A,U$1,Validation!$S:$S,$A7)&gt;0,"Yes","NA"))</f>
        <v>NA</v>
      </c>
      <c r="V7" s="1" t="str">
        <f t="array" ref="V7">CHOOSE(INDEX('Ontology and concepts per UC'!$G$2:$I$46,MATCH($A7,'Ontology and concepts per UC'!$F$2:$F$46,0),MATCH(LEFT(V$1,3),'Ontology and concepts per UC'!$G$1:$I$1,0))+1,"NA",IF(COUNTIFS(Validation!$A:$A,V$1,Validation!$S:$S,$A7)&gt;0,"Yes","No"),IF(COUNTIFS(Validation!$A:$A,V$1,Validation!$S:$S,$A7)&gt;0,"Yes","NA"))</f>
        <v>NA</v>
      </c>
      <c r="W7" s="1" t="str">
        <f t="array" ref="W7">CHOOSE(INDEX('Ontology and concepts per UC'!$G$2:$I$46,MATCH($A7,'Ontology and concepts per UC'!$F$2:$F$46,0),MATCH(LEFT(W$1,3),'Ontology and concepts per UC'!$G$1:$I$1,0))+1,"NA",IF(COUNTIFS(Validation!$A:$A,W$1,Validation!$S:$S,$A7)&gt;0,"Yes","No"),IF(COUNTIFS(Validation!$A:$A,W$1,Validation!$S:$S,$A7)&gt;0,"Yes","NA"))</f>
        <v>NA</v>
      </c>
      <c r="X7" s="1" t="str">
        <f t="array" ref="X7">CHOOSE(INDEX('Ontology and concepts per UC'!$G$2:$I$46,MATCH($A7,'Ontology and concepts per UC'!$F$2:$F$46,0),MATCH(LEFT(X$1,3),'Ontology and concepts per UC'!$G$1:$I$1,0))+1,"NA",IF(COUNTIFS(Validation!$A:$A,X$1,Validation!$S:$S,$A7)&gt;0,"Yes","No"),IF(COUNTIFS(Validation!$A:$A,X$1,Validation!$S:$S,$A7)&gt;0,"Yes","NA"))</f>
        <v>NA</v>
      </c>
      <c r="Y7" s="1" t="str">
        <f t="array" ref="Y7">CHOOSE(INDEX('Ontology and concepts per UC'!$G$2:$I$46,MATCH($A7,'Ontology and concepts per UC'!$F$2:$F$46,0),MATCH(LEFT(Y$1,3),'Ontology and concepts per UC'!$G$1:$I$1,0))+1,"NA",IF(COUNTIFS(Validation!$A:$A,Y$1,Validation!$S:$S,$A7)&gt;0,"Yes","No"),IF(COUNTIFS(Validation!$A:$A,Y$1,Validation!$S:$S,$A7)&gt;0,"Yes","NA"))</f>
        <v>NA</v>
      </c>
      <c r="Z7" s="1" t="str">
        <f t="array" ref="Z7">CHOOSE(INDEX('Ontology and concepts per UC'!$G$2:$I$46,MATCH($A7,'Ontology and concepts per UC'!$F$2:$F$46,0),MATCH(LEFT(Z$1,3),'Ontology and concepts per UC'!$G$1:$I$1,0))+1,"NA",IF(COUNTIFS(Validation!$A:$A,Z$1,Validation!$S:$S,$A7)&gt;0,"Yes","No"),IF(COUNTIFS(Validation!$A:$A,Z$1,Validation!$S:$S,$A7)&gt;0,"Yes","NA"))</f>
        <v>NA</v>
      </c>
      <c r="AA7" s="1" t="str">
        <f t="array" ref="AA7">CHOOSE(INDEX('Ontology and concepts per UC'!$G$2:$I$46,MATCH($A7,'Ontology and concepts per UC'!$F$2:$F$46,0),MATCH(LEFT(AA$1,3),'Ontology and concepts per UC'!$G$1:$I$1,0))+1,"NA",IF(COUNTIFS(Validation!$A:$A,AA$1,Validation!$S:$S,$A7)&gt;0,"Yes","No"),IF(COUNTIFS(Validation!$A:$A,AA$1,Validation!$S:$S,$A7)&gt;0,"Yes","NA"))</f>
        <v>NA</v>
      </c>
      <c r="AB7" s="1" t="str">
        <f t="array" ref="AB7">CHOOSE(INDEX('Ontology and concepts per UC'!$G$2:$I$46,MATCH($A7,'Ontology and concepts per UC'!$F$2:$F$46,0),MATCH(LEFT(AB$1,3),'Ontology and concepts per UC'!$G$1:$I$1,0))+1,"NA",IF(COUNTIFS(Validation!$A:$A,AB$1,Validation!$S:$S,$A7)&gt;0,"Yes","No"),IF(COUNTIFS(Validation!$A:$A,AB$1,Validation!$S:$S,$A7)&gt;0,"Yes","NA"))</f>
        <v>NA</v>
      </c>
      <c r="AC7" s="1" t="str">
        <f t="array" ref="AC7">CHOOSE(INDEX('Ontology and concepts per UC'!$G$2:$I$46,MATCH($A7,'Ontology and concepts per UC'!$F$2:$F$46,0),MATCH(LEFT(AC$1,3),'Ontology and concepts per UC'!$G$1:$I$1,0))+1,"NA",IF(COUNTIFS(Validation!$A:$A,AC$1,Validation!$S:$S,$A7)&gt;0,"Yes","No"),IF(COUNTIFS(Validation!$A:$A,AC$1,Validation!$S:$S,$A7)&gt;0,"Yes","NA"))</f>
        <v>NA</v>
      </c>
      <c r="AD7" s="1" t="str">
        <f t="array" ref="AD7">CHOOSE(INDEX('Ontology and concepts per UC'!$G$2:$I$46,MATCH($A7,'Ontology and concepts per UC'!$F$2:$F$46,0),MATCH(LEFT(AD$1,3),'Ontology and concepts per UC'!$G$1:$I$1,0))+1,"NA",IF(COUNTIFS(Validation!$A:$A,AD$1,Validation!$S:$S,$A7)&gt;0,"Yes","No"),IF(COUNTIFS(Validation!$A:$A,AD$1,Validation!$S:$S,$A7)&gt;0,"Yes","NA"))</f>
        <v>Yes</v>
      </c>
      <c r="AE7" s="1" t="str">
        <f t="array" ref="AE7">CHOOSE(INDEX('Ontology and concepts per UC'!$G$2:$I$46,MATCH($A7,'Ontology and concepts per UC'!$F$2:$F$46,0),MATCH(LEFT(AE$1,3),'Ontology and concepts per UC'!$G$1:$I$1,0))+1,"NA",IF(COUNTIFS(Validation!$A:$A,AE$1,Validation!$S:$S,$A7)&gt;0,"Yes","No"),IF(COUNTIFS(Validation!$A:$A,AE$1,Validation!$S:$S,$A7)&gt;0,"Yes","NA"))</f>
        <v>NA</v>
      </c>
    </row>
    <row r="8" spans="1:31" x14ac:dyDescent="0.25">
      <c r="A8" s="1" t="s">
        <v>13</v>
      </c>
      <c r="B8" s="1" t="str">
        <f t="array" ref="B8">CHOOSE(INDEX('Ontology and concepts per UC'!$G$2:$I$46,MATCH($A8,'Ontology and concepts per UC'!$F$2:$F$46,0),MATCH(LEFT(B$1,3),'Ontology and concepts per UC'!$G$1:$I$1,0))+1,"NA",IF(COUNTIFS(Validation!$A:$A,B$1,Validation!$S:$S,$A8)&gt;0,"Yes","No"),IF(COUNTIFS(Validation!$A:$A,B$1,Validation!$S:$S,$A8)&gt;0,"Yes","NA"))</f>
        <v>Yes</v>
      </c>
      <c r="C8" s="1" t="str">
        <f t="array" ref="C8">CHOOSE(INDEX('Ontology and concepts per UC'!$G$2:$I$46,MATCH($A8,'Ontology and concepts per UC'!$F$2:$F$46,0),MATCH(LEFT(C$1,3),'Ontology and concepts per UC'!$G$1:$I$1,0))+1,"NA",IF(COUNTIFS(Validation!$A:$A,C$1,Validation!$S:$S,$A8)&gt;0,"Yes","No"),IF(COUNTIFS(Validation!$A:$A,C$1,Validation!$S:$S,$A8)&gt;0,"Yes","NA"))</f>
        <v>Yes</v>
      </c>
      <c r="D8" s="1" t="str">
        <f t="array" ref="D8">CHOOSE(INDEX('Ontology and concepts per UC'!$G$2:$I$46,MATCH($A8,'Ontology and concepts per UC'!$F$2:$F$46,0),MATCH(LEFT(D$1,3),'Ontology and concepts per UC'!$G$1:$I$1,0))+1,"NA",IF(COUNTIFS(Validation!$A:$A,D$1,Validation!$S:$S,$A8)&gt;0,"Yes","No"),IF(COUNTIFS(Validation!$A:$A,D$1,Validation!$S:$S,$A8)&gt;0,"Yes","NA"))</f>
        <v>No</v>
      </c>
      <c r="E8" s="1" t="str">
        <f t="array" ref="E8">CHOOSE(INDEX('Ontology and concepts per UC'!$G$2:$I$46,MATCH($A8,'Ontology and concepts per UC'!$F$2:$F$46,0),MATCH(LEFT(E$1,3),'Ontology and concepts per UC'!$G$1:$I$1,0))+1,"NA",IF(COUNTIFS(Validation!$A:$A,E$1,Validation!$S:$S,$A8)&gt;0,"Yes","No"),IF(COUNTIFS(Validation!$A:$A,E$1,Validation!$S:$S,$A8)&gt;0,"Yes","NA"))</f>
        <v>No</v>
      </c>
      <c r="F8" s="1" t="str">
        <f t="array" ref="F8">CHOOSE(INDEX('Ontology and concepts per UC'!$G$2:$I$46,MATCH($A8,'Ontology and concepts per UC'!$F$2:$F$46,0),MATCH(LEFT(F$1,3),'Ontology and concepts per UC'!$G$1:$I$1,0))+1,"NA",IF(COUNTIFS(Validation!$A:$A,F$1,Validation!$S:$S,$A8)&gt;0,"Yes","No"),IF(COUNTIFS(Validation!$A:$A,F$1,Validation!$S:$S,$A8)&gt;0,"Yes","NA"))</f>
        <v>No</v>
      </c>
      <c r="G8" s="1" t="str">
        <f t="array" ref="G8">CHOOSE(INDEX('Ontology and concepts per UC'!$G$2:$I$46,MATCH($A8,'Ontology and concepts per UC'!$F$2:$F$46,0),MATCH(LEFT(G$1,3),'Ontology and concepts per UC'!$G$1:$I$1,0))+1,"NA",IF(COUNTIFS(Validation!$A:$A,G$1,Validation!$S:$S,$A8)&gt;0,"Yes","No"),IF(COUNTIFS(Validation!$A:$A,G$1,Validation!$S:$S,$A8)&gt;0,"Yes","NA"))</f>
        <v>No</v>
      </c>
      <c r="H8" s="1" t="str">
        <f t="array" ref="H8">CHOOSE(INDEX('Ontology and concepts per UC'!$G$2:$I$46,MATCH($A8,'Ontology and concepts per UC'!$F$2:$F$46,0),MATCH(LEFT(H$1,3),'Ontology and concepts per UC'!$G$1:$I$1,0))+1,"NA",IF(COUNTIFS(Validation!$A:$A,H$1,Validation!$S:$S,$A8)&gt;0,"Yes","No"),IF(COUNTIFS(Validation!$A:$A,H$1,Validation!$S:$S,$A8)&gt;0,"Yes","NA"))</f>
        <v>NA</v>
      </c>
      <c r="I8" s="1" t="str">
        <f t="array" ref="I8">CHOOSE(INDEX('Ontology and concepts per UC'!$G$2:$I$46,MATCH($A8,'Ontology and concepts per UC'!$F$2:$F$46,0),MATCH(LEFT(I$1,3),'Ontology and concepts per UC'!$G$1:$I$1,0))+1,"NA",IF(COUNTIFS(Validation!$A:$A,I$1,Validation!$S:$S,$A8)&gt;0,"Yes","No"),IF(COUNTIFS(Validation!$A:$A,I$1,Validation!$S:$S,$A8)&gt;0,"Yes","NA"))</f>
        <v>NA</v>
      </c>
      <c r="J8" s="1" t="str">
        <f t="array" ref="J8">CHOOSE(INDEX('Ontology and concepts per UC'!$G$2:$I$46,MATCH($A8,'Ontology and concepts per UC'!$F$2:$F$46,0),MATCH(LEFT(J$1,3),'Ontology and concepts per UC'!$G$1:$I$1,0))+1,"NA",IF(COUNTIFS(Validation!$A:$A,J$1,Validation!$S:$S,$A8)&gt;0,"Yes","No"),IF(COUNTIFS(Validation!$A:$A,J$1,Validation!$S:$S,$A8)&gt;0,"Yes","NA"))</f>
        <v>NA</v>
      </c>
      <c r="K8" s="1" t="str">
        <f t="array" ref="K8">CHOOSE(INDEX('Ontology and concepts per UC'!$G$2:$I$46,MATCH($A8,'Ontology and concepts per UC'!$F$2:$F$46,0),MATCH(LEFT(K$1,3),'Ontology and concepts per UC'!$G$1:$I$1,0))+1,"NA",IF(COUNTIFS(Validation!$A:$A,K$1,Validation!$S:$S,$A8)&gt;0,"Yes","No"),IF(COUNTIFS(Validation!$A:$A,K$1,Validation!$S:$S,$A8)&gt;0,"Yes","NA"))</f>
        <v>NA</v>
      </c>
      <c r="L8" s="1" t="str">
        <f t="array" ref="L8">CHOOSE(INDEX('Ontology and concepts per UC'!$G$2:$I$46,MATCH($A8,'Ontology and concepts per UC'!$F$2:$F$46,0),MATCH(LEFT(L$1,3),'Ontology and concepts per UC'!$G$1:$I$1,0))+1,"NA",IF(COUNTIFS(Validation!$A:$A,L$1,Validation!$S:$S,$A8)&gt;0,"Yes","No"),IF(COUNTIFS(Validation!$A:$A,L$1,Validation!$S:$S,$A8)&gt;0,"Yes","NA"))</f>
        <v>Yes</v>
      </c>
      <c r="M8" s="1" t="str">
        <f t="array" ref="M8">CHOOSE(INDEX('Ontology and concepts per UC'!$G$2:$I$46,MATCH($A8,'Ontology and concepts per UC'!$F$2:$F$46,0),MATCH(LEFT(M$1,3),'Ontology and concepts per UC'!$G$1:$I$1,0))+1,"NA",IF(COUNTIFS(Validation!$A:$A,M$1,Validation!$S:$S,$A8)&gt;0,"Yes","No"),IF(COUNTIFS(Validation!$A:$A,M$1,Validation!$S:$S,$A8)&gt;0,"Yes","NA"))</f>
        <v>No</v>
      </c>
      <c r="N8" s="1" t="str">
        <f t="array" ref="N8">CHOOSE(INDEX('Ontology and concepts per UC'!$G$2:$I$46,MATCH($A8,'Ontology and concepts per UC'!$F$2:$F$46,0),MATCH(LEFT(N$1,3),'Ontology and concepts per UC'!$G$1:$I$1,0))+1,"NA",IF(COUNTIFS(Validation!$A:$A,N$1,Validation!$S:$S,$A8)&gt;0,"Yes","No"),IF(COUNTIFS(Validation!$A:$A,N$1,Validation!$S:$S,$A8)&gt;0,"Yes","NA"))</f>
        <v>Yes</v>
      </c>
      <c r="O8" s="1" t="str">
        <f t="array" ref="O8">CHOOSE(INDEX('Ontology and concepts per UC'!$G$2:$I$46,MATCH($A8,'Ontology and concepts per UC'!$F$2:$F$46,0),MATCH(LEFT(O$1,3),'Ontology and concepts per UC'!$G$1:$I$1,0))+1,"NA",IF(COUNTIFS(Validation!$A:$A,O$1,Validation!$S:$S,$A8)&gt;0,"Yes","No"),IF(COUNTIFS(Validation!$A:$A,O$1,Validation!$S:$S,$A8)&gt;0,"Yes","NA"))</f>
        <v>No</v>
      </c>
      <c r="P8" s="1" t="str">
        <f t="array" ref="P8">CHOOSE(INDEX('Ontology and concepts per UC'!$G$2:$I$46,MATCH($A8,'Ontology and concepts per UC'!$F$2:$F$46,0),MATCH(LEFT(P$1,3),'Ontology and concepts per UC'!$G$1:$I$1,0))+1,"NA",IF(COUNTIFS(Validation!$A:$A,P$1,Validation!$S:$S,$A8)&gt;0,"Yes","No"),IF(COUNTIFS(Validation!$A:$A,P$1,Validation!$S:$S,$A8)&gt;0,"Yes","NA"))</f>
        <v>Yes</v>
      </c>
      <c r="Q8" s="1" t="str">
        <f t="array" ref="Q8">CHOOSE(INDEX('Ontology and concepts per UC'!$G$2:$I$46,MATCH($A8,'Ontology and concepts per UC'!$F$2:$F$46,0),MATCH(LEFT(Q$1,3),'Ontology and concepts per UC'!$G$1:$I$1,0))+1,"NA",IF(COUNTIFS(Validation!$A:$A,Q$1,Validation!$S:$S,$A8)&gt;0,"Yes","No"),IF(COUNTIFS(Validation!$A:$A,Q$1,Validation!$S:$S,$A8)&gt;0,"Yes","NA"))</f>
        <v>Yes</v>
      </c>
      <c r="R8" s="1" t="str">
        <f t="array" ref="R8">CHOOSE(INDEX('Ontology and concepts per UC'!$G$2:$I$46,MATCH($A8,'Ontology and concepts per UC'!$F$2:$F$46,0),MATCH(LEFT(R$1,3),'Ontology and concepts per UC'!$G$1:$I$1,0))+1,"NA",IF(COUNTIFS(Validation!$A:$A,R$1,Validation!$S:$S,$A8)&gt;0,"Yes","No"),IF(COUNTIFS(Validation!$A:$A,R$1,Validation!$S:$S,$A8)&gt;0,"Yes","NA"))</f>
        <v>No</v>
      </c>
      <c r="S8" s="1" t="str">
        <f t="array" ref="S8">CHOOSE(INDEX('Ontology and concepts per UC'!$G$2:$I$46,MATCH($A8,'Ontology and concepts per UC'!$F$2:$F$46,0),MATCH(LEFT(S$1,3),'Ontology and concepts per UC'!$G$1:$I$1,0))+1,"NA",IF(COUNTIFS(Validation!$A:$A,S$1,Validation!$S:$S,$A8)&gt;0,"Yes","No"),IF(COUNTIFS(Validation!$A:$A,S$1,Validation!$S:$S,$A8)&gt;0,"Yes","NA"))</f>
        <v>No</v>
      </c>
      <c r="T8" s="1" t="str">
        <f t="array" ref="T8">CHOOSE(INDEX('Ontology and concepts per UC'!$G$2:$I$46,MATCH($A8,'Ontology and concepts per UC'!$F$2:$F$46,0),MATCH(LEFT(T$1,3),'Ontology and concepts per UC'!$G$1:$I$1,0))+1,"NA",IF(COUNTIFS(Validation!$A:$A,T$1,Validation!$S:$S,$A8)&gt;0,"Yes","No"),IF(COUNTIFS(Validation!$A:$A,T$1,Validation!$S:$S,$A8)&gt;0,"Yes","NA"))</f>
        <v>No</v>
      </c>
      <c r="U8" s="1" t="str">
        <f t="array" ref="U8">CHOOSE(INDEX('Ontology and concepts per UC'!$G$2:$I$46,MATCH($A8,'Ontology and concepts per UC'!$F$2:$F$46,0),MATCH(LEFT(U$1,3),'Ontology and concepts per UC'!$G$1:$I$1,0))+1,"NA",IF(COUNTIFS(Validation!$A:$A,U$1,Validation!$S:$S,$A8)&gt;0,"Yes","No"),IF(COUNTIFS(Validation!$A:$A,U$1,Validation!$S:$S,$A8)&gt;0,"Yes","NA"))</f>
        <v>No</v>
      </c>
      <c r="V8" s="1" t="str">
        <f t="array" ref="V8">CHOOSE(INDEX('Ontology and concepts per UC'!$G$2:$I$46,MATCH($A8,'Ontology and concepts per UC'!$F$2:$F$46,0),MATCH(LEFT(V$1,3),'Ontology and concepts per UC'!$G$1:$I$1,0))+1,"NA",IF(COUNTIFS(Validation!$A:$A,V$1,Validation!$S:$S,$A8)&gt;0,"Yes","No"),IF(COUNTIFS(Validation!$A:$A,V$1,Validation!$S:$S,$A8)&gt;0,"Yes","NA"))</f>
        <v>No</v>
      </c>
      <c r="W8" s="1" t="str">
        <f t="array" ref="W8">CHOOSE(INDEX('Ontology and concepts per UC'!$G$2:$I$46,MATCH($A8,'Ontology and concepts per UC'!$F$2:$F$46,0),MATCH(LEFT(W$1,3),'Ontology and concepts per UC'!$G$1:$I$1,0))+1,"NA",IF(COUNTIFS(Validation!$A:$A,W$1,Validation!$S:$S,$A8)&gt;0,"Yes","No"),IF(COUNTIFS(Validation!$A:$A,W$1,Validation!$S:$S,$A8)&gt;0,"Yes","NA"))</f>
        <v>No</v>
      </c>
      <c r="X8" s="1" t="str">
        <f t="array" ref="X8">CHOOSE(INDEX('Ontology and concepts per UC'!$G$2:$I$46,MATCH($A8,'Ontology and concepts per UC'!$F$2:$F$46,0),MATCH(LEFT(X$1,3),'Ontology and concepts per UC'!$G$1:$I$1,0))+1,"NA",IF(COUNTIFS(Validation!$A:$A,X$1,Validation!$S:$S,$A8)&gt;0,"Yes","No"),IF(COUNTIFS(Validation!$A:$A,X$1,Validation!$S:$S,$A8)&gt;0,"Yes","NA"))</f>
        <v>NA</v>
      </c>
      <c r="Y8" s="1" t="str">
        <f t="array" ref="Y8">CHOOSE(INDEX('Ontology and concepts per UC'!$G$2:$I$46,MATCH($A8,'Ontology and concepts per UC'!$F$2:$F$46,0),MATCH(LEFT(Y$1,3),'Ontology and concepts per UC'!$G$1:$I$1,0))+1,"NA",IF(COUNTIFS(Validation!$A:$A,Y$1,Validation!$S:$S,$A8)&gt;0,"Yes","No"),IF(COUNTIFS(Validation!$A:$A,Y$1,Validation!$S:$S,$A8)&gt;0,"Yes","NA"))</f>
        <v>NA</v>
      </c>
      <c r="Z8" s="1" t="str">
        <f t="array" ref="Z8">CHOOSE(INDEX('Ontology and concepts per UC'!$G$2:$I$46,MATCH($A8,'Ontology and concepts per UC'!$F$2:$F$46,0),MATCH(LEFT(Z$1,3),'Ontology and concepts per UC'!$G$1:$I$1,0))+1,"NA",IF(COUNTIFS(Validation!$A:$A,Z$1,Validation!$S:$S,$A8)&gt;0,"Yes","No"),IF(COUNTIFS(Validation!$A:$A,Z$1,Validation!$S:$S,$A8)&gt;0,"Yes","NA"))</f>
        <v>NA</v>
      </c>
      <c r="AA8" s="1" t="str">
        <f t="array" ref="AA8">CHOOSE(INDEX('Ontology and concepts per UC'!$G$2:$I$46,MATCH($A8,'Ontology and concepts per UC'!$F$2:$F$46,0),MATCH(LEFT(AA$1,3),'Ontology and concepts per UC'!$G$1:$I$1,0))+1,"NA",IF(COUNTIFS(Validation!$A:$A,AA$1,Validation!$S:$S,$A8)&gt;0,"Yes","No"),IF(COUNTIFS(Validation!$A:$A,AA$1,Validation!$S:$S,$A8)&gt;0,"Yes","NA"))</f>
        <v>NA</v>
      </c>
      <c r="AB8" s="1" t="str">
        <f t="array" ref="AB8">CHOOSE(INDEX('Ontology and concepts per UC'!$G$2:$I$46,MATCH($A8,'Ontology and concepts per UC'!$F$2:$F$46,0),MATCH(LEFT(AB$1,3),'Ontology and concepts per UC'!$G$1:$I$1,0))+1,"NA",IF(COUNTIFS(Validation!$A:$A,AB$1,Validation!$S:$S,$A8)&gt;0,"Yes","No"),IF(COUNTIFS(Validation!$A:$A,AB$1,Validation!$S:$S,$A8)&gt;0,"Yes","NA"))</f>
        <v>No</v>
      </c>
      <c r="AC8" s="1" t="str">
        <f t="array" ref="AC8">CHOOSE(INDEX('Ontology and concepts per UC'!$G$2:$I$46,MATCH($A8,'Ontology and concepts per UC'!$F$2:$F$46,0),MATCH(LEFT(AC$1,3),'Ontology and concepts per UC'!$G$1:$I$1,0))+1,"NA",IF(COUNTIFS(Validation!$A:$A,AC$1,Validation!$S:$S,$A8)&gt;0,"Yes","No"),IF(COUNTIFS(Validation!$A:$A,AC$1,Validation!$S:$S,$A8)&gt;0,"Yes","NA"))</f>
        <v>No</v>
      </c>
      <c r="AD8" s="1" t="str">
        <f t="array" ref="AD8">CHOOSE(INDEX('Ontology and concepts per UC'!$G$2:$I$46,MATCH($A8,'Ontology and concepts per UC'!$F$2:$F$46,0),MATCH(LEFT(AD$1,3),'Ontology and concepts per UC'!$G$1:$I$1,0))+1,"NA",IF(COUNTIFS(Validation!$A:$A,AD$1,Validation!$S:$S,$A8)&gt;0,"Yes","No"),IF(COUNTIFS(Validation!$A:$A,AD$1,Validation!$S:$S,$A8)&gt;0,"Yes","NA"))</f>
        <v>No</v>
      </c>
      <c r="AE8" s="1" t="str">
        <f t="array" ref="AE8">CHOOSE(INDEX('Ontology and concepts per UC'!$G$2:$I$46,MATCH($A8,'Ontology and concepts per UC'!$F$2:$F$46,0),MATCH(LEFT(AE$1,3),'Ontology and concepts per UC'!$G$1:$I$1,0))+1,"NA",IF(COUNTIFS(Validation!$A:$A,AE$1,Validation!$S:$S,$A8)&gt;0,"Yes","No"),IF(COUNTIFS(Validation!$A:$A,AE$1,Validation!$S:$S,$A8)&gt;0,"Yes","NA"))</f>
        <v>No</v>
      </c>
    </row>
    <row r="9" spans="1:31" x14ac:dyDescent="0.25">
      <c r="A9" s="1" t="s">
        <v>15</v>
      </c>
      <c r="B9" s="1" t="str">
        <f t="array" ref="B9">CHOOSE(INDEX('Ontology and concepts per UC'!$G$2:$I$46,MATCH($A9,'Ontology and concepts per UC'!$F$2:$F$46,0),MATCH(LEFT(B$1,3),'Ontology and concepts per UC'!$G$1:$I$1,0))+1,"NA",IF(COUNTIFS(Validation!$A:$A,B$1,Validation!$S:$S,$A9)&gt;0,"Yes","No"),IF(COUNTIFS(Validation!$A:$A,B$1,Validation!$S:$S,$A9)&gt;0,"Yes","NA"))</f>
        <v>NA</v>
      </c>
      <c r="C9" s="1" t="str">
        <f t="array" ref="C9">CHOOSE(INDEX('Ontology and concepts per UC'!$G$2:$I$46,MATCH($A9,'Ontology and concepts per UC'!$F$2:$F$46,0),MATCH(LEFT(C$1,3),'Ontology and concepts per UC'!$G$1:$I$1,0))+1,"NA",IF(COUNTIFS(Validation!$A:$A,C$1,Validation!$S:$S,$A9)&gt;0,"Yes","No"),IF(COUNTIFS(Validation!$A:$A,C$1,Validation!$S:$S,$A9)&gt;0,"Yes","NA"))</f>
        <v>NA</v>
      </c>
      <c r="D9" s="1" t="str">
        <f t="array" ref="D9">CHOOSE(INDEX('Ontology and concepts per UC'!$G$2:$I$46,MATCH($A9,'Ontology and concepts per UC'!$F$2:$F$46,0),MATCH(LEFT(D$1,3),'Ontology and concepts per UC'!$G$1:$I$1,0))+1,"NA",IF(COUNTIFS(Validation!$A:$A,D$1,Validation!$S:$S,$A9)&gt;0,"Yes","No"),IF(COUNTIFS(Validation!$A:$A,D$1,Validation!$S:$S,$A9)&gt;0,"Yes","NA"))</f>
        <v>NA</v>
      </c>
      <c r="E9" s="1" t="str">
        <f t="array" ref="E9">CHOOSE(INDEX('Ontology and concepts per UC'!$G$2:$I$46,MATCH($A9,'Ontology and concepts per UC'!$F$2:$F$46,0),MATCH(LEFT(E$1,3),'Ontology and concepts per UC'!$G$1:$I$1,0))+1,"NA",IF(COUNTIFS(Validation!$A:$A,E$1,Validation!$S:$S,$A9)&gt;0,"Yes","No"),IF(COUNTIFS(Validation!$A:$A,E$1,Validation!$S:$S,$A9)&gt;0,"Yes","NA"))</f>
        <v>NA</v>
      </c>
      <c r="F9" s="1" t="str">
        <f t="array" ref="F9">CHOOSE(INDEX('Ontology and concepts per UC'!$G$2:$I$46,MATCH($A9,'Ontology and concepts per UC'!$F$2:$F$46,0),MATCH(LEFT(F$1,3),'Ontology and concepts per UC'!$G$1:$I$1,0))+1,"NA",IF(COUNTIFS(Validation!$A:$A,F$1,Validation!$S:$S,$A9)&gt;0,"Yes","No"),IF(COUNTIFS(Validation!$A:$A,F$1,Validation!$S:$S,$A9)&gt;0,"Yes","NA"))</f>
        <v>NA</v>
      </c>
      <c r="G9" s="1" t="str">
        <f t="array" ref="G9">CHOOSE(INDEX('Ontology and concepts per UC'!$G$2:$I$46,MATCH($A9,'Ontology and concepts per UC'!$F$2:$F$46,0),MATCH(LEFT(G$1,3),'Ontology and concepts per UC'!$G$1:$I$1,0))+1,"NA",IF(COUNTIFS(Validation!$A:$A,G$1,Validation!$S:$S,$A9)&gt;0,"Yes","No"),IF(COUNTIFS(Validation!$A:$A,G$1,Validation!$S:$S,$A9)&gt;0,"Yes","NA"))</f>
        <v>NA</v>
      </c>
      <c r="H9" s="1" t="str">
        <f t="array" ref="H9">CHOOSE(INDEX('Ontology and concepts per UC'!$G$2:$I$46,MATCH($A9,'Ontology and concepts per UC'!$F$2:$F$46,0),MATCH(LEFT(H$1,3),'Ontology and concepts per UC'!$G$1:$I$1,0))+1,"NA",IF(COUNTIFS(Validation!$A:$A,H$1,Validation!$S:$S,$A9)&gt;0,"Yes","No"),IF(COUNTIFS(Validation!$A:$A,H$1,Validation!$S:$S,$A9)&gt;0,"Yes","NA"))</f>
        <v>NA</v>
      </c>
      <c r="I9" s="1" t="str">
        <f t="array" ref="I9">CHOOSE(INDEX('Ontology and concepts per UC'!$G$2:$I$46,MATCH($A9,'Ontology and concepts per UC'!$F$2:$F$46,0),MATCH(LEFT(I$1,3),'Ontology and concepts per UC'!$G$1:$I$1,0))+1,"NA",IF(COUNTIFS(Validation!$A:$A,I$1,Validation!$S:$S,$A9)&gt;0,"Yes","No"),IF(COUNTIFS(Validation!$A:$A,I$1,Validation!$S:$S,$A9)&gt;0,"Yes","NA"))</f>
        <v>NA</v>
      </c>
      <c r="J9" s="1" t="str">
        <f t="array" ref="J9">CHOOSE(INDEX('Ontology and concepts per UC'!$G$2:$I$46,MATCH($A9,'Ontology and concepts per UC'!$F$2:$F$46,0),MATCH(LEFT(J$1,3),'Ontology and concepts per UC'!$G$1:$I$1,0))+1,"NA",IF(COUNTIFS(Validation!$A:$A,J$1,Validation!$S:$S,$A9)&gt;0,"Yes","No"),IF(COUNTIFS(Validation!$A:$A,J$1,Validation!$S:$S,$A9)&gt;0,"Yes","NA"))</f>
        <v>NA</v>
      </c>
      <c r="K9" s="1" t="str">
        <f t="array" ref="K9">CHOOSE(INDEX('Ontology and concepts per UC'!$G$2:$I$46,MATCH($A9,'Ontology and concepts per UC'!$F$2:$F$46,0),MATCH(LEFT(K$1,3),'Ontology and concepts per UC'!$G$1:$I$1,0))+1,"NA",IF(COUNTIFS(Validation!$A:$A,K$1,Validation!$S:$S,$A9)&gt;0,"Yes","No"),IF(COUNTIFS(Validation!$A:$A,K$1,Validation!$S:$S,$A9)&gt;0,"Yes","NA"))</f>
        <v>NA</v>
      </c>
      <c r="L9" s="1" t="str">
        <f t="array" ref="L9">CHOOSE(INDEX('Ontology and concepts per UC'!$G$2:$I$46,MATCH($A9,'Ontology and concepts per UC'!$F$2:$F$46,0),MATCH(LEFT(L$1,3),'Ontology and concepts per UC'!$G$1:$I$1,0))+1,"NA",IF(COUNTIFS(Validation!$A:$A,L$1,Validation!$S:$S,$A9)&gt;0,"Yes","No"),IF(COUNTIFS(Validation!$A:$A,L$1,Validation!$S:$S,$A9)&gt;0,"Yes","NA"))</f>
        <v>NA</v>
      </c>
      <c r="M9" s="1" t="str">
        <f t="array" ref="M9">CHOOSE(INDEX('Ontology and concepts per UC'!$G$2:$I$46,MATCH($A9,'Ontology and concepts per UC'!$F$2:$F$46,0),MATCH(LEFT(M$1,3),'Ontology and concepts per UC'!$G$1:$I$1,0))+1,"NA",IF(COUNTIFS(Validation!$A:$A,M$1,Validation!$S:$S,$A9)&gt;0,"Yes","No"),IF(COUNTIFS(Validation!$A:$A,M$1,Validation!$S:$S,$A9)&gt;0,"Yes","NA"))</f>
        <v>NA</v>
      </c>
      <c r="N9" s="1" t="str">
        <f t="array" ref="N9">CHOOSE(INDEX('Ontology and concepts per UC'!$G$2:$I$46,MATCH($A9,'Ontology and concepts per UC'!$F$2:$F$46,0),MATCH(LEFT(N$1,3),'Ontology and concepts per UC'!$G$1:$I$1,0))+1,"NA",IF(COUNTIFS(Validation!$A:$A,N$1,Validation!$S:$S,$A9)&gt;0,"Yes","No"),IF(COUNTIFS(Validation!$A:$A,N$1,Validation!$S:$S,$A9)&gt;0,"Yes","NA"))</f>
        <v>NA</v>
      </c>
      <c r="O9" s="1" t="str">
        <f t="array" ref="O9">CHOOSE(INDEX('Ontology and concepts per UC'!$G$2:$I$46,MATCH($A9,'Ontology and concepts per UC'!$F$2:$F$46,0),MATCH(LEFT(O$1,3),'Ontology and concepts per UC'!$G$1:$I$1,0))+1,"NA",IF(COUNTIFS(Validation!$A:$A,O$1,Validation!$S:$S,$A9)&gt;0,"Yes","No"),IF(COUNTIFS(Validation!$A:$A,O$1,Validation!$S:$S,$A9)&gt;0,"Yes","NA"))</f>
        <v>NA</v>
      </c>
      <c r="P9" s="1" t="str">
        <f t="array" ref="P9">CHOOSE(INDEX('Ontology and concepts per UC'!$G$2:$I$46,MATCH($A9,'Ontology and concepts per UC'!$F$2:$F$46,0),MATCH(LEFT(P$1,3),'Ontology and concepts per UC'!$G$1:$I$1,0))+1,"NA",IF(COUNTIFS(Validation!$A:$A,P$1,Validation!$S:$S,$A9)&gt;0,"Yes","No"),IF(COUNTIFS(Validation!$A:$A,P$1,Validation!$S:$S,$A9)&gt;0,"Yes","NA"))</f>
        <v>NA</v>
      </c>
      <c r="Q9" s="1" t="str">
        <f t="array" ref="Q9">CHOOSE(INDEX('Ontology and concepts per UC'!$G$2:$I$46,MATCH($A9,'Ontology and concepts per UC'!$F$2:$F$46,0),MATCH(LEFT(Q$1,3),'Ontology and concepts per UC'!$G$1:$I$1,0))+1,"NA",IF(COUNTIFS(Validation!$A:$A,Q$1,Validation!$S:$S,$A9)&gt;0,"Yes","No"),IF(COUNTIFS(Validation!$A:$A,Q$1,Validation!$S:$S,$A9)&gt;0,"Yes","NA"))</f>
        <v>Yes</v>
      </c>
      <c r="R9" s="1" t="str">
        <f t="array" ref="R9">CHOOSE(INDEX('Ontology and concepts per UC'!$G$2:$I$46,MATCH($A9,'Ontology and concepts per UC'!$F$2:$F$46,0),MATCH(LEFT(R$1,3),'Ontology and concepts per UC'!$G$1:$I$1,0))+1,"NA",IF(COUNTIFS(Validation!$A:$A,R$1,Validation!$S:$S,$A9)&gt;0,"Yes","No"),IF(COUNTIFS(Validation!$A:$A,R$1,Validation!$S:$S,$A9)&gt;0,"Yes","NA"))</f>
        <v>NA</v>
      </c>
      <c r="S9" s="1" t="str">
        <f t="array" ref="S9">CHOOSE(INDEX('Ontology and concepts per UC'!$G$2:$I$46,MATCH($A9,'Ontology and concepts per UC'!$F$2:$F$46,0),MATCH(LEFT(S$1,3),'Ontology and concepts per UC'!$G$1:$I$1,0))+1,"NA",IF(COUNTIFS(Validation!$A:$A,S$1,Validation!$S:$S,$A9)&gt;0,"Yes","No"),IF(COUNTIFS(Validation!$A:$A,S$1,Validation!$S:$S,$A9)&gt;0,"Yes","NA"))</f>
        <v>NA</v>
      </c>
      <c r="T9" s="1" t="str">
        <f t="array" ref="T9">CHOOSE(INDEX('Ontology and concepts per UC'!$G$2:$I$46,MATCH($A9,'Ontology and concepts per UC'!$F$2:$F$46,0),MATCH(LEFT(T$1,3),'Ontology and concepts per UC'!$G$1:$I$1,0))+1,"NA",IF(COUNTIFS(Validation!$A:$A,T$1,Validation!$S:$S,$A9)&gt;0,"Yes","No"),IF(COUNTIFS(Validation!$A:$A,T$1,Validation!$S:$S,$A9)&gt;0,"Yes","NA"))</f>
        <v>NA</v>
      </c>
      <c r="U9" s="1" t="str">
        <f t="array" ref="U9">CHOOSE(INDEX('Ontology and concepts per UC'!$G$2:$I$46,MATCH($A9,'Ontology and concepts per UC'!$F$2:$F$46,0),MATCH(LEFT(U$1,3),'Ontology and concepts per UC'!$G$1:$I$1,0))+1,"NA",IF(COUNTIFS(Validation!$A:$A,U$1,Validation!$S:$S,$A9)&gt;0,"Yes","No"),IF(COUNTIFS(Validation!$A:$A,U$1,Validation!$S:$S,$A9)&gt;0,"Yes","NA"))</f>
        <v>NA</v>
      </c>
      <c r="V9" s="1" t="str">
        <f t="array" ref="V9">CHOOSE(INDEX('Ontology and concepts per UC'!$G$2:$I$46,MATCH($A9,'Ontology and concepts per UC'!$F$2:$F$46,0),MATCH(LEFT(V$1,3),'Ontology and concepts per UC'!$G$1:$I$1,0))+1,"NA",IF(COUNTIFS(Validation!$A:$A,V$1,Validation!$S:$S,$A9)&gt;0,"Yes","No"),IF(COUNTIFS(Validation!$A:$A,V$1,Validation!$S:$S,$A9)&gt;0,"Yes","NA"))</f>
        <v>NA</v>
      </c>
      <c r="W9" s="1" t="str">
        <f t="array" ref="W9">CHOOSE(INDEX('Ontology and concepts per UC'!$G$2:$I$46,MATCH($A9,'Ontology and concepts per UC'!$F$2:$F$46,0),MATCH(LEFT(W$1,3),'Ontology and concepts per UC'!$G$1:$I$1,0))+1,"NA",IF(COUNTIFS(Validation!$A:$A,W$1,Validation!$S:$S,$A9)&gt;0,"Yes","No"),IF(COUNTIFS(Validation!$A:$A,W$1,Validation!$S:$S,$A9)&gt;0,"Yes","NA"))</f>
        <v>NA</v>
      </c>
      <c r="X9" s="1" t="str">
        <f t="array" ref="X9">CHOOSE(INDEX('Ontology and concepts per UC'!$G$2:$I$46,MATCH($A9,'Ontology and concepts per UC'!$F$2:$F$46,0),MATCH(LEFT(X$1,3),'Ontology and concepts per UC'!$G$1:$I$1,0))+1,"NA",IF(COUNTIFS(Validation!$A:$A,X$1,Validation!$S:$S,$A9)&gt;0,"Yes","No"),IF(COUNTIFS(Validation!$A:$A,X$1,Validation!$S:$S,$A9)&gt;0,"Yes","NA"))</f>
        <v>NA</v>
      </c>
      <c r="Y9" s="1" t="str">
        <f t="array" ref="Y9">CHOOSE(INDEX('Ontology and concepts per UC'!$G$2:$I$46,MATCH($A9,'Ontology and concepts per UC'!$F$2:$F$46,0),MATCH(LEFT(Y$1,3),'Ontology and concepts per UC'!$G$1:$I$1,0))+1,"NA",IF(COUNTIFS(Validation!$A:$A,Y$1,Validation!$S:$S,$A9)&gt;0,"Yes","No"),IF(COUNTIFS(Validation!$A:$A,Y$1,Validation!$S:$S,$A9)&gt;0,"Yes","NA"))</f>
        <v>NA</v>
      </c>
      <c r="Z9" s="1" t="str">
        <f t="array" ref="Z9">CHOOSE(INDEX('Ontology and concepts per UC'!$G$2:$I$46,MATCH($A9,'Ontology and concepts per UC'!$F$2:$F$46,0),MATCH(LEFT(Z$1,3),'Ontology and concepts per UC'!$G$1:$I$1,0))+1,"NA",IF(COUNTIFS(Validation!$A:$A,Z$1,Validation!$S:$S,$A9)&gt;0,"Yes","No"),IF(COUNTIFS(Validation!$A:$A,Z$1,Validation!$S:$S,$A9)&gt;0,"Yes","NA"))</f>
        <v>NA</v>
      </c>
      <c r="AA9" s="1" t="str">
        <f t="array" ref="AA9">CHOOSE(INDEX('Ontology and concepts per UC'!$G$2:$I$46,MATCH($A9,'Ontology and concepts per UC'!$F$2:$F$46,0),MATCH(LEFT(AA$1,3),'Ontology and concepts per UC'!$G$1:$I$1,0))+1,"NA",IF(COUNTIFS(Validation!$A:$A,AA$1,Validation!$S:$S,$A9)&gt;0,"Yes","No"),IF(COUNTIFS(Validation!$A:$A,AA$1,Validation!$S:$S,$A9)&gt;0,"Yes","NA"))</f>
        <v>NA</v>
      </c>
      <c r="AB9" s="1" t="str">
        <f t="array" ref="AB9">CHOOSE(INDEX('Ontology and concepts per UC'!$G$2:$I$46,MATCH($A9,'Ontology and concepts per UC'!$F$2:$F$46,0),MATCH(LEFT(AB$1,3),'Ontology and concepts per UC'!$G$1:$I$1,0))+1,"NA",IF(COUNTIFS(Validation!$A:$A,AB$1,Validation!$S:$S,$A9)&gt;0,"Yes","No"),IF(COUNTIFS(Validation!$A:$A,AB$1,Validation!$S:$S,$A9)&gt;0,"Yes","NA"))</f>
        <v>NA</v>
      </c>
      <c r="AC9" s="1" t="str">
        <f t="array" ref="AC9">CHOOSE(INDEX('Ontology and concepts per UC'!$G$2:$I$46,MATCH($A9,'Ontology and concepts per UC'!$F$2:$F$46,0),MATCH(LEFT(AC$1,3),'Ontology and concepts per UC'!$G$1:$I$1,0))+1,"NA",IF(COUNTIFS(Validation!$A:$A,AC$1,Validation!$S:$S,$A9)&gt;0,"Yes","No"),IF(COUNTIFS(Validation!$A:$A,AC$1,Validation!$S:$S,$A9)&gt;0,"Yes","NA"))</f>
        <v>NA</v>
      </c>
      <c r="AD9" s="1" t="str">
        <f t="array" ref="AD9">CHOOSE(INDEX('Ontology and concepts per UC'!$G$2:$I$46,MATCH($A9,'Ontology and concepts per UC'!$F$2:$F$46,0),MATCH(LEFT(AD$1,3),'Ontology and concepts per UC'!$G$1:$I$1,0))+1,"NA",IF(COUNTIFS(Validation!$A:$A,AD$1,Validation!$S:$S,$A9)&gt;0,"Yes","No"),IF(COUNTIFS(Validation!$A:$A,AD$1,Validation!$S:$S,$A9)&gt;0,"Yes","NA"))</f>
        <v>NA</v>
      </c>
      <c r="AE9" s="1" t="str">
        <f t="array" ref="AE9">CHOOSE(INDEX('Ontology and concepts per UC'!$G$2:$I$46,MATCH($A9,'Ontology and concepts per UC'!$F$2:$F$46,0),MATCH(LEFT(AE$1,3),'Ontology and concepts per UC'!$G$1:$I$1,0))+1,"NA",IF(COUNTIFS(Validation!$A:$A,AE$1,Validation!$S:$S,$A9)&gt;0,"Yes","No"),IF(COUNTIFS(Validation!$A:$A,AE$1,Validation!$S:$S,$A9)&gt;0,"Yes","NA"))</f>
        <v>NA</v>
      </c>
    </row>
    <row r="10" spans="1:31" x14ac:dyDescent="0.25">
      <c r="A10" s="1" t="s">
        <v>16</v>
      </c>
      <c r="B10" s="1" t="str">
        <f t="array" ref="B10">CHOOSE(INDEX('Ontology and concepts per UC'!$G$2:$I$46,MATCH($A10,'Ontology and concepts per UC'!$F$2:$F$46,0),MATCH(LEFT(B$1,3),'Ontology and concepts per UC'!$G$1:$I$1,0))+1,"NA",IF(COUNTIFS(Validation!$A:$A,B$1,Validation!$S:$S,$A10)&gt;0,"Yes","No"),IF(COUNTIFS(Validation!$A:$A,B$1,Validation!$S:$S,$A10)&gt;0,"Yes","NA"))</f>
        <v>NA</v>
      </c>
      <c r="C10" s="1" t="str">
        <f t="array" ref="C10">CHOOSE(INDEX('Ontology and concepts per UC'!$G$2:$I$46,MATCH($A10,'Ontology and concepts per UC'!$F$2:$F$46,0),MATCH(LEFT(C$1,3),'Ontology and concepts per UC'!$G$1:$I$1,0))+1,"NA",IF(COUNTIFS(Validation!$A:$A,C$1,Validation!$S:$S,$A10)&gt;0,"Yes","No"),IF(COUNTIFS(Validation!$A:$A,C$1,Validation!$S:$S,$A10)&gt;0,"Yes","NA"))</f>
        <v>NA</v>
      </c>
      <c r="D10" s="1" t="str">
        <f t="array" ref="D10">CHOOSE(INDEX('Ontology and concepts per UC'!$G$2:$I$46,MATCH($A10,'Ontology and concepts per UC'!$F$2:$F$46,0),MATCH(LEFT(D$1,3),'Ontology and concepts per UC'!$G$1:$I$1,0))+1,"NA",IF(COUNTIFS(Validation!$A:$A,D$1,Validation!$S:$S,$A10)&gt;0,"Yes","No"),IF(COUNTIFS(Validation!$A:$A,D$1,Validation!$S:$S,$A10)&gt;0,"Yes","NA"))</f>
        <v>NA</v>
      </c>
      <c r="E10" s="1" t="str">
        <f t="array" ref="E10">CHOOSE(INDEX('Ontology and concepts per UC'!$G$2:$I$46,MATCH($A10,'Ontology and concepts per UC'!$F$2:$F$46,0),MATCH(LEFT(E$1,3),'Ontology and concepts per UC'!$G$1:$I$1,0))+1,"NA",IF(COUNTIFS(Validation!$A:$A,E$1,Validation!$S:$S,$A10)&gt;0,"Yes","No"),IF(COUNTIFS(Validation!$A:$A,E$1,Validation!$S:$S,$A10)&gt;0,"Yes","NA"))</f>
        <v>NA</v>
      </c>
      <c r="F10" s="1" t="str">
        <f t="array" ref="F10">CHOOSE(INDEX('Ontology and concepts per UC'!$G$2:$I$46,MATCH($A10,'Ontology and concepts per UC'!$F$2:$F$46,0),MATCH(LEFT(F$1,3),'Ontology and concepts per UC'!$G$1:$I$1,0))+1,"NA",IF(COUNTIFS(Validation!$A:$A,F$1,Validation!$S:$S,$A10)&gt;0,"Yes","No"),IF(COUNTIFS(Validation!$A:$A,F$1,Validation!$S:$S,$A10)&gt;0,"Yes","NA"))</f>
        <v>NA</v>
      </c>
      <c r="G10" s="1" t="str">
        <f t="array" ref="G10">CHOOSE(INDEX('Ontology and concepts per UC'!$G$2:$I$46,MATCH($A10,'Ontology and concepts per UC'!$F$2:$F$46,0),MATCH(LEFT(G$1,3),'Ontology and concepts per UC'!$G$1:$I$1,0))+1,"NA",IF(COUNTIFS(Validation!$A:$A,G$1,Validation!$S:$S,$A10)&gt;0,"Yes","No"),IF(COUNTIFS(Validation!$A:$A,G$1,Validation!$S:$S,$A10)&gt;0,"Yes","NA"))</f>
        <v>NA</v>
      </c>
      <c r="H10" s="1" t="str">
        <f t="array" ref="H10">CHOOSE(INDEX('Ontology and concepts per UC'!$G$2:$I$46,MATCH($A10,'Ontology and concepts per UC'!$F$2:$F$46,0),MATCH(LEFT(H$1,3),'Ontology and concepts per UC'!$G$1:$I$1,0))+1,"NA",IF(COUNTIFS(Validation!$A:$A,H$1,Validation!$S:$S,$A10)&gt;0,"Yes","No"),IF(COUNTIFS(Validation!$A:$A,H$1,Validation!$S:$S,$A10)&gt;0,"Yes","NA"))</f>
        <v>NA</v>
      </c>
      <c r="I10" s="1" t="str">
        <f t="array" ref="I10">CHOOSE(INDEX('Ontology and concepts per UC'!$G$2:$I$46,MATCH($A10,'Ontology and concepts per UC'!$F$2:$F$46,0),MATCH(LEFT(I$1,3),'Ontology and concepts per UC'!$G$1:$I$1,0))+1,"NA",IF(COUNTIFS(Validation!$A:$A,I$1,Validation!$S:$S,$A10)&gt;0,"Yes","No"),IF(COUNTIFS(Validation!$A:$A,I$1,Validation!$S:$S,$A10)&gt;0,"Yes","NA"))</f>
        <v>NA</v>
      </c>
      <c r="J10" s="1" t="str">
        <f t="array" ref="J10">CHOOSE(INDEX('Ontology and concepts per UC'!$G$2:$I$46,MATCH($A10,'Ontology and concepts per UC'!$F$2:$F$46,0),MATCH(LEFT(J$1,3),'Ontology and concepts per UC'!$G$1:$I$1,0))+1,"NA",IF(COUNTIFS(Validation!$A:$A,J$1,Validation!$S:$S,$A10)&gt;0,"Yes","No"),IF(COUNTIFS(Validation!$A:$A,J$1,Validation!$S:$S,$A10)&gt;0,"Yes","NA"))</f>
        <v>NA</v>
      </c>
      <c r="K10" s="1" t="str">
        <f t="array" ref="K10">CHOOSE(INDEX('Ontology and concepts per UC'!$G$2:$I$46,MATCH($A10,'Ontology and concepts per UC'!$F$2:$F$46,0),MATCH(LEFT(K$1,3),'Ontology and concepts per UC'!$G$1:$I$1,0))+1,"NA",IF(COUNTIFS(Validation!$A:$A,K$1,Validation!$S:$S,$A10)&gt;0,"Yes","No"),IF(COUNTIFS(Validation!$A:$A,K$1,Validation!$S:$S,$A10)&gt;0,"Yes","NA"))</f>
        <v>NA</v>
      </c>
      <c r="L10" s="1" t="str">
        <f t="array" ref="L10">CHOOSE(INDEX('Ontology and concepts per UC'!$G$2:$I$46,MATCH($A10,'Ontology and concepts per UC'!$F$2:$F$46,0),MATCH(LEFT(L$1,3),'Ontology and concepts per UC'!$G$1:$I$1,0))+1,"NA",IF(COUNTIFS(Validation!$A:$A,L$1,Validation!$S:$S,$A10)&gt;0,"Yes","No"),IF(COUNTIFS(Validation!$A:$A,L$1,Validation!$S:$S,$A10)&gt;0,"Yes","NA"))</f>
        <v>NA</v>
      </c>
      <c r="M10" s="1" t="str">
        <f t="array" ref="M10">CHOOSE(INDEX('Ontology and concepts per UC'!$G$2:$I$46,MATCH($A10,'Ontology and concepts per UC'!$F$2:$F$46,0),MATCH(LEFT(M$1,3),'Ontology and concepts per UC'!$G$1:$I$1,0))+1,"NA",IF(COUNTIFS(Validation!$A:$A,M$1,Validation!$S:$S,$A10)&gt;0,"Yes","No"),IF(COUNTIFS(Validation!$A:$A,M$1,Validation!$S:$S,$A10)&gt;0,"Yes","NA"))</f>
        <v>NA</v>
      </c>
      <c r="N10" s="1" t="str">
        <f t="array" ref="N10">CHOOSE(INDEX('Ontology and concepts per UC'!$G$2:$I$46,MATCH($A10,'Ontology and concepts per UC'!$F$2:$F$46,0),MATCH(LEFT(N$1,3),'Ontology and concepts per UC'!$G$1:$I$1,0))+1,"NA",IF(COUNTIFS(Validation!$A:$A,N$1,Validation!$S:$S,$A10)&gt;0,"Yes","No"),IF(COUNTIFS(Validation!$A:$A,N$1,Validation!$S:$S,$A10)&gt;0,"Yes","NA"))</f>
        <v>NA</v>
      </c>
      <c r="O10" s="1" t="str">
        <f t="array" ref="O10">CHOOSE(INDEX('Ontology and concepts per UC'!$G$2:$I$46,MATCH($A10,'Ontology and concepts per UC'!$F$2:$F$46,0),MATCH(LEFT(O$1,3),'Ontology and concepts per UC'!$G$1:$I$1,0))+1,"NA",IF(COUNTIFS(Validation!$A:$A,O$1,Validation!$S:$S,$A10)&gt;0,"Yes","No"),IF(COUNTIFS(Validation!$A:$A,O$1,Validation!$S:$S,$A10)&gt;0,"Yes","NA"))</f>
        <v>NA</v>
      </c>
      <c r="P10" s="1" t="str">
        <f t="array" ref="P10">CHOOSE(INDEX('Ontology and concepts per UC'!$G$2:$I$46,MATCH($A10,'Ontology and concepts per UC'!$F$2:$F$46,0),MATCH(LEFT(P$1,3),'Ontology and concepts per UC'!$G$1:$I$1,0))+1,"NA",IF(COUNTIFS(Validation!$A:$A,P$1,Validation!$S:$S,$A10)&gt;0,"Yes","No"),IF(COUNTIFS(Validation!$A:$A,P$1,Validation!$S:$S,$A10)&gt;0,"Yes","NA"))</f>
        <v>NA</v>
      </c>
      <c r="Q10" s="1" t="str">
        <f t="array" ref="Q10">CHOOSE(INDEX('Ontology and concepts per UC'!$G$2:$I$46,MATCH($A10,'Ontology and concepts per UC'!$F$2:$F$46,0),MATCH(LEFT(Q$1,3),'Ontology and concepts per UC'!$G$1:$I$1,0))+1,"NA",IF(COUNTIFS(Validation!$A:$A,Q$1,Validation!$S:$S,$A10)&gt;0,"Yes","No"),IF(COUNTIFS(Validation!$A:$A,Q$1,Validation!$S:$S,$A10)&gt;0,"Yes","NA"))</f>
        <v>Yes</v>
      </c>
      <c r="R10" s="1" t="str">
        <f t="array" ref="R10">CHOOSE(INDEX('Ontology and concepts per UC'!$G$2:$I$46,MATCH($A10,'Ontology and concepts per UC'!$F$2:$F$46,0),MATCH(LEFT(R$1,3),'Ontology and concepts per UC'!$G$1:$I$1,0))+1,"NA",IF(COUNTIFS(Validation!$A:$A,R$1,Validation!$S:$S,$A10)&gt;0,"Yes","No"),IF(COUNTIFS(Validation!$A:$A,R$1,Validation!$S:$S,$A10)&gt;0,"Yes","NA"))</f>
        <v>NA</v>
      </c>
      <c r="S10" s="1" t="str">
        <f t="array" ref="S10">CHOOSE(INDEX('Ontology and concepts per UC'!$G$2:$I$46,MATCH($A10,'Ontology and concepts per UC'!$F$2:$F$46,0),MATCH(LEFT(S$1,3),'Ontology and concepts per UC'!$G$1:$I$1,0))+1,"NA",IF(COUNTIFS(Validation!$A:$A,S$1,Validation!$S:$S,$A10)&gt;0,"Yes","No"),IF(COUNTIFS(Validation!$A:$A,S$1,Validation!$S:$S,$A10)&gt;0,"Yes","NA"))</f>
        <v>NA</v>
      </c>
      <c r="T10" s="1" t="str">
        <f t="array" ref="T10">CHOOSE(INDEX('Ontology and concepts per UC'!$G$2:$I$46,MATCH($A10,'Ontology and concepts per UC'!$F$2:$F$46,0),MATCH(LEFT(T$1,3),'Ontology and concepts per UC'!$G$1:$I$1,0))+1,"NA",IF(COUNTIFS(Validation!$A:$A,T$1,Validation!$S:$S,$A10)&gt;0,"Yes","No"),IF(COUNTIFS(Validation!$A:$A,T$1,Validation!$S:$S,$A10)&gt;0,"Yes","NA"))</f>
        <v>NA</v>
      </c>
      <c r="U10" s="1" t="str">
        <f t="array" ref="U10">CHOOSE(INDEX('Ontology and concepts per UC'!$G$2:$I$46,MATCH($A10,'Ontology and concepts per UC'!$F$2:$F$46,0),MATCH(LEFT(U$1,3),'Ontology and concepts per UC'!$G$1:$I$1,0))+1,"NA",IF(COUNTIFS(Validation!$A:$A,U$1,Validation!$S:$S,$A10)&gt;0,"Yes","No"),IF(COUNTIFS(Validation!$A:$A,U$1,Validation!$S:$S,$A10)&gt;0,"Yes","NA"))</f>
        <v>NA</v>
      </c>
      <c r="V10" s="1" t="str">
        <f t="array" ref="V10">CHOOSE(INDEX('Ontology and concepts per UC'!$G$2:$I$46,MATCH($A10,'Ontology and concepts per UC'!$F$2:$F$46,0),MATCH(LEFT(V$1,3),'Ontology and concepts per UC'!$G$1:$I$1,0))+1,"NA",IF(COUNTIFS(Validation!$A:$A,V$1,Validation!$S:$S,$A10)&gt;0,"Yes","No"),IF(COUNTIFS(Validation!$A:$A,V$1,Validation!$S:$S,$A10)&gt;0,"Yes","NA"))</f>
        <v>NA</v>
      </c>
      <c r="W10" s="1" t="str">
        <f t="array" ref="W10">CHOOSE(INDEX('Ontology and concepts per UC'!$G$2:$I$46,MATCH($A10,'Ontology and concepts per UC'!$F$2:$F$46,0),MATCH(LEFT(W$1,3),'Ontology and concepts per UC'!$G$1:$I$1,0))+1,"NA",IF(COUNTIFS(Validation!$A:$A,W$1,Validation!$S:$S,$A10)&gt;0,"Yes","No"),IF(COUNTIFS(Validation!$A:$A,W$1,Validation!$S:$S,$A10)&gt;0,"Yes","NA"))</f>
        <v>NA</v>
      </c>
      <c r="X10" s="1" t="str">
        <f t="array" ref="X10">CHOOSE(INDEX('Ontology and concepts per UC'!$G$2:$I$46,MATCH($A10,'Ontology and concepts per UC'!$F$2:$F$46,0),MATCH(LEFT(X$1,3),'Ontology and concepts per UC'!$G$1:$I$1,0))+1,"NA",IF(COUNTIFS(Validation!$A:$A,X$1,Validation!$S:$S,$A10)&gt;0,"Yes","No"),IF(COUNTIFS(Validation!$A:$A,X$1,Validation!$S:$S,$A10)&gt;0,"Yes","NA"))</f>
        <v>NA</v>
      </c>
      <c r="Y10" s="1" t="str">
        <f t="array" ref="Y10">CHOOSE(INDEX('Ontology and concepts per UC'!$G$2:$I$46,MATCH($A10,'Ontology and concepts per UC'!$F$2:$F$46,0),MATCH(LEFT(Y$1,3),'Ontology and concepts per UC'!$G$1:$I$1,0))+1,"NA",IF(COUNTIFS(Validation!$A:$A,Y$1,Validation!$S:$S,$A10)&gt;0,"Yes","No"),IF(COUNTIFS(Validation!$A:$A,Y$1,Validation!$S:$S,$A10)&gt;0,"Yes","NA"))</f>
        <v>NA</v>
      </c>
      <c r="Z10" s="1" t="str">
        <f t="array" ref="Z10">CHOOSE(INDEX('Ontology and concepts per UC'!$G$2:$I$46,MATCH($A10,'Ontology and concepts per UC'!$F$2:$F$46,0),MATCH(LEFT(Z$1,3),'Ontology and concepts per UC'!$G$1:$I$1,0))+1,"NA",IF(COUNTIFS(Validation!$A:$A,Z$1,Validation!$S:$S,$A10)&gt;0,"Yes","No"),IF(COUNTIFS(Validation!$A:$A,Z$1,Validation!$S:$S,$A10)&gt;0,"Yes","NA"))</f>
        <v>NA</v>
      </c>
      <c r="AA10" s="1" t="str">
        <f t="array" ref="AA10">CHOOSE(INDEX('Ontology and concepts per UC'!$G$2:$I$46,MATCH($A10,'Ontology and concepts per UC'!$F$2:$F$46,0),MATCH(LEFT(AA$1,3),'Ontology and concepts per UC'!$G$1:$I$1,0))+1,"NA",IF(COUNTIFS(Validation!$A:$A,AA$1,Validation!$S:$S,$A10)&gt;0,"Yes","No"),IF(COUNTIFS(Validation!$A:$A,AA$1,Validation!$S:$S,$A10)&gt;0,"Yes","NA"))</f>
        <v>NA</v>
      </c>
      <c r="AB10" s="1" t="str">
        <f t="array" ref="AB10">CHOOSE(INDEX('Ontology and concepts per UC'!$G$2:$I$46,MATCH($A10,'Ontology and concepts per UC'!$F$2:$F$46,0),MATCH(LEFT(AB$1,3),'Ontology and concepts per UC'!$G$1:$I$1,0))+1,"NA",IF(COUNTIFS(Validation!$A:$A,AB$1,Validation!$S:$S,$A10)&gt;0,"Yes","No"),IF(COUNTIFS(Validation!$A:$A,AB$1,Validation!$S:$S,$A10)&gt;0,"Yes","NA"))</f>
        <v>NA</v>
      </c>
      <c r="AC10" s="1" t="str">
        <f t="array" ref="AC10">CHOOSE(INDEX('Ontology and concepts per UC'!$G$2:$I$46,MATCH($A10,'Ontology and concepts per UC'!$F$2:$F$46,0),MATCH(LEFT(AC$1,3),'Ontology and concepts per UC'!$G$1:$I$1,0))+1,"NA",IF(COUNTIFS(Validation!$A:$A,AC$1,Validation!$S:$S,$A10)&gt;0,"Yes","No"),IF(COUNTIFS(Validation!$A:$A,AC$1,Validation!$S:$S,$A10)&gt;0,"Yes","NA"))</f>
        <v>NA</v>
      </c>
      <c r="AD10" s="1" t="str">
        <f t="array" ref="AD10">CHOOSE(INDEX('Ontology and concepts per UC'!$G$2:$I$46,MATCH($A10,'Ontology and concepts per UC'!$F$2:$F$46,0),MATCH(LEFT(AD$1,3),'Ontology and concepts per UC'!$G$1:$I$1,0))+1,"NA",IF(COUNTIFS(Validation!$A:$A,AD$1,Validation!$S:$S,$A10)&gt;0,"Yes","No"),IF(COUNTIFS(Validation!$A:$A,AD$1,Validation!$S:$S,$A10)&gt;0,"Yes","NA"))</f>
        <v>NA</v>
      </c>
      <c r="AE10" s="1" t="str">
        <f t="array" ref="AE10">CHOOSE(INDEX('Ontology and concepts per UC'!$G$2:$I$46,MATCH($A10,'Ontology and concepts per UC'!$F$2:$F$46,0),MATCH(LEFT(AE$1,3),'Ontology and concepts per UC'!$G$1:$I$1,0))+1,"NA",IF(COUNTIFS(Validation!$A:$A,AE$1,Validation!$S:$S,$A10)&gt;0,"Yes","No"),IF(COUNTIFS(Validation!$A:$A,AE$1,Validation!$S:$S,$A10)&gt;0,"Yes","NA"))</f>
        <v>NA</v>
      </c>
    </row>
    <row r="11" spans="1:31" x14ac:dyDescent="0.25">
      <c r="A11" s="1" t="s">
        <v>17</v>
      </c>
      <c r="B11" s="1" t="str">
        <f t="array" ref="B11">CHOOSE(INDEX('Ontology and concepts per UC'!$G$2:$I$46,MATCH($A11,'Ontology and concepts per UC'!$F$2:$F$46,0),MATCH(LEFT(B$1,3),'Ontology and concepts per UC'!$G$1:$I$1,0))+1,"NA",IF(COUNTIFS(Validation!$A:$A,B$1,Validation!$S:$S,$A11)&gt;0,"Yes","No"),IF(COUNTIFS(Validation!$A:$A,B$1,Validation!$S:$S,$A11)&gt;0,"Yes","NA"))</f>
        <v>NA</v>
      </c>
      <c r="C11" s="1" t="str">
        <f t="array" ref="C11">CHOOSE(INDEX('Ontology and concepts per UC'!$G$2:$I$46,MATCH($A11,'Ontology and concepts per UC'!$F$2:$F$46,0),MATCH(LEFT(C$1,3),'Ontology and concepts per UC'!$G$1:$I$1,0))+1,"NA",IF(COUNTIFS(Validation!$A:$A,C$1,Validation!$S:$S,$A11)&gt;0,"Yes","No"),IF(COUNTIFS(Validation!$A:$A,C$1,Validation!$S:$S,$A11)&gt;0,"Yes","NA"))</f>
        <v>NA</v>
      </c>
      <c r="D11" s="1" t="str">
        <f t="array" ref="D11">CHOOSE(INDEX('Ontology and concepts per UC'!$G$2:$I$46,MATCH($A11,'Ontology and concepts per UC'!$F$2:$F$46,0),MATCH(LEFT(D$1,3),'Ontology and concepts per UC'!$G$1:$I$1,0))+1,"NA",IF(COUNTIFS(Validation!$A:$A,D$1,Validation!$S:$S,$A11)&gt;0,"Yes","No"),IF(COUNTIFS(Validation!$A:$A,D$1,Validation!$S:$S,$A11)&gt;0,"Yes","NA"))</f>
        <v>NA</v>
      </c>
      <c r="E11" s="1" t="str">
        <f t="array" ref="E11">CHOOSE(INDEX('Ontology and concepts per UC'!$G$2:$I$46,MATCH($A11,'Ontology and concepts per UC'!$F$2:$F$46,0),MATCH(LEFT(E$1,3),'Ontology and concepts per UC'!$G$1:$I$1,0))+1,"NA",IF(COUNTIFS(Validation!$A:$A,E$1,Validation!$S:$S,$A11)&gt;0,"Yes","No"),IF(COUNTIFS(Validation!$A:$A,E$1,Validation!$S:$S,$A11)&gt;0,"Yes","NA"))</f>
        <v>NA</v>
      </c>
      <c r="F11" s="1" t="str">
        <f t="array" ref="F11">CHOOSE(INDEX('Ontology and concepts per UC'!$G$2:$I$46,MATCH($A11,'Ontology and concepts per UC'!$F$2:$F$46,0),MATCH(LEFT(F$1,3),'Ontology and concepts per UC'!$G$1:$I$1,0))+1,"NA",IF(COUNTIFS(Validation!$A:$A,F$1,Validation!$S:$S,$A11)&gt;0,"Yes","No"),IF(COUNTIFS(Validation!$A:$A,F$1,Validation!$S:$S,$A11)&gt;0,"Yes","NA"))</f>
        <v>Yes</v>
      </c>
      <c r="G11" s="1" t="str">
        <f t="array" ref="G11">CHOOSE(INDEX('Ontology and concepts per UC'!$G$2:$I$46,MATCH($A11,'Ontology and concepts per UC'!$F$2:$F$46,0),MATCH(LEFT(G$1,3),'Ontology and concepts per UC'!$G$1:$I$1,0))+1,"NA",IF(COUNTIFS(Validation!$A:$A,G$1,Validation!$S:$S,$A11)&gt;0,"Yes","No"),IF(COUNTIFS(Validation!$A:$A,G$1,Validation!$S:$S,$A11)&gt;0,"Yes","NA"))</f>
        <v>NA</v>
      </c>
      <c r="H11" s="1" t="str">
        <f t="array" ref="H11">CHOOSE(INDEX('Ontology and concepts per UC'!$G$2:$I$46,MATCH($A11,'Ontology and concepts per UC'!$F$2:$F$46,0),MATCH(LEFT(H$1,3),'Ontology and concepts per UC'!$G$1:$I$1,0))+1,"NA",IF(COUNTIFS(Validation!$A:$A,H$1,Validation!$S:$S,$A11)&gt;0,"Yes","No"),IF(COUNTIFS(Validation!$A:$A,H$1,Validation!$S:$S,$A11)&gt;0,"Yes","NA"))</f>
        <v>NA</v>
      </c>
      <c r="I11" s="1" t="str">
        <f t="array" ref="I11">CHOOSE(INDEX('Ontology and concepts per UC'!$G$2:$I$46,MATCH($A11,'Ontology and concepts per UC'!$F$2:$F$46,0),MATCH(LEFT(I$1,3),'Ontology and concepts per UC'!$G$1:$I$1,0))+1,"NA",IF(COUNTIFS(Validation!$A:$A,I$1,Validation!$S:$S,$A11)&gt;0,"Yes","No"),IF(COUNTIFS(Validation!$A:$A,I$1,Validation!$S:$S,$A11)&gt;0,"Yes","NA"))</f>
        <v>NA</v>
      </c>
      <c r="J11" s="1" t="str">
        <f t="array" ref="J11">CHOOSE(INDEX('Ontology and concepts per UC'!$G$2:$I$46,MATCH($A11,'Ontology and concepts per UC'!$F$2:$F$46,0),MATCH(LEFT(J$1,3),'Ontology and concepts per UC'!$G$1:$I$1,0))+1,"NA",IF(COUNTIFS(Validation!$A:$A,J$1,Validation!$S:$S,$A11)&gt;0,"Yes","No"),IF(COUNTIFS(Validation!$A:$A,J$1,Validation!$S:$S,$A11)&gt;0,"Yes","NA"))</f>
        <v>NA</v>
      </c>
      <c r="K11" s="1" t="str">
        <f t="array" ref="K11">CHOOSE(INDEX('Ontology and concepts per UC'!$G$2:$I$46,MATCH($A11,'Ontology and concepts per UC'!$F$2:$F$46,0),MATCH(LEFT(K$1,3),'Ontology and concepts per UC'!$G$1:$I$1,0))+1,"NA",IF(COUNTIFS(Validation!$A:$A,K$1,Validation!$S:$S,$A11)&gt;0,"Yes","No"),IF(COUNTIFS(Validation!$A:$A,K$1,Validation!$S:$S,$A11)&gt;0,"Yes","NA"))</f>
        <v>NA</v>
      </c>
      <c r="L11" s="1" t="str">
        <f t="array" ref="L11">CHOOSE(INDEX('Ontology and concepts per UC'!$G$2:$I$46,MATCH($A11,'Ontology and concepts per UC'!$F$2:$F$46,0),MATCH(LEFT(L$1,3),'Ontology and concepts per UC'!$G$1:$I$1,0))+1,"NA",IF(COUNTIFS(Validation!$A:$A,L$1,Validation!$S:$S,$A11)&gt;0,"Yes","No"),IF(COUNTIFS(Validation!$A:$A,L$1,Validation!$S:$S,$A11)&gt;0,"Yes","NA"))</f>
        <v>NA</v>
      </c>
      <c r="M11" s="1" t="str">
        <f t="array" ref="M11">CHOOSE(INDEX('Ontology and concepts per UC'!$G$2:$I$46,MATCH($A11,'Ontology and concepts per UC'!$F$2:$F$46,0),MATCH(LEFT(M$1,3),'Ontology and concepts per UC'!$G$1:$I$1,0))+1,"NA",IF(COUNTIFS(Validation!$A:$A,M$1,Validation!$S:$S,$A11)&gt;0,"Yes","No"),IF(COUNTIFS(Validation!$A:$A,M$1,Validation!$S:$S,$A11)&gt;0,"Yes","NA"))</f>
        <v>Yes</v>
      </c>
      <c r="N11" s="1" t="str">
        <f t="array" ref="N11">CHOOSE(INDEX('Ontology and concepts per UC'!$G$2:$I$46,MATCH($A11,'Ontology and concepts per UC'!$F$2:$F$46,0),MATCH(LEFT(N$1,3),'Ontology and concepts per UC'!$G$1:$I$1,0))+1,"NA",IF(COUNTIFS(Validation!$A:$A,N$1,Validation!$S:$S,$A11)&gt;0,"Yes","No"),IF(COUNTIFS(Validation!$A:$A,N$1,Validation!$S:$S,$A11)&gt;0,"Yes","NA"))</f>
        <v>NA</v>
      </c>
      <c r="O11" s="1" t="str">
        <f t="array" ref="O11">CHOOSE(INDEX('Ontology and concepts per UC'!$G$2:$I$46,MATCH($A11,'Ontology and concepts per UC'!$F$2:$F$46,0),MATCH(LEFT(O$1,3),'Ontology and concepts per UC'!$G$1:$I$1,0))+1,"NA",IF(COUNTIFS(Validation!$A:$A,O$1,Validation!$S:$S,$A11)&gt;0,"Yes","No"),IF(COUNTIFS(Validation!$A:$A,O$1,Validation!$S:$S,$A11)&gt;0,"Yes","NA"))</f>
        <v>NA</v>
      </c>
      <c r="P11" s="1" t="str">
        <f t="array" ref="P11">CHOOSE(INDEX('Ontology and concepts per UC'!$G$2:$I$46,MATCH($A11,'Ontology and concepts per UC'!$F$2:$F$46,0),MATCH(LEFT(P$1,3),'Ontology and concepts per UC'!$G$1:$I$1,0))+1,"NA",IF(COUNTIFS(Validation!$A:$A,P$1,Validation!$S:$S,$A11)&gt;0,"Yes","No"),IF(COUNTIFS(Validation!$A:$A,P$1,Validation!$S:$S,$A11)&gt;0,"Yes","NA"))</f>
        <v>Yes</v>
      </c>
      <c r="Q11" s="1" t="str">
        <f t="array" ref="Q11">CHOOSE(INDEX('Ontology and concepts per UC'!$G$2:$I$46,MATCH($A11,'Ontology and concepts per UC'!$F$2:$F$46,0),MATCH(LEFT(Q$1,3),'Ontology and concepts per UC'!$G$1:$I$1,0))+1,"NA",IF(COUNTIFS(Validation!$A:$A,Q$1,Validation!$S:$S,$A11)&gt;0,"Yes","No"),IF(COUNTIFS(Validation!$A:$A,Q$1,Validation!$S:$S,$A11)&gt;0,"Yes","NA"))</f>
        <v>Yes</v>
      </c>
      <c r="R11" s="1" t="str">
        <f t="array" ref="R11">CHOOSE(INDEX('Ontology and concepts per UC'!$G$2:$I$46,MATCH($A11,'Ontology and concepts per UC'!$F$2:$F$46,0),MATCH(LEFT(R$1,3),'Ontology and concepts per UC'!$G$1:$I$1,0))+1,"NA",IF(COUNTIFS(Validation!$A:$A,R$1,Validation!$S:$S,$A11)&gt;0,"Yes","No"),IF(COUNTIFS(Validation!$A:$A,R$1,Validation!$S:$S,$A11)&gt;0,"Yes","NA"))</f>
        <v>NA</v>
      </c>
      <c r="S11" s="1" t="str">
        <f t="array" ref="S11">CHOOSE(INDEX('Ontology and concepts per UC'!$G$2:$I$46,MATCH($A11,'Ontology and concepts per UC'!$F$2:$F$46,0),MATCH(LEFT(S$1,3),'Ontology and concepts per UC'!$G$1:$I$1,0))+1,"NA",IF(COUNTIFS(Validation!$A:$A,S$1,Validation!$S:$S,$A11)&gt;0,"Yes","No"),IF(COUNTIFS(Validation!$A:$A,S$1,Validation!$S:$S,$A11)&gt;0,"Yes","NA"))</f>
        <v>Yes</v>
      </c>
      <c r="T11" s="1" t="str">
        <f t="array" ref="T11">CHOOSE(INDEX('Ontology and concepts per UC'!$G$2:$I$46,MATCH($A11,'Ontology and concepts per UC'!$F$2:$F$46,0),MATCH(LEFT(T$1,3),'Ontology and concepts per UC'!$G$1:$I$1,0))+1,"NA",IF(COUNTIFS(Validation!$A:$A,T$1,Validation!$S:$S,$A11)&gt;0,"Yes","No"),IF(COUNTIFS(Validation!$A:$A,T$1,Validation!$S:$S,$A11)&gt;0,"Yes","NA"))</f>
        <v>NA</v>
      </c>
      <c r="U11" s="1" t="str">
        <f t="array" ref="U11">CHOOSE(INDEX('Ontology and concepts per UC'!$G$2:$I$46,MATCH($A11,'Ontology and concepts per UC'!$F$2:$F$46,0),MATCH(LEFT(U$1,3),'Ontology and concepts per UC'!$G$1:$I$1,0))+1,"NA",IF(COUNTIFS(Validation!$A:$A,U$1,Validation!$S:$S,$A11)&gt;0,"Yes","No"),IF(COUNTIFS(Validation!$A:$A,U$1,Validation!$S:$S,$A11)&gt;0,"Yes","NA"))</f>
        <v>NA</v>
      </c>
      <c r="V11" s="1" t="str">
        <f t="array" ref="V11">CHOOSE(INDEX('Ontology and concepts per UC'!$G$2:$I$46,MATCH($A11,'Ontology and concepts per UC'!$F$2:$F$46,0),MATCH(LEFT(V$1,3),'Ontology and concepts per UC'!$G$1:$I$1,0))+1,"NA",IF(COUNTIFS(Validation!$A:$A,V$1,Validation!$S:$S,$A11)&gt;0,"Yes","No"),IF(COUNTIFS(Validation!$A:$A,V$1,Validation!$S:$S,$A11)&gt;0,"Yes","NA"))</f>
        <v>NA</v>
      </c>
      <c r="W11" s="1" t="str">
        <f t="array" ref="W11">CHOOSE(INDEX('Ontology and concepts per UC'!$G$2:$I$46,MATCH($A11,'Ontology and concepts per UC'!$F$2:$F$46,0),MATCH(LEFT(W$1,3),'Ontology and concepts per UC'!$G$1:$I$1,0))+1,"NA",IF(COUNTIFS(Validation!$A:$A,W$1,Validation!$S:$S,$A11)&gt;0,"Yes","No"),IF(COUNTIFS(Validation!$A:$A,W$1,Validation!$S:$S,$A11)&gt;0,"Yes","NA"))</f>
        <v>NA</v>
      </c>
      <c r="X11" s="1" t="str">
        <f t="array" ref="X11">CHOOSE(INDEX('Ontology and concepts per UC'!$G$2:$I$46,MATCH($A11,'Ontology and concepts per UC'!$F$2:$F$46,0),MATCH(LEFT(X$1,3),'Ontology and concepts per UC'!$G$1:$I$1,0))+1,"NA",IF(COUNTIFS(Validation!$A:$A,X$1,Validation!$S:$S,$A11)&gt;0,"Yes","No"),IF(COUNTIFS(Validation!$A:$A,X$1,Validation!$S:$S,$A11)&gt;0,"Yes","NA"))</f>
        <v>NA</v>
      </c>
      <c r="Y11" s="1" t="str">
        <f t="array" ref="Y11">CHOOSE(INDEX('Ontology and concepts per UC'!$G$2:$I$46,MATCH($A11,'Ontology and concepts per UC'!$F$2:$F$46,0),MATCH(LEFT(Y$1,3),'Ontology and concepts per UC'!$G$1:$I$1,0))+1,"NA",IF(COUNTIFS(Validation!$A:$A,Y$1,Validation!$S:$S,$A11)&gt;0,"Yes","No"),IF(COUNTIFS(Validation!$A:$A,Y$1,Validation!$S:$S,$A11)&gt;0,"Yes","NA"))</f>
        <v>NA</v>
      </c>
      <c r="Z11" s="1" t="str">
        <f t="array" ref="Z11">CHOOSE(INDEX('Ontology and concepts per UC'!$G$2:$I$46,MATCH($A11,'Ontology and concepts per UC'!$F$2:$F$46,0),MATCH(LEFT(Z$1,3),'Ontology and concepts per UC'!$G$1:$I$1,0))+1,"NA",IF(COUNTIFS(Validation!$A:$A,Z$1,Validation!$S:$S,$A11)&gt;0,"Yes","No"),IF(COUNTIFS(Validation!$A:$A,Z$1,Validation!$S:$S,$A11)&gt;0,"Yes","NA"))</f>
        <v>NA</v>
      </c>
      <c r="AA11" s="1" t="str">
        <f t="array" ref="AA11">CHOOSE(INDEX('Ontology and concepts per UC'!$G$2:$I$46,MATCH($A11,'Ontology and concepts per UC'!$F$2:$F$46,0),MATCH(LEFT(AA$1,3),'Ontology and concepts per UC'!$G$1:$I$1,0))+1,"NA",IF(COUNTIFS(Validation!$A:$A,AA$1,Validation!$S:$S,$A11)&gt;0,"Yes","No"),IF(COUNTIFS(Validation!$A:$A,AA$1,Validation!$S:$S,$A11)&gt;0,"Yes","NA"))</f>
        <v>NA</v>
      </c>
      <c r="AB11" s="1" t="str">
        <f t="array" ref="AB11">CHOOSE(INDEX('Ontology and concepts per UC'!$G$2:$I$46,MATCH($A11,'Ontology and concepts per UC'!$F$2:$F$46,0),MATCH(LEFT(AB$1,3),'Ontology and concepts per UC'!$G$1:$I$1,0))+1,"NA",IF(COUNTIFS(Validation!$A:$A,AB$1,Validation!$S:$S,$A11)&gt;0,"Yes","No"),IF(COUNTIFS(Validation!$A:$A,AB$1,Validation!$S:$S,$A11)&gt;0,"Yes","NA"))</f>
        <v>NA</v>
      </c>
      <c r="AC11" s="1" t="str">
        <f t="array" ref="AC11">CHOOSE(INDEX('Ontology and concepts per UC'!$G$2:$I$46,MATCH($A11,'Ontology and concepts per UC'!$F$2:$F$46,0),MATCH(LEFT(AC$1,3),'Ontology and concepts per UC'!$G$1:$I$1,0))+1,"NA",IF(COUNTIFS(Validation!$A:$A,AC$1,Validation!$S:$S,$A11)&gt;0,"Yes","No"),IF(COUNTIFS(Validation!$A:$A,AC$1,Validation!$S:$S,$A11)&gt;0,"Yes","NA"))</f>
        <v>NA</v>
      </c>
      <c r="AD11" s="1" t="str">
        <f t="array" ref="AD11">CHOOSE(INDEX('Ontology and concepts per UC'!$G$2:$I$46,MATCH($A11,'Ontology and concepts per UC'!$F$2:$F$46,0),MATCH(LEFT(AD$1,3),'Ontology and concepts per UC'!$G$1:$I$1,0))+1,"NA",IF(COUNTIFS(Validation!$A:$A,AD$1,Validation!$S:$S,$A11)&gt;0,"Yes","No"),IF(COUNTIFS(Validation!$A:$A,AD$1,Validation!$S:$S,$A11)&gt;0,"Yes","NA"))</f>
        <v>Yes</v>
      </c>
      <c r="AE11" s="1" t="str">
        <f t="array" ref="AE11">CHOOSE(INDEX('Ontology and concepts per UC'!$G$2:$I$46,MATCH($A11,'Ontology and concepts per UC'!$F$2:$F$46,0),MATCH(LEFT(AE$1,3),'Ontology and concepts per UC'!$G$1:$I$1,0))+1,"NA",IF(COUNTIFS(Validation!$A:$A,AE$1,Validation!$S:$S,$A11)&gt;0,"Yes","No"),IF(COUNTIFS(Validation!$A:$A,AE$1,Validation!$S:$S,$A11)&gt;0,"Yes","NA"))</f>
        <v>NA</v>
      </c>
    </row>
    <row r="12" spans="1:31" x14ac:dyDescent="0.25">
      <c r="A12" s="1" t="s">
        <v>20</v>
      </c>
      <c r="B12" s="1" t="str">
        <f t="array" ref="B12">CHOOSE(INDEX('Ontology and concepts per UC'!$G$2:$I$46,MATCH($A12,'Ontology and concepts per UC'!$F$2:$F$46,0),MATCH(LEFT(B$1,3),'Ontology and concepts per UC'!$G$1:$I$1,0))+1,"NA",IF(COUNTIFS(Validation!$A:$A,B$1,Validation!$S:$S,$A12)&gt;0,"Yes","No"),IF(COUNTIFS(Validation!$A:$A,B$1,Validation!$S:$S,$A12)&gt;0,"Yes","NA"))</f>
        <v>Yes</v>
      </c>
      <c r="C12" s="1" t="str">
        <f t="array" ref="C12">CHOOSE(INDEX('Ontology and concepts per UC'!$G$2:$I$46,MATCH($A12,'Ontology and concepts per UC'!$F$2:$F$46,0),MATCH(LEFT(C$1,3),'Ontology and concepts per UC'!$G$1:$I$1,0))+1,"NA",IF(COUNTIFS(Validation!$A:$A,C$1,Validation!$S:$S,$A12)&gt;0,"Yes","No"),IF(COUNTIFS(Validation!$A:$A,C$1,Validation!$S:$S,$A12)&gt;0,"Yes","NA"))</f>
        <v>No</v>
      </c>
      <c r="D12" s="1" t="str">
        <f t="array" ref="D12">CHOOSE(INDEX('Ontology and concepts per UC'!$G$2:$I$46,MATCH($A12,'Ontology and concepts per UC'!$F$2:$F$46,0),MATCH(LEFT(D$1,3),'Ontology and concepts per UC'!$G$1:$I$1,0))+1,"NA",IF(COUNTIFS(Validation!$A:$A,D$1,Validation!$S:$S,$A12)&gt;0,"Yes","No"),IF(COUNTIFS(Validation!$A:$A,D$1,Validation!$S:$S,$A12)&gt;0,"Yes","NA"))</f>
        <v>Yes</v>
      </c>
      <c r="E12" s="1" t="str">
        <f t="array" ref="E12">CHOOSE(INDEX('Ontology and concepts per UC'!$G$2:$I$46,MATCH($A12,'Ontology and concepts per UC'!$F$2:$F$46,0),MATCH(LEFT(E$1,3),'Ontology and concepts per UC'!$G$1:$I$1,0))+1,"NA",IF(COUNTIFS(Validation!$A:$A,E$1,Validation!$S:$S,$A12)&gt;0,"Yes","No"),IF(COUNTIFS(Validation!$A:$A,E$1,Validation!$S:$S,$A12)&gt;0,"Yes","NA"))</f>
        <v>Yes</v>
      </c>
      <c r="F12" s="1" t="str">
        <f t="array" ref="F12">CHOOSE(INDEX('Ontology and concepts per UC'!$G$2:$I$46,MATCH($A12,'Ontology and concepts per UC'!$F$2:$F$46,0),MATCH(LEFT(F$1,3),'Ontology and concepts per UC'!$G$1:$I$1,0))+1,"NA",IF(COUNTIFS(Validation!$A:$A,F$1,Validation!$S:$S,$A12)&gt;0,"Yes","No"),IF(COUNTIFS(Validation!$A:$A,F$1,Validation!$S:$S,$A12)&gt;0,"Yes","NA"))</f>
        <v>No</v>
      </c>
      <c r="G12" s="1" t="str">
        <f t="array" ref="G12">CHOOSE(INDEX('Ontology and concepts per UC'!$G$2:$I$46,MATCH($A12,'Ontology and concepts per UC'!$F$2:$F$46,0),MATCH(LEFT(G$1,3),'Ontology and concepts per UC'!$G$1:$I$1,0))+1,"NA",IF(COUNTIFS(Validation!$A:$A,G$1,Validation!$S:$S,$A12)&gt;0,"Yes","No"),IF(COUNTIFS(Validation!$A:$A,G$1,Validation!$S:$S,$A12)&gt;0,"Yes","NA"))</f>
        <v>No</v>
      </c>
      <c r="H12" s="1" t="str">
        <f t="array" ref="H12">CHOOSE(INDEX('Ontology and concepts per UC'!$G$2:$I$46,MATCH($A12,'Ontology and concepts per UC'!$F$2:$F$46,0),MATCH(LEFT(H$1,3),'Ontology and concepts per UC'!$G$1:$I$1,0))+1,"NA",IF(COUNTIFS(Validation!$A:$A,H$1,Validation!$S:$S,$A12)&gt;0,"Yes","No"),IF(COUNTIFS(Validation!$A:$A,H$1,Validation!$S:$S,$A12)&gt;0,"Yes","NA"))</f>
        <v>NA</v>
      </c>
      <c r="I12" s="1" t="str">
        <f t="array" ref="I12">CHOOSE(INDEX('Ontology and concepts per UC'!$G$2:$I$46,MATCH($A12,'Ontology and concepts per UC'!$F$2:$F$46,0),MATCH(LEFT(I$1,3),'Ontology and concepts per UC'!$G$1:$I$1,0))+1,"NA",IF(COUNTIFS(Validation!$A:$A,I$1,Validation!$S:$S,$A12)&gt;0,"Yes","No"),IF(COUNTIFS(Validation!$A:$A,I$1,Validation!$S:$S,$A12)&gt;0,"Yes","NA"))</f>
        <v>NA</v>
      </c>
      <c r="J12" s="1" t="str">
        <f t="array" ref="J12">CHOOSE(INDEX('Ontology and concepts per UC'!$G$2:$I$46,MATCH($A12,'Ontology and concepts per UC'!$F$2:$F$46,0),MATCH(LEFT(J$1,3),'Ontology and concepts per UC'!$G$1:$I$1,0))+1,"NA",IF(COUNTIFS(Validation!$A:$A,J$1,Validation!$S:$S,$A12)&gt;0,"Yes","No"),IF(COUNTIFS(Validation!$A:$A,J$1,Validation!$S:$S,$A12)&gt;0,"Yes","NA"))</f>
        <v>NA</v>
      </c>
      <c r="K12" s="1" t="str">
        <f t="array" ref="K12">CHOOSE(INDEX('Ontology and concepts per UC'!$G$2:$I$46,MATCH($A12,'Ontology and concepts per UC'!$F$2:$F$46,0),MATCH(LEFT(K$1,3),'Ontology and concepts per UC'!$G$1:$I$1,0))+1,"NA",IF(COUNTIFS(Validation!$A:$A,K$1,Validation!$S:$S,$A12)&gt;0,"Yes","No"),IF(COUNTIFS(Validation!$A:$A,K$1,Validation!$S:$S,$A12)&gt;0,"Yes","NA"))</f>
        <v>NA</v>
      </c>
      <c r="L12" s="1" t="str">
        <f t="array" ref="L12">CHOOSE(INDEX('Ontology and concepts per UC'!$G$2:$I$46,MATCH($A12,'Ontology and concepts per UC'!$F$2:$F$46,0),MATCH(LEFT(L$1,3),'Ontology and concepts per UC'!$G$1:$I$1,0))+1,"NA",IF(COUNTIFS(Validation!$A:$A,L$1,Validation!$S:$S,$A12)&gt;0,"Yes","No"),IF(COUNTIFS(Validation!$A:$A,L$1,Validation!$S:$S,$A12)&gt;0,"Yes","NA"))</f>
        <v>No</v>
      </c>
      <c r="M12" s="1" t="str">
        <f t="array" ref="M12">CHOOSE(INDEX('Ontology and concepts per UC'!$G$2:$I$46,MATCH($A12,'Ontology and concepts per UC'!$F$2:$F$46,0),MATCH(LEFT(M$1,3),'Ontology and concepts per UC'!$G$1:$I$1,0))+1,"NA",IF(COUNTIFS(Validation!$A:$A,M$1,Validation!$S:$S,$A12)&gt;0,"Yes","No"),IF(COUNTIFS(Validation!$A:$A,M$1,Validation!$S:$S,$A12)&gt;0,"Yes","NA"))</f>
        <v>Yes</v>
      </c>
      <c r="N12" s="1" t="str">
        <f t="array" ref="N12">CHOOSE(INDEX('Ontology and concepts per UC'!$G$2:$I$46,MATCH($A12,'Ontology and concepts per UC'!$F$2:$F$46,0),MATCH(LEFT(N$1,3),'Ontology and concepts per UC'!$G$1:$I$1,0))+1,"NA",IF(COUNTIFS(Validation!$A:$A,N$1,Validation!$S:$S,$A12)&gt;0,"Yes","No"),IF(COUNTIFS(Validation!$A:$A,N$1,Validation!$S:$S,$A12)&gt;0,"Yes","NA"))</f>
        <v>Yes</v>
      </c>
      <c r="O12" s="1" t="str">
        <f t="array" ref="O12">CHOOSE(INDEX('Ontology and concepts per UC'!$G$2:$I$46,MATCH($A12,'Ontology and concepts per UC'!$F$2:$F$46,0),MATCH(LEFT(O$1,3),'Ontology and concepts per UC'!$G$1:$I$1,0))+1,"NA",IF(COUNTIFS(Validation!$A:$A,O$1,Validation!$S:$S,$A12)&gt;0,"Yes","No"),IF(COUNTIFS(Validation!$A:$A,O$1,Validation!$S:$S,$A12)&gt;0,"Yes","NA"))</f>
        <v>No</v>
      </c>
      <c r="P12" s="1" t="str">
        <f t="array" ref="P12">CHOOSE(INDEX('Ontology and concepts per UC'!$G$2:$I$46,MATCH($A12,'Ontology and concepts per UC'!$F$2:$F$46,0),MATCH(LEFT(P$1,3),'Ontology and concepts per UC'!$G$1:$I$1,0))+1,"NA",IF(COUNTIFS(Validation!$A:$A,P$1,Validation!$S:$S,$A12)&gt;0,"Yes","No"),IF(COUNTIFS(Validation!$A:$A,P$1,Validation!$S:$S,$A12)&gt;0,"Yes","NA"))</f>
        <v>No</v>
      </c>
      <c r="Q12" s="1" t="str">
        <f t="array" ref="Q12">CHOOSE(INDEX('Ontology and concepts per UC'!$G$2:$I$46,MATCH($A12,'Ontology and concepts per UC'!$F$2:$F$46,0),MATCH(LEFT(Q$1,3),'Ontology and concepts per UC'!$G$1:$I$1,0))+1,"NA",IF(COUNTIFS(Validation!$A:$A,Q$1,Validation!$S:$S,$A12)&gt;0,"Yes","No"),IF(COUNTIFS(Validation!$A:$A,Q$1,Validation!$S:$S,$A12)&gt;0,"Yes","NA"))</f>
        <v>Yes</v>
      </c>
      <c r="R12" s="1" t="str">
        <f t="array" ref="R12">CHOOSE(INDEX('Ontology and concepts per UC'!$G$2:$I$46,MATCH($A12,'Ontology and concepts per UC'!$F$2:$F$46,0),MATCH(LEFT(R$1,3),'Ontology and concepts per UC'!$G$1:$I$1,0))+1,"NA",IF(COUNTIFS(Validation!$A:$A,R$1,Validation!$S:$S,$A12)&gt;0,"Yes","No"),IF(COUNTIFS(Validation!$A:$A,R$1,Validation!$S:$S,$A12)&gt;0,"Yes","NA"))</f>
        <v>No</v>
      </c>
      <c r="S12" s="1" t="str">
        <f t="array" ref="S12">CHOOSE(INDEX('Ontology and concepts per UC'!$G$2:$I$46,MATCH($A12,'Ontology and concepts per UC'!$F$2:$F$46,0),MATCH(LEFT(S$1,3),'Ontology and concepts per UC'!$G$1:$I$1,0))+1,"NA",IF(COUNTIFS(Validation!$A:$A,S$1,Validation!$S:$S,$A12)&gt;0,"Yes","No"),IF(COUNTIFS(Validation!$A:$A,S$1,Validation!$S:$S,$A12)&gt;0,"Yes","NA"))</f>
        <v>Yes</v>
      </c>
      <c r="T12" s="1" t="str">
        <f t="array" ref="T12">CHOOSE(INDEX('Ontology and concepts per UC'!$G$2:$I$46,MATCH($A12,'Ontology and concepts per UC'!$F$2:$F$46,0),MATCH(LEFT(T$1,3),'Ontology and concepts per UC'!$G$1:$I$1,0))+1,"NA",IF(COUNTIFS(Validation!$A:$A,T$1,Validation!$S:$S,$A12)&gt;0,"Yes","No"),IF(COUNTIFS(Validation!$A:$A,T$1,Validation!$S:$S,$A12)&gt;0,"Yes","NA"))</f>
        <v>Yes</v>
      </c>
      <c r="U12" s="1" t="str">
        <f t="array" ref="U12">CHOOSE(INDEX('Ontology and concepts per UC'!$G$2:$I$46,MATCH($A12,'Ontology and concepts per UC'!$F$2:$F$46,0),MATCH(LEFT(U$1,3),'Ontology and concepts per UC'!$G$1:$I$1,0))+1,"NA",IF(COUNTIFS(Validation!$A:$A,U$1,Validation!$S:$S,$A12)&gt;0,"Yes","No"),IF(COUNTIFS(Validation!$A:$A,U$1,Validation!$S:$S,$A12)&gt;0,"Yes","NA"))</f>
        <v>No</v>
      </c>
      <c r="V12" s="1" t="str">
        <f t="array" ref="V12">CHOOSE(INDEX('Ontology and concepts per UC'!$G$2:$I$46,MATCH($A12,'Ontology and concepts per UC'!$F$2:$F$46,0),MATCH(LEFT(V$1,3),'Ontology and concepts per UC'!$G$1:$I$1,0))+1,"NA",IF(COUNTIFS(Validation!$A:$A,V$1,Validation!$S:$S,$A12)&gt;0,"Yes","No"),IF(COUNTIFS(Validation!$A:$A,V$1,Validation!$S:$S,$A12)&gt;0,"Yes","NA"))</f>
        <v>Yes</v>
      </c>
      <c r="W12" s="1" t="str">
        <f t="array" ref="W12">CHOOSE(INDEX('Ontology and concepts per UC'!$G$2:$I$46,MATCH($A12,'Ontology and concepts per UC'!$F$2:$F$46,0),MATCH(LEFT(W$1,3),'Ontology and concepts per UC'!$G$1:$I$1,0))+1,"NA",IF(COUNTIFS(Validation!$A:$A,W$1,Validation!$S:$S,$A12)&gt;0,"Yes","No"),IF(COUNTIFS(Validation!$A:$A,W$1,Validation!$S:$S,$A12)&gt;0,"Yes","NA"))</f>
        <v>No</v>
      </c>
      <c r="X12" s="1" t="str">
        <f t="array" ref="X12">CHOOSE(INDEX('Ontology and concepts per UC'!$G$2:$I$46,MATCH($A12,'Ontology and concepts per UC'!$F$2:$F$46,0),MATCH(LEFT(X$1,3),'Ontology and concepts per UC'!$G$1:$I$1,0))+1,"NA",IF(COUNTIFS(Validation!$A:$A,X$1,Validation!$S:$S,$A12)&gt;0,"Yes","No"),IF(COUNTIFS(Validation!$A:$A,X$1,Validation!$S:$S,$A12)&gt;0,"Yes","NA"))</f>
        <v>NA</v>
      </c>
      <c r="Y12" s="1" t="str">
        <f t="array" ref="Y12">CHOOSE(INDEX('Ontology and concepts per UC'!$G$2:$I$46,MATCH($A12,'Ontology and concepts per UC'!$F$2:$F$46,0),MATCH(LEFT(Y$1,3),'Ontology and concepts per UC'!$G$1:$I$1,0))+1,"NA",IF(COUNTIFS(Validation!$A:$A,Y$1,Validation!$S:$S,$A12)&gt;0,"Yes","No"),IF(COUNTIFS(Validation!$A:$A,Y$1,Validation!$S:$S,$A12)&gt;0,"Yes","NA"))</f>
        <v>NA</v>
      </c>
      <c r="Z12" s="1" t="str">
        <f t="array" ref="Z12">CHOOSE(INDEX('Ontology and concepts per UC'!$G$2:$I$46,MATCH($A12,'Ontology and concepts per UC'!$F$2:$F$46,0),MATCH(LEFT(Z$1,3),'Ontology and concepts per UC'!$G$1:$I$1,0))+1,"NA",IF(COUNTIFS(Validation!$A:$A,Z$1,Validation!$S:$S,$A12)&gt;0,"Yes","No"),IF(COUNTIFS(Validation!$A:$A,Z$1,Validation!$S:$S,$A12)&gt;0,"Yes","NA"))</f>
        <v>NA</v>
      </c>
      <c r="AA12" s="1" t="str">
        <f t="array" ref="AA12">CHOOSE(INDEX('Ontology and concepts per UC'!$G$2:$I$46,MATCH($A12,'Ontology and concepts per UC'!$F$2:$F$46,0),MATCH(LEFT(AA$1,3),'Ontology and concepts per UC'!$G$1:$I$1,0))+1,"NA",IF(COUNTIFS(Validation!$A:$A,AA$1,Validation!$S:$S,$A12)&gt;0,"Yes","No"),IF(COUNTIFS(Validation!$A:$A,AA$1,Validation!$S:$S,$A12)&gt;0,"Yes","NA"))</f>
        <v>NA</v>
      </c>
      <c r="AB12" s="1" t="str">
        <f t="array" ref="AB12">CHOOSE(INDEX('Ontology and concepts per UC'!$G$2:$I$46,MATCH($A12,'Ontology and concepts per UC'!$F$2:$F$46,0),MATCH(LEFT(AB$1,3),'Ontology and concepts per UC'!$G$1:$I$1,0))+1,"NA",IF(COUNTIFS(Validation!$A:$A,AB$1,Validation!$S:$S,$A12)&gt;0,"Yes","No"),IF(COUNTIFS(Validation!$A:$A,AB$1,Validation!$S:$S,$A12)&gt;0,"Yes","NA"))</f>
        <v>No</v>
      </c>
      <c r="AC12" s="1" t="str">
        <f t="array" ref="AC12">CHOOSE(INDEX('Ontology and concepts per UC'!$G$2:$I$46,MATCH($A12,'Ontology and concepts per UC'!$F$2:$F$46,0),MATCH(LEFT(AC$1,3),'Ontology and concepts per UC'!$G$1:$I$1,0))+1,"NA",IF(COUNTIFS(Validation!$A:$A,AC$1,Validation!$S:$S,$A12)&gt;0,"Yes","No"),IF(COUNTIFS(Validation!$A:$A,AC$1,Validation!$S:$S,$A12)&gt;0,"Yes","NA"))</f>
        <v>No</v>
      </c>
      <c r="AD12" s="1" t="str">
        <f t="array" ref="AD12">CHOOSE(INDEX('Ontology and concepts per UC'!$G$2:$I$46,MATCH($A12,'Ontology and concepts per UC'!$F$2:$F$46,0),MATCH(LEFT(AD$1,3),'Ontology and concepts per UC'!$G$1:$I$1,0))+1,"NA",IF(COUNTIFS(Validation!$A:$A,AD$1,Validation!$S:$S,$A12)&gt;0,"Yes","No"),IF(COUNTIFS(Validation!$A:$A,AD$1,Validation!$S:$S,$A12)&gt;0,"Yes","NA"))</f>
        <v>Yes</v>
      </c>
      <c r="AE12" s="1" t="str">
        <f t="array" ref="AE12">CHOOSE(INDEX('Ontology and concepts per UC'!$G$2:$I$46,MATCH($A12,'Ontology and concepts per UC'!$F$2:$F$46,0),MATCH(LEFT(AE$1,3),'Ontology and concepts per UC'!$G$1:$I$1,0))+1,"NA",IF(COUNTIFS(Validation!$A:$A,AE$1,Validation!$S:$S,$A12)&gt;0,"Yes","No"),IF(COUNTIFS(Validation!$A:$A,AE$1,Validation!$S:$S,$A12)&gt;0,"Yes","NA"))</f>
        <v>Yes</v>
      </c>
    </row>
    <row r="13" spans="1:31" x14ac:dyDescent="0.25">
      <c r="A13" s="1" t="s">
        <v>22</v>
      </c>
      <c r="B13" s="1" t="str">
        <f t="array" ref="B13">CHOOSE(INDEX('Ontology and concepts per UC'!$G$2:$I$46,MATCH($A13,'Ontology and concepts per UC'!$F$2:$F$46,0),MATCH(LEFT(B$1,3),'Ontology and concepts per UC'!$G$1:$I$1,0))+1,"NA",IF(COUNTIFS(Validation!$A:$A,B$1,Validation!$S:$S,$A13)&gt;0,"Yes","No"),IF(COUNTIFS(Validation!$A:$A,B$1,Validation!$S:$S,$A13)&gt;0,"Yes","NA"))</f>
        <v>Yes</v>
      </c>
      <c r="C13" s="1" t="str">
        <f t="array" ref="C13">CHOOSE(INDEX('Ontology and concepts per UC'!$G$2:$I$46,MATCH($A13,'Ontology and concepts per UC'!$F$2:$F$46,0),MATCH(LEFT(C$1,3),'Ontology and concepts per UC'!$G$1:$I$1,0))+1,"NA",IF(COUNTIFS(Validation!$A:$A,C$1,Validation!$S:$S,$A13)&gt;0,"Yes","No"),IF(COUNTIFS(Validation!$A:$A,C$1,Validation!$S:$S,$A13)&gt;0,"Yes","NA"))</f>
        <v>Yes</v>
      </c>
      <c r="D13" s="1" t="str">
        <f t="array" ref="D13">CHOOSE(INDEX('Ontology and concepts per UC'!$G$2:$I$46,MATCH($A13,'Ontology and concepts per UC'!$F$2:$F$46,0),MATCH(LEFT(D$1,3),'Ontology and concepts per UC'!$G$1:$I$1,0))+1,"NA",IF(COUNTIFS(Validation!$A:$A,D$1,Validation!$S:$S,$A13)&gt;0,"Yes","No"),IF(COUNTIFS(Validation!$A:$A,D$1,Validation!$S:$S,$A13)&gt;0,"Yes","NA"))</f>
        <v>No</v>
      </c>
      <c r="E13" s="1" t="str">
        <f t="array" ref="E13">CHOOSE(INDEX('Ontology and concepts per UC'!$G$2:$I$46,MATCH($A13,'Ontology and concepts per UC'!$F$2:$F$46,0),MATCH(LEFT(E$1,3),'Ontology and concepts per UC'!$G$1:$I$1,0))+1,"NA",IF(COUNTIFS(Validation!$A:$A,E$1,Validation!$S:$S,$A13)&gt;0,"Yes","No"),IF(COUNTIFS(Validation!$A:$A,E$1,Validation!$S:$S,$A13)&gt;0,"Yes","NA"))</f>
        <v>Yes</v>
      </c>
      <c r="F13" s="1" t="str">
        <f t="array" ref="F13">CHOOSE(INDEX('Ontology and concepts per UC'!$G$2:$I$46,MATCH($A13,'Ontology and concepts per UC'!$F$2:$F$46,0),MATCH(LEFT(F$1,3),'Ontology and concepts per UC'!$G$1:$I$1,0))+1,"NA",IF(COUNTIFS(Validation!$A:$A,F$1,Validation!$S:$S,$A13)&gt;0,"Yes","No"),IF(COUNTIFS(Validation!$A:$A,F$1,Validation!$S:$S,$A13)&gt;0,"Yes","NA"))</f>
        <v>No</v>
      </c>
      <c r="G13" s="1" t="str">
        <f t="array" ref="G13">CHOOSE(INDEX('Ontology and concepts per UC'!$G$2:$I$46,MATCH($A13,'Ontology and concepts per UC'!$F$2:$F$46,0),MATCH(LEFT(G$1,3),'Ontology and concepts per UC'!$G$1:$I$1,0))+1,"NA",IF(COUNTIFS(Validation!$A:$A,G$1,Validation!$S:$S,$A13)&gt;0,"Yes","No"),IF(COUNTIFS(Validation!$A:$A,G$1,Validation!$S:$S,$A13)&gt;0,"Yes","NA"))</f>
        <v>Yes</v>
      </c>
      <c r="H13" s="1" t="str">
        <f t="array" ref="H13">CHOOSE(INDEX('Ontology and concepts per UC'!$G$2:$I$46,MATCH($A13,'Ontology and concepts per UC'!$F$2:$F$46,0),MATCH(LEFT(H$1,3),'Ontology and concepts per UC'!$G$1:$I$1,0))+1,"NA",IF(COUNTIFS(Validation!$A:$A,H$1,Validation!$S:$S,$A13)&gt;0,"Yes","No"),IF(COUNTIFS(Validation!$A:$A,H$1,Validation!$S:$S,$A13)&gt;0,"Yes","NA"))</f>
        <v>NA</v>
      </c>
      <c r="I13" s="1" t="str">
        <f t="array" ref="I13">CHOOSE(INDEX('Ontology and concepts per UC'!$G$2:$I$46,MATCH($A13,'Ontology and concepts per UC'!$F$2:$F$46,0),MATCH(LEFT(I$1,3),'Ontology and concepts per UC'!$G$1:$I$1,0))+1,"NA",IF(COUNTIFS(Validation!$A:$A,I$1,Validation!$S:$S,$A13)&gt;0,"Yes","No"),IF(COUNTIFS(Validation!$A:$A,I$1,Validation!$S:$S,$A13)&gt;0,"Yes","NA"))</f>
        <v>NA</v>
      </c>
      <c r="J13" s="1" t="str">
        <f t="array" ref="J13">CHOOSE(INDEX('Ontology and concepts per UC'!$G$2:$I$46,MATCH($A13,'Ontology and concepts per UC'!$F$2:$F$46,0),MATCH(LEFT(J$1,3),'Ontology and concepts per UC'!$G$1:$I$1,0))+1,"NA",IF(COUNTIFS(Validation!$A:$A,J$1,Validation!$S:$S,$A13)&gt;0,"Yes","No"),IF(COUNTIFS(Validation!$A:$A,J$1,Validation!$S:$S,$A13)&gt;0,"Yes","NA"))</f>
        <v>NA</v>
      </c>
      <c r="K13" s="1" t="str">
        <f t="array" ref="K13">CHOOSE(INDEX('Ontology and concepts per UC'!$G$2:$I$46,MATCH($A13,'Ontology and concepts per UC'!$F$2:$F$46,0),MATCH(LEFT(K$1,3),'Ontology and concepts per UC'!$G$1:$I$1,0))+1,"NA",IF(COUNTIFS(Validation!$A:$A,K$1,Validation!$S:$S,$A13)&gt;0,"Yes","No"),IF(COUNTIFS(Validation!$A:$A,K$1,Validation!$S:$S,$A13)&gt;0,"Yes","NA"))</f>
        <v>NA</v>
      </c>
      <c r="L13" s="1" t="str">
        <f t="array" ref="L13">CHOOSE(INDEX('Ontology and concepts per UC'!$G$2:$I$46,MATCH($A13,'Ontology and concepts per UC'!$F$2:$F$46,0),MATCH(LEFT(L$1,3),'Ontology and concepts per UC'!$G$1:$I$1,0))+1,"NA",IF(COUNTIFS(Validation!$A:$A,L$1,Validation!$S:$S,$A13)&gt;0,"Yes","No"),IF(COUNTIFS(Validation!$A:$A,L$1,Validation!$S:$S,$A13)&gt;0,"Yes","NA"))</f>
        <v>No</v>
      </c>
      <c r="M13" s="1" t="str">
        <f t="array" ref="M13">CHOOSE(INDEX('Ontology and concepts per UC'!$G$2:$I$46,MATCH($A13,'Ontology and concepts per UC'!$F$2:$F$46,0),MATCH(LEFT(M$1,3),'Ontology and concepts per UC'!$G$1:$I$1,0))+1,"NA",IF(COUNTIFS(Validation!$A:$A,M$1,Validation!$S:$S,$A13)&gt;0,"Yes","No"),IF(COUNTIFS(Validation!$A:$A,M$1,Validation!$S:$S,$A13)&gt;0,"Yes","NA"))</f>
        <v>Yes</v>
      </c>
      <c r="N13" s="1" t="str">
        <f t="array" ref="N13">CHOOSE(INDEX('Ontology and concepts per UC'!$G$2:$I$46,MATCH($A13,'Ontology and concepts per UC'!$F$2:$F$46,0),MATCH(LEFT(N$1,3),'Ontology and concepts per UC'!$G$1:$I$1,0))+1,"NA",IF(COUNTIFS(Validation!$A:$A,N$1,Validation!$S:$S,$A13)&gt;0,"Yes","No"),IF(COUNTIFS(Validation!$A:$A,N$1,Validation!$S:$S,$A13)&gt;0,"Yes","NA"))</f>
        <v>No</v>
      </c>
      <c r="O13" s="1" t="str">
        <f t="array" ref="O13">CHOOSE(INDEX('Ontology and concepts per UC'!$G$2:$I$46,MATCH($A13,'Ontology and concepts per UC'!$F$2:$F$46,0),MATCH(LEFT(O$1,3),'Ontology and concepts per UC'!$G$1:$I$1,0))+1,"NA",IF(COUNTIFS(Validation!$A:$A,O$1,Validation!$S:$S,$A13)&gt;0,"Yes","No"),IF(COUNTIFS(Validation!$A:$A,O$1,Validation!$S:$S,$A13)&gt;0,"Yes","NA"))</f>
        <v>Yes</v>
      </c>
      <c r="P13" s="1" t="str">
        <f t="array" ref="P13">CHOOSE(INDEX('Ontology and concepts per UC'!$G$2:$I$46,MATCH($A13,'Ontology and concepts per UC'!$F$2:$F$46,0),MATCH(LEFT(P$1,3),'Ontology and concepts per UC'!$G$1:$I$1,0))+1,"NA",IF(COUNTIFS(Validation!$A:$A,P$1,Validation!$S:$S,$A13)&gt;0,"Yes","No"),IF(COUNTIFS(Validation!$A:$A,P$1,Validation!$S:$S,$A13)&gt;0,"Yes","NA"))</f>
        <v>Yes</v>
      </c>
      <c r="Q13" s="1" t="str">
        <f t="array" ref="Q13">CHOOSE(INDEX('Ontology and concepts per UC'!$G$2:$I$46,MATCH($A13,'Ontology and concepts per UC'!$F$2:$F$46,0),MATCH(LEFT(Q$1,3),'Ontology and concepts per UC'!$G$1:$I$1,0))+1,"NA",IF(COUNTIFS(Validation!$A:$A,Q$1,Validation!$S:$S,$A13)&gt;0,"Yes","No"),IF(COUNTIFS(Validation!$A:$A,Q$1,Validation!$S:$S,$A13)&gt;0,"Yes","NA"))</f>
        <v>Yes</v>
      </c>
      <c r="R13" s="1" t="str">
        <f t="array" ref="R13">CHOOSE(INDEX('Ontology and concepts per UC'!$G$2:$I$46,MATCH($A13,'Ontology and concepts per UC'!$F$2:$F$46,0),MATCH(LEFT(R$1,3),'Ontology and concepts per UC'!$G$1:$I$1,0))+1,"NA",IF(COUNTIFS(Validation!$A:$A,R$1,Validation!$S:$S,$A13)&gt;0,"Yes","No"),IF(COUNTIFS(Validation!$A:$A,R$1,Validation!$S:$S,$A13)&gt;0,"Yes","NA"))</f>
        <v>Yes</v>
      </c>
      <c r="S13" s="1" t="str">
        <f t="array" ref="S13">CHOOSE(INDEX('Ontology and concepts per UC'!$G$2:$I$46,MATCH($A13,'Ontology and concepts per UC'!$F$2:$F$46,0),MATCH(LEFT(S$1,3),'Ontology and concepts per UC'!$G$1:$I$1,0))+1,"NA",IF(COUNTIFS(Validation!$A:$A,S$1,Validation!$S:$S,$A13)&gt;0,"Yes","No"),IF(COUNTIFS(Validation!$A:$A,S$1,Validation!$S:$S,$A13)&gt;0,"Yes","NA"))</f>
        <v>Yes</v>
      </c>
      <c r="T13" s="1" t="str">
        <f t="array" ref="T13">CHOOSE(INDEX('Ontology and concepts per UC'!$G$2:$I$46,MATCH($A13,'Ontology and concepts per UC'!$F$2:$F$46,0),MATCH(LEFT(T$1,3),'Ontology and concepts per UC'!$G$1:$I$1,0))+1,"NA",IF(COUNTIFS(Validation!$A:$A,T$1,Validation!$S:$S,$A13)&gt;0,"Yes","No"),IF(COUNTIFS(Validation!$A:$A,T$1,Validation!$S:$S,$A13)&gt;0,"Yes","NA"))</f>
        <v>No</v>
      </c>
      <c r="U13" s="1" t="str">
        <f t="array" ref="U13">CHOOSE(INDEX('Ontology and concepts per UC'!$G$2:$I$46,MATCH($A13,'Ontology and concepts per UC'!$F$2:$F$46,0),MATCH(LEFT(U$1,3),'Ontology and concepts per UC'!$G$1:$I$1,0))+1,"NA",IF(COUNTIFS(Validation!$A:$A,U$1,Validation!$S:$S,$A13)&gt;0,"Yes","No"),IF(COUNTIFS(Validation!$A:$A,U$1,Validation!$S:$S,$A13)&gt;0,"Yes","NA"))</f>
        <v>Yes</v>
      </c>
      <c r="V13" s="1" t="str">
        <f t="array" ref="V13">CHOOSE(INDEX('Ontology and concepts per UC'!$G$2:$I$46,MATCH($A13,'Ontology and concepts per UC'!$F$2:$F$46,0),MATCH(LEFT(V$1,3),'Ontology and concepts per UC'!$G$1:$I$1,0))+1,"NA",IF(COUNTIFS(Validation!$A:$A,V$1,Validation!$S:$S,$A13)&gt;0,"Yes","No"),IF(COUNTIFS(Validation!$A:$A,V$1,Validation!$S:$S,$A13)&gt;0,"Yes","NA"))</f>
        <v>No</v>
      </c>
      <c r="W13" s="1" t="str">
        <f t="array" ref="W13">CHOOSE(INDEX('Ontology and concepts per UC'!$G$2:$I$46,MATCH($A13,'Ontology and concepts per UC'!$F$2:$F$46,0),MATCH(LEFT(W$1,3),'Ontology and concepts per UC'!$G$1:$I$1,0))+1,"NA",IF(COUNTIFS(Validation!$A:$A,W$1,Validation!$S:$S,$A13)&gt;0,"Yes","No"),IF(COUNTIFS(Validation!$A:$A,W$1,Validation!$S:$S,$A13)&gt;0,"Yes","NA"))</f>
        <v>Yes</v>
      </c>
      <c r="X13" s="1" t="str">
        <f t="array" ref="X13">CHOOSE(INDEX('Ontology and concepts per UC'!$G$2:$I$46,MATCH($A13,'Ontology and concepts per UC'!$F$2:$F$46,0),MATCH(LEFT(X$1,3),'Ontology and concepts per UC'!$G$1:$I$1,0))+1,"NA",IF(COUNTIFS(Validation!$A:$A,X$1,Validation!$S:$S,$A13)&gt;0,"Yes","No"),IF(COUNTIFS(Validation!$A:$A,X$1,Validation!$S:$S,$A13)&gt;0,"Yes","NA"))</f>
        <v>NA</v>
      </c>
      <c r="Y13" s="1" t="str">
        <f t="array" ref="Y13">CHOOSE(INDEX('Ontology and concepts per UC'!$G$2:$I$46,MATCH($A13,'Ontology and concepts per UC'!$F$2:$F$46,0),MATCH(LEFT(Y$1,3),'Ontology and concepts per UC'!$G$1:$I$1,0))+1,"NA",IF(COUNTIFS(Validation!$A:$A,Y$1,Validation!$S:$S,$A13)&gt;0,"Yes","No"),IF(COUNTIFS(Validation!$A:$A,Y$1,Validation!$S:$S,$A13)&gt;0,"Yes","NA"))</f>
        <v>NA</v>
      </c>
      <c r="Z13" s="1" t="str">
        <f t="array" ref="Z13">CHOOSE(INDEX('Ontology and concepts per UC'!$G$2:$I$46,MATCH($A13,'Ontology and concepts per UC'!$F$2:$F$46,0),MATCH(LEFT(Z$1,3),'Ontology and concepts per UC'!$G$1:$I$1,0))+1,"NA",IF(COUNTIFS(Validation!$A:$A,Z$1,Validation!$S:$S,$A13)&gt;0,"Yes","No"),IF(COUNTIFS(Validation!$A:$A,Z$1,Validation!$S:$S,$A13)&gt;0,"Yes","NA"))</f>
        <v>NA</v>
      </c>
      <c r="AA13" s="1" t="str">
        <f t="array" ref="AA13">CHOOSE(INDEX('Ontology and concepts per UC'!$G$2:$I$46,MATCH($A13,'Ontology and concepts per UC'!$F$2:$F$46,0),MATCH(LEFT(AA$1,3),'Ontology and concepts per UC'!$G$1:$I$1,0))+1,"NA",IF(COUNTIFS(Validation!$A:$A,AA$1,Validation!$S:$S,$A13)&gt;0,"Yes","No"),IF(COUNTIFS(Validation!$A:$A,AA$1,Validation!$S:$S,$A13)&gt;0,"Yes","NA"))</f>
        <v>NA</v>
      </c>
      <c r="AB13" s="1" t="str">
        <f t="array" ref="AB13">CHOOSE(INDEX('Ontology and concepts per UC'!$G$2:$I$46,MATCH($A13,'Ontology and concepts per UC'!$F$2:$F$46,0),MATCH(LEFT(AB$1,3),'Ontology and concepts per UC'!$G$1:$I$1,0))+1,"NA",IF(COUNTIFS(Validation!$A:$A,AB$1,Validation!$S:$S,$A13)&gt;0,"Yes","No"),IF(COUNTIFS(Validation!$A:$A,AB$1,Validation!$S:$S,$A13)&gt;0,"Yes","NA"))</f>
        <v>No</v>
      </c>
      <c r="AC13" s="1" t="str">
        <f t="array" ref="AC13">CHOOSE(INDEX('Ontology and concepts per UC'!$G$2:$I$46,MATCH($A13,'Ontology and concepts per UC'!$F$2:$F$46,0),MATCH(LEFT(AC$1,3),'Ontology and concepts per UC'!$G$1:$I$1,0))+1,"NA",IF(COUNTIFS(Validation!$A:$A,AC$1,Validation!$S:$S,$A13)&gt;0,"Yes","No"),IF(COUNTIFS(Validation!$A:$A,AC$1,Validation!$S:$S,$A13)&gt;0,"Yes","NA"))</f>
        <v>Yes</v>
      </c>
      <c r="AD13" s="1" t="str">
        <f t="array" ref="AD13">CHOOSE(INDEX('Ontology and concepts per UC'!$G$2:$I$46,MATCH($A13,'Ontology and concepts per UC'!$F$2:$F$46,0),MATCH(LEFT(AD$1,3),'Ontology and concepts per UC'!$G$1:$I$1,0))+1,"NA",IF(COUNTIFS(Validation!$A:$A,AD$1,Validation!$S:$S,$A13)&gt;0,"Yes","No"),IF(COUNTIFS(Validation!$A:$A,AD$1,Validation!$S:$S,$A13)&gt;0,"Yes","NA"))</f>
        <v>No</v>
      </c>
      <c r="AE13" s="1" t="str">
        <f t="array" ref="AE13">CHOOSE(INDEX('Ontology and concepts per UC'!$G$2:$I$46,MATCH($A13,'Ontology and concepts per UC'!$F$2:$F$46,0),MATCH(LEFT(AE$1,3),'Ontology and concepts per UC'!$G$1:$I$1,0))+1,"NA",IF(COUNTIFS(Validation!$A:$A,AE$1,Validation!$S:$S,$A13)&gt;0,"Yes","No"),IF(COUNTIFS(Validation!$A:$A,AE$1,Validation!$S:$S,$A13)&gt;0,"Yes","NA"))</f>
        <v>Yes</v>
      </c>
    </row>
    <row r="14" spans="1:31" x14ac:dyDescent="0.25">
      <c r="A14" s="1" t="s">
        <v>24</v>
      </c>
      <c r="B14" s="1" t="str">
        <f t="array" ref="B14">CHOOSE(INDEX('Ontology and concepts per UC'!$G$2:$I$46,MATCH($A14,'Ontology and concepts per UC'!$F$2:$F$46,0),MATCH(LEFT(B$1,3),'Ontology and concepts per UC'!$G$1:$I$1,0))+1,"NA",IF(COUNTIFS(Validation!$A:$A,B$1,Validation!$S:$S,$A14)&gt;0,"Yes","No"),IF(COUNTIFS(Validation!$A:$A,B$1,Validation!$S:$S,$A14)&gt;0,"Yes","NA"))</f>
        <v>Yes</v>
      </c>
      <c r="C14" s="1" t="str">
        <f t="array" ref="C14">CHOOSE(INDEX('Ontology and concepts per UC'!$G$2:$I$46,MATCH($A14,'Ontology and concepts per UC'!$F$2:$F$46,0),MATCH(LEFT(C$1,3),'Ontology and concepts per UC'!$G$1:$I$1,0))+1,"NA",IF(COUNTIFS(Validation!$A:$A,C$1,Validation!$S:$S,$A14)&gt;0,"Yes","No"),IF(COUNTIFS(Validation!$A:$A,C$1,Validation!$S:$S,$A14)&gt;0,"Yes","NA"))</f>
        <v>Yes</v>
      </c>
      <c r="D14" s="1" t="str">
        <f t="array" ref="D14">CHOOSE(INDEX('Ontology and concepts per UC'!$G$2:$I$46,MATCH($A14,'Ontology and concepts per UC'!$F$2:$F$46,0),MATCH(LEFT(D$1,3),'Ontology and concepts per UC'!$G$1:$I$1,0))+1,"NA",IF(COUNTIFS(Validation!$A:$A,D$1,Validation!$S:$S,$A14)&gt;0,"Yes","No"),IF(COUNTIFS(Validation!$A:$A,D$1,Validation!$S:$S,$A14)&gt;0,"Yes","NA"))</f>
        <v>Yes</v>
      </c>
      <c r="E14" s="1" t="str">
        <f t="array" ref="E14">CHOOSE(INDEX('Ontology and concepts per UC'!$G$2:$I$46,MATCH($A14,'Ontology and concepts per UC'!$F$2:$F$46,0),MATCH(LEFT(E$1,3),'Ontology and concepts per UC'!$G$1:$I$1,0))+1,"NA",IF(COUNTIFS(Validation!$A:$A,E$1,Validation!$S:$S,$A14)&gt;0,"Yes","No"),IF(COUNTIFS(Validation!$A:$A,E$1,Validation!$S:$S,$A14)&gt;0,"Yes","NA"))</f>
        <v>Yes</v>
      </c>
      <c r="F14" s="1" t="str">
        <f t="array" ref="F14">CHOOSE(INDEX('Ontology and concepts per UC'!$G$2:$I$46,MATCH($A14,'Ontology and concepts per UC'!$F$2:$F$46,0),MATCH(LEFT(F$1,3),'Ontology and concepts per UC'!$G$1:$I$1,0))+1,"NA",IF(COUNTIFS(Validation!$A:$A,F$1,Validation!$S:$S,$A14)&gt;0,"Yes","No"),IF(COUNTIFS(Validation!$A:$A,F$1,Validation!$S:$S,$A14)&gt;0,"Yes","NA"))</f>
        <v>Yes</v>
      </c>
      <c r="G14" s="1" t="str">
        <f t="array" ref="G14">CHOOSE(INDEX('Ontology and concepts per UC'!$G$2:$I$46,MATCH($A14,'Ontology and concepts per UC'!$F$2:$F$46,0),MATCH(LEFT(G$1,3),'Ontology and concepts per UC'!$G$1:$I$1,0))+1,"NA",IF(COUNTIFS(Validation!$A:$A,G$1,Validation!$S:$S,$A14)&gt;0,"Yes","No"),IF(COUNTIFS(Validation!$A:$A,G$1,Validation!$S:$S,$A14)&gt;0,"Yes","NA"))</f>
        <v>Yes</v>
      </c>
      <c r="H14" s="1" t="str">
        <f t="array" ref="H14">CHOOSE(INDEX('Ontology and concepts per UC'!$G$2:$I$46,MATCH($A14,'Ontology and concepts per UC'!$F$2:$F$46,0),MATCH(LEFT(H$1,3),'Ontology and concepts per UC'!$G$1:$I$1,0))+1,"NA",IF(COUNTIFS(Validation!$A:$A,H$1,Validation!$S:$S,$A14)&gt;0,"Yes","No"),IF(COUNTIFS(Validation!$A:$A,H$1,Validation!$S:$S,$A14)&gt;0,"Yes","NA"))</f>
        <v>NA</v>
      </c>
      <c r="I14" s="1" t="str">
        <f t="array" ref="I14">CHOOSE(INDEX('Ontology and concepts per UC'!$G$2:$I$46,MATCH($A14,'Ontology and concepts per UC'!$F$2:$F$46,0),MATCH(LEFT(I$1,3),'Ontology and concepts per UC'!$G$1:$I$1,0))+1,"NA",IF(COUNTIFS(Validation!$A:$A,I$1,Validation!$S:$S,$A14)&gt;0,"Yes","No"),IF(COUNTIFS(Validation!$A:$A,I$1,Validation!$S:$S,$A14)&gt;0,"Yes","NA"))</f>
        <v>NA</v>
      </c>
      <c r="J14" s="1" t="str">
        <f t="array" ref="J14">CHOOSE(INDEX('Ontology and concepts per UC'!$G$2:$I$46,MATCH($A14,'Ontology and concepts per UC'!$F$2:$F$46,0),MATCH(LEFT(J$1,3),'Ontology and concepts per UC'!$G$1:$I$1,0))+1,"NA",IF(COUNTIFS(Validation!$A:$A,J$1,Validation!$S:$S,$A14)&gt;0,"Yes","No"),IF(COUNTIFS(Validation!$A:$A,J$1,Validation!$S:$S,$A14)&gt;0,"Yes","NA"))</f>
        <v>NA</v>
      </c>
      <c r="K14" s="1" t="str">
        <f t="array" ref="K14">CHOOSE(INDEX('Ontology and concepts per UC'!$G$2:$I$46,MATCH($A14,'Ontology and concepts per UC'!$F$2:$F$46,0),MATCH(LEFT(K$1,3),'Ontology and concepts per UC'!$G$1:$I$1,0))+1,"NA",IF(COUNTIFS(Validation!$A:$A,K$1,Validation!$S:$S,$A14)&gt;0,"Yes","No"),IF(COUNTIFS(Validation!$A:$A,K$1,Validation!$S:$S,$A14)&gt;0,"Yes","NA"))</f>
        <v>NA</v>
      </c>
      <c r="L14" s="1" t="str">
        <f t="array" ref="L14">CHOOSE(INDEX('Ontology and concepts per UC'!$G$2:$I$46,MATCH($A14,'Ontology and concepts per UC'!$F$2:$F$46,0),MATCH(LEFT(L$1,3),'Ontology and concepts per UC'!$G$1:$I$1,0))+1,"NA",IF(COUNTIFS(Validation!$A:$A,L$1,Validation!$S:$S,$A14)&gt;0,"Yes","No"),IF(COUNTIFS(Validation!$A:$A,L$1,Validation!$S:$S,$A14)&gt;0,"Yes","NA"))</f>
        <v>Yes</v>
      </c>
      <c r="M14" s="1" t="str">
        <f t="array" ref="M14">CHOOSE(INDEX('Ontology and concepts per UC'!$G$2:$I$46,MATCH($A14,'Ontology and concepts per UC'!$F$2:$F$46,0),MATCH(LEFT(M$1,3),'Ontology and concepts per UC'!$G$1:$I$1,0))+1,"NA",IF(COUNTIFS(Validation!$A:$A,M$1,Validation!$S:$S,$A14)&gt;0,"Yes","No"),IF(COUNTIFS(Validation!$A:$A,M$1,Validation!$S:$S,$A14)&gt;0,"Yes","NA"))</f>
        <v>Yes</v>
      </c>
      <c r="N14" s="1" t="str">
        <f t="array" ref="N14">CHOOSE(INDEX('Ontology and concepts per UC'!$G$2:$I$46,MATCH($A14,'Ontology and concepts per UC'!$F$2:$F$46,0),MATCH(LEFT(N$1,3),'Ontology and concepts per UC'!$G$1:$I$1,0))+1,"NA",IF(COUNTIFS(Validation!$A:$A,N$1,Validation!$S:$S,$A14)&gt;0,"Yes","No"),IF(COUNTIFS(Validation!$A:$A,N$1,Validation!$S:$S,$A14)&gt;0,"Yes","NA"))</f>
        <v>Yes</v>
      </c>
      <c r="O14" s="1" t="str">
        <f t="array" ref="O14">CHOOSE(INDEX('Ontology and concepts per UC'!$G$2:$I$46,MATCH($A14,'Ontology and concepts per UC'!$F$2:$F$46,0),MATCH(LEFT(O$1,3),'Ontology and concepts per UC'!$G$1:$I$1,0))+1,"NA",IF(COUNTIFS(Validation!$A:$A,O$1,Validation!$S:$S,$A14)&gt;0,"Yes","No"),IF(COUNTIFS(Validation!$A:$A,O$1,Validation!$S:$S,$A14)&gt;0,"Yes","NA"))</f>
        <v>Yes</v>
      </c>
      <c r="P14" s="1" t="str">
        <f t="array" ref="P14">CHOOSE(INDEX('Ontology and concepts per UC'!$G$2:$I$46,MATCH($A14,'Ontology and concepts per UC'!$F$2:$F$46,0),MATCH(LEFT(P$1,3),'Ontology and concepts per UC'!$G$1:$I$1,0))+1,"NA",IF(COUNTIFS(Validation!$A:$A,P$1,Validation!$S:$S,$A14)&gt;0,"Yes","No"),IF(COUNTIFS(Validation!$A:$A,P$1,Validation!$S:$S,$A14)&gt;0,"Yes","NA"))</f>
        <v>Yes</v>
      </c>
      <c r="Q14" s="1" t="str">
        <f t="array" ref="Q14">CHOOSE(INDEX('Ontology and concepts per UC'!$G$2:$I$46,MATCH($A14,'Ontology and concepts per UC'!$F$2:$F$46,0),MATCH(LEFT(Q$1,3),'Ontology and concepts per UC'!$G$1:$I$1,0))+1,"NA",IF(COUNTIFS(Validation!$A:$A,Q$1,Validation!$S:$S,$A14)&gt;0,"Yes","No"),IF(COUNTIFS(Validation!$A:$A,Q$1,Validation!$S:$S,$A14)&gt;0,"Yes","NA"))</f>
        <v>Yes</v>
      </c>
      <c r="R14" s="1" t="str">
        <f t="array" ref="R14">CHOOSE(INDEX('Ontology and concepts per UC'!$G$2:$I$46,MATCH($A14,'Ontology and concepts per UC'!$F$2:$F$46,0),MATCH(LEFT(R$1,3),'Ontology and concepts per UC'!$G$1:$I$1,0))+1,"NA",IF(COUNTIFS(Validation!$A:$A,R$1,Validation!$S:$S,$A14)&gt;0,"Yes","No"),IF(COUNTIFS(Validation!$A:$A,R$1,Validation!$S:$S,$A14)&gt;0,"Yes","NA"))</f>
        <v>Yes</v>
      </c>
      <c r="S14" s="1" t="str">
        <f t="array" ref="S14">CHOOSE(INDEX('Ontology and concepts per UC'!$G$2:$I$46,MATCH($A14,'Ontology and concepts per UC'!$F$2:$F$46,0),MATCH(LEFT(S$1,3),'Ontology and concepts per UC'!$G$1:$I$1,0))+1,"NA",IF(COUNTIFS(Validation!$A:$A,S$1,Validation!$S:$S,$A14)&gt;0,"Yes","No"),IF(COUNTIFS(Validation!$A:$A,S$1,Validation!$S:$S,$A14)&gt;0,"Yes","NA"))</f>
        <v>Yes</v>
      </c>
      <c r="T14" s="1" t="str">
        <f t="array" ref="T14">CHOOSE(INDEX('Ontology and concepts per UC'!$G$2:$I$46,MATCH($A14,'Ontology and concepts per UC'!$F$2:$F$46,0),MATCH(LEFT(T$1,3),'Ontology and concepts per UC'!$G$1:$I$1,0))+1,"NA",IF(COUNTIFS(Validation!$A:$A,T$1,Validation!$S:$S,$A14)&gt;0,"Yes","No"),IF(COUNTIFS(Validation!$A:$A,T$1,Validation!$S:$S,$A14)&gt;0,"Yes","NA"))</f>
        <v>No</v>
      </c>
      <c r="U14" s="1" t="str">
        <f t="array" ref="U14">CHOOSE(INDEX('Ontology and concepts per UC'!$G$2:$I$46,MATCH($A14,'Ontology and concepts per UC'!$F$2:$F$46,0),MATCH(LEFT(U$1,3),'Ontology and concepts per UC'!$G$1:$I$1,0))+1,"NA",IF(COUNTIFS(Validation!$A:$A,U$1,Validation!$S:$S,$A14)&gt;0,"Yes","No"),IF(COUNTIFS(Validation!$A:$A,U$1,Validation!$S:$S,$A14)&gt;0,"Yes","NA"))</f>
        <v>Yes</v>
      </c>
      <c r="V14" s="1" t="str">
        <f t="array" ref="V14">CHOOSE(INDEX('Ontology and concepts per UC'!$G$2:$I$46,MATCH($A14,'Ontology and concepts per UC'!$F$2:$F$46,0),MATCH(LEFT(V$1,3),'Ontology and concepts per UC'!$G$1:$I$1,0))+1,"NA",IF(COUNTIFS(Validation!$A:$A,V$1,Validation!$S:$S,$A14)&gt;0,"Yes","No"),IF(COUNTIFS(Validation!$A:$A,V$1,Validation!$S:$S,$A14)&gt;0,"Yes","NA"))</f>
        <v>No</v>
      </c>
      <c r="W14" s="1" t="str">
        <f t="array" ref="W14">CHOOSE(INDEX('Ontology and concepts per UC'!$G$2:$I$46,MATCH($A14,'Ontology and concepts per UC'!$F$2:$F$46,0),MATCH(LEFT(W$1,3),'Ontology and concepts per UC'!$G$1:$I$1,0))+1,"NA",IF(COUNTIFS(Validation!$A:$A,W$1,Validation!$S:$S,$A14)&gt;0,"Yes","No"),IF(COUNTIFS(Validation!$A:$A,W$1,Validation!$S:$S,$A14)&gt;0,"Yes","NA"))</f>
        <v>Yes</v>
      </c>
      <c r="X14" s="1" t="str">
        <f t="array" ref="X14">CHOOSE(INDEX('Ontology and concepts per UC'!$G$2:$I$46,MATCH($A14,'Ontology and concepts per UC'!$F$2:$F$46,0),MATCH(LEFT(X$1,3),'Ontology and concepts per UC'!$G$1:$I$1,0))+1,"NA",IF(COUNTIFS(Validation!$A:$A,X$1,Validation!$S:$S,$A14)&gt;0,"Yes","No"),IF(COUNTIFS(Validation!$A:$A,X$1,Validation!$S:$S,$A14)&gt;0,"Yes","NA"))</f>
        <v>NA</v>
      </c>
      <c r="Y14" s="1" t="str">
        <f t="array" ref="Y14">CHOOSE(INDEX('Ontology and concepts per UC'!$G$2:$I$46,MATCH($A14,'Ontology and concepts per UC'!$F$2:$F$46,0),MATCH(LEFT(Y$1,3),'Ontology and concepts per UC'!$G$1:$I$1,0))+1,"NA",IF(COUNTIFS(Validation!$A:$A,Y$1,Validation!$S:$S,$A14)&gt;0,"Yes","No"),IF(COUNTIFS(Validation!$A:$A,Y$1,Validation!$S:$S,$A14)&gt;0,"Yes","NA"))</f>
        <v>NA</v>
      </c>
      <c r="Z14" s="1" t="str">
        <f t="array" ref="Z14">CHOOSE(INDEX('Ontology and concepts per UC'!$G$2:$I$46,MATCH($A14,'Ontology and concepts per UC'!$F$2:$F$46,0),MATCH(LEFT(Z$1,3),'Ontology and concepts per UC'!$G$1:$I$1,0))+1,"NA",IF(COUNTIFS(Validation!$A:$A,Z$1,Validation!$S:$S,$A14)&gt;0,"Yes","No"),IF(COUNTIFS(Validation!$A:$A,Z$1,Validation!$S:$S,$A14)&gt;0,"Yes","NA"))</f>
        <v>NA</v>
      </c>
      <c r="AA14" s="1" t="str">
        <f t="array" ref="AA14">CHOOSE(INDEX('Ontology and concepts per UC'!$G$2:$I$46,MATCH($A14,'Ontology and concepts per UC'!$F$2:$F$46,0),MATCH(LEFT(AA$1,3),'Ontology and concepts per UC'!$G$1:$I$1,0))+1,"NA",IF(COUNTIFS(Validation!$A:$A,AA$1,Validation!$S:$S,$A14)&gt;0,"Yes","No"),IF(COUNTIFS(Validation!$A:$A,AA$1,Validation!$S:$S,$A14)&gt;0,"Yes","NA"))</f>
        <v>NA</v>
      </c>
      <c r="AB14" s="1" t="str">
        <f t="array" ref="AB14">CHOOSE(INDEX('Ontology and concepts per UC'!$G$2:$I$46,MATCH($A14,'Ontology and concepts per UC'!$F$2:$F$46,0),MATCH(LEFT(AB$1,3),'Ontology and concepts per UC'!$G$1:$I$1,0))+1,"NA",IF(COUNTIFS(Validation!$A:$A,AB$1,Validation!$S:$S,$A14)&gt;0,"Yes","No"),IF(COUNTIFS(Validation!$A:$A,AB$1,Validation!$S:$S,$A14)&gt;0,"Yes","NA"))</f>
        <v>No</v>
      </c>
      <c r="AC14" s="1" t="str">
        <f t="array" ref="AC14">CHOOSE(INDEX('Ontology and concepts per UC'!$G$2:$I$46,MATCH($A14,'Ontology and concepts per UC'!$F$2:$F$46,0),MATCH(LEFT(AC$1,3),'Ontology and concepts per UC'!$G$1:$I$1,0))+1,"NA",IF(COUNTIFS(Validation!$A:$A,AC$1,Validation!$S:$S,$A14)&gt;0,"Yes","No"),IF(COUNTIFS(Validation!$A:$A,AC$1,Validation!$S:$S,$A14)&gt;0,"Yes","NA"))</f>
        <v>Yes</v>
      </c>
      <c r="AD14" s="1" t="str">
        <f t="array" ref="AD14">CHOOSE(INDEX('Ontology and concepts per UC'!$G$2:$I$46,MATCH($A14,'Ontology and concepts per UC'!$F$2:$F$46,0),MATCH(LEFT(AD$1,3),'Ontology and concepts per UC'!$G$1:$I$1,0))+1,"NA",IF(COUNTIFS(Validation!$A:$A,AD$1,Validation!$S:$S,$A14)&gt;0,"Yes","No"),IF(COUNTIFS(Validation!$A:$A,AD$1,Validation!$S:$S,$A14)&gt;0,"Yes","NA"))</f>
        <v>No</v>
      </c>
      <c r="AE14" s="1" t="str">
        <f t="array" ref="AE14">CHOOSE(INDEX('Ontology and concepts per UC'!$G$2:$I$46,MATCH($A14,'Ontology and concepts per UC'!$F$2:$F$46,0),MATCH(LEFT(AE$1,3),'Ontology and concepts per UC'!$G$1:$I$1,0))+1,"NA",IF(COUNTIFS(Validation!$A:$A,AE$1,Validation!$S:$S,$A14)&gt;0,"Yes","No"),IF(COUNTIFS(Validation!$A:$A,AE$1,Validation!$S:$S,$A14)&gt;0,"Yes","NA"))</f>
        <v>Yes</v>
      </c>
    </row>
    <row r="15" spans="1:31" x14ac:dyDescent="0.25">
      <c r="A15" s="1" t="s">
        <v>26</v>
      </c>
      <c r="B15" s="1" t="str">
        <f t="array" ref="B15">CHOOSE(INDEX('Ontology and concepts per UC'!$G$2:$I$46,MATCH($A15,'Ontology and concepts per UC'!$F$2:$F$46,0),MATCH(LEFT(B$1,3),'Ontology and concepts per UC'!$G$1:$I$1,0))+1,"NA",IF(COUNTIFS(Validation!$A:$A,B$1,Validation!$S:$S,$A15)&gt;0,"Yes","No"),IF(COUNTIFS(Validation!$A:$A,B$1,Validation!$S:$S,$A15)&gt;0,"Yes","NA"))</f>
        <v>Yes</v>
      </c>
      <c r="C15" s="1" t="str">
        <f t="array" ref="C15">CHOOSE(INDEX('Ontology and concepts per UC'!$G$2:$I$46,MATCH($A15,'Ontology and concepts per UC'!$F$2:$F$46,0),MATCH(LEFT(C$1,3),'Ontology and concepts per UC'!$G$1:$I$1,0))+1,"NA",IF(COUNTIFS(Validation!$A:$A,C$1,Validation!$S:$S,$A15)&gt;0,"Yes","No"),IF(COUNTIFS(Validation!$A:$A,C$1,Validation!$S:$S,$A15)&gt;0,"Yes","NA"))</f>
        <v>No</v>
      </c>
      <c r="D15" s="1" t="str">
        <f t="array" ref="D15">CHOOSE(INDEX('Ontology and concepts per UC'!$G$2:$I$46,MATCH($A15,'Ontology and concepts per UC'!$F$2:$F$46,0),MATCH(LEFT(D$1,3),'Ontology and concepts per UC'!$G$1:$I$1,0))+1,"NA",IF(COUNTIFS(Validation!$A:$A,D$1,Validation!$S:$S,$A15)&gt;0,"Yes","No"),IF(COUNTIFS(Validation!$A:$A,D$1,Validation!$S:$S,$A15)&gt;0,"Yes","NA"))</f>
        <v>Yes</v>
      </c>
      <c r="E15" s="1" t="str">
        <f t="array" ref="E15">CHOOSE(INDEX('Ontology and concepts per UC'!$G$2:$I$46,MATCH($A15,'Ontology and concepts per UC'!$F$2:$F$46,0),MATCH(LEFT(E$1,3),'Ontology and concepts per UC'!$G$1:$I$1,0))+1,"NA",IF(COUNTIFS(Validation!$A:$A,E$1,Validation!$S:$S,$A15)&gt;0,"Yes","No"),IF(COUNTIFS(Validation!$A:$A,E$1,Validation!$S:$S,$A15)&gt;0,"Yes","NA"))</f>
        <v>Yes</v>
      </c>
      <c r="F15" s="1" t="str">
        <f t="array" ref="F15">CHOOSE(INDEX('Ontology and concepts per UC'!$G$2:$I$46,MATCH($A15,'Ontology and concepts per UC'!$F$2:$F$46,0),MATCH(LEFT(F$1,3),'Ontology and concepts per UC'!$G$1:$I$1,0))+1,"NA",IF(COUNTIFS(Validation!$A:$A,F$1,Validation!$S:$S,$A15)&gt;0,"Yes","No"),IF(COUNTIFS(Validation!$A:$A,F$1,Validation!$S:$S,$A15)&gt;0,"Yes","NA"))</f>
        <v>Yes</v>
      </c>
      <c r="G15" s="1" t="str">
        <f t="array" ref="G15">CHOOSE(INDEX('Ontology and concepts per UC'!$G$2:$I$46,MATCH($A15,'Ontology and concepts per UC'!$F$2:$F$46,0),MATCH(LEFT(G$1,3),'Ontology and concepts per UC'!$G$1:$I$1,0))+1,"NA",IF(COUNTIFS(Validation!$A:$A,G$1,Validation!$S:$S,$A15)&gt;0,"Yes","No"),IF(COUNTIFS(Validation!$A:$A,G$1,Validation!$S:$S,$A15)&gt;0,"Yes","NA"))</f>
        <v>Yes</v>
      </c>
      <c r="H15" s="1" t="str">
        <f t="array" ref="H15">CHOOSE(INDEX('Ontology and concepts per UC'!$G$2:$I$46,MATCH($A15,'Ontology and concepts per UC'!$F$2:$F$46,0),MATCH(LEFT(H$1,3),'Ontology and concepts per UC'!$G$1:$I$1,0))+1,"NA",IF(COUNTIFS(Validation!$A:$A,H$1,Validation!$S:$S,$A15)&gt;0,"Yes","No"),IF(COUNTIFS(Validation!$A:$A,H$1,Validation!$S:$S,$A15)&gt;0,"Yes","NA"))</f>
        <v>NA</v>
      </c>
      <c r="I15" s="1" t="str">
        <f t="array" ref="I15">CHOOSE(INDEX('Ontology and concepts per UC'!$G$2:$I$46,MATCH($A15,'Ontology and concepts per UC'!$F$2:$F$46,0),MATCH(LEFT(I$1,3),'Ontology and concepts per UC'!$G$1:$I$1,0))+1,"NA",IF(COUNTIFS(Validation!$A:$A,I$1,Validation!$S:$S,$A15)&gt;0,"Yes","No"),IF(COUNTIFS(Validation!$A:$A,I$1,Validation!$S:$S,$A15)&gt;0,"Yes","NA"))</f>
        <v>NA</v>
      </c>
      <c r="J15" s="1" t="str">
        <f t="array" ref="J15">CHOOSE(INDEX('Ontology and concepts per UC'!$G$2:$I$46,MATCH($A15,'Ontology and concepts per UC'!$F$2:$F$46,0),MATCH(LEFT(J$1,3),'Ontology and concepts per UC'!$G$1:$I$1,0))+1,"NA",IF(COUNTIFS(Validation!$A:$A,J$1,Validation!$S:$S,$A15)&gt;0,"Yes","No"),IF(COUNTIFS(Validation!$A:$A,J$1,Validation!$S:$S,$A15)&gt;0,"Yes","NA"))</f>
        <v>NA</v>
      </c>
      <c r="K15" s="1" t="str">
        <f t="array" ref="K15">CHOOSE(INDEX('Ontology and concepts per UC'!$G$2:$I$46,MATCH($A15,'Ontology and concepts per UC'!$F$2:$F$46,0),MATCH(LEFT(K$1,3),'Ontology and concepts per UC'!$G$1:$I$1,0))+1,"NA",IF(COUNTIFS(Validation!$A:$A,K$1,Validation!$S:$S,$A15)&gt;0,"Yes","No"),IF(COUNTIFS(Validation!$A:$A,K$1,Validation!$S:$S,$A15)&gt;0,"Yes","NA"))</f>
        <v>NA</v>
      </c>
      <c r="L15" s="1" t="str">
        <f t="array" ref="L15">CHOOSE(INDEX('Ontology and concepts per UC'!$G$2:$I$46,MATCH($A15,'Ontology and concepts per UC'!$F$2:$F$46,0),MATCH(LEFT(L$1,3),'Ontology and concepts per UC'!$G$1:$I$1,0))+1,"NA",IF(COUNTIFS(Validation!$A:$A,L$1,Validation!$S:$S,$A15)&gt;0,"Yes","No"),IF(COUNTIFS(Validation!$A:$A,L$1,Validation!$S:$S,$A15)&gt;0,"Yes","NA"))</f>
        <v>No</v>
      </c>
      <c r="M15" s="1" t="str">
        <f t="array" ref="M15">CHOOSE(INDEX('Ontology and concepts per UC'!$G$2:$I$46,MATCH($A15,'Ontology and concepts per UC'!$F$2:$F$46,0),MATCH(LEFT(M$1,3),'Ontology and concepts per UC'!$G$1:$I$1,0))+1,"NA",IF(COUNTIFS(Validation!$A:$A,M$1,Validation!$S:$S,$A15)&gt;0,"Yes","No"),IF(COUNTIFS(Validation!$A:$A,M$1,Validation!$S:$S,$A15)&gt;0,"Yes","NA"))</f>
        <v>Yes</v>
      </c>
      <c r="N15" s="1" t="str">
        <f t="array" ref="N15">CHOOSE(INDEX('Ontology and concepts per UC'!$G$2:$I$46,MATCH($A15,'Ontology and concepts per UC'!$F$2:$F$46,0),MATCH(LEFT(N$1,3),'Ontology and concepts per UC'!$G$1:$I$1,0))+1,"NA",IF(COUNTIFS(Validation!$A:$A,N$1,Validation!$S:$S,$A15)&gt;0,"Yes","No"),IF(COUNTIFS(Validation!$A:$A,N$1,Validation!$S:$S,$A15)&gt;0,"Yes","NA"))</f>
        <v>Yes</v>
      </c>
      <c r="O15" s="1" t="str">
        <f t="array" ref="O15">CHOOSE(INDEX('Ontology and concepts per UC'!$G$2:$I$46,MATCH($A15,'Ontology and concepts per UC'!$F$2:$F$46,0),MATCH(LEFT(O$1,3),'Ontology and concepts per UC'!$G$1:$I$1,0))+1,"NA",IF(COUNTIFS(Validation!$A:$A,O$1,Validation!$S:$S,$A15)&gt;0,"Yes","No"),IF(COUNTIFS(Validation!$A:$A,O$1,Validation!$S:$S,$A15)&gt;0,"Yes","NA"))</f>
        <v>Yes</v>
      </c>
      <c r="P15" s="1" t="str">
        <f t="array" ref="P15">CHOOSE(INDEX('Ontology and concepts per UC'!$G$2:$I$46,MATCH($A15,'Ontology and concepts per UC'!$F$2:$F$46,0),MATCH(LEFT(P$1,3),'Ontology and concepts per UC'!$G$1:$I$1,0))+1,"NA",IF(COUNTIFS(Validation!$A:$A,P$1,Validation!$S:$S,$A15)&gt;0,"Yes","No"),IF(COUNTIFS(Validation!$A:$A,P$1,Validation!$S:$S,$A15)&gt;0,"Yes","NA"))</f>
        <v>Yes</v>
      </c>
      <c r="Q15" s="1" t="str">
        <f t="array" ref="Q15">CHOOSE(INDEX('Ontology and concepts per UC'!$G$2:$I$46,MATCH($A15,'Ontology and concepts per UC'!$F$2:$F$46,0),MATCH(LEFT(Q$1,3),'Ontology and concepts per UC'!$G$1:$I$1,0))+1,"NA",IF(COUNTIFS(Validation!$A:$A,Q$1,Validation!$S:$S,$A15)&gt;0,"Yes","No"),IF(COUNTIFS(Validation!$A:$A,Q$1,Validation!$S:$S,$A15)&gt;0,"Yes","NA"))</f>
        <v>Yes</v>
      </c>
      <c r="R15" s="1" t="str">
        <f t="array" ref="R15">CHOOSE(INDEX('Ontology and concepts per UC'!$G$2:$I$46,MATCH($A15,'Ontology and concepts per UC'!$F$2:$F$46,0),MATCH(LEFT(R$1,3),'Ontology and concepts per UC'!$G$1:$I$1,0))+1,"NA",IF(COUNTIFS(Validation!$A:$A,R$1,Validation!$S:$S,$A15)&gt;0,"Yes","No"),IF(COUNTIFS(Validation!$A:$A,R$1,Validation!$S:$S,$A15)&gt;0,"Yes","NA"))</f>
        <v>Yes</v>
      </c>
      <c r="S15" s="1" t="str">
        <f t="array" ref="S15">CHOOSE(INDEX('Ontology and concepts per UC'!$G$2:$I$46,MATCH($A15,'Ontology and concepts per UC'!$F$2:$F$46,0),MATCH(LEFT(S$1,3),'Ontology and concepts per UC'!$G$1:$I$1,0))+1,"NA",IF(COUNTIFS(Validation!$A:$A,S$1,Validation!$S:$S,$A15)&gt;0,"Yes","No"),IF(COUNTIFS(Validation!$A:$A,S$1,Validation!$S:$S,$A15)&gt;0,"Yes","NA"))</f>
        <v>Yes</v>
      </c>
      <c r="T15" s="1" t="str">
        <f t="array" ref="T15">CHOOSE(INDEX('Ontology and concepts per UC'!$G$2:$I$46,MATCH($A15,'Ontology and concepts per UC'!$F$2:$F$46,0),MATCH(LEFT(T$1,3),'Ontology and concepts per UC'!$G$1:$I$1,0))+1,"NA",IF(COUNTIFS(Validation!$A:$A,T$1,Validation!$S:$S,$A15)&gt;0,"Yes","No"),IF(COUNTIFS(Validation!$A:$A,T$1,Validation!$S:$S,$A15)&gt;0,"Yes","NA"))</f>
        <v>Yes</v>
      </c>
      <c r="U15" s="1" t="str">
        <f t="array" ref="U15">CHOOSE(INDEX('Ontology and concepts per UC'!$G$2:$I$46,MATCH($A15,'Ontology and concepts per UC'!$F$2:$F$46,0),MATCH(LEFT(U$1,3),'Ontology and concepts per UC'!$G$1:$I$1,0))+1,"NA",IF(COUNTIFS(Validation!$A:$A,U$1,Validation!$S:$S,$A15)&gt;0,"Yes","No"),IF(COUNTIFS(Validation!$A:$A,U$1,Validation!$S:$S,$A15)&gt;0,"Yes","NA"))</f>
        <v>Yes</v>
      </c>
      <c r="V15" s="1" t="str">
        <f t="array" ref="V15">CHOOSE(INDEX('Ontology and concepts per UC'!$G$2:$I$46,MATCH($A15,'Ontology and concepts per UC'!$F$2:$F$46,0),MATCH(LEFT(V$1,3),'Ontology and concepts per UC'!$G$1:$I$1,0))+1,"NA",IF(COUNTIFS(Validation!$A:$A,V$1,Validation!$S:$S,$A15)&gt;0,"Yes","No"),IF(COUNTIFS(Validation!$A:$A,V$1,Validation!$S:$S,$A15)&gt;0,"Yes","NA"))</f>
        <v>Yes</v>
      </c>
      <c r="W15" s="1" t="str">
        <f t="array" ref="W15">CHOOSE(INDEX('Ontology and concepts per UC'!$G$2:$I$46,MATCH($A15,'Ontology and concepts per UC'!$F$2:$F$46,0),MATCH(LEFT(W$1,3),'Ontology and concepts per UC'!$G$1:$I$1,0))+1,"NA",IF(COUNTIFS(Validation!$A:$A,W$1,Validation!$S:$S,$A15)&gt;0,"Yes","No"),IF(COUNTIFS(Validation!$A:$A,W$1,Validation!$S:$S,$A15)&gt;0,"Yes","NA"))</f>
        <v>Yes</v>
      </c>
      <c r="X15" s="1" t="str">
        <f t="array" ref="X15">CHOOSE(INDEX('Ontology and concepts per UC'!$G$2:$I$46,MATCH($A15,'Ontology and concepts per UC'!$F$2:$F$46,0),MATCH(LEFT(X$1,3),'Ontology and concepts per UC'!$G$1:$I$1,0))+1,"NA",IF(COUNTIFS(Validation!$A:$A,X$1,Validation!$S:$S,$A15)&gt;0,"Yes","No"),IF(COUNTIFS(Validation!$A:$A,X$1,Validation!$S:$S,$A15)&gt;0,"Yes","NA"))</f>
        <v>NA</v>
      </c>
      <c r="Y15" s="1" t="str">
        <f t="array" ref="Y15">CHOOSE(INDEX('Ontology and concepts per UC'!$G$2:$I$46,MATCH($A15,'Ontology and concepts per UC'!$F$2:$F$46,0),MATCH(LEFT(Y$1,3),'Ontology and concepts per UC'!$G$1:$I$1,0))+1,"NA",IF(COUNTIFS(Validation!$A:$A,Y$1,Validation!$S:$S,$A15)&gt;0,"Yes","No"),IF(COUNTIFS(Validation!$A:$A,Y$1,Validation!$S:$S,$A15)&gt;0,"Yes","NA"))</f>
        <v>NA</v>
      </c>
      <c r="Z15" s="1" t="str">
        <f t="array" ref="Z15">CHOOSE(INDEX('Ontology and concepts per UC'!$G$2:$I$46,MATCH($A15,'Ontology and concepts per UC'!$F$2:$F$46,0),MATCH(LEFT(Z$1,3),'Ontology and concepts per UC'!$G$1:$I$1,0))+1,"NA",IF(COUNTIFS(Validation!$A:$A,Z$1,Validation!$S:$S,$A15)&gt;0,"Yes","No"),IF(COUNTIFS(Validation!$A:$A,Z$1,Validation!$S:$S,$A15)&gt;0,"Yes","NA"))</f>
        <v>NA</v>
      </c>
      <c r="AA15" s="1" t="str">
        <f t="array" ref="AA15">CHOOSE(INDEX('Ontology and concepts per UC'!$G$2:$I$46,MATCH($A15,'Ontology and concepts per UC'!$F$2:$F$46,0),MATCH(LEFT(AA$1,3),'Ontology and concepts per UC'!$G$1:$I$1,0))+1,"NA",IF(COUNTIFS(Validation!$A:$A,AA$1,Validation!$S:$S,$A15)&gt;0,"Yes","No"),IF(COUNTIFS(Validation!$A:$A,AA$1,Validation!$S:$S,$A15)&gt;0,"Yes","NA"))</f>
        <v>NA</v>
      </c>
      <c r="AB15" s="1" t="str">
        <f t="array" ref="AB15">CHOOSE(INDEX('Ontology and concepts per UC'!$G$2:$I$46,MATCH($A15,'Ontology and concepts per UC'!$F$2:$F$46,0),MATCH(LEFT(AB$1,3),'Ontology and concepts per UC'!$G$1:$I$1,0))+1,"NA",IF(COUNTIFS(Validation!$A:$A,AB$1,Validation!$S:$S,$A15)&gt;0,"Yes","No"),IF(COUNTIFS(Validation!$A:$A,AB$1,Validation!$S:$S,$A15)&gt;0,"Yes","NA"))</f>
        <v>No</v>
      </c>
      <c r="AC15" s="1" t="str">
        <f t="array" ref="AC15">CHOOSE(INDEX('Ontology and concepts per UC'!$G$2:$I$46,MATCH($A15,'Ontology and concepts per UC'!$F$2:$F$46,0),MATCH(LEFT(AC$1,3),'Ontology and concepts per UC'!$G$1:$I$1,0))+1,"NA",IF(COUNTIFS(Validation!$A:$A,AC$1,Validation!$S:$S,$A15)&gt;0,"Yes","No"),IF(COUNTIFS(Validation!$A:$A,AC$1,Validation!$S:$S,$A15)&gt;0,"Yes","NA"))</f>
        <v>Yes</v>
      </c>
      <c r="AD15" s="1" t="str">
        <f t="array" ref="AD15">CHOOSE(INDEX('Ontology and concepts per UC'!$G$2:$I$46,MATCH($A15,'Ontology and concepts per UC'!$F$2:$F$46,0),MATCH(LEFT(AD$1,3),'Ontology and concepts per UC'!$G$1:$I$1,0))+1,"NA",IF(COUNTIFS(Validation!$A:$A,AD$1,Validation!$S:$S,$A15)&gt;0,"Yes","No"),IF(COUNTIFS(Validation!$A:$A,AD$1,Validation!$S:$S,$A15)&gt;0,"Yes","NA"))</f>
        <v>Yes</v>
      </c>
      <c r="AE15" s="1" t="str">
        <f t="array" ref="AE15">CHOOSE(INDEX('Ontology and concepts per UC'!$G$2:$I$46,MATCH($A15,'Ontology and concepts per UC'!$F$2:$F$46,0),MATCH(LEFT(AE$1,3),'Ontology and concepts per UC'!$G$1:$I$1,0))+1,"NA",IF(COUNTIFS(Validation!$A:$A,AE$1,Validation!$S:$S,$A15)&gt;0,"Yes","No"),IF(COUNTIFS(Validation!$A:$A,AE$1,Validation!$S:$S,$A15)&gt;0,"Yes","NA"))</f>
        <v>Yes</v>
      </c>
    </row>
    <row r="16" spans="1:31" x14ac:dyDescent="0.25">
      <c r="A16" s="1" t="s">
        <v>28</v>
      </c>
      <c r="B16" s="1" t="str">
        <f t="array" ref="B16">CHOOSE(INDEX('Ontology and concepts per UC'!$G$2:$I$46,MATCH($A16,'Ontology and concepts per UC'!$F$2:$F$46,0),MATCH(LEFT(B$1,3),'Ontology and concepts per UC'!$G$1:$I$1,0))+1,"NA",IF(COUNTIFS(Validation!$A:$A,B$1,Validation!$S:$S,$A16)&gt;0,"Yes","No"),IF(COUNTIFS(Validation!$A:$A,B$1,Validation!$S:$S,$A16)&gt;0,"Yes","NA"))</f>
        <v>Yes</v>
      </c>
      <c r="C16" s="1" t="str">
        <f t="array" ref="C16">CHOOSE(INDEX('Ontology and concepts per UC'!$G$2:$I$46,MATCH($A16,'Ontology and concepts per UC'!$F$2:$F$46,0),MATCH(LEFT(C$1,3),'Ontology and concepts per UC'!$G$1:$I$1,0))+1,"NA",IF(COUNTIFS(Validation!$A:$A,C$1,Validation!$S:$S,$A16)&gt;0,"Yes","No"),IF(COUNTIFS(Validation!$A:$A,C$1,Validation!$S:$S,$A16)&gt;0,"Yes","NA"))</f>
        <v>No</v>
      </c>
      <c r="D16" s="1" t="str">
        <f t="array" ref="D16">CHOOSE(INDEX('Ontology and concepts per UC'!$G$2:$I$46,MATCH($A16,'Ontology and concepts per UC'!$F$2:$F$46,0),MATCH(LEFT(D$1,3),'Ontology and concepts per UC'!$G$1:$I$1,0))+1,"NA",IF(COUNTIFS(Validation!$A:$A,D$1,Validation!$S:$S,$A16)&gt;0,"Yes","No"),IF(COUNTIFS(Validation!$A:$A,D$1,Validation!$S:$S,$A16)&gt;0,"Yes","NA"))</f>
        <v>Yes</v>
      </c>
      <c r="E16" s="1" t="str">
        <f t="array" ref="E16">CHOOSE(INDEX('Ontology and concepts per UC'!$G$2:$I$46,MATCH($A16,'Ontology and concepts per UC'!$F$2:$F$46,0),MATCH(LEFT(E$1,3),'Ontology and concepts per UC'!$G$1:$I$1,0))+1,"NA",IF(COUNTIFS(Validation!$A:$A,E$1,Validation!$S:$S,$A16)&gt;0,"Yes","No"),IF(COUNTIFS(Validation!$A:$A,E$1,Validation!$S:$S,$A16)&gt;0,"Yes","NA"))</f>
        <v>Yes</v>
      </c>
      <c r="F16" s="1" t="str">
        <f t="array" ref="F16">CHOOSE(INDEX('Ontology and concepts per UC'!$G$2:$I$46,MATCH($A16,'Ontology and concepts per UC'!$F$2:$F$46,0),MATCH(LEFT(F$1,3),'Ontology and concepts per UC'!$G$1:$I$1,0))+1,"NA",IF(COUNTIFS(Validation!$A:$A,F$1,Validation!$S:$S,$A16)&gt;0,"Yes","No"),IF(COUNTIFS(Validation!$A:$A,F$1,Validation!$S:$S,$A16)&gt;0,"Yes","NA"))</f>
        <v>Yes</v>
      </c>
      <c r="G16" s="1" t="str">
        <f t="array" ref="G16">CHOOSE(INDEX('Ontology and concepts per UC'!$G$2:$I$46,MATCH($A16,'Ontology and concepts per UC'!$F$2:$F$46,0),MATCH(LEFT(G$1,3),'Ontology and concepts per UC'!$G$1:$I$1,0))+1,"NA",IF(COUNTIFS(Validation!$A:$A,G$1,Validation!$S:$S,$A16)&gt;0,"Yes","No"),IF(COUNTIFS(Validation!$A:$A,G$1,Validation!$S:$S,$A16)&gt;0,"Yes","NA"))</f>
        <v>Yes</v>
      </c>
      <c r="H16" s="1" t="str">
        <f t="array" ref="H16">CHOOSE(INDEX('Ontology and concepts per UC'!$G$2:$I$46,MATCH($A16,'Ontology and concepts per UC'!$F$2:$F$46,0),MATCH(LEFT(H$1,3),'Ontology and concepts per UC'!$G$1:$I$1,0))+1,"NA",IF(COUNTIFS(Validation!$A:$A,H$1,Validation!$S:$S,$A16)&gt;0,"Yes","No"),IF(COUNTIFS(Validation!$A:$A,H$1,Validation!$S:$S,$A16)&gt;0,"Yes","NA"))</f>
        <v>NA</v>
      </c>
      <c r="I16" s="1" t="str">
        <f t="array" ref="I16">CHOOSE(INDEX('Ontology and concepts per UC'!$G$2:$I$46,MATCH($A16,'Ontology and concepts per UC'!$F$2:$F$46,0),MATCH(LEFT(I$1,3),'Ontology and concepts per UC'!$G$1:$I$1,0))+1,"NA",IF(COUNTIFS(Validation!$A:$A,I$1,Validation!$S:$S,$A16)&gt;0,"Yes","No"),IF(COUNTIFS(Validation!$A:$A,I$1,Validation!$S:$S,$A16)&gt;0,"Yes","NA"))</f>
        <v>NA</v>
      </c>
      <c r="J16" s="1" t="str">
        <f t="array" ref="J16">CHOOSE(INDEX('Ontology and concepts per UC'!$G$2:$I$46,MATCH($A16,'Ontology and concepts per UC'!$F$2:$F$46,0),MATCH(LEFT(J$1,3),'Ontology and concepts per UC'!$G$1:$I$1,0))+1,"NA",IF(COUNTIFS(Validation!$A:$A,J$1,Validation!$S:$S,$A16)&gt;0,"Yes","No"),IF(COUNTIFS(Validation!$A:$A,J$1,Validation!$S:$S,$A16)&gt;0,"Yes","NA"))</f>
        <v>NA</v>
      </c>
      <c r="K16" s="1" t="str">
        <f t="array" ref="K16">CHOOSE(INDEX('Ontology and concepts per UC'!$G$2:$I$46,MATCH($A16,'Ontology and concepts per UC'!$F$2:$F$46,0),MATCH(LEFT(K$1,3),'Ontology and concepts per UC'!$G$1:$I$1,0))+1,"NA",IF(COUNTIFS(Validation!$A:$A,K$1,Validation!$S:$S,$A16)&gt;0,"Yes","No"),IF(COUNTIFS(Validation!$A:$A,K$1,Validation!$S:$S,$A16)&gt;0,"Yes","NA"))</f>
        <v>NA</v>
      </c>
      <c r="L16" s="1" t="str">
        <f t="array" ref="L16">CHOOSE(INDEX('Ontology and concepts per UC'!$G$2:$I$46,MATCH($A16,'Ontology and concepts per UC'!$F$2:$F$46,0),MATCH(LEFT(L$1,3),'Ontology and concepts per UC'!$G$1:$I$1,0))+1,"NA",IF(COUNTIFS(Validation!$A:$A,L$1,Validation!$S:$S,$A16)&gt;0,"Yes","No"),IF(COUNTIFS(Validation!$A:$A,L$1,Validation!$S:$S,$A16)&gt;0,"Yes","NA"))</f>
        <v>No</v>
      </c>
      <c r="M16" s="1" t="str">
        <f t="array" ref="M16">CHOOSE(INDEX('Ontology and concepts per UC'!$G$2:$I$46,MATCH($A16,'Ontology and concepts per UC'!$F$2:$F$46,0),MATCH(LEFT(M$1,3),'Ontology and concepts per UC'!$G$1:$I$1,0))+1,"NA",IF(COUNTIFS(Validation!$A:$A,M$1,Validation!$S:$S,$A16)&gt;0,"Yes","No"),IF(COUNTIFS(Validation!$A:$A,M$1,Validation!$S:$S,$A16)&gt;0,"Yes","NA"))</f>
        <v>Yes</v>
      </c>
      <c r="N16" s="1" t="str">
        <f t="array" ref="N16">CHOOSE(INDEX('Ontology and concepts per UC'!$G$2:$I$46,MATCH($A16,'Ontology and concepts per UC'!$F$2:$F$46,0),MATCH(LEFT(N$1,3),'Ontology and concepts per UC'!$G$1:$I$1,0))+1,"NA",IF(COUNTIFS(Validation!$A:$A,N$1,Validation!$S:$S,$A16)&gt;0,"Yes","No"),IF(COUNTIFS(Validation!$A:$A,N$1,Validation!$S:$S,$A16)&gt;0,"Yes","NA"))</f>
        <v>Yes</v>
      </c>
      <c r="O16" s="1" t="str">
        <f t="array" ref="O16">CHOOSE(INDEX('Ontology and concepts per UC'!$G$2:$I$46,MATCH($A16,'Ontology and concepts per UC'!$F$2:$F$46,0),MATCH(LEFT(O$1,3),'Ontology and concepts per UC'!$G$1:$I$1,0))+1,"NA",IF(COUNTIFS(Validation!$A:$A,O$1,Validation!$S:$S,$A16)&gt;0,"Yes","No"),IF(COUNTIFS(Validation!$A:$A,O$1,Validation!$S:$S,$A16)&gt;0,"Yes","NA"))</f>
        <v>Yes</v>
      </c>
      <c r="P16" s="1" t="str">
        <f t="array" ref="P16">CHOOSE(INDEX('Ontology and concepts per UC'!$G$2:$I$46,MATCH($A16,'Ontology and concepts per UC'!$F$2:$F$46,0),MATCH(LEFT(P$1,3),'Ontology and concepts per UC'!$G$1:$I$1,0))+1,"NA",IF(COUNTIFS(Validation!$A:$A,P$1,Validation!$S:$S,$A16)&gt;0,"Yes","No"),IF(COUNTIFS(Validation!$A:$A,P$1,Validation!$S:$S,$A16)&gt;0,"Yes","NA"))</f>
        <v>Yes</v>
      </c>
      <c r="Q16" s="1" t="str">
        <f t="array" ref="Q16">CHOOSE(INDEX('Ontology and concepts per UC'!$G$2:$I$46,MATCH($A16,'Ontology and concepts per UC'!$F$2:$F$46,0),MATCH(LEFT(Q$1,3),'Ontology and concepts per UC'!$G$1:$I$1,0))+1,"NA",IF(COUNTIFS(Validation!$A:$A,Q$1,Validation!$S:$S,$A16)&gt;0,"Yes","No"),IF(COUNTIFS(Validation!$A:$A,Q$1,Validation!$S:$S,$A16)&gt;0,"Yes","NA"))</f>
        <v>Yes</v>
      </c>
      <c r="R16" s="1" t="str">
        <f t="array" ref="R16">CHOOSE(INDEX('Ontology and concepts per UC'!$G$2:$I$46,MATCH($A16,'Ontology and concepts per UC'!$F$2:$F$46,0),MATCH(LEFT(R$1,3),'Ontology and concepts per UC'!$G$1:$I$1,0))+1,"NA",IF(COUNTIFS(Validation!$A:$A,R$1,Validation!$S:$S,$A16)&gt;0,"Yes","No"),IF(COUNTIFS(Validation!$A:$A,R$1,Validation!$S:$S,$A16)&gt;0,"Yes","NA"))</f>
        <v>Yes</v>
      </c>
      <c r="S16" s="1" t="str">
        <f t="array" ref="S16">CHOOSE(INDEX('Ontology and concepts per UC'!$G$2:$I$46,MATCH($A16,'Ontology and concepts per UC'!$F$2:$F$46,0),MATCH(LEFT(S$1,3),'Ontology and concepts per UC'!$G$1:$I$1,0))+1,"NA",IF(COUNTIFS(Validation!$A:$A,S$1,Validation!$S:$S,$A16)&gt;0,"Yes","No"),IF(COUNTIFS(Validation!$A:$A,S$1,Validation!$S:$S,$A16)&gt;0,"Yes","NA"))</f>
        <v>Yes</v>
      </c>
      <c r="T16" s="1" t="str">
        <f t="array" ref="T16">CHOOSE(INDEX('Ontology and concepts per UC'!$G$2:$I$46,MATCH($A16,'Ontology and concepts per UC'!$F$2:$F$46,0),MATCH(LEFT(T$1,3),'Ontology and concepts per UC'!$G$1:$I$1,0))+1,"NA",IF(COUNTIFS(Validation!$A:$A,T$1,Validation!$S:$S,$A16)&gt;0,"Yes","No"),IF(COUNTIFS(Validation!$A:$A,T$1,Validation!$S:$S,$A16)&gt;0,"Yes","NA"))</f>
        <v>Yes</v>
      </c>
      <c r="U16" s="1" t="str">
        <f t="array" ref="U16">CHOOSE(INDEX('Ontology and concepts per UC'!$G$2:$I$46,MATCH($A16,'Ontology and concepts per UC'!$F$2:$F$46,0),MATCH(LEFT(U$1,3),'Ontology and concepts per UC'!$G$1:$I$1,0))+1,"NA",IF(COUNTIFS(Validation!$A:$A,U$1,Validation!$S:$S,$A16)&gt;0,"Yes","No"),IF(COUNTIFS(Validation!$A:$A,U$1,Validation!$S:$S,$A16)&gt;0,"Yes","NA"))</f>
        <v>No</v>
      </c>
      <c r="V16" s="1" t="str">
        <f t="array" ref="V16">CHOOSE(INDEX('Ontology and concepts per UC'!$G$2:$I$46,MATCH($A16,'Ontology and concepts per UC'!$F$2:$F$46,0),MATCH(LEFT(V$1,3),'Ontology and concepts per UC'!$G$1:$I$1,0))+1,"NA",IF(COUNTIFS(Validation!$A:$A,V$1,Validation!$S:$S,$A16)&gt;0,"Yes","No"),IF(COUNTIFS(Validation!$A:$A,V$1,Validation!$S:$S,$A16)&gt;0,"Yes","NA"))</f>
        <v>Yes</v>
      </c>
      <c r="W16" s="1" t="str">
        <f t="array" ref="W16">CHOOSE(INDEX('Ontology and concepts per UC'!$G$2:$I$46,MATCH($A16,'Ontology and concepts per UC'!$F$2:$F$46,0),MATCH(LEFT(W$1,3),'Ontology and concepts per UC'!$G$1:$I$1,0))+1,"NA",IF(COUNTIFS(Validation!$A:$A,W$1,Validation!$S:$S,$A16)&gt;0,"Yes","No"),IF(COUNTIFS(Validation!$A:$A,W$1,Validation!$S:$S,$A16)&gt;0,"Yes","NA"))</f>
        <v>Yes</v>
      </c>
      <c r="X16" s="1" t="str">
        <f t="array" ref="X16">CHOOSE(INDEX('Ontology and concepts per UC'!$G$2:$I$46,MATCH($A16,'Ontology and concepts per UC'!$F$2:$F$46,0),MATCH(LEFT(X$1,3),'Ontology and concepts per UC'!$G$1:$I$1,0))+1,"NA",IF(COUNTIFS(Validation!$A:$A,X$1,Validation!$S:$S,$A16)&gt;0,"Yes","No"),IF(COUNTIFS(Validation!$A:$A,X$1,Validation!$S:$S,$A16)&gt;0,"Yes","NA"))</f>
        <v>NA</v>
      </c>
      <c r="Y16" s="1" t="str">
        <f t="array" ref="Y16">CHOOSE(INDEX('Ontology and concepts per UC'!$G$2:$I$46,MATCH($A16,'Ontology and concepts per UC'!$F$2:$F$46,0),MATCH(LEFT(Y$1,3),'Ontology and concepts per UC'!$G$1:$I$1,0))+1,"NA",IF(COUNTIFS(Validation!$A:$A,Y$1,Validation!$S:$S,$A16)&gt;0,"Yes","No"),IF(COUNTIFS(Validation!$A:$A,Y$1,Validation!$S:$S,$A16)&gt;0,"Yes","NA"))</f>
        <v>NA</v>
      </c>
      <c r="Z16" s="1" t="str">
        <f t="array" ref="Z16">CHOOSE(INDEX('Ontology and concepts per UC'!$G$2:$I$46,MATCH($A16,'Ontology and concepts per UC'!$F$2:$F$46,0),MATCH(LEFT(Z$1,3),'Ontology and concepts per UC'!$G$1:$I$1,0))+1,"NA",IF(COUNTIFS(Validation!$A:$A,Z$1,Validation!$S:$S,$A16)&gt;0,"Yes","No"),IF(COUNTIFS(Validation!$A:$A,Z$1,Validation!$S:$S,$A16)&gt;0,"Yes","NA"))</f>
        <v>NA</v>
      </c>
      <c r="AA16" s="1" t="str">
        <f t="array" ref="AA16">CHOOSE(INDEX('Ontology and concepts per UC'!$G$2:$I$46,MATCH($A16,'Ontology and concepts per UC'!$F$2:$F$46,0),MATCH(LEFT(AA$1,3),'Ontology and concepts per UC'!$G$1:$I$1,0))+1,"NA",IF(COUNTIFS(Validation!$A:$A,AA$1,Validation!$S:$S,$A16)&gt;0,"Yes","No"),IF(COUNTIFS(Validation!$A:$A,AA$1,Validation!$S:$S,$A16)&gt;0,"Yes","NA"))</f>
        <v>NA</v>
      </c>
      <c r="AB16" s="1" t="str">
        <f t="array" ref="AB16">CHOOSE(INDEX('Ontology and concepts per UC'!$G$2:$I$46,MATCH($A16,'Ontology and concepts per UC'!$F$2:$F$46,0),MATCH(LEFT(AB$1,3),'Ontology and concepts per UC'!$G$1:$I$1,0))+1,"NA",IF(COUNTIFS(Validation!$A:$A,AB$1,Validation!$S:$S,$A16)&gt;0,"Yes","No"),IF(COUNTIFS(Validation!$A:$A,AB$1,Validation!$S:$S,$A16)&gt;0,"Yes","NA"))</f>
        <v>No</v>
      </c>
      <c r="AC16" s="1" t="str">
        <f t="array" ref="AC16">CHOOSE(INDEX('Ontology and concepts per UC'!$G$2:$I$46,MATCH($A16,'Ontology and concepts per UC'!$F$2:$F$46,0),MATCH(LEFT(AC$1,3),'Ontology and concepts per UC'!$G$1:$I$1,0))+1,"NA",IF(COUNTIFS(Validation!$A:$A,AC$1,Validation!$S:$S,$A16)&gt;0,"Yes","No"),IF(COUNTIFS(Validation!$A:$A,AC$1,Validation!$S:$S,$A16)&gt;0,"Yes","NA"))</f>
        <v>Yes</v>
      </c>
      <c r="AD16" s="1" t="str">
        <f t="array" ref="AD16">CHOOSE(INDEX('Ontology and concepts per UC'!$G$2:$I$46,MATCH($A16,'Ontology and concepts per UC'!$F$2:$F$46,0),MATCH(LEFT(AD$1,3),'Ontology and concepts per UC'!$G$1:$I$1,0))+1,"NA",IF(COUNTIFS(Validation!$A:$A,AD$1,Validation!$S:$S,$A16)&gt;0,"Yes","No"),IF(COUNTIFS(Validation!$A:$A,AD$1,Validation!$S:$S,$A16)&gt;0,"Yes","NA"))</f>
        <v>Yes</v>
      </c>
      <c r="AE16" s="1" t="str">
        <f t="array" ref="AE16">CHOOSE(INDEX('Ontology and concepts per UC'!$G$2:$I$46,MATCH($A16,'Ontology and concepts per UC'!$F$2:$F$46,0),MATCH(LEFT(AE$1,3),'Ontology and concepts per UC'!$G$1:$I$1,0))+1,"NA",IF(COUNTIFS(Validation!$A:$A,AE$1,Validation!$S:$S,$A16)&gt;0,"Yes","No"),IF(COUNTIFS(Validation!$A:$A,AE$1,Validation!$S:$S,$A16)&gt;0,"Yes","NA"))</f>
        <v>Yes</v>
      </c>
    </row>
    <row r="17" spans="1:31" x14ac:dyDescent="0.25">
      <c r="A17" s="1" t="s">
        <v>29</v>
      </c>
      <c r="B17" s="1" t="str">
        <f t="array" ref="B17">CHOOSE(INDEX('Ontology and concepts per UC'!$G$2:$I$46,MATCH($A17,'Ontology and concepts per UC'!$F$2:$F$46,0),MATCH(LEFT(B$1,3),'Ontology and concepts per UC'!$G$1:$I$1,0))+1,"NA",IF(COUNTIFS(Validation!$A:$A,B$1,Validation!$S:$S,$A17)&gt;0,"Yes","No"),IF(COUNTIFS(Validation!$A:$A,B$1,Validation!$S:$S,$A17)&gt;0,"Yes","NA"))</f>
        <v>Yes</v>
      </c>
      <c r="C17" s="1" t="str">
        <f t="array" ref="C17">CHOOSE(INDEX('Ontology and concepts per UC'!$G$2:$I$46,MATCH($A17,'Ontology and concepts per UC'!$F$2:$F$46,0),MATCH(LEFT(C$1,3),'Ontology and concepts per UC'!$G$1:$I$1,0))+1,"NA",IF(COUNTIFS(Validation!$A:$A,C$1,Validation!$S:$S,$A17)&gt;0,"Yes","No"),IF(COUNTIFS(Validation!$A:$A,C$1,Validation!$S:$S,$A17)&gt;0,"Yes","NA"))</f>
        <v>No</v>
      </c>
      <c r="D17" s="1" t="str">
        <f t="array" ref="D17">CHOOSE(INDEX('Ontology and concepts per UC'!$G$2:$I$46,MATCH($A17,'Ontology and concepts per UC'!$F$2:$F$46,0),MATCH(LEFT(D$1,3),'Ontology and concepts per UC'!$G$1:$I$1,0))+1,"NA",IF(COUNTIFS(Validation!$A:$A,D$1,Validation!$S:$S,$A17)&gt;0,"Yes","No"),IF(COUNTIFS(Validation!$A:$A,D$1,Validation!$S:$S,$A17)&gt;0,"Yes","NA"))</f>
        <v>Yes</v>
      </c>
      <c r="E17" s="1" t="str">
        <f t="array" ref="E17">CHOOSE(INDEX('Ontology and concepts per UC'!$G$2:$I$46,MATCH($A17,'Ontology and concepts per UC'!$F$2:$F$46,0),MATCH(LEFT(E$1,3),'Ontology and concepts per UC'!$G$1:$I$1,0))+1,"NA",IF(COUNTIFS(Validation!$A:$A,E$1,Validation!$S:$S,$A17)&gt;0,"Yes","No"),IF(COUNTIFS(Validation!$A:$A,E$1,Validation!$S:$S,$A17)&gt;0,"Yes","NA"))</f>
        <v>Yes</v>
      </c>
      <c r="F17" s="1" t="str">
        <f t="array" ref="F17">CHOOSE(INDEX('Ontology and concepts per UC'!$G$2:$I$46,MATCH($A17,'Ontology and concepts per UC'!$F$2:$F$46,0),MATCH(LEFT(F$1,3),'Ontology and concepts per UC'!$G$1:$I$1,0))+1,"NA",IF(COUNTIFS(Validation!$A:$A,F$1,Validation!$S:$S,$A17)&gt;0,"Yes","No"),IF(COUNTIFS(Validation!$A:$A,F$1,Validation!$S:$S,$A17)&gt;0,"Yes","NA"))</f>
        <v>Yes</v>
      </c>
      <c r="G17" s="1" t="str">
        <f t="array" ref="G17">CHOOSE(INDEX('Ontology and concepts per UC'!$G$2:$I$46,MATCH($A17,'Ontology and concepts per UC'!$F$2:$F$46,0),MATCH(LEFT(G$1,3),'Ontology and concepts per UC'!$G$1:$I$1,0))+1,"NA",IF(COUNTIFS(Validation!$A:$A,G$1,Validation!$S:$S,$A17)&gt;0,"Yes","No"),IF(COUNTIFS(Validation!$A:$A,G$1,Validation!$S:$S,$A17)&gt;0,"Yes","NA"))</f>
        <v>Yes</v>
      </c>
      <c r="H17" s="1" t="str">
        <f t="array" ref="H17">CHOOSE(INDEX('Ontology and concepts per UC'!$G$2:$I$46,MATCH($A17,'Ontology and concepts per UC'!$F$2:$F$46,0),MATCH(LEFT(H$1,3),'Ontology and concepts per UC'!$G$1:$I$1,0))+1,"NA",IF(COUNTIFS(Validation!$A:$A,H$1,Validation!$S:$S,$A17)&gt;0,"Yes","No"),IF(COUNTIFS(Validation!$A:$A,H$1,Validation!$S:$S,$A17)&gt;0,"Yes","NA"))</f>
        <v>NA</v>
      </c>
      <c r="I17" s="1" t="str">
        <f t="array" ref="I17">CHOOSE(INDEX('Ontology and concepts per UC'!$G$2:$I$46,MATCH($A17,'Ontology and concepts per UC'!$F$2:$F$46,0),MATCH(LEFT(I$1,3),'Ontology and concepts per UC'!$G$1:$I$1,0))+1,"NA",IF(COUNTIFS(Validation!$A:$A,I$1,Validation!$S:$S,$A17)&gt;0,"Yes","No"),IF(COUNTIFS(Validation!$A:$A,I$1,Validation!$S:$S,$A17)&gt;0,"Yes","NA"))</f>
        <v>NA</v>
      </c>
      <c r="J17" s="1" t="str">
        <f t="array" ref="J17">CHOOSE(INDEX('Ontology and concepts per UC'!$G$2:$I$46,MATCH($A17,'Ontology and concepts per UC'!$F$2:$F$46,0),MATCH(LEFT(J$1,3),'Ontology and concepts per UC'!$G$1:$I$1,0))+1,"NA",IF(COUNTIFS(Validation!$A:$A,J$1,Validation!$S:$S,$A17)&gt;0,"Yes","No"),IF(COUNTIFS(Validation!$A:$A,J$1,Validation!$S:$S,$A17)&gt;0,"Yes","NA"))</f>
        <v>NA</v>
      </c>
      <c r="K17" s="1" t="str">
        <f t="array" ref="K17">CHOOSE(INDEX('Ontology and concepts per UC'!$G$2:$I$46,MATCH($A17,'Ontology and concepts per UC'!$F$2:$F$46,0),MATCH(LEFT(K$1,3),'Ontology and concepts per UC'!$G$1:$I$1,0))+1,"NA",IF(COUNTIFS(Validation!$A:$A,K$1,Validation!$S:$S,$A17)&gt;0,"Yes","No"),IF(COUNTIFS(Validation!$A:$A,K$1,Validation!$S:$S,$A17)&gt;0,"Yes","NA"))</f>
        <v>NA</v>
      </c>
      <c r="L17" s="1" t="str">
        <f t="array" ref="L17">CHOOSE(INDEX('Ontology and concepts per UC'!$G$2:$I$46,MATCH($A17,'Ontology and concepts per UC'!$F$2:$F$46,0),MATCH(LEFT(L$1,3),'Ontology and concepts per UC'!$G$1:$I$1,0))+1,"NA",IF(COUNTIFS(Validation!$A:$A,L$1,Validation!$S:$S,$A17)&gt;0,"Yes","No"),IF(COUNTIFS(Validation!$A:$A,L$1,Validation!$S:$S,$A17)&gt;0,"Yes","NA"))</f>
        <v>No</v>
      </c>
      <c r="M17" s="1" t="str">
        <f t="array" ref="M17">CHOOSE(INDEX('Ontology and concepts per UC'!$G$2:$I$46,MATCH($A17,'Ontology and concepts per UC'!$F$2:$F$46,0),MATCH(LEFT(M$1,3),'Ontology and concepts per UC'!$G$1:$I$1,0))+1,"NA",IF(COUNTIFS(Validation!$A:$A,M$1,Validation!$S:$S,$A17)&gt;0,"Yes","No"),IF(COUNTIFS(Validation!$A:$A,M$1,Validation!$S:$S,$A17)&gt;0,"Yes","NA"))</f>
        <v>Yes</v>
      </c>
      <c r="N17" s="1" t="str">
        <f t="array" ref="N17">CHOOSE(INDEX('Ontology and concepts per UC'!$G$2:$I$46,MATCH($A17,'Ontology and concepts per UC'!$F$2:$F$46,0),MATCH(LEFT(N$1,3),'Ontology and concepts per UC'!$G$1:$I$1,0))+1,"NA",IF(COUNTIFS(Validation!$A:$A,N$1,Validation!$S:$S,$A17)&gt;0,"Yes","No"),IF(COUNTIFS(Validation!$A:$A,N$1,Validation!$S:$S,$A17)&gt;0,"Yes","NA"))</f>
        <v>Yes</v>
      </c>
      <c r="O17" s="1" t="str">
        <f t="array" ref="O17">CHOOSE(INDEX('Ontology and concepts per UC'!$G$2:$I$46,MATCH($A17,'Ontology and concepts per UC'!$F$2:$F$46,0),MATCH(LEFT(O$1,3),'Ontology and concepts per UC'!$G$1:$I$1,0))+1,"NA",IF(COUNTIFS(Validation!$A:$A,O$1,Validation!$S:$S,$A17)&gt;0,"Yes","No"),IF(COUNTIFS(Validation!$A:$A,O$1,Validation!$S:$S,$A17)&gt;0,"Yes","NA"))</f>
        <v>Yes</v>
      </c>
      <c r="P17" s="1" t="str">
        <f t="array" ref="P17">CHOOSE(INDEX('Ontology and concepts per UC'!$G$2:$I$46,MATCH($A17,'Ontology and concepts per UC'!$F$2:$F$46,0),MATCH(LEFT(P$1,3),'Ontology and concepts per UC'!$G$1:$I$1,0))+1,"NA",IF(COUNTIFS(Validation!$A:$A,P$1,Validation!$S:$S,$A17)&gt;0,"Yes","No"),IF(COUNTIFS(Validation!$A:$A,P$1,Validation!$S:$S,$A17)&gt;0,"Yes","NA"))</f>
        <v>Yes</v>
      </c>
      <c r="Q17" s="1" t="str">
        <f t="array" ref="Q17">CHOOSE(INDEX('Ontology and concepts per UC'!$G$2:$I$46,MATCH($A17,'Ontology and concepts per UC'!$F$2:$F$46,0),MATCH(LEFT(Q$1,3),'Ontology and concepts per UC'!$G$1:$I$1,0))+1,"NA",IF(COUNTIFS(Validation!$A:$A,Q$1,Validation!$S:$S,$A17)&gt;0,"Yes","No"),IF(COUNTIFS(Validation!$A:$A,Q$1,Validation!$S:$S,$A17)&gt;0,"Yes","NA"))</f>
        <v>No</v>
      </c>
      <c r="R17" s="1" t="str">
        <f t="array" ref="R17">CHOOSE(INDEX('Ontology and concepts per UC'!$G$2:$I$46,MATCH($A17,'Ontology and concepts per UC'!$F$2:$F$46,0),MATCH(LEFT(R$1,3),'Ontology and concepts per UC'!$G$1:$I$1,0))+1,"NA",IF(COUNTIFS(Validation!$A:$A,R$1,Validation!$S:$S,$A17)&gt;0,"Yes","No"),IF(COUNTIFS(Validation!$A:$A,R$1,Validation!$S:$S,$A17)&gt;0,"Yes","NA"))</f>
        <v>Yes</v>
      </c>
      <c r="S17" s="1" t="str">
        <f t="array" ref="S17">CHOOSE(INDEX('Ontology and concepts per UC'!$G$2:$I$46,MATCH($A17,'Ontology and concepts per UC'!$F$2:$F$46,0),MATCH(LEFT(S$1,3),'Ontology and concepts per UC'!$G$1:$I$1,0))+1,"NA",IF(COUNTIFS(Validation!$A:$A,S$1,Validation!$S:$S,$A17)&gt;0,"Yes","No"),IF(COUNTIFS(Validation!$A:$A,S$1,Validation!$S:$S,$A17)&gt;0,"Yes","NA"))</f>
        <v>Yes</v>
      </c>
      <c r="T17" s="1" t="str">
        <f t="array" ref="T17">CHOOSE(INDEX('Ontology and concepts per UC'!$G$2:$I$46,MATCH($A17,'Ontology and concepts per UC'!$F$2:$F$46,0),MATCH(LEFT(T$1,3),'Ontology and concepts per UC'!$G$1:$I$1,0))+1,"NA",IF(COUNTIFS(Validation!$A:$A,T$1,Validation!$S:$S,$A17)&gt;0,"Yes","No"),IF(COUNTIFS(Validation!$A:$A,T$1,Validation!$S:$S,$A17)&gt;0,"Yes","NA"))</f>
        <v>Yes</v>
      </c>
      <c r="U17" s="1" t="str">
        <f t="array" ref="U17">CHOOSE(INDEX('Ontology and concepts per UC'!$G$2:$I$46,MATCH($A17,'Ontology and concepts per UC'!$F$2:$F$46,0),MATCH(LEFT(U$1,3),'Ontology and concepts per UC'!$G$1:$I$1,0))+1,"NA",IF(COUNTIFS(Validation!$A:$A,U$1,Validation!$S:$S,$A17)&gt;0,"Yes","No"),IF(COUNTIFS(Validation!$A:$A,U$1,Validation!$S:$S,$A17)&gt;0,"Yes","NA"))</f>
        <v>Yes</v>
      </c>
      <c r="V17" s="1" t="str">
        <f t="array" ref="V17">CHOOSE(INDEX('Ontology and concepts per UC'!$G$2:$I$46,MATCH($A17,'Ontology and concepts per UC'!$F$2:$F$46,0),MATCH(LEFT(V$1,3),'Ontology and concepts per UC'!$G$1:$I$1,0))+1,"NA",IF(COUNTIFS(Validation!$A:$A,V$1,Validation!$S:$S,$A17)&gt;0,"Yes","No"),IF(COUNTIFS(Validation!$A:$A,V$1,Validation!$S:$S,$A17)&gt;0,"Yes","NA"))</f>
        <v>Yes</v>
      </c>
      <c r="W17" s="1" t="str">
        <f t="array" ref="W17">CHOOSE(INDEX('Ontology and concepts per UC'!$G$2:$I$46,MATCH($A17,'Ontology and concepts per UC'!$F$2:$F$46,0),MATCH(LEFT(W$1,3),'Ontology and concepts per UC'!$G$1:$I$1,0))+1,"NA",IF(COUNTIFS(Validation!$A:$A,W$1,Validation!$S:$S,$A17)&gt;0,"Yes","No"),IF(COUNTIFS(Validation!$A:$A,W$1,Validation!$S:$S,$A17)&gt;0,"Yes","NA"))</f>
        <v>Yes</v>
      </c>
      <c r="X17" s="1" t="str">
        <f t="array" ref="X17">CHOOSE(INDEX('Ontology and concepts per UC'!$G$2:$I$46,MATCH($A17,'Ontology and concepts per UC'!$F$2:$F$46,0),MATCH(LEFT(X$1,3),'Ontology and concepts per UC'!$G$1:$I$1,0))+1,"NA",IF(COUNTIFS(Validation!$A:$A,X$1,Validation!$S:$S,$A17)&gt;0,"Yes","No"),IF(COUNTIFS(Validation!$A:$A,X$1,Validation!$S:$S,$A17)&gt;0,"Yes","NA"))</f>
        <v>NA</v>
      </c>
      <c r="Y17" s="1" t="str">
        <f t="array" ref="Y17">CHOOSE(INDEX('Ontology and concepts per UC'!$G$2:$I$46,MATCH($A17,'Ontology and concepts per UC'!$F$2:$F$46,0),MATCH(LEFT(Y$1,3),'Ontology and concepts per UC'!$G$1:$I$1,0))+1,"NA",IF(COUNTIFS(Validation!$A:$A,Y$1,Validation!$S:$S,$A17)&gt;0,"Yes","No"),IF(COUNTIFS(Validation!$A:$A,Y$1,Validation!$S:$S,$A17)&gt;0,"Yes","NA"))</f>
        <v>NA</v>
      </c>
      <c r="Z17" s="1" t="str">
        <f t="array" ref="Z17">CHOOSE(INDEX('Ontology and concepts per UC'!$G$2:$I$46,MATCH($A17,'Ontology and concepts per UC'!$F$2:$F$46,0),MATCH(LEFT(Z$1,3),'Ontology and concepts per UC'!$G$1:$I$1,0))+1,"NA",IF(COUNTIFS(Validation!$A:$A,Z$1,Validation!$S:$S,$A17)&gt;0,"Yes","No"),IF(COUNTIFS(Validation!$A:$A,Z$1,Validation!$S:$S,$A17)&gt;0,"Yes","NA"))</f>
        <v>NA</v>
      </c>
      <c r="AA17" s="1" t="str">
        <f t="array" ref="AA17">CHOOSE(INDEX('Ontology and concepts per UC'!$G$2:$I$46,MATCH($A17,'Ontology and concepts per UC'!$F$2:$F$46,0),MATCH(LEFT(AA$1,3),'Ontology and concepts per UC'!$G$1:$I$1,0))+1,"NA",IF(COUNTIFS(Validation!$A:$A,AA$1,Validation!$S:$S,$A17)&gt;0,"Yes","No"),IF(COUNTIFS(Validation!$A:$A,AA$1,Validation!$S:$S,$A17)&gt;0,"Yes","NA"))</f>
        <v>NA</v>
      </c>
      <c r="AB17" s="1" t="str">
        <f t="array" ref="AB17">CHOOSE(INDEX('Ontology and concepts per UC'!$G$2:$I$46,MATCH($A17,'Ontology and concepts per UC'!$F$2:$F$46,0),MATCH(LEFT(AB$1,3),'Ontology and concepts per UC'!$G$1:$I$1,0))+1,"NA",IF(COUNTIFS(Validation!$A:$A,AB$1,Validation!$S:$S,$A17)&gt;0,"Yes","No"),IF(COUNTIFS(Validation!$A:$A,AB$1,Validation!$S:$S,$A17)&gt;0,"Yes","NA"))</f>
        <v>No</v>
      </c>
      <c r="AC17" s="1" t="str">
        <f t="array" ref="AC17">CHOOSE(INDEX('Ontology and concepts per UC'!$G$2:$I$46,MATCH($A17,'Ontology and concepts per UC'!$F$2:$F$46,0),MATCH(LEFT(AC$1,3),'Ontology and concepts per UC'!$G$1:$I$1,0))+1,"NA",IF(COUNTIFS(Validation!$A:$A,AC$1,Validation!$S:$S,$A17)&gt;0,"Yes","No"),IF(COUNTIFS(Validation!$A:$A,AC$1,Validation!$S:$S,$A17)&gt;0,"Yes","NA"))</f>
        <v>Yes</v>
      </c>
      <c r="AD17" s="1" t="str">
        <f t="array" ref="AD17">CHOOSE(INDEX('Ontology and concepts per UC'!$G$2:$I$46,MATCH($A17,'Ontology and concepts per UC'!$F$2:$F$46,0),MATCH(LEFT(AD$1,3),'Ontology and concepts per UC'!$G$1:$I$1,0))+1,"NA",IF(COUNTIFS(Validation!$A:$A,AD$1,Validation!$S:$S,$A17)&gt;0,"Yes","No"),IF(COUNTIFS(Validation!$A:$A,AD$1,Validation!$S:$S,$A17)&gt;0,"Yes","NA"))</f>
        <v>Yes</v>
      </c>
      <c r="AE17" s="1" t="str">
        <f t="array" ref="AE17">CHOOSE(INDEX('Ontology and concepts per UC'!$G$2:$I$46,MATCH($A17,'Ontology and concepts per UC'!$F$2:$F$46,0),MATCH(LEFT(AE$1,3),'Ontology and concepts per UC'!$G$1:$I$1,0))+1,"NA",IF(COUNTIFS(Validation!$A:$A,AE$1,Validation!$S:$S,$A17)&gt;0,"Yes","No"),IF(COUNTIFS(Validation!$A:$A,AE$1,Validation!$S:$S,$A17)&gt;0,"Yes","NA"))</f>
        <v>Yes</v>
      </c>
    </row>
    <row r="18" spans="1:31" x14ac:dyDescent="0.25">
      <c r="A18" s="1" t="s">
        <v>30</v>
      </c>
      <c r="B18" s="1" t="str">
        <f t="array" ref="B18">CHOOSE(INDEX('Ontology and concepts per UC'!$G$2:$I$46,MATCH($A18,'Ontology and concepts per UC'!$F$2:$F$46,0),MATCH(LEFT(B$1,3),'Ontology and concepts per UC'!$G$1:$I$1,0))+1,"NA",IF(COUNTIFS(Validation!$A:$A,B$1,Validation!$S:$S,$A18)&gt;0,"Yes","No"),IF(COUNTIFS(Validation!$A:$A,B$1,Validation!$S:$S,$A18)&gt;0,"Yes","NA"))</f>
        <v>Yes</v>
      </c>
      <c r="C18" s="1" t="str">
        <f t="array" ref="C18">CHOOSE(INDEX('Ontology and concepts per UC'!$G$2:$I$46,MATCH($A18,'Ontology and concepts per UC'!$F$2:$F$46,0),MATCH(LEFT(C$1,3),'Ontology and concepts per UC'!$G$1:$I$1,0))+1,"NA",IF(COUNTIFS(Validation!$A:$A,C$1,Validation!$S:$S,$A18)&gt;0,"Yes","No"),IF(COUNTIFS(Validation!$A:$A,C$1,Validation!$S:$S,$A18)&gt;0,"Yes","NA"))</f>
        <v>Yes</v>
      </c>
      <c r="D18" s="1" t="str">
        <f t="array" ref="D18">CHOOSE(INDEX('Ontology and concepts per UC'!$G$2:$I$46,MATCH($A18,'Ontology and concepts per UC'!$F$2:$F$46,0),MATCH(LEFT(D$1,3),'Ontology and concepts per UC'!$G$1:$I$1,0))+1,"NA",IF(COUNTIFS(Validation!$A:$A,D$1,Validation!$S:$S,$A18)&gt;0,"Yes","No"),IF(COUNTIFS(Validation!$A:$A,D$1,Validation!$S:$S,$A18)&gt;0,"Yes","NA"))</f>
        <v>Yes</v>
      </c>
      <c r="E18" s="1" t="str">
        <f t="array" ref="E18">CHOOSE(INDEX('Ontology and concepts per UC'!$G$2:$I$46,MATCH($A18,'Ontology and concepts per UC'!$F$2:$F$46,0),MATCH(LEFT(E$1,3),'Ontology and concepts per UC'!$G$1:$I$1,0))+1,"NA",IF(COUNTIFS(Validation!$A:$A,E$1,Validation!$S:$S,$A18)&gt;0,"Yes","No"),IF(COUNTIFS(Validation!$A:$A,E$1,Validation!$S:$S,$A18)&gt;0,"Yes","NA"))</f>
        <v>Yes</v>
      </c>
      <c r="F18" s="1" t="str">
        <f t="array" ref="F18">CHOOSE(INDEX('Ontology and concepts per UC'!$G$2:$I$46,MATCH($A18,'Ontology and concepts per UC'!$F$2:$F$46,0),MATCH(LEFT(F$1,3),'Ontology and concepts per UC'!$G$1:$I$1,0))+1,"NA",IF(COUNTIFS(Validation!$A:$A,F$1,Validation!$S:$S,$A18)&gt;0,"Yes","No"),IF(COUNTIFS(Validation!$A:$A,F$1,Validation!$S:$S,$A18)&gt;0,"Yes","NA"))</f>
        <v>Yes</v>
      </c>
      <c r="G18" s="1" t="str">
        <f t="array" ref="G18">CHOOSE(INDEX('Ontology and concepts per UC'!$G$2:$I$46,MATCH($A18,'Ontology and concepts per UC'!$F$2:$F$46,0),MATCH(LEFT(G$1,3),'Ontology and concepts per UC'!$G$1:$I$1,0))+1,"NA",IF(COUNTIFS(Validation!$A:$A,G$1,Validation!$S:$S,$A18)&gt;0,"Yes","No"),IF(COUNTIFS(Validation!$A:$A,G$1,Validation!$S:$S,$A18)&gt;0,"Yes","NA"))</f>
        <v>Yes</v>
      </c>
      <c r="H18" s="1" t="str">
        <f t="array" ref="H18">CHOOSE(INDEX('Ontology and concepts per UC'!$G$2:$I$46,MATCH($A18,'Ontology and concepts per UC'!$F$2:$F$46,0),MATCH(LEFT(H$1,3),'Ontology and concepts per UC'!$G$1:$I$1,0))+1,"NA",IF(COUNTIFS(Validation!$A:$A,H$1,Validation!$S:$S,$A18)&gt;0,"Yes","No"),IF(COUNTIFS(Validation!$A:$A,H$1,Validation!$S:$S,$A18)&gt;0,"Yes","NA"))</f>
        <v>NA</v>
      </c>
      <c r="I18" s="1" t="str">
        <f t="array" ref="I18">CHOOSE(INDEX('Ontology and concepts per UC'!$G$2:$I$46,MATCH($A18,'Ontology and concepts per UC'!$F$2:$F$46,0),MATCH(LEFT(I$1,3),'Ontology and concepts per UC'!$G$1:$I$1,0))+1,"NA",IF(COUNTIFS(Validation!$A:$A,I$1,Validation!$S:$S,$A18)&gt;0,"Yes","No"),IF(COUNTIFS(Validation!$A:$A,I$1,Validation!$S:$S,$A18)&gt;0,"Yes","NA"))</f>
        <v>NA</v>
      </c>
      <c r="J18" s="1" t="str">
        <f t="array" ref="J18">CHOOSE(INDEX('Ontology and concepts per UC'!$G$2:$I$46,MATCH($A18,'Ontology and concepts per UC'!$F$2:$F$46,0),MATCH(LEFT(J$1,3),'Ontology and concepts per UC'!$G$1:$I$1,0))+1,"NA",IF(COUNTIFS(Validation!$A:$A,J$1,Validation!$S:$S,$A18)&gt;0,"Yes","No"),IF(COUNTIFS(Validation!$A:$A,J$1,Validation!$S:$S,$A18)&gt;0,"Yes","NA"))</f>
        <v>NA</v>
      </c>
      <c r="K18" s="1" t="str">
        <f t="array" ref="K18">CHOOSE(INDEX('Ontology and concepts per UC'!$G$2:$I$46,MATCH($A18,'Ontology and concepts per UC'!$F$2:$F$46,0),MATCH(LEFT(K$1,3),'Ontology and concepts per UC'!$G$1:$I$1,0))+1,"NA",IF(COUNTIFS(Validation!$A:$A,K$1,Validation!$S:$S,$A18)&gt;0,"Yes","No"),IF(COUNTIFS(Validation!$A:$A,K$1,Validation!$S:$S,$A18)&gt;0,"Yes","NA"))</f>
        <v>NA</v>
      </c>
      <c r="L18" s="1" t="str">
        <f t="array" ref="L18">CHOOSE(INDEX('Ontology and concepts per UC'!$G$2:$I$46,MATCH($A18,'Ontology and concepts per UC'!$F$2:$F$46,0),MATCH(LEFT(L$1,3),'Ontology and concepts per UC'!$G$1:$I$1,0))+1,"NA",IF(COUNTIFS(Validation!$A:$A,L$1,Validation!$S:$S,$A18)&gt;0,"Yes","No"),IF(COUNTIFS(Validation!$A:$A,L$1,Validation!$S:$S,$A18)&gt;0,"Yes","NA"))</f>
        <v>Yes</v>
      </c>
      <c r="M18" s="1" t="str">
        <f t="array" ref="M18">CHOOSE(INDEX('Ontology and concepts per UC'!$G$2:$I$46,MATCH($A18,'Ontology and concepts per UC'!$F$2:$F$46,0),MATCH(LEFT(M$1,3),'Ontology and concepts per UC'!$G$1:$I$1,0))+1,"NA",IF(COUNTIFS(Validation!$A:$A,M$1,Validation!$S:$S,$A18)&gt;0,"Yes","No"),IF(COUNTIFS(Validation!$A:$A,M$1,Validation!$S:$S,$A18)&gt;0,"Yes","NA"))</f>
        <v>Yes</v>
      </c>
      <c r="N18" s="1" t="str">
        <f t="array" ref="N18">CHOOSE(INDEX('Ontology and concepts per UC'!$G$2:$I$46,MATCH($A18,'Ontology and concepts per UC'!$F$2:$F$46,0),MATCH(LEFT(N$1,3),'Ontology and concepts per UC'!$G$1:$I$1,0))+1,"NA",IF(COUNTIFS(Validation!$A:$A,N$1,Validation!$S:$S,$A18)&gt;0,"Yes","No"),IF(COUNTIFS(Validation!$A:$A,N$1,Validation!$S:$S,$A18)&gt;0,"Yes","NA"))</f>
        <v>Yes</v>
      </c>
      <c r="O18" s="1" t="str">
        <f t="array" ref="O18">CHOOSE(INDEX('Ontology and concepts per UC'!$G$2:$I$46,MATCH($A18,'Ontology and concepts per UC'!$F$2:$F$46,0),MATCH(LEFT(O$1,3),'Ontology and concepts per UC'!$G$1:$I$1,0))+1,"NA",IF(COUNTIFS(Validation!$A:$A,O$1,Validation!$S:$S,$A18)&gt;0,"Yes","No"),IF(COUNTIFS(Validation!$A:$A,O$1,Validation!$S:$S,$A18)&gt;0,"Yes","NA"))</f>
        <v>Yes</v>
      </c>
      <c r="P18" s="1" t="str">
        <f t="array" ref="P18">CHOOSE(INDEX('Ontology and concepts per UC'!$G$2:$I$46,MATCH($A18,'Ontology and concepts per UC'!$F$2:$F$46,0),MATCH(LEFT(P$1,3),'Ontology and concepts per UC'!$G$1:$I$1,0))+1,"NA",IF(COUNTIFS(Validation!$A:$A,P$1,Validation!$S:$S,$A18)&gt;0,"Yes","No"),IF(COUNTIFS(Validation!$A:$A,P$1,Validation!$S:$S,$A18)&gt;0,"Yes","NA"))</f>
        <v>Yes</v>
      </c>
      <c r="Q18" s="1" t="str">
        <f t="array" ref="Q18">CHOOSE(INDEX('Ontology and concepts per UC'!$G$2:$I$46,MATCH($A18,'Ontology and concepts per UC'!$F$2:$F$46,0),MATCH(LEFT(Q$1,3),'Ontology and concepts per UC'!$G$1:$I$1,0))+1,"NA",IF(COUNTIFS(Validation!$A:$A,Q$1,Validation!$S:$S,$A18)&gt;0,"Yes","No"),IF(COUNTIFS(Validation!$A:$A,Q$1,Validation!$S:$S,$A18)&gt;0,"Yes","NA"))</f>
        <v>No</v>
      </c>
      <c r="R18" s="1" t="str">
        <f t="array" ref="R18">CHOOSE(INDEX('Ontology and concepts per UC'!$G$2:$I$46,MATCH($A18,'Ontology and concepts per UC'!$F$2:$F$46,0),MATCH(LEFT(R$1,3),'Ontology and concepts per UC'!$G$1:$I$1,0))+1,"NA",IF(COUNTIFS(Validation!$A:$A,R$1,Validation!$S:$S,$A18)&gt;0,"Yes","No"),IF(COUNTIFS(Validation!$A:$A,R$1,Validation!$S:$S,$A18)&gt;0,"Yes","NA"))</f>
        <v>Yes</v>
      </c>
      <c r="S18" s="1" t="str">
        <f t="array" ref="S18">CHOOSE(INDEX('Ontology and concepts per UC'!$G$2:$I$46,MATCH($A18,'Ontology and concepts per UC'!$F$2:$F$46,0),MATCH(LEFT(S$1,3),'Ontology and concepts per UC'!$G$1:$I$1,0))+1,"NA",IF(COUNTIFS(Validation!$A:$A,S$1,Validation!$S:$S,$A18)&gt;0,"Yes","No"),IF(COUNTIFS(Validation!$A:$A,S$1,Validation!$S:$S,$A18)&gt;0,"Yes","NA"))</f>
        <v>Yes</v>
      </c>
      <c r="T18" s="1" t="str">
        <f t="array" ref="T18">CHOOSE(INDEX('Ontology and concepts per UC'!$G$2:$I$46,MATCH($A18,'Ontology and concepts per UC'!$F$2:$F$46,0),MATCH(LEFT(T$1,3),'Ontology and concepts per UC'!$G$1:$I$1,0))+1,"NA",IF(COUNTIFS(Validation!$A:$A,T$1,Validation!$S:$S,$A18)&gt;0,"Yes","No"),IF(COUNTIFS(Validation!$A:$A,T$1,Validation!$S:$S,$A18)&gt;0,"Yes","NA"))</f>
        <v>Yes</v>
      </c>
      <c r="U18" s="1" t="str">
        <f t="array" ref="U18">CHOOSE(INDEX('Ontology and concepts per UC'!$G$2:$I$46,MATCH($A18,'Ontology and concepts per UC'!$F$2:$F$46,0),MATCH(LEFT(U$1,3),'Ontology and concepts per UC'!$G$1:$I$1,0))+1,"NA",IF(COUNTIFS(Validation!$A:$A,U$1,Validation!$S:$S,$A18)&gt;0,"Yes","No"),IF(COUNTIFS(Validation!$A:$A,U$1,Validation!$S:$S,$A18)&gt;0,"Yes","NA"))</f>
        <v>Yes</v>
      </c>
      <c r="V18" s="1" t="str">
        <f t="array" ref="V18">CHOOSE(INDEX('Ontology and concepts per UC'!$G$2:$I$46,MATCH($A18,'Ontology and concepts per UC'!$F$2:$F$46,0),MATCH(LEFT(V$1,3),'Ontology and concepts per UC'!$G$1:$I$1,0))+1,"NA",IF(COUNTIFS(Validation!$A:$A,V$1,Validation!$S:$S,$A18)&gt;0,"Yes","No"),IF(COUNTIFS(Validation!$A:$A,V$1,Validation!$S:$S,$A18)&gt;0,"Yes","NA"))</f>
        <v>Yes</v>
      </c>
      <c r="W18" s="1" t="str">
        <f t="array" ref="W18">CHOOSE(INDEX('Ontology and concepts per UC'!$G$2:$I$46,MATCH($A18,'Ontology and concepts per UC'!$F$2:$F$46,0),MATCH(LEFT(W$1,3),'Ontology and concepts per UC'!$G$1:$I$1,0))+1,"NA",IF(COUNTIFS(Validation!$A:$A,W$1,Validation!$S:$S,$A18)&gt;0,"Yes","No"),IF(COUNTIFS(Validation!$A:$A,W$1,Validation!$S:$S,$A18)&gt;0,"Yes","NA"))</f>
        <v>Yes</v>
      </c>
      <c r="X18" s="1" t="str">
        <f t="array" ref="X18">CHOOSE(INDEX('Ontology and concepts per UC'!$G$2:$I$46,MATCH($A18,'Ontology and concepts per UC'!$F$2:$F$46,0),MATCH(LEFT(X$1,3),'Ontology and concepts per UC'!$G$1:$I$1,0))+1,"NA",IF(COUNTIFS(Validation!$A:$A,X$1,Validation!$S:$S,$A18)&gt;0,"Yes","No"),IF(COUNTIFS(Validation!$A:$A,X$1,Validation!$S:$S,$A18)&gt;0,"Yes","NA"))</f>
        <v>NA</v>
      </c>
      <c r="Y18" s="1" t="str">
        <f t="array" ref="Y18">CHOOSE(INDEX('Ontology and concepts per UC'!$G$2:$I$46,MATCH($A18,'Ontology and concepts per UC'!$F$2:$F$46,0),MATCH(LEFT(Y$1,3),'Ontology and concepts per UC'!$G$1:$I$1,0))+1,"NA",IF(COUNTIFS(Validation!$A:$A,Y$1,Validation!$S:$S,$A18)&gt;0,"Yes","No"),IF(COUNTIFS(Validation!$A:$A,Y$1,Validation!$S:$S,$A18)&gt;0,"Yes","NA"))</f>
        <v>NA</v>
      </c>
      <c r="Z18" s="1" t="str">
        <f t="array" ref="Z18">CHOOSE(INDEX('Ontology and concepts per UC'!$G$2:$I$46,MATCH($A18,'Ontology and concepts per UC'!$F$2:$F$46,0),MATCH(LEFT(Z$1,3),'Ontology and concepts per UC'!$G$1:$I$1,0))+1,"NA",IF(COUNTIFS(Validation!$A:$A,Z$1,Validation!$S:$S,$A18)&gt;0,"Yes","No"),IF(COUNTIFS(Validation!$A:$A,Z$1,Validation!$S:$S,$A18)&gt;0,"Yes","NA"))</f>
        <v>NA</v>
      </c>
      <c r="AA18" s="1" t="str">
        <f t="array" ref="AA18">CHOOSE(INDEX('Ontology and concepts per UC'!$G$2:$I$46,MATCH($A18,'Ontology and concepts per UC'!$F$2:$F$46,0),MATCH(LEFT(AA$1,3),'Ontology and concepts per UC'!$G$1:$I$1,0))+1,"NA",IF(COUNTIFS(Validation!$A:$A,AA$1,Validation!$S:$S,$A18)&gt;0,"Yes","No"),IF(COUNTIFS(Validation!$A:$A,AA$1,Validation!$S:$S,$A18)&gt;0,"Yes","NA"))</f>
        <v>NA</v>
      </c>
      <c r="AB18" s="1" t="str">
        <f t="array" ref="AB18">CHOOSE(INDEX('Ontology and concepts per UC'!$G$2:$I$46,MATCH($A18,'Ontology and concepts per UC'!$F$2:$F$46,0),MATCH(LEFT(AB$1,3),'Ontology and concepts per UC'!$G$1:$I$1,0))+1,"NA",IF(COUNTIFS(Validation!$A:$A,AB$1,Validation!$S:$S,$A18)&gt;0,"Yes","No"),IF(COUNTIFS(Validation!$A:$A,AB$1,Validation!$S:$S,$A18)&gt;0,"Yes","NA"))</f>
        <v>No</v>
      </c>
      <c r="AC18" s="1" t="str">
        <f t="array" ref="AC18">CHOOSE(INDEX('Ontology and concepts per UC'!$G$2:$I$46,MATCH($A18,'Ontology and concepts per UC'!$F$2:$F$46,0),MATCH(LEFT(AC$1,3),'Ontology and concepts per UC'!$G$1:$I$1,0))+1,"NA",IF(COUNTIFS(Validation!$A:$A,AC$1,Validation!$S:$S,$A18)&gt;0,"Yes","No"),IF(COUNTIFS(Validation!$A:$A,AC$1,Validation!$S:$S,$A18)&gt;0,"Yes","NA"))</f>
        <v>Yes</v>
      </c>
      <c r="AD18" s="1" t="str">
        <f t="array" ref="AD18">CHOOSE(INDEX('Ontology and concepts per UC'!$G$2:$I$46,MATCH($A18,'Ontology and concepts per UC'!$F$2:$F$46,0),MATCH(LEFT(AD$1,3),'Ontology and concepts per UC'!$G$1:$I$1,0))+1,"NA",IF(COUNTIFS(Validation!$A:$A,AD$1,Validation!$S:$S,$A18)&gt;0,"Yes","No"),IF(COUNTIFS(Validation!$A:$A,AD$1,Validation!$S:$S,$A18)&gt;0,"Yes","NA"))</f>
        <v>Yes</v>
      </c>
      <c r="AE18" s="1" t="str">
        <f t="array" ref="AE18">CHOOSE(INDEX('Ontology and concepts per UC'!$G$2:$I$46,MATCH($A18,'Ontology and concepts per UC'!$F$2:$F$46,0),MATCH(LEFT(AE$1,3),'Ontology and concepts per UC'!$G$1:$I$1,0))+1,"NA",IF(COUNTIFS(Validation!$A:$A,AE$1,Validation!$S:$S,$A18)&gt;0,"Yes","No"),IF(COUNTIFS(Validation!$A:$A,AE$1,Validation!$S:$S,$A18)&gt;0,"Yes","NA"))</f>
        <v>Yes</v>
      </c>
    </row>
    <row r="19" spans="1:31" x14ac:dyDescent="0.25">
      <c r="A19" s="1" t="s">
        <v>31</v>
      </c>
      <c r="B19" s="1" t="str">
        <f t="array" ref="B19">CHOOSE(INDEX('Ontology and concepts per UC'!$G$2:$I$46,MATCH($A19,'Ontology and concepts per UC'!$F$2:$F$46,0),MATCH(LEFT(B$1,3),'Ontology and concepts per UC'!$G$1:$I$1,0))+1,"NA",IF(COUNTIFS(Validation!$A:$A,B$1,Validation!$S:$S,$A19)&gt;0,"Yes","No"),IF(COUNTIFS(Validation!$A:$A,B$1,Validation!$S:$S,$A19)&gt;0,"Yes","NA"))</f>
        <v>Yes</v>
      </c>
      <c r="C19" s="1" t="str">
        <f t="array" ref="C19">CHOOSE(INDEX('Ontology and concepts per UC'!$G$2:$I$46,MATCH($A19,'Ontology and concepts per UC'!$F$2:$F$46,0),MATCH(LEFT(C$1,3),'Ontology and concepts per UC'!$G$1:$I$1,0))+1,"NA",IF(COUNTIFS(Validation!$A:$A,C$1,Validation!$S:$S,$A19)&gt;0,"Yes","No"),IF(COUNTIFS(Validation!$A:$A,C$1,Validation!$S:$S,$A19)&gt;0,"Yes","NA"))</f>
        <v>Yes</v>
      </c>
      <c r="D19" s="1" t="str">
        <f t="array" ref="D19">CHOOSE(INDEX('Ontology and concepts per UC'!$G$2:$I$46,MATCH($A19,'Ontology and concepts per UC'!$F$2:$F$46,0),MATCH(LEFT(D$1,3),'Ontology and concepts per UC'!$G$1:$I$1,0))+1,"NA",IF(COUNTIFS(Validation!$A:$A,D$1,Validation!$S:$S,$A19)&gt;0,"Yes","No"),IF(COUNTIFS(Validation!$A:$A,D$1,Validation!$S:$S,$A19)&gt;0,"Yes","NA"))</f>
        <v>Yes</v>
      </c>
      <c r="E19" s="1" t="str">
        <f t="array" ref="E19">CHOOSE(INDEX('Ontology and concepts per UC'!$G$2:$I$46,MATCH($A19,'Ontology and concepts per UC'!$F$2:$F$46,0),MATCH(LEFT(E$1,3),'Ontology and concepts per UC'!$G$1:$I$1,0))+1,"NA",IF(COUNTIFS(Validation!$A:$A,E$1,Validation!$S:$S,$A19)&gt;0,"Yes","No"),IF(COUNTIFS(Validation!$A:$A,E$1,Validation!$S:$S,$A19)&gt;0,"Yes","NA"))</f>
        <v>Yes</v>
      </c>
      <c r="F19" s="1" t="str">
        <f t="array" ref="F19">CHOOSE(INDEX('Ontology and concepts per UC'!$G$2:$I$46,MATCH($A19,'Ontology and concepts per UC'!$F$2:$F$46,0),MATCH(LEFT(F$1,3),'Ontology and concepts per UC'!$G$1:$I$1,0))+1,"NA",IF(COUNTIFS(Validation!$A:$A,F$1,Validation!$S:$S,$A19)&gt;0,"Yes","No"),IF(COUNTIFS(Validation!$A:$A,F$1,Validation!$S:$S,$A19)&gt;0,"Yes","NA"))</f>
        <v>Yes</v>
      </c>
      <c r="G19" s="1" t="str">
        <f t="array" ref="G19">CHOOSE(INDEX('Ontology and concepts per UC'!$G$2:$I$46,MATCH($A19,'Ontology and concepts per UC'!$F$2:$F$46,0),MATCH(LEFT(G$1,3),'Ontology and concepts per UC'!$G$1:$I$1,0))+1,"NA",IF(COUNTIFS(Validation!$A:$A,G$1,Validation!$S:$S,$A19)&gt;0,"Yes","No"),IF(COUNTIFS(Validation!$A:$A,G$1,Validation!$S:$S,$A19)&gt;0,"Yes","NA"))</f>
        <v>Yes</v>
      </c>
      <c r="H19" s="1" t="str">
        <f t="array" ref="H19">CHOOSE(INDEX('Ontology and concepts per UC'!$G$2:$I$46,MATCH($A19,'Ontology and concepts per UC'!$F$2:$F$46,0),MATCH(LEFT(H$1,3),'Ontology and concepts per UC'!$G$1:$I$1,0))+1,"NA",IF(COUNTIFS(Validation!$A:$A,H$1,Validation!$S:$S,$A19)&gt;0,"Yes","No"),IF(COUNTIFS(Validation!$A:$A,H$1,Validation!$S:$S,$A19)&gt;0,"Yes","NA"))</f>
        <v>NA</v>
      </c>
      <c r="I19" s="1" t="str">
        <f t="array" ref="I19">CHOOSE(INDEX('Ontology and concepts per UC'!$G$2:$I$46,MATCH($A19,'Ontology and concepts per UC'!$F$2:$F$46,0),MATCH(LEFT(I$1,3),'Ontology and concepts per UC'!$G$1:$I$1,0))+1,"NA",IF(COUNTIFS(Validation!$A:$A,I$1,Validation!$S:$S,$A19)&gt;0,"Yes","No"),IF(COUNTIFS(Validation!$A:$A,I$1,Validation!$S:$S,$A19)&gt;0,"Yes","NA"))</f>
        <v>NA</v>
      </c>
      <c r="J19" s="1" t="str">
        <f t="array" ref="J19">CHOOSE(INDEX('Ontology and concepts per UC'!$G$2:$I$46,MATCH($A19,'Ontology and concepts per UC'!$F$2:$F$46,0),MATCH(LEFT(J$1,3),'Ontology and concepts per UC'!$G$1:$I$1,0))+1,"NA",IF(COUNTIFS(Validation!$A:$A,J$1,Validation!$S:$S,$A19)&gt;0,"Yes","No"),IF(COUNTIFS(Validation!$A:$A,J$1,Validation!$S:$S,$A19)&gt;0,"Yes","NA"))</f>
        <v>NA</v>
      </c>
      <c r="K19" s="1" t="str">
        <f t="array" ref="K19">CHOOSE(INDEX('Ontology and concepts per UC'!$G$2:$I$46,MATCH($A19,'Ontology and concepts per UC'!$F$2:$F$46,0),MATCH(LEFT(K$1,3),'Ontology and concepts per UC'!$G$1:$I$1,0))+1,"NA",IF(COUNTIFS(Validation!$A:$A,K$1,Validation!$S:$S,$A19)&gt;0,"Yes","No"),IF(COUNTIFS(Validation!$A:$A,K$1,Validation!$S:$S,$A19)&gt;0,"Yes","NA"))</f>
        <v>NA</v>
      </c>
      <c r="L19" s="1" t="str">
        <f t="array" ref="L19">CHOOSE(INDEX('Ontology and concepts per UC'!$G$2:$I$46,MATCH($A19,'Ontology and concepts per UC'!$F$2:$F$46,0),MATCH(LEFT(L$1,3),'Ontology and concepts per UC'!$G$1:$I$1,0))+1,"NA",IF(COUNTIFS(Validation!$A:$A,L$1,Validation!$S:$S,$A19)&gt;0,"Yes","No"),IF(COUNTIFS(Validation!$A:$A,L$1,Validation!$S:$S,$A19)&gt;0,"Yes","NA"))</f>
        <v>No</v>
      </c>
      <c r="M19" s="1" t="str">
        <f t="array" ref="M19">CHOOSE(INDEX('Ontology and concepts per UC'!$G$2:$I$46,MATCH($A19,'Ontology and concepts per UC'!$F$2:$F$46,0),MATCH(LEFT(M$1,3),'Ontology and concepts per UC'!$G$1:$I$1,0))+1,"NA",IF(COUNTIFS(Validation!$A:$A,M$1,Validation!$S:$S,$A19)&gt;0,"Yes","No"),IF(COUNTIFS(Validation!$A:$A,M$1,Validation!$S:$S,$A19)&gt;0,"Yes","NA"))</f>
        <v>Yes</v>
      </c>
      <c r="N19" s="1" t="str">
        <f t="array" ref="N19">CHOOSE(INDEX('Ontology and concepts per UC'!$G$2:$I$46,MATCH($A19,'Ontology and concepts per UC'!$F$2:$F$46,0),MATCH(LEFT(N$1,3),'Ontology and concepts per UC'!$G$1:$I$1,0))+1,"NA",IF(COUNTIFS(Validation!$A:$A,N$1,Validation!$S:$S,$A19)&gt;0,"Yes","No"),IF(COUNTIFS(Validation!$A:$A,N$1,Validation!$S:$S,$A19)&gt;0,"Yes","NA"))</f>
        <v>Yes</v>
      </c>
      <c r="O19" s="1" t="str">
        <f t="array" ref="O19">CHOOSE(INDEX('Ontology and concepts per UC'!$G$2:$I$46,MATCH($A19,'Ontology and concepts per UC'!$F$2:$F$46,0),MATCH(LEFT(O$1,3),'Ontology and concepts per UC'!$G$1:$I$1,0))+1,"NA",IF(COUNTIFS(Validation!$A:$A,O$1,Validation!$S:$S,$A19)&gt;0,"Yes","No"),IF(COUNTIFS(Validation!$A:$A,O$1,Validation!$S:$S,$A19)&gt;0,"Yes","NA"))</f>
        <v>Yes</v>
      </c>
      <c r="P19" s="1" t="str">
        <f t="array" ref="P19">CHOOSE(INDEX('Ontology and concepts per UC'!$G$2:$I$46,MATCH($A19,'Ontology and concepts per UC'!$F$2:$F$46,0),MATCH(LEFT(P$1,3),'Ontology and concepts per UC'!$G$1:$I$1,0))+1,"NA",IF(COUNTIFS(Validation!$A:$A,P$1,Validation!$S:$S,$A19)&gt;0,"Yes","No"),IF(COUNTIFS(Validation!$A:$A,P$1,Validation!$S:$S,$A19)&gt;0,"Yes","NA"))</f>
        <v>Yes</v>
      </c>
      <c r="Q19" s="1" t="str">
        <f t="array" ref="Q19">CHOOSE(INDEX('Ontology and concepts per UC'!$G$2:$I$46,MATCH($A19,'Ontology and concepts per UC'!$F$2:$F$46,0),MATCH(LEFT(Q$1,3),'Ontology and concepts per UC'!$G$1:$I$1,0))+1,"NA",IF(COUNTIFS(Validation!$A:$A,Q$1,Validation!$S:$S,$A19)&gt;0,"Yes","No"),IF(COUNTIFS(Validation!$A:$A,Q$1,Validation!$S:$S,$A19)&gt;0,"Yes","NA"))</f>
        <v>Yes</v>
      </c>
      <c r="R19" s="1" t="str">
        <f t="array" ref="R19">CHOOSE(INDEX('Ontology and concepts per UC'!$G$2:$I$46,MATCH($A19,'Ontology and concepts per UC'!$F$2:$F$46,0),MATCH(LEFT(R$1,3),'Ontology and concepts per UC'!$G$1:$I$1,0))+1,"NA",IF(COUNTIFS(Validation!$A:$A,R$1,Validation!$S:$S,$A19)&gt;0,"Yes","No"),IF(COUNTIFS(Validation!$A:$A,R$1,Validation!$S:$S,$A19)&gt;0,"Yes","NA"))</f>
        <v>Yes</v>
      </c>
      <c r="S19" s="1" t="str">
        <f t="array" ref="S19">CHOOSE(INDEX('Ontology and concepts per UC'!$G$2:$I$46,MATCH($A19,'Ontology and concepts per UC'!$F$2:$F$46,0),MATCH(LEFT(S$1,3),'Ontology and concepts per UC'!$G$1:$I$1,0))+1,"NA",IF(COUNTIFS(Validation!$A:$A,S$1,Validation!$S:$S,$A19)&gt;0,"Yes","No"),IF(COUNTIFS(Validation!$A:$A,S$1,Validation!$S:$S,$A19)&gt;0,"Yes","NA"))</f>
        <v>Yes</v>
      </c>
      <c r="T19" s="1" t="str">
        <f t="array" ref="T19">CHOOSE(INDEX('Ontology and concepts per UC'!$G$2:$I$46,MATCH($A19,'Ontology and concepts per UC'!$F$2:$F$46,0),MATCH(LEFT(T$1,3),'Ontology and concepts per UC'!$G$1:$I$1,0))+1,"NA",IF(COUNTIFS(Validation!$A:$A,T$1,Validation!$S:$S,$A19)&gt;0,"Yes","No"),IF(COUNTIFS(Validation!$A:$A,T$1,Validation!$S:$S,$A19)&gt;0,"Yes","NA"))</f>
        <v>Yes</v>
      </c>
      <c r="U19" s="1" t="str">
        <f t="array" ref="U19">CHOOSE(INDEX('Ontology and concepts per UC'!$G$2:$I$46,MATCH($A19,'Ontology and concepts per UC'!$F$2:$F$46,0),MATCH(LEFT(U$1,3),'Ontology and concepts per UC'!$G$1:$I$1,0))+1,"NA",IF(COUNTIFS(Validation!$A:$A,U$1,Validation!$S:$S,$A19)&gt;0,"Yes","No"),IF(COUNTIFS(Validation!$A:$A,U$1,Validation!$S:$S,$A19)&gt;0,"Yes","NA"))</f>
        <v>Yes</v>
      </c>
      <c r="V19" s="1" t="str">
        <f t="array" ref="V19">CHOOSE(INDEX('Ontology and concepts per UC'!$G$2:$I$46,MATCH($A19,'Ontology and concepts per UC'!$F$2:$F$46,0),MATCH(LEFT(V$1,3),'Ontology and concepts per UC'!$G$1:$I$1,0))+1,"NA",IF(COUNTIFS(Validation!$A:$A,V$1,Validation!$S:$S,$A19)&gt;0,"Yes","No"),IF(COUNTIFS(Validation!$A:$A,V$1,Validation!$S:$S,$A19)&gt;0,"Yes","NA"))</f>
        <v>No</v>
      </c>
      <c r="W19" s="1" t="str">
        <f t="array" ref="W19">CHOOSE(INDEX('Ontology and concepts per UC'!$G$2:$I$46,MATCH($A19,'Ontology and concepts per UC'!$F$2:$F$46,0),MATCH(LEFT(W$1,3),'Ontology and concepts per UC'!$G$1:$I$1,0))+1,"NA",IF(COUNTIFS(Validation!$A:$A,W$1,Validation!$S:$S,$A19)&gt;0,"Yes","No"),IF(COUNTIFS(Validation!$A:$A,W$1,Validation!$S:$S,$A19)&gt;0,"Yes","NA"))</f>
        <v>Yes</v>
      </c>
      <c r="X19" s="1" t="str">
        <f t="array" ref="X19">CHOOSE(INDEX('Ontology and concepts per UC'!$G$2:$I$46,MATCH($A19,'Ontology and concepts per UC'!$F$2:$F$46,0),MATCH(LEFT(X$1,3),'Ontology and concepts per UC'!$G$1:$I$1,0))+1,"NA",IF(COUNTIFS(Validation!$A:$A,X$1,Validation!$S:$S,$A19)&gt;0,"Yes","No"),IF(COUNTIFS(Validation!$A:$A,X$1,Validation!$S:$S,$A19)&gt;0,"Yes","NA"))</f>
        <v>NA</v>
      </c>
      <c r="Y19" s="1" t="str">
        <f t="array" ref="Y19">CHOOSE(INDEX('Ontology and concepts per UC'!$G$2:$I$46,MATCH($A19,'Ontology and concepts per UC'!$F$2:$F$46,0),MATCH(LEFT(Y$1,3),'Ontology and concepts per UC'!$G$1:$I$1,0))+1,"NA",IF(COUNTIFS(Validation!$A:$A,Y$1,Validation!$S:$S,$A19)&gt;0,"Yes","No"),IF(COUNTIFS(Validation!$A:$A,Y$1,Validation!$S:$S,$A19)&gt;0,"Yes","NA"))</f>
        <v>NA</v>
      </c>
      <c r="Z19" s="1" t="str">
        <f t="array" ref="Z19">CHOOSE(INDEX('Ontology and concepts per UC'!$G$2:$I$46,MATCH($A19,'Ontology and concepts per UC'!$F$2:$F$46,0),MATCH(LEFT(Z$1,3),'Ontology and concepts per UC'!$G$1:$I$1,0))+1,"NA",IF(COUNTIFS(Validation!$A:$A,Z$1,Validation!$S:$S,$A19)&gt;0,"Yes","No"),IF(COUNTIFS(Validation!$A:$A,Z$1,Validation!$S:$S,$A19)&gt;0,"Yes","NA"))</f>
        <v>NA</v>
      </c>
      <c r="AA19" s="1" t="str">
        <f t="array" ref="AA19">CHOOSE(INDEX('Ontology and concepts per UC'!$G$2:$I$46,MATCH($A19,'Ontology and concepts per UC'!$F$2:$F$46,0),MATCH(LEFT(AA$1,3),'Ontology and concepts per UC'!$G$1:$I$1,0))+1,"NA",IF(COUNTIFS(Validation!$A:$A,AA$1,Validation!$S:$S,$A19)&gt;0,"Yes","No"),IF(COUNTIFS(Validation!$A:$A,AA$1,Validation!$S:$S,$A19)&gt;0,"Yes","NA"))</f>
        <v>NA</v>
      </c>
      <c r="AB19" s="1" t="str">
        <f t="array" ref="AB19">CHOOSE(INDEX('Ontology and concepts per UC'!$G$2:$I$46,MATCH($A19,'Ontology and concepts per UC'!$F$2:$F$46,0),MATCH(LEFT(AB$1,3),'Ontology and concepts per UC'!$G$1:$I$1,0))+1,"NA",IF(COUNTIFS(Validation!$A:$A,AB$1,Validation!$S:$S,$A19)&gt;0,"Yes","No"),IF(COUNTIFS(Validation!$A:$A,AB$1,Validation!$S:$S,$A19)&gt;0,"Yes","NA"))</f>
        <v>No</v>
      </c>
      <c r="AC19" s="1" t="str">
        <f t="array" ref="AC19">CHOOSE(INDEX('Ontology and concepts per UC'!$G$2:$I$46,MATCH($A19,'Ontology and concepts per UC'!$F$2:$F$46,0),MATCH(LEFT(AC$1,3),'Ontology and concepts per UC'!$G$1:$I$1,0))+1,"NA",IF(COUNTIFS(Validation!$A:$A,AC$1,Validation!$S:$S,$A19)&gt;0,"Yes","No"),IF(COUNTIFS(Validation!$A:$A,AC$1,Validation!$S:$S,$A19)&gt;0,"Yes","NA"))</f>
        <v>Yes</v>
      </c>
      <c r="AD19" s="1" t="str">
        <f t="array" ref="AD19">CHOOSE(INDEX('Ontology and concepts per UC'!$G$2:$I$46,MATCH($A19,'Ontology and concepts per UC'!$F$2:$F$46,0),MATCH(LEFT(AD$1,3),'Ontology and concepts per UC'!$G$1:$I$1,0))+1,"NA",IF(COUNTIFS(Validation!$A:$A,AD$1,Validation!$S:$S,$A19)&gt;0,"Yes","No"),IF(COUNTIFS(Validation!$A:$A,AD$1,Validation!$S:$S,$A19)&gt;0,"Yes","NA"))</f>
        <v>No</v>
      </c>
      <c r="AE19" s="1" t="str">
        <f t="array" ref="AE19">CHOOSE(INDEX('Ontology and concepts per UC'!$G$2:$I$46,MATCH($A19,'Ontology and concepts per UC'!$F$2:$F$46,0),MATCH(LEFT(AE$1,3),'Ontology and concepts per UC'!$G$1:$I$1,0))+1,"NA",IF(COUNTIFS(Validation!$A:$A,AE$1,Validation!$S:$S,$A19)&gt;0,"Yes","No"),IF(COUNTIFS(Validation!$A:$A,AE$1,Validation!$S:$S,$A19)&gt;0,"Yes","NA"))</f>
        <v>Yes</v>
      </c>
    </row>
    <row r="20" spans="1:31" x14ac:dyDescent="0.25">
      <c r="A20" s="1" t="s">
        <v>32</v>
      </c>
      <c r="B20" s="1" t="str">
        <f t="array" ref="B20">CHOOSE(INDEX('Ontology and concepts per UC'!$G$2:$I$46,MATCH($A20,'Ontology and concepts per UC'!$F$2:$F$46,0),MATCH(LEFT(B$1,3),'Ontology and concepts per UC'!$G$1:$I$1,0))+1,"NA",IF(COUNTIFS(Validation!$A:$A,B$1,Validation!$S:$S,$A20)&gt;0,"Yes","No"),IF(COUNTIFS(Validation!$A:$A,B$1,Validation!$S:$S,$A20)&gt;0,"Yes","NA"))</f>
        <v>Yes</v>
      </c>
      <c r="C20" s="1" t="str">
        <f t="array" ref="C20">CHOOSE(INDEX('Ontology and concepts per UC'!$G$2:$I$46,MATCH($A20,'Ontology and concepts per UC'!$F$2:$F$46,0),MATCH(LEFT(C$1,3),'Ontology and concepts per UC'!$G$1:$I$1,0))+1,"NA",IF(COUNTIFS(Validation!$A:$A,C$1,Validation!$S:$S,$A20)&gt;0,"Yes","No"),IF(COUNTIFS(Validation!$A:$A,C$1,Validation!$S:$S,$A20)&gt;0,"Yes","NA"))</f>
        <v>No</v>
      </c>
      <c r="D20" s="1" t="str">
        <f t="array" ref="D20">CHOOSE(INDEX('Ontology and concepts per UC'!$G$2:$I$46,MATCH($A20,'Ontology and concepts per UC'!$F$2:$F$46,0),MATCH(LEFT(D$1,3),'Ontology and concepts per UC'!$G$1:$I$1,0))+1,"NA",IF(COUNTIFS(Validation!$A:$A,D$1,Validation!$S:$S,$A20)&gt;0,"Yes","No"),IF(COUNTIFS(Validation!$A:$A,D$1,Validation!$S:$S,$A20)&gt;0,"Yes","NA"))</f>
        <v>Yes</v>
      </c>
      <c r="E20" s="1" t="str">
        <f t="array" ref="E20">CHOOSE(INDEX('Ontology and concepts per UC'!$G$2:$I$46,MATCH($A20,'Ontology and concepts per UC'!$F$2:$F$46,0),MATCH(LEFT(E$1,3),'Ontology and concepts per UC'!$G$1:$I$1,0))+1,"NA",IF(COUNTIFS(Validation!$A:$A,E$1,Validation!$S:$S,$A20)&gt;0,"Yes","No"),IF(COUNTIFS(Validation!$A:$A,E$1,Validation!$S:$S,$A20)&gt;0,"Yes","NA"))</f>
        <v>Yes</v>
      </c>
      <c r="F20" s="1" t="str">
        <f t="array" ref="F20">CHOOSE(INDEX('Ontology and concepts per UC'!$G$2:$I$46,MATCH($A20,'Ontology and concepts per UC'!$F$2:$F$46,0),MATCH(LEFT(F$1,3),'Ontology and concepts per UC'!$G$1:$I$1,0))+1,"NA",IF(COUNTIFS(Validation!$A:$A,F$1,Validation!$S:$S,$A20)&gt;0,"Yes","No"),IF(COUNTIFS(Validation!$A:$A,F$1,Validation!$S:$S,$A20)&gt;0,"Yes","NA"))</f>
        <v>Yes</v>
      </c>
      <c r="G20" s="1" t="str">
        <f t="array" ref="G20">CHOOSE(INDEX('Ontology and concepts per UC'!$G$2:$I$46,MATCH($A20,'Ontology and concepts per UC'!$F$2:$F$46,0),MATCH(LEFT(G$1,3),'Ontology and concepts per UC'!$G$1:$I$1,0))+1,"NA",IF(COUNTIFS(Validation!$A:$A,G$1,Validation!$S:$S,$A20)&gt;0,"Yes","No"),IF(COUNTIFS(Validation!$A:$A,G$1,Validation!$S:$S,$A20)&gt;0,"Yes","NA"))</f>
        <v>Yes</v>
      </c>
      <c r="H20" s="1" t="str">
        <f t="array" ref="H20">CHOOSE(INDEX('Ontology and concepts per UC'!$G$2:$I$46,MATCH($A20,'Ontology and concepts per UC'!$F$2:$F$46,0),MATCH(LEFT(H$1,3),'Ontology and concepts per UC'!$G$1:$I$1,0))+1,"NA",IF(COUNTIFS(Validation!$A:$A,H$1,Validation!$S:$S,$A20)&gt;0,"Yes","No"),IF(COUNTIFS(Validation!$A:$A,H$1,Validation!$S:$S,$A20)&gt;0,"Yes","NA"))</f>
        <v>NA</v>
      </c>
      <c r="I20" s="1" t="str">
        <f t="array" ref="I20">CHOOSE(INDEX('Ontology and concepts per UC'!$G$2:$I$46,MATCH($A20,'Ontology and concepts per UC'!$F$2:$F$46,0),MATCH(LEFT(I$1,3),'Ontology and concepts per UC'!$G$1:$I$1,0))+1,"NA",IF(COUNTIFS(Validation!$A:$A,I$1,Validation!$S:$S,$A20)&gt;0,"Yes","No"),IF(COUNTIFS(Validation!$A:$A,I$1,Validation!$S:$S,$A20)&gt;0,"Yes","NA"))</f>
        <v>NA</v>
      </c>
      <c r="J20" s="1" t="str">
        <f t="array" ref="J20">CHOOSE(INDEX('Ontology and concepts per UC'!$G$2:$I$46,MATCH($A20,'Ontology and concepts per UC'!$F$2:$F$46,0),MATCH(LEFT(J$1,3),'Ontology and concepts per UC'!$G$1:$I$1,0))+1,"NA",IF(COUNTIFS(Validation!$A:$A,J$1,Validation!$S:$S,$A20)&gt;0,"Yes","No"),IF(COUNTIFS(Validation!$A:$A,J$1,Validation!$S:$S,$A20)&gt;0,"Yes","NA"))</f>
        <v>NA</v>
      </c>
      <c r="K20" s="1" t="str">
        <f t="array" ref="K20">CHOOSE(INDEX('Ontology and concepts per UC'!$G$2:$I$46,MATCH($A20,'Ontology and concepts per UC'!$F$2:$F$46,0),MATCH(LEFT(K$1,3),'Ontology and concepts per UC'!$G$1:$I$1,0))+1,"NA",IF(COUNTIFS(Validation!$A:$A,K$1,Validation!$S:$S,$A20)&gt;0,"Yes","No"),IF(COUNTIFS(Validation!$A:$A,K$1,Validation!$S:$S,$A20)&gt;0,"Yes","NA"))</f>
        <v>NA</v>
      </c>
      <c r="L20" s="1" t="str">
        <f t="array" ref="L20">CHOOSE(INDEX('Ontology and concepts per UC'!$G$2:$I$46,MATCH($A20,'Ontology and concepts per UC'!$F$2:$F$46,0),MATCH(LEFT(L$1,3),'Ontology and concepts per UC'!$G$1:$I$1,0))+1,"NA",IF(COUNTIFS(Validation!$A:$A,L$1,Validation!$S:$S,$A20)&gt;0,"Yes","No"),IF(COUNTIFS(Validation!$A:$A,L$1,Validation!$S:$S,$A20)&gt;0,"Yes","NA"))</f>
        <v>No</v>
      </c>
      <c r="M20" s="1" t="str">
        <f t="array" ref="M20">CHOOSE(INDEX('Ontology and concepts per UC'!$G$2:$I$46,MATCH($A20,'Ontology and concepts per UC'!$F$2:$F$46,0),MATCH(LEFT(M$1,3),'Ontology and concepts per UC'!$G$1:$I$1,0))+1,"NA",IF(COUNTIFS(Validation!$A:$A,M$1,Validation!$S:$S,$A20)&gt;0,"Yes","No"),IF(COUNTIFS(Validation!$A:$A,M$1,Validation!$S:$S,$A20)&gt;0,"Yes","NA"))</f>
        <v>Yes</v>
      </c>
      <c r="N20" s="1" t="str">
        <f t="array" ref="N20">CHOOSE(INDEX('Ontology and concepts per UC'!$G$2:$I$46,MATCH($A20,'Ontology and concepts per UC'!$F$2:$F$46,0),MATCH(LEFT(N$1,3),'Ontology and concepts per UC'!$G$1:$I$1,0))+1,"NA",IF(COUNTIFS(Validation!$A:$A,N$1,Validation!$S:$S,$A20)&gt;0,"Yes","No"),IF(COUNTIFS(Validation!$A:$A,N$1,Validation!$S:$S,$A20)&gt;0,"Yes","NA"))</f>
        <v>Yes</v>
      </c>
      <c r="O20" s="1" t="str">
        <f t="array" ref="O20">CHOOSE(INDEX('Ontology and concepts per UC'!$G$2:$I$46,MATCH($A20,'Ontology and concepts per UC'!$F$2:$F$46,0),MATCH(LEFT(O$1,3),'Ontology and concepts per UC'!$G$1:$I$1,0))+1,"NA",IF(COUNTIFS(Validation!$A:$A,O$1,Validation!$S:$S,$A20)&gt;0,"Yes","No"),IF(COUNTIFS(Validation!$A:$A,O$1,Validation!$S:$S,$A20)&gt;0,"Yes","NA"))</f>
        <v>Yes</v>
      </c>
      <c r="P20" s="1" t="str">
        <f t="array" ref="P20">CHOOSE(INDEX('Ontology and concepts per UC'!$G$2:$I$46,MATCH($A20,'Ontology and concepts per UC'!$F$2:$F$46,0),MATCH(LEFT(P$1,3),'Ontology and concepts per UC'!$G$1:$I$1,0))+1,"NA",IF(COUNTIFS(Validation!$A:$A,P$1,Validation!$S:$S,$A20)&gt;0,"Yes","No"),IF(COUNTIFS(Validation!$A:$A,P$1,Validation!$S:$S,$A20)&gt;0,"Yes","NA"))</f>
        <v>Yes</v>
      </c>
      <c r="Q20" s="1" t="str">
        <f t="array" ref="Q20">CHOOSE(INDEX('Ontology and concepts per UC'!$G$2:$I$46,MATCH($A20,'Ontology and concepts per UC'!$F$2:$F$46,0),MATCH(LEFT(Q$1,3),'Ontology and concepts per UC'!$G$1:$I$1,0))+1,"NA",IF(COUNTIFS(Validation!$A:$A,Q$1,Validation!$S:$S,$A20)&gt;0,"Yes","No"),IF(COUNTIFS(Validation!$A:$A,Q$1,Validation!$S:$S,$A20)&gt;0,"Yes","NA"))</f>
        <v>Yes</v>
      </c>
      <c r="R20" s="1" t="str">
        <f t="array" ref="R20">CHOOSE(INDEX('Ontology and concepts per UC'!$G$2:$I$46,MATCH($A20,'Ontology and concepts per UC'!$F$2:$F$46,0),MATCH(LEFT(R$1,3),'Ontology and concepts per UC'!$G$1:$I$1,0))+1,"NA",IF(COUNTIFS(Validation!$A:$A,R$1,Validation!$S:$S,$A20)&gt;0,"Yes","No"),IF(COUNTIFS(Validation!$A:$A,R$1,Validation!$S:$S,$A20)&gt;0,"Yes","NA"))</f>
        <v>Yes</v>
      </c>
      <c r="S20" s="1" t="str">
        <f t="array" ref="S20">CHOOSE(INDEX('Ontology and concepts per UC'!$G$2:$I$46,MATCH($A20,'Ontology and concepts per UC'!$F$2:$F$46,0),MATCH(LEFT(S$1,3),'Ontology and concepts per UC'!$G$1:$I$1,0))+1,"NA",IF(COUNTIFS(Validation!$A:$A,S$1,Validation!$S:$S,$A20)&gt;0,"Yes","No"),IF(COUNTIFS(Validation!$A:$A,S$1,Validation!$S:$S,$A20)&gt;0,"Yes","NA"))</f>
        <v>Yes</v>
      </c>
      <c r="T20" s="1" t="str">
        <f t="array" ref="T20">CHOOSE(INDEX('Ontology and concepts per UC'!$G$2:$I$46,MATCH($A20,'Ontology and concepts per UC'!$F$2:$F$46,0),MATCH(LEFT(T$1,3),'Ontology and concepts per UC'!$G$1:$I$1,0))+1,"NA",IF(COUNTIFS(Validation!$A:$A,T$1,Validation!$S:$S,$A20)&gt;0,"Yes","No"),IF(COUNTIFS(Validation!$A:$A,T$1,Validation!$S:$S,$A20)&gt;0,"Yes","NA"))</f>
        <v>Yes</v>
      </c>
      <c r="U20" s="1" t="str">
        <f t="array" ref="U20">CHOOSE(INDEX('Ontology and concepts per UC'!$G$2:$I$46,MATCH($A20,'Ontology and concepts per UC'!$F$2:$F$46,0),MATCH(LEFT(U$1,3),'Ontology and concepts per UC'!$G$1:$I$1,0))+1,"NA",IF(COUNTIFS(Validation!$A:$A,U$1,Validation!$S:$S,$A20)&gt;0,"Yes","No"),IF(COUNTIFS(Validation!$A:$A,U$1,Validation!$S:$S,$A20)&gt;0,"Yes","NA"))</f>
        <v>No</v>
      </c>
      <c r="V20" s="1" t="str">
        <f t="array" ref="V20">CHOOSE(INDEX('Ontology and concepts per UC'!$G$2:$I$46,MATCH($A20,'Ontology and concepts per UC'!$F$2:$F$46,0),MATCH(LEFT(V$1,3),'Ontology and concepts per UC'!$G$1:$I$1,0))+1,"NA",IF(COUNTIFS(Validation!$A:$A,V$1,Validation!$S:$S,$A20)&gt;0,"Yes","No"),IF(COUNTIFS(Validation!$A:$A,V$1,Validation!$S:$S,$A20)&gt;0,"Yes","NA"))</f>
        <v>Yes</v>
      </c>
      <c r="W20" s="1" t="str">
        <f t="array" ref="W20">CHOOSE(INDEX('Ontology and concepts per UC'!$G$2:$I$46,MATCH($A20,'Ontology and concepts per UC'!$F$2:$F$46,0),MATCH(LEFT(W$1,3),'Ontology and concepts per UC'!$G$1:$I$1,0))+1,"NA",IF(COUNTIFS(Validation!$A:$A,W$1,Validation!$S:$S,$A20)&gt;0,"Yes","No"),IF(COUNTIFS(Validation!$A:$A,W$1,Validation!$S:$S,$A20)&gt;0,"Yes","NA"))</f>
        <v>Yes</v>
      </c>
      <c r="X20" s="1" t="str">
        <f t="array" ref="X20">CHOOSE(INDEX('Ontology and concepts per UC'!$G$2:$I$46,MATCH($A20,'Ontology and concepts per UC'!$F$2:$F$46,0),MATCH(LEFT(X$1,3),'Ontology and concepts per UC'!$G$1:$I$1,0))+1,"NA",IF(COUNTIFS(Validation!$A:$A,X$1,Validation!$S:$S,$A20)&gt;0,"Yes","No"),IF(COUNTIFS(Validation!$A:$A,X$1,Validation!$S:$S,$A20)&gt;0,"Yes","NA"))</f>
        <v>NA</v>
      </c>
      <c r="Y20" s="1" t="str">
        <f t="array" ref="Y20">CHOOSE(INDEX('Ontology and concepts per UC'!$G$2:$I$46,MATCH($A20,'Ontology and concepts per UC'!$F$2:$F$46,0),MATCH(LEFT(Y$1,3),'Ontology and concepts per UC'!$G$1:$I$1,0))+1,"NA",IF(COUNTIFS(Validation!$A:$A,Y$1,Validation!$S:$S,$A20)&gt;0,"Yes","No"),IF(COUNTIFS(Validation!$A:$A,Y$1,Validation!$S:$S,$A20)&gt;0,"Yes","NA"))</f>
        <v>NA</v>
      </c>
      <c r="Z20" s="1" t="str">
        <f t="array" ref="Z20">CHOOSE(INDEX('Ontology and concepts per UC'!$G$2:$I$46,MATCH($A20,'Ontology and concepts per UC'!$F$2:$F$46,0),MATCH(LEFT(Z$1,3),'Ontology and concepts per UC'!$G$1:$I$1,0))+1,"NA",IF(COUNTIFS(Validation!$A:$A,Z$1,Validation!$S:$S,$A20)&gt;0,"Yes","No"),IF(COUNTIFS(Validation!$A:$A,Z$1,Validation!$S:$S,$A20)&gt;0,"Yes","NA"))</f>
        <v>NA</v>
      </c>
      <c r="AA20" s="1" t="str">
        <f t="array" ref="AA20">CHOOSE(INDEX('Ontology and concepts per UC'!$G$2:$I$46,MATCH($A20,'Ontology and concepts per UC'!$F$2:$F$46,0),MATCH(LEFT(AA$1,3),'Ontology and concepts per UC'!$G$1:$I$1,0))+1,"NA",IF(COUNTIFS(Validation!$A:$A,AA$1,Validation!$S:$S,$A20)&gt;0,"Yes","No"),IF(COUNTIFS(Validation!$A:$A,AA$1,Validation!$S:$S,$A20)&gt;0,"Yes","NA"))</f>
        <v>NA</v>
      </c>
      <c r="AB20" s="1" t="str">
        <f t="array" ref="AB20">CHOOSE(INDEX('Ontology and concepts per UC'!$G$2:$I$46,MATCH($A20,'Ontology and concepts per UC'!$F$2:$F$46,0),MATCH(LEFT(AB$1,3),'Ontology and concepts per UC'!$G$1:$I$1,0))+1,"NA",IF(COUNTIFS(Validation!$A:$A,AB$1,Validation!$S:$S,$A20)&gt;0,"Yes","No"),IF(COUNTIFS(Validation!$A:$A,AB$1,Validation!$S:$S,$A20)&gt;0,"Yes","NA"))</f>
        <v>No</v>
      </c>
      <c r="AC20" s="1" t="str">
        <f t="array" ref="AC20">CHOOSE(INDEX('Ontology and concepts per UC'!$G$2:$I$46,MATCH($A20,'Ontology and concepts per UC'!$F$2:$F$46,0),MATCH(LEFT(AC$1,3),'Ontology and concepts per UC'!$G$1:$I$1,0))+1,"NA",IF(COUNTIFS(Validation!$A:$A,AC$1,Validation!$S:$S,$A20)&gt;0,"Yes","No"),IF(COUNTIFS(Validation!$A:$A,AC$1,Validation!$S:$S,$A20)&gt;0,"Yes","NA"))</f>
        <v>Yes</v>
      </c>
      <c r="AD20" s="1" t="str">
        <f t="array" ref="AD20">CHOOSE(INDEX('Ontology and concepts per UC'!$G$2:$I$46,MATCH($A20,'Ontology and concepts per UC'!$F$2:$F$46,0),MATCH(LEFT(AD$1,3),'Ontology and concepts per UC'!$G$1:$I$1,0))+1,"NA",IF(COUNTIFS(Validation!$A:$A,AD$1,Validation!$S:$S,$A20)&gt;0,"Yes","No"),IF(COUNTIFS(Validation!$A:$A,AD$1,Validation!$S:$S,$A20)&gt;0,"Yes","NA"))</f>
        <v>Yes</v>
      </c>
      <c r="AE20" s="1" t="str">
        <f t="array" ref="AE20">CHOOSE(INDEX('Ontology and concepts per UC'!$G$2:$I$46,MATCH($A20,'Ontology and concepts per UC'!$F$2:$F$46,0),MATCH(LEFT(AE$1,3),'Ontology and concepts per UC'!$G$1:$I$1,0))+1,"NA",IF(COUNTIFS(Validation!$A:$A,AE$1,Validation!$S:$S,$A20)&gt;0,"Yes","No"),IF(COUNTIFS(Validation!$A:$A,AE$1,Validation!$S:$S,$A20)&gt;0,"Yes","NA"))</f>
        <v>Yes</v>
      </c>
    </row>
    <row r="21" spans="1:31" x14ac:dyDescent="0.25">
      <c r="A21" s="1" t="s">
        <v>33</v>
      </c>
      <c r="B21" s="1" t="str">
        <f t="array" ref="B21">CHOOSE(INDEX('Ontology and concepts per UC'!$G$2:$I$46,MATCH($A21,'Ontology and concepts per UC'!$F$2:$F$46,0),MATCH(LEFT(B$1,3),'Ontology and concepts per UC'!$G$1:$I$1,0))+1,"NA",IF(COUNTIFS(Validation!$A:$A,B$1,Validation!$S:$S,$A21)&gt;0,"Yes","No"),IF(COUNTIFS(Validation!$A:$A,B$1,Validation!$S:$S,$A21)&gt;0,"Yes","NA"))</f>
        <v>No</v>
      </c>
      <c r="C21" s="1" t="str">
        <f t="array" ref="C21">CHOOSE(INDEX('Ontology and concepts per UC'!$G$2:$I$46,MATCH($A21,'Ontology and concepts per UC'!$F$2:$F$46,0),MATCH(LEFT(C$1,3),'Ontology and concepts per UC'!$G$1:$I$1,0))+1,"NA",IF(COUNTIFS(Validation!$A:$A,C$1,Validation!$S:$S,$A21)&gt;0,"Yes","No"),IF(COUNTIFS(Validation!$A:$A,C$1,Validation!$S:$S,$A21)&gt;0,"Yes","NA"))</f>
        <v>No</v>
      </c>
      <c r="D21" s="1" t="str">
        <f t="array" ref="D21">CHOOSE(INDEX('Ontology and concepts per UC'!$G$2:$I$46,MATCH($A21,'Ontology and concepts per UC'!$F$2:$F$46,0),MATCH(LEFT(D$1,3),'Ontology and concepts per UC'!$G$1:$I$1,0))+1,"NA",IF(COUNTIFS(Validation!$A:$A,D$1,Validation!$S:$S,$A21)&gt;0,"Yes","No"),IF(COUNTIFS(Validation!$A:$A,D$1,Validation!$S:$S,$A21)&gt;0,"Yes","NA"))</f>
        <v>No</v>
      </c>
      <c r="E21" s="1" t="str">
        <f t="array" ref="E21">CHOOSE(INDEX('Ontology and concepts per UC'!$G$2:$I$46,MATCH($A21,'Ontology and concepts per UC'!$F$2:$F$46,0),MATCH(LEFT(E$1,3),'Ontology and concepts per UC'!$G$1:$I$1,0))+1,"NA",IF(COUNTIFS(Validation!$A:$A,E$1,Validation!$S:$S,$A21)&gt;0,"Yes","No"),IF(COUNTIFS(Validation!$A:$A,E$1,Validation!$S:$S,$A21)&gt;0,"Yes","NA"))</f>
        <v>No</v>
      </c>
      <c r="F21" s="1" t="str">
        <f t="array" ref="F21">CHOOSE(INDEX('Ontology and concepts per UC'!$G$2:$I$46,MATCH($A21,'Ontology and concepts per UC'!$F$2:$F$46,0),MATCH(LEFT(F$1,3),'Ontology and concepts per UC'!$G$1:$I$1,0))+1,"NA",IF(COUNTIFS(Validation!$A:$A,F$1,Validation!$S:$S,$A21)&gt;0,"Yes","No"),IF(COUNTIFS(Validation!$A:$A,F$1,Validation!$S:$S,$A21)&gt;0,"Yes","NA"))</f>
        <v>No</v>
      </c>
      <c r="G21" s="1" t="str">
        <f t="array" ref="G21">CHOOSE(INDEX('Ontology and concepts per UC'!$G$2:$I$46,MATCH($A21,'Ontology and concepts per UC'!$F$2:$F$46,0),MATCH(LEFT(G$1,3),'Ontology and concepts per UC'!$G$1:$I$1,0))+1,"NA",IF(COUNTIFS(Validation!$A:$A,G$1,Validation!$S:$S,$A21)&gt;0,"Yes","No"),IF(COUNTIFS(Validation!$A:$A,G$1,Validation!$S:$S,$A21)&gt;0,"Yes","NA"))</f>
        <v>No</v>
      </c>
      <c r="H21" s="1" t="str">
        <f t="array" ref="H21">CHOOSE(INDEX('Ontology and concepts per UC'!$G$2:$I$46,MATCH($A21,'Ontology and concepts per UC'!$F$2:$F$46,0),MATCH(LEFT(H$1,3),'Ontology and concepts per UC'!$G$1:$I$1,0))+1,"NA",IF(COUNTIFS(Validation!$A:$A,H$1,Validation!$S:$S,$A21)&gt;0,"Yes","No"),IF(COUNTIFS(Validation!$A:$A,H$1,Validation!$S:$S,$A21)&gt;0,"Yes","NA"))</f>
        <v>NA</v>
      </c>
      <c r="I21" s="1" t="str">
        <f t="array" ref="I21">CHOOSE(INDEX('Ontology and concepts per UC'!$G$2:$I$46,MATCH($A21,'Ontology and concepts per UC'!$F$2:$F$46,0),MATCH(LEFT(I$1,3),'Ontology and concepts per UC'!$G$1:$I$1,0))+1,"NA",IF(COUNTIFS(Validation!$A:$A,I$1,Validation!$S:$S,$A21)&gt;0,"Yes","No"),IF(COUNTIFS(Validation!$A:$A,I$1,Validation!$S:$S,$A21)&gt;0,"Yes","NA"))</f>
        <v>NA</v>
      </c>
      <c r="J21" s="1" t="str">
        <f t="array" ref="J21">CHOOSE(INDEX('Ontology and concepts per UC'!$G$2:$I$46,MATCH($A21,'Ontology and concepts per UC'!$F$2:$F$46,0),MATCH(LEFT(J$1,3),'Ontology and concepts per UC'!$G$1:$I$1,0))+1,"NA",IF(COUNTIFS(Validation!$A:$A,J$1,Validation!$S:$S,$A21)&gt;0,"Yes","No"),IF(COUNTIFS(Validation!$A:$A,J$1,Validation!$S:$S,$A21)&gt;0,"Yes","NA"))</f>
        <v>NA</v>
      </c>
      <c r="K21" s="1" t="str">
        <f t="array" ref="K21">CHOOSE(INDEX('Ontology and concepts per UC'!$G$2:$I$46,MATCH($A21,'Ontology and concepts per UC'!$F$2:$F$46,0),MATCH(LEFT(K$1,3),'Ontology and concepts per UC'!$G$1:$I$1,0))+1,"NA",IF(COUNTIFS(Validation!$A:$A,K$1,Validation!$S:$S,$A21)&gt;0,"Yes","No"),IF(COUNTIFS(Validation!$A:$A,K$1,Validation!$S:$S,$A21)&gt;0,"Yes","NA"))</f>
        <v>NA</v>
      </c>
      <c r="L21" s="1" t="str">
        <f t="array" ref="L21">CHOOSE(INDEX('Ontology and concepts per UC'!$G$2:$I$46,MATCH($A21,'Ontology and concepts per UC'!$F$2:$F$46,0),MATCH(LEFT(L$1,3),'Ontology and concepts per UC'!$G$1:$I$1,0))+1,"NA",IF(COUNTIFS(Validation!$A:$A,L$1,Validation!$S:$S,$A21)&gt;0,"Yes","No"),IF(COUNTIFS(Validation!$A:$A,L$1,Validation!$S:$S,$A21)&gt;0,"Yes","NA"))</f>
        <v>Yes</v>
      </c>
      <c r="M21" s="1" t="str">
        <f t="array" ref="M21">CHOOSE(INDEX('Ontology and concepts per UC'!$G$2:$I$46,MATCH($A21,'Ontology and concepts per UC'!$F$2:$F$46,0),MATCH(LEFT(M$1,3),'Ontology and concepts per UC'!$G$1:$I$1,0))+1,"NA",IF(COUNTIFS(Validation!$A:$A,M$1,Validation!$S:$S,$A21)&gt;0,"Yes","No"),IF(COUNTIFS(Validation!$A:$A,M$1,Validation!$S:$S,$A21)&gt;0,"Yes","NA"))</f>
        <v>No</v>
      </c>
      <c r="N21" s="1" t="str">
        <f t="array" ref="N21">CHOOSE(INDEX('Ontology and concepts per UC'!$G$2:$I$46,MATCH($A21,'Ontology and concepts per UC'!$F$2:$F$46,0),MATCH(LEFT(N$1,3),'Ontology and concepts per UC'!$G$1:$I$1,0))+1,"NA",IF(COUNTIFS(Validation!$A:$A,N$1,Validation!$S:$S,$A21)&gt;0,"Yes","No"),IF(COUNTIFS(Validation!$A:$A,N$1,Validation!$S:$S,$A21)&gt;0,"Yes","NA"))</f>
        <v>No</v>
      </c>
      <c r="O21" s="1" t="str">
        <f t="array" ref="O21">CHOOSE(INDEX('Ontology and concepts per UC'!$G$2:$I$46,MATCH($A21,'Ontology and concepts per UC'!$F$2:$F$46,0),MATCH(LEFT(O$1,3),'Ontology and concepts per UC'!$G$1:$I$1,0))+1,"NA",IF(COUNTIFS(Validation!$A:$A,O$1,Validation!$S:$S,$A21)&gt;0,"Yes","No"),IF(COUNTIFS(Validation!$A:$A,O$1,Validation!$S:$S,$A21)&gt;0,"Yes","NA"))</f>
        <v>No</v>
      </c>
      <c r="P21" s="1" t="str">
        <f t="array" ref="P21">CHOOSE(INDEX('Ontology and concepts per UC'!$G$2:$I$46,MATCH($A21,'Ontology and concepts per UC'!$F$2:$F$46,0),MATCH(LEFT(P$1,3),'Ontology and concepts per UC'!$G$1:$I$1,0))+1,"NA",IF(COUNTIFS(Validation!$A:$A,P$1,Validation!$S:$S,$A21)&gt;0,"Yes","No"),IF(COUNTIFS(Validation!$A:$A,P$1,Validation!$S:$S,$A21)&gt;0,"Yes","NA"))</f>
        <v>Yes</v>
      </c>
      <c r="Q21" s="1" t="str">
        <f t="array" ref="Q21">CHOOSE(INDEX('Ontology and concepts per UC'!$G$2:$I$46,MATCH($A21,'Ontology and concepts per UC'!$F$2:$F$46,0),MATCH(LEFT(Q$1,3),'Ontology and concepts per UC'!$G$1:$I$1,0))+1,"NA",IF(COUNTIFS(Validation!$A:$A,Q$1,Validation!$S:$S,$A21)&gt;0,"Yes","No"),IF(COUNTIFS(Validation!$A:$A,Q$1,Validation!$S:$S,$A21)&gt;0,"Yes","NA"))</f>
        <v>No</v>
      </c>
      <c r="R21" s="1" t="str">
        <f t="array" ref="R21">CHOOSE(INDEX('Ontology and concepts per UC'!$G$2:$I$46,MATCH($A21,'Ontology and concepts per UC'!$F$2:$F$46,0),MATCH(LEFT(R$1,3),'Ontology and concepts per UC'!$G$1:$I$1,0))+1,"NA",IF(COUNTIFS(Validation!$A:$A,R$1,Validation!$S:$S,$A21)&gt;0,"Yes","No"),IF(COUNTIFS(Validation!$A:$A,R$1,Validation!$S:$S,$A21)&gt;0,"Yes","NA"))</f>
        <v>Yes</v>
      </c>
      <c r="S21" s="1" t="str">
        <f t="array" ref="S21">CHOOSE(INDEX('Ontology and concepts per UC'!$G$2:$I$46,MATCH($A21,'Ontology and concepts per UC'!$F$2:$F$46,0),MATCH(LEFT(S$1,3),'Ontology and concepts per UC'!$G$1:$I$1,0))+1,"NA",IF(COUNTIFS(Validation!$A:$A,S$1,Validation!$S:$S,$A21)&gt;0,"Yes","No"),IF(COUNTIFS(Validation!$A:$A,S$1,Validation!$S:$S,$A21)&gt;0,"Yes","NA"))</f>
        <v>No</v>
      </c>
      <c r="T21" s="1" t="str">
        <f t="array" ref="T21">CHOOSE(INDEX('Ontology and concepts per UC'!$G$2:$I$46,MATCH($A21,'Ontology and concepts per UC'!$F$2:$F$46,0),MATCH(LEFT(T$1,3),'Ontology and concepts per UC'!$G$1:$I$1,0))+1,"NA",IF(COUNTIFS(Validation!$A:$A,T$1,Validation!$S:$S,$A21)&gt;0,"Yes","No"),IF(COUNTIFS(Validation!$A:$A,T$1,Validation!$S:$S,$A21)&gt;0,"Yes","NA"))</f>
        <v>Yes</v>
      </c>
      <c r="U21" s="1" t="str">
        <f t="array" ref="U21">CHOOSE(INDEX('Ontology and concepts per UC'!$G$2:$I$46,MATCH($A21,'Ontology and concepts per UC'!$F$2:$F$46,0),MATCH(LEFT(U$1,3),'Ontology and concepts per UC'!$G$1:$I$1,0))+1,"NA",IF(COUNTIFS(Validation!$A:$A,U$1,Validation!$S:$S,$A21)&gt;0,"Yes","No"),IF(COUNTIFS(Validation!$A:$A,U$1,Validation!$S:$S,$A21)&gt;0,"Yes","NA"))</f>
        <v>No</v>
      </c>
      <c r="V21" s="1" t="str">
        <f t="array" ref="V21">CHOOSE(INDEX('Ontology and concepts per UC'!$G$2:$I$46,MATCH($A21,'Ontology and concepts per UC'!$F$2:$F$46,0),MATCH(LEFT(V$1,3),'Ontology and concepts per UC'!$G$1:$I$1,0))+1,"NA",IF(COUNTIFS(Validation!$A:$A,V$1,Validation!$S:$S,$A21)&gt;0,"Yes","No"),IF(COUNTIFS(Validation!$A:$A,V$1,Validation!$S:$S,$A21)&gt;0,"Yes","NA"))</f>
        <v>No</v>
      </c>
      <c r="W21" s="1" t="str">
        <f t="array" ref="W21">CHOOSE(INDEX('Ontology and concepts per UC'!$G$2:$I$46,MATCH($A21,'Ontology and concepts per UC'!$F$2:$F$46,0),MATCH(LEFT(W$1,3),'Ontology and concepts per UC'!$G$1:$I$1,0))+1,"NA",IF(COUNTIFS(Validation!$A:$A,W$1,Validation!$S:$S,$A21)&gt;0,"Yes","No"),IF(COUNTIFS(Validation!$A:$A,W$1,Validation!$S:$S,$A21)&gt;0,"Yes","NA"))</f>
        <v>No</v>
      </c>
      <c r="X21" s="1" t="str">
        <f t="array" ref="X21">CHOOSE(INDEX('Ontology and concepts per UC'!$G$2:$I$46,MATCH($A21,'Ontology and concepts per UC'!$F$2:$F$46,0),MATCH(LEFT(X$1,3),'Ontology and concepts per UC'!$G$1:$I$1,0))+1,"NA",IF(COUNTIFS(Validation!$A:$A,X$1,Validation!$S:$S,$A21)&gt;0,"Yes","No"),IF(COUNTIFS(Validation!$A:$A,X$1,Validation!$S:$S,$A21)&gt;0,"Yes","NA"))</f>
        <v>NA</v>
      </c>
      <c r="Y21" s="1" t="str">
        <f t="array" ref="Y21">CHOOSE(INDEX('Ontology and concepts per UC'!$G$2:$I$46,MATCH($A21,'Ontology and concepts per UC'!$F$2:$F$46,0),MATCH(LEFT(Y$1,3),'Ontology and concepts per UC'!$G$1:$I$1,0))+1,"NA",IF(COUNTIFS(Validation!$A:$A,Y$1,Validation!$S:$S,$A21)&gt;0,"Yes","No"),IF(COUNTIFS(Validation!$A:$A,Y$1,Validation!$S:$S,$A21)&gt;0,"Yes","NA"))</f>
        <v>NA</v>
      </c>
      <c r="Z21" s="1" t="str">
        <f t="array" ref="Z21">CHOOSE(INDEX('Ontology and concepts per UC'!$G$2:$I$46,MATCH($A21,'Ontology and concepts per UC'!$F$2:$F$46,0),MATCH(LEFT(Z$1,3),'Ontology and concepts per UC'!$G$1:$I$1,0))+1,"NA",IF(COUNTIFS(Validation!$A:$A,Z$1,Validation!$S:$S,$A21)&gt;0,"Yes","No"),IF(COUNTIFS(Validation!$A:$A,Z$1,Validation!$S:$S,$A21)&gt;0,"Yes","NA"))</f>
        <v>NA</v>
      </c>
      <c r="AA21" s="1" t="str">
        <f t="array" ref="AA21">CHOOSE(INDEX('Ontology and concepts per UC'!$G$2:$I$46,MATCH($A21,'Ontology and concepts per UC'!$F$2:$F$46,0),MATCH(LEFT(AA$1,3),'Ontology and concepts per UC'!$G$1:$I$1,0))+1,"NA",IF(COUNTIFS(Validation!$A:$A,AA$1,Validation!$S:$S,$A21)&gt;0,"Yes","No"),IF(COUNTIFS(Validation!$A:$A,AA$1,Validation!$S:$S,$A21)&gt;0,"Yes","NA"))</f>
        <v>NA</v>
      </c>
      <c r="AB21" s="1" t="str">
        <f t="array" ref="AB21">CHOOSE(INDEX('Ontology and concepts per UC'!$G$2:$I$46,MATCH($A21,'Ontology and concepts per UC'!$F$2:$F$46,0),MATCH(LEFT(AB$1,3),'Ontology and concepts per UC'!$G$1:$I$1,0))+1,"NA",IF(COUNTIFS(Validation!$A:$A,AB$1,Validation!$S:$S,$A21)&gt;0,"Yes","No"),IF(COUNTIFS(Validation!$A:$A,AB$1,Validation!$S:$S,$A21)&gt;0,"Yes","NA"))</f>
        <v>Yes</v>
      </c>
      <c r="AC21" s="1" t="str">
        <f t="array" ref="AC21">CHOOSE(INDEX('Ontology and concepts per UC'!$G$2:$I$46,MATCH($A21,'Ontology and concepts per UC'!$F$2:$F$46,0),MATCH(LEFT(AC$1,3),'Ontology and concepts per UC'!$G$1:$I$1,0))+1,"NA",IF(COUNTIFS(Validation!$A:$A,AC$1,Validation!$S:$S,$A21)&gt;0,"Yes","No"),IF(COUNTIFS(Validation!$A:$A,AC$1,Validation!$S:$S,$A21)&gt;0,"Yes","NA"))</f>
        <v>Yes</v>
      </c>
      <c r="AD21" s="1" t="str">
        <f t="array" ref="AD21">CHOOSE(INDEX('Ontology and concepts per UC'!$G$2:$I$46,MATCH($A21,'Ontology and concepts per UC'!$F$2:$F$46,0),MATCH(LEFT(AD$1,3),'Ontology and concepts per UC'!$G$1:$I$1,0))+1,"NA",IF(COUNTIFS(Validation!$A:$A,AD$1,Validation!$S:$S,$A21)&gt;0,"Yes","No"),IF(COUNTIFS(Validation!$A:$A,AD$1,Validation!$S:$S,$A21)&gt;0,"Yes","NA"))</f>
        <v>Yes</v>
      </c>
      <c r="AE21" s="1" t="str">
        <f t="array" ref="AE21">CHOOSE(INDEX('Ontology and concepts per UC'!$G$2:$I$46,MATCH($A21,'Ontology and concepts per UC'!$F$2:$F$46,0),MATCH(LEFT(AE$1,3),'Ontology and concepts per UC'!$G$1:$I$1,0))+1,"NA",IF(COUNTIFS(Validation!$A:$A,AE$1,Validation!$S:$S,$A21)&gt;0,"Yes","No"),IF(COUNTIFS(Validation!$A:$A,AE$1,Validation!$S:$S,$A21)&gt;0,"Yes","NA"))</f>
        <v>Yes</v>
      </c>
    </row>
    <row r="22" spans="1:31" x14ac:dyDescent="0.25">
      <c r="A22" s="1" t="s">
        <v>35</v>
      </c>
      <c r="B22" s="1" t="str">
        <f t="array" ref="B22">CHOOSE(INDEX('Ontology and concepts per UC'!$G$2:$I$46,MATCH($A22,'Ontology and concepts per UC'!$F$2:$F$46,0),MATCH(LEFT(B$1,3),'Ontology and concepts per UC'!$G$1:$I$1,0))+1,"NA",IF(COUNTIFS(Validation!$A:$A,B$1,Validation!$S:$S,$A22)&gt;0,"Yes","No"),IF(COUNTIFS(Validation!$A:$A,B$1,Validation!$S:$S,$A22)&gt;0,"Yes","NA"))</f>
        <v>Yes</v>
      </c>
      <c r="C22" s="1" t="str">
        <f t="array" ref="C22">CHOOSE(INDEX('Ontology and concepts per UC'!$G$2:$I$46,MATCH($A22,'Ontology and concepts per UC'!$F$2:$F$46,0),MATCH(LEFT(C$1,3),'Ontology and concepts per UC'!$G$1:$I$1,0))+1,"NA",IF(COUNTIFS(Validation!$A:$A,C$1,Validation!$S:$S,$A22)&gt;0,"Yes","No"),IF(COUNTIFS(Validation!$A:$A,C$1,Validation!$S:$S,$A22)&gt;0,"Yes","NA"))</f>
        <v>Yes</v>
      </c>
      <c r="D22" s="1" t="str">
        <f t="array" ref="D22">CHOOSE(INDEX('Ontology and concepts per UC'!$G$2:$I$46,MATCH($A22,'Ontology and concepts per UC'!$F$2:$F$46,0),MATCH(LEFT(D$1,3),'Ontology and concepts per UC'!$G$1:$I$1,0))+1,"NA",IF(COUNTIFS(Validation!$A:$A,D$1,Validation!$S:$S,$A22)&gt;0,"Yes","No"),IF(COUNTIFS(Validation!$A:$A,D$1,Validation!$S:$S,$A22)&gt;0,"Yes","NA"))</f>
        <v>Yes</v>
      </c>
      <c r="E22" s="1" t="str">
        <f t="array" ref="E22">CHOOSE(INDEX('Ontology and concepts per UC'!$G$2:$I$46,MATCH($A22,'Ontology and concepts per UC'!$F$2:$F$46,0),MATCH(LEFT(E$1,3),'Ontology and concepts per UC'!$G$1:$I$1,0))+1,"NA",IF(COUNTIFS(Validation!$A:$A,E$1,Validation!$S:$S,$A22)&gt;0,"Yes","No"),IF(COUNTIFS(Validation!$A:$A,E$1,Validation!$S:$S,$A22)&gt;0,"Yes","NA"))</f>
        <v>Yes</v>
      </c>
      <c r="F22" s="1" t="str">
        <f t="array" ref="F22">CHOOSE(INDEX('Ontology and concepts per UC'!$G$2:$I$46,MATCH($A22,'Ontology and concepts per UC'!$F$2:$F$46,0),MATCH(LEFT(F$1,3),'Ontology and concepts per UC'!$G$1:$I$1,0))+1,"NA",IF(COUNTIFS(Validation!$A:$A,F$1,Validation!$S:$S,$A22)&gt;0,"Yes","No"),IF(COUNTIFS(Validation!$A:$A,F$1,Validation!$S:$S,$A22)&gt;0,"Yes","NA"))</f>
        <v>Yes</v>
      </c>
      <c r="G22" s="1" t="str">
        <f t="array" ref="G22">CHOOSE(INDEX('Ontology and concepts per UC'!$G$2:$I$46,MATCH($A22,'Ontology and concepts per UC'!$F$2:$F$46,0),MATCH(LEFT(G$1,3),'Ontology and concepts per UC'!$G$1:$I$1,0))+1,"NA",IF(COUNTIFS(Validation!$A:$A,G$1,Validation!$S:$S,$A22)&gt;0,"Yes","No"),IF(COUNTIFS(Validation!$A:$A,G$1,Validation!$S:$S,$A22)&gt;0,"Yes","NA"))</f>
        <v>Yes</v>
      </c>
      <c r="H22" s="1" t="str">
        <f t="array" ref="H22">CHOOSE(INDEX('Ontology and concepts per UC'!$G$2:$I$46,MATCH($A22,'Ontology and concepts per UC'!$F$2:$F$46,0),MATCH(LEFT(H$1,3),'Ontology and concepts per UC'!$G$1:$I$1,0))+1,"NA",IF(COUNTIFS(Validation!$A:$A,H$1,Validation!$S:$S,$A22)&gt;0,"Yes","No"),IF(COUNTIFS(Validation!$A:$A,H$1,Validation!$S:$S,$A22)&gt;0,"Yes","NA"))</f>
        <v>NA</v>
      </c>
      <c r="I22" s="1" t="str">
        <f t="array" ref="I22">CHOOSE(INDEX('Ontology and concepts per UC'!$G$2:$I$46,MATCH($A22,'Ontology and concepts per UC'!$F$2:$F$46,0),MATCH(LEFT(I$1,3),'Ontology and concepts per UC'!$G$1:$I$1,0))+1,"NA",IF(COUNTIFS(Validation!$A:$A,I$1,Validation!$S:$S,$A22)&gt;0,"Yes","No"),IF(COUNTIFS(Validation!$A:$A,I$1,Validation!$S:$S,$A22)&gt;0,"Yes","NA"))</f>
        <v>NA</v>
      </c>
      <c r="J22" s="1" t="str">
        <f t="array" ref="J22">CHOOSE(INDEX('Ontology and concepts per UC'!$G$2:$I$46,MATCH($A22,'Ontology and concepts per UC'!$F$2:$F$46,0),MATCH(LEFT(J$1,3),'Ontology and concepts per UC'!$G$1:$I$1,0))+1,"NA",IF(COUNTIFS(Validation!$A:$A,J$1,Validation!$S:$S,$A22)&gt;0,"Yes","No"),IF(COUNTIFS(Validation!$A:$A,J$1,Validation!$S:$S,$A22)&gt;0,"Yes","NA"))</f>
        <v>NA</v>
      </c>
      <c r="K22" s="1" t="str">
        <f t="array" ref="K22">CHOOSE(INDEX('Ontology and concepts per UC'!$G$2:$I$46,MATCH($A22,'Ontology and concepts per UC'!$F$2:$F$46,0),MATCH(LEFT(K$1,3),'Ontology and concepts per UC'!$G$1:$I$1,0))+1,"NA",IF(COUNTIFS(Validation!$A:$A,K$1,Validation!$S:$S,$A22)&gt;0,"Yes","No"),IF(COUNTIFS(Validation!$A:$A,K$1,Validation!$S:$S,$A22)&gt;0,"Yes","NA"))</f>
        <v>NA</v>
      </c>
      <c r="L22" s="1" t="str">
        <f t="array" ref="L22">CHOOSE(INDEX('Ontology and concepts per UC'!$G$2:$I$46,MATCH($A22,'Ontology and concepts per UC'!$F$2:$F$46,0),MATCH(LEFT(L$1,3),'Ontology and concepts per UC'!$G$1:$I$1,0))+1,"NA",IF(COUNTIFS(Validation!$A:$A,L$1,Validation!$S:$S,$A22)&gt;0,"Yes","No"),IF(COUNTIFS(Validation!$A:$A,L$1,Validation!$S:$S,$A22)&gt;0,"Yes","NA"))</f>
        <v>Yes</v>
      </c>
      <c r="M22" s="1" t="str">
        <f t="array" ref="M22">CHOOSE(INDEX('Ontology and concepts per UC'!$G$2:$I$46,MATCH($A22,'Ontology and concepts per UC'!$F$2:$F$46,0),MATCH(LEFT(M$1,3),'Ontology and concepts per UC'!$G$1:$I$1,0))+1,"NA",IF(COUNTIFS(Validation!$A:$A,M$1,Validation!$S:$S,$A22)&gt;0,"Yes","No"),IF(COUNTIFS(Validation!$A:$A,M$1,Validation!$S:$S,$A22)&gt;0,"Yes","NA"))</f>
        <v>Yes</v>
      </c>
      <c r="N22" s="1" t="str">
        <f t="array" ref="N22">CHOOSE(INDEX('Ontology and concepts per UC'!$G$2:$I$46,MATCH($A22,'Ontology and concepts per UC'!$F$2:$F$46,0),MATCH(LEFT(N$1,3),'Ontology and concepts per UC'!$G$1:$I$1,0))+1,"NA",IF(COUNTIFS(Validation!$A:$A,N$1,Validation!$S:$S,$A22)&gt;0,"Yes","No"),IF(COUNTIFS(Validation!$A:$A,N$1,Validation!$S:$S,$A22)&gt;0,"Yes","NA"))</f>
        <v>Yes</v>
      </c>
      <c r="O22" s="1" t="str">
        <f t="array" ref="O22">CHOOSE(INDEX('Ontology and concepts per UC'!$G$2:$I$46,MATCH($A22,'Ontology and concepts per UC'!$F$2:$F$46,0),MATCH(LEFT(O$1,3),'Ontology and concepts per UC'!$G$1:$I$1,0))+1,"NA",IF(COUNTIFS(Validation!$A:$A,O$1,Validation!$S:$S,$A22)&gt;0,"Yes","No"),IF(COUNTIFS(Validation!$A:$A,O$1,Validation!$S:$S,$A22)&gt;0,"Yes","NA"))</f>
        <v>Yes</v>
      </c>
      <c r="P22" s="1" t="str">
        <f t="array" ref="P22">CHOOSE(INDEX('Ontology and concepts per UC'!$G$2:$I$46,MATCH($A22,'Ontology and concepts per UC'!$F$2:$F$46,0),MATCH(LEFT(P$1,3),'Ontology and concepts per UC'!$G$1:$I$1,0))+1,"NA",IF(COUNTIFS(Validation!$A:$A,P$1,Validation!$S:$S,$A22)&gt;0,"Yes","No"),IF(COUNTIFS(Validation!$A:$A,P$1,Validation!$S:$S,$A22)&gt;0,"Yes","NA"))</f>
        <v>Yes</v>
      </c>
      <c r="Q22" s="1" t="str">
        <f t="array" ref="Q22">CHOOSE(INDEX('Ontology and concepts per UC'!$G$2:$I$46,MATCH($A22,'Ontology and concepts per UC'!$F$2:$F$46,0),MATCH(LEFT(Q$1,3),'Ontology and concepts per UC'!$G$1:$I$1,0))+1,"NA",IF(COUNTIFS(Validation!$A:$A,Q$1,Validation!$S:$S,$A22)&gt;0,"Yes","No"),IF(COUNTIFS(Validation!$A:$A,Q$1,Validation!$S:$S,$A22)&gt;0,"Yes","NA"))</f>
        <v>Yes</v>
      </c>
      <c r="R22" s="1" t="str">
        <f t="array" ref="R22">CHOOSE(INDEX('Ontology and concepts per UC'!$G$2:$I$46,MATCH($A22,'Ontology and concepts per UC'!$F$2:$F$46,0),MATCH(LEFT(R$1,3),'Ontology and concepts per UC'!$G$1:$I$1,0))+1,"NA",IF(COUNTIFS(Validation!$A:$A,R$1,Validation!$S:$S,$A22)&gt;0,"Yes","No"),IF(COUNTIFS(Validation!$A:$A,R$1,Validation!$S:$S,$A22)&gt;0,"Yes","NA"))</f>
        <v>Yes</v>
      </c>
      <c r="S22" s="1" t="str">
        <f t="array" ref="S22">CHOOSE(INDEX('Ontology and concepts per UC'!$G$2:$I$46,MATCH($A22,'Ontology and concepts per UC'!$F$2:$F$46,0),MATCH(LEFT(S$1,3),'Ontology and concepts per UC'!$G$1:$I$1,0))+1,"NA",IF(COUNTIFS(Validation!$A:$A,S$1,Validation!$S:$S,$A22)&gt;0,"Yes","No"),IF(COUNTIFS(Validation!$A:$A,S$1,Validation!$S:$S,$A22)&gt;0,"Yes","NA"))</f>
        <v>Yes</v>
      </c>
      <c r="T22" s="1" t="str">
        <f t="array" ref="T22">CHOOSE(INDEX('Ontology and concepts per UC'!$G$2:$I$46,MATCH($A22,'Ontology and concepts per UC'!$F$2:$F$46,0),MATCH(LEFT(T$1,3),'Ontology and concepts per UC'!$G$1:$I$1,0))+1,"NA",IF(COUNTIFS(Validation!$A:$A,T$1,Validation!$S:$S,$A22)&gt;0,"Yes","No"),IF(COUNTIFS(Validation!$A:$A,T$1,Validation!$S:$S,$A22)&gt;0,"Yes","NA"))</f>
        <v>Yes</v>
      </c>
      <c r="U22" s="1" t="str">
        <f t="array" ref="U22">CHOOSE(INDEX('Ontology and concepts per UC'!$G$2:$I$46,MATCH($A22,'Ontology and concepts per UC'!$F$2:$F$46,0),MATCH(LEFT(U$1,3),'Ontology and concepts per UC'!$G$1:$I$1,0))+1,"NA",IF(COUNTIFS(Validation!$A:$A,U$1,Validation!$S:$S,$A22)&gt;0,"Yes","No"),IF(COUNTIFS(Validation!$A:$A,U$1,Validation!$S:$S,$A22)&gt;0,"Yes","NA"))</f>
        <v>Yes</v>
      </c>
      <c r="V22" s="1" t="str">
        <f t="array" ref="V22">CHOOSE(INDEX('Ontology and concepts per UC'!$G$2:$I$46,MATCH($A22,'Ontology and concepts per UC'!$F$2:$F$46,0),MATCH(LEFT(V$1,3),'Ontology and concepts per UC'!$G$1:$I$1,0))+1,"NA",IF(COUNTIFS(Validation!$A:$A,V$1,Validation!$S:$S,$A22)&gt;0,"Yes","No"),IF(COUNTIFS(Validation!$A:$A,V$1,Validation!$S:$S,$A22)&gt;0,"Yes","NA"))</f>
        <v>Yes</v>
      </c>
      <c r="W22" s="1" t="str">
        <f t="array" ref="W22">CHOOSE(INDEX('Ontology and concepts per UC'!$G$2:$I$46,MATCH($A22,'Ontology and concepts per UC'!$F$2:$F$46,0),MATCH(LEFT(W$1,3),'Ontology and concepts per UC'!$G$1:$I$1,0))+1,"NA",IF(COUNTIFS(Validation!$A:$A,W$1,Validation!$S:$S,$A22)&gt;0,"Yes","No"),IF(COUNTIFS(Validation!$A:$A,W$1,Validation!$S:$S,$A22)&gt;0,"Yes","NA"))</f>
        <v>Yes</v>
      </c>
      <c r="X22" s="1" t="str">
        <f t="array" ref="X22">CHOOSE(INDEX('Ontology and concepts per UC'!$G$2:$I$46,MATCH($A22,'Ontology and concepts per UC'!$F$2:$F$46,0),MATCH(LEFT(X$1,3),'Ontology and concepts per UC'!$G$1:$I$1,0))+1,"NA",IF(COUNTIFS(Validation!$A:$A,X$1,Validation!$S:$S,$A22)&gt;0,"Yes","No"),IF(COUNTIFS(Validation!$A:$A,X$1,Validation!$S:$S,$A22)&gt;0,"Yes","NA"))</f>
        <v>NA</v>
      </c>
      <c r="Y22" s="1" t="str">
        <f t="array" ref="Y22">CHOOSE(INDEX('Ontology and concepts per UC'!$G$2:$I$46,MATCH($A22,'Ontology and concepts per UC'!$F$2:$F$46,0),MATCH(LEFT(Y$1,3),'Ontology and concepts per UC'!$G$1:$I$1,0))+1,"NA",IF(COUNTIFS(Validation!$A:$A,Y$1,Validation!$S:$S,$A22)&gt;0,"Yes","No"),IF(COUNTIFS(Validation!$A:$A,Y$1,Validation!$S:$S,$A22)&gt;0,"Yes","NA"))</f>
        <v>NA</v>
      </c>
      <c r="Z22" s="1" t="str">
        <f t="array" ref="Z22">CHOOSE(INDEX('Ontology and concepts per UC'!$G$2:$I$46,MATCH($A22,'Ontology and concepts per UC'!$F$2:$F$46,0),MATCH(LEFT(Z$1,3),'Ontology and concepts per UC'!$G$1:$I$1,0))+1,"NA",IF(COUNTIFS(Validation!$A:$A,Z$1,Validation!$S:$S,$A22)&gt;0,"Yes","No"),IF(COUNTIFS(Validation!$A:$A,Z$1,Validation!$S:$S,$A22)&gt;0,"Yes","NA"))</f>
        <v>NA</v>
      </c>
      <c r="AA22" s="1" t="str">
        <f t="array" ref="AA22">CHOOSE(INDEX('Ontology and concepts per UC'!$G$2:$I$46,MATCH($A22,'Ontology and concepts per UC'!$F$2:$F$46,0),MATCH(LEFT(AA$1,3),'Ontology and concepts per UC'!$G$1:$I$1,0))+1,"NA",IF(COUNTIFS(Validation!$A:$A,AA$1,Validation!$S:$S,$A22)&gt;0,"Yes","No"),IF(COUNTIFS(Validation!$A:$A,AA$1,Validation!$S:$S,$A22)&gt;0,"Yes","NA"))</f>
        <v>NA</v>
      </c>
      <c r="AB22" s="1" t="str">
        <f t="array" ref="AB22">CHOOSE(INDEX('Ontology and concepts per UC'!$G$2:$I$46,MATCH($A22,'Ontology and concepts per UC'!$F$2:$F$46,0),MATCH(LEFT(AB$1,3),'Ontology and concepts per UC'!$G$1:$I$1,0))+1,"NA",IF(COUNTIFS(Validation!$A:$A,AB$1,Validation!$S:$S,$A22)&gt;0,"Yes","No"),IF(COUNTIFS(Validation!$A:$A,AB$1,Validation!$S:$S,$A22)&gt;0,"Yes","NA"))</f>
        <v>No</v>
      </c>
      <c r="AC22" s="1" t="str">
        <f t="array" ref="AC22">CHOOSE(INDEX('Ontology and concepts per UC'!$G$2:$I$46,MATCH($A22,'Ontology and concepts per UC'!$F$2:$F$46,0),MATCH(LEFT(AC$1,3),'Ontology and concepts per UC'!$G$1:$I$1,0))+1,"NA",IF(COUNTIFS(Validation!$A:$A,AC$1,Validation!$S:$S,$A22)&gt;0,"Yes","No"),IF(COUNTIFS(Validation!$A:$A,AC$1,Validation!$S:$S,$A22)&gt;0,"Yes","NA"))</f>
        <v>Yes</v>
      </c>
      <c r="AD22" s="1" t="str">
        <f t="array" ref="AD22">CHOOSE(INDEX('Ontology and concepts per UC'!$G$2:$I$46,MATCH($A22,'Ontology and concepts per UC'!$F$2:$F$46,0),MATCH(LEFT(AD$1,3),'Ontology and concepts per UC'!$G$1:$I$1,0))+1,"NA",IF(COUNTIFS(Validation!$A:$A,AD$1,Validation!$S:$S,$A22)&gt;0,"Yes","No"),IF(COUNTIFS(Validation!$A:$A,AD$1,Validation!$S:$S,$A22)&gt;0,"Yes","NA"))</f>
        <v>Yes</v>
      </c>
      <c r="AE22" s="1" t="str">
        <f t="array" ref="AE22">CHOOSE(INDEX('Ontology and concepts per UC'!$G$2:$I$46,MATCH($A22,'Ontology and concepts per UC'!$F$2:$F$46,0),MATCH(LEFT(AE$1,3),'Ontology and concepts per UC'!$G$1:$I$1,0))+1,"NA",IF(COUNTIFS(Validation!$A:$A,AE$1,Validation!$S:$S,$A22)&gt;0,"Yes","No"),IF(COUNTIFS(Validation!$A:$A,AE$1,Validation!$S:$S,$A22)&gt;0,"Yes","NA"))</f>
        <v>Yes</v>
      </c>
    </row>
    <row r="23" spans="1:31" x14ac:dyDescent="0.25">
      <c r="A23" s="1" t="s">
        <v>38</v>
      </c>
      <c r="B23" s="1" t="str">
        <f t="array" ref="B23">CHOOSE(INDEX('Ontology and concepts per UC'!$G$2:$I$46,MATCH($A23,'Ontology and concepts per UC'!$F$2:$F$46,0),MATCH(LEFT(B$1,3),'Ontology and concepts per UC'!$G$1:$I$1,0))+1,"NA",IF(COUNTIFS(Validation!$A:$A,B$1,Validation!$S:$S,$A23)&gt;0,"Yes","No"),IF(COUNTIFS(Validation!$A:$A,B$1,Validation!$S:$S,$A23)&gt;0,"Yes","NA"))</f>
        <v>Yes</v>
      </c>
      <c r="C23" s="1" t="str">
        <f t="array" ref="C23">CHOOSE(INDEX('Ontology and concepts per UC'!$G$2:$I$46,MATCH($A23,'Ontology and concepts per UC'!$F$2:$F$46,0),MATCH(LEFT(C$1,3),'Ontology and concepts per UC'!$G$1:$I$1,0))+1,"NA",IF(COUNTIFS(Validation!$A:$A,C$1,Validation!$S:$S,$A23)&gt;0,"Yes","No"),IF(COUNTIFS(Validation!$A:$A,C$1,Validation!$S:$S,$A23)&gt;0,"Yes","NA"))</f>
        <v>Yes</v>
      </c>
      <c r="D23" s="1" t="str">
        <f t="array" ref="D23">CHOOSE(INDEX('Ontology and concepts per UC'!$G$2:$I$46,MATCH($A23,'Ontology and concepts per UC'!$F$2:$F$46,0),MATCH(LEFT(D$1,3),'Ontology and concepts per UC'!$G$1:$I$1,0))+1,"NA",IF(COUNTIFS(Validation!$A:$A,D$1,Validation!$S:$S,$A23)&gt;0,"Yes","No"),IF(COUNTIFS(Validation!$A:$A,D$1,Validation!$S:$S,$A23)&gt;0,"Yes","NA"))</f>
        <v>Yes</v>
      </c>
      <c r="E23" s="1" t="str">
        <f t="array" ref="E23">CHOOSE(INDEX('Ontology and concepts per UC'!$G$2:$I$46,MATCH($A23,'Ontology and concepts per UC'!$F$2:$F$46,0),MATCH(LEFT(E$1,3),'Ontology and concepts per UC'!$G$1:$I$1,0))+1,"NA",IF(COUNTIFS(Validation!$A:$A,E$1,Validation!$S:$S,$A23)&gt;0,"Yes","No"),IF(COUNTIFS(Validation!$A:$A,E$1,Validation!$S:$S,$A23)&gt;0,"Yes","NA"))</f>
        <v>Yes</v>
      </c>
      <c r="F23" s="1" t="str">
        <f t="array" ref="F23">CHOOSE(INDEX('Ontology and concepts per UC'!$G$2:$I$46,MATCH($A23,'Ontology and concepts per UC'!$F$2:$F$46,0),MATCH(LEFT(F$1,3),'Ontology and concepts per UC'!$G$1:$I$1,0))+1,"NA",IF(COUNTIFS(Validation!$A:$A,F$1,Validation!$S:$S,$A23)&gt;0,"Yes","No"),IF(COUNTIFS(Validation!$A:$A,F$1,Validation!$S:$S,$A23)&gt;0,"Yes","NA"))</f>
        <v>Yes</v>
      </c>
      <c r="G23" s="1" t="str">
        <f t="array" ref="G23">CHOOSE(INDEX('Ontology and concepts per UC'!$G$2:$I$46,MATCH($A23,'Ontology and concepts per UC'!$F$2:$F$46,0),MATCH(LEFT(G$1,3),'Ontology and concepts per UC'!$G$1:$I$1,0))+1,"NA",IF(COUNTIFS(Validation!$A:$A,G$1,Validation!$S:$S,$A23)&gt;0,"Yes","No"),IF(COUNTIFS(Validation!$A:$A,G$1,Validation!$S:$S,$A23)&gt;0,"Yes","NA"))</f>
        <v>Yes</v>
      </c>
      <c r="H23" s="1" t="str">
        <f t="array" ref="H23">CHOOSE(INDEX('Ontology and concepts per UC'!$G$2:$I$46,MATCH($A23,'Ontology and concepts per UC'!$F$2:$F$46,0),MATCH(LEFT(H$1,3),'Ontology and concepts per UC'!$G$1:$I$1,0))+1,"NA",IF(COUNTIFS(Validation!$A:$A,H$1,Validation!$S:$S,$A23)&gt;0,"Yes","No"),IF(COUNTIFS(Validation!$A:$A,H$1,Validation!$S:$S,$A23)&gt;0,"Yes","NA"))</f>
        <v>Yes</v>
      </c>
      <c r="I23" s="1" t="str">
        <f t="array" ref="I23">CHOOSE(INDEX('Ontology and concepts per UC'!$G$2:$I$46,MATCH($A23,'Ontology and concepts per UC'!$F$2:$F$46,0),MATCH(LEFT(I$1,3),'Ontology and concepts per UC'!$G$1:$I$1,0))+1,"NA",IF(COUNTIFS(Validation!$A:$A,I$1,Validation!$S:$S,$A23)&gt;0,"Yes","No"),IF(COUNTIFS(Validation!$A:$A,I$1,Validation!$S:$S,$A23)&gt;0,"Yes","NA"))</f>
        <v>NA</v>
      </c>
      <c r="J23" s="1" t="str">
        <f t="array" ref="J23">CHOOSE(INDEX('Ontology and concepts per UC'!$G$2:$I$46,MATCH($A23,'Ontology and concepts per UC'!$F$2:$F$46,0),MATCH(LEFT(J$1,3),'Ontology and concepts per UC'!$G$1:$I$1,0))+1,"NA",IF(COUNTIFS(Validation!$A:$A,J$1,Validation!$S:$S,$A23)&gt;0,"Yes","No"),IF(COUNTIFS(Validation!$A:$A,J$1,Validation!$S:$S,$A23)&gt;0,"Yes","NA"))</f>
        <v>NA</v>
      </c>
      <c r="K23" s="1" t="str">
        <f t="array" ref="K23">CHOOSE(INDEX('Ontology and concepts per UC'!$G$2:$I$46,MATCH($A23,'Ontology and concepts per UC'!$F$2:$F$46,0),MATCH(LEFT(K$1,3),'Ontology and concepts per UC'!$G$1:$I$1,0))+1,"NA",IF(COUNTIFS(Validation!$A:$A,K$1,Validation!$S:$S,$A23)&gt;0,"Yes","No"),IF(COUNTIFS(Validation!$A:$A,K$1,Validation!$S:$S,$A23)&gt;0,"Yes","NA"))</f>
        <v>NA</v>
      </c>
      <c r="L23" s="1" t="str">
        <f t="array" ref="L23">CHOOSE(INDEX('Ontology and concepts per UC'!$G$2:$I$46,MATCH($A23,'Ontology and concepts per UC'!$F$2:$F$46,0),MATCH(LEFT(L$1,3),'Ontology and concepts per UC'!$G$1:$I$1,0))+1,"NA",IF(COUNTIFS(Validation!$A:$A,L$1,Validation!$S:$S,$A23)&gt;0,"Yes","No"),IF(COUNTIFS(Validation!$A:$A,L$1,Validation!$S:$S,$A23)&gt;0,"Yes","NA"))</f>
        <v>Yes</v>
      </c>
      <c r="M23" s="1" t="str">
        <f t="array" ref="M23">CHOOSE(INDEX('Ontology and concepts per UC'!$G$2:$I$46,MATCH($A23,'Ontology and concepts per UC'!$F$2:$F$46,0),MATCH(LEFT(M$1,3),'Ontology and concepts per UC'!$G$1:$I$1,0))+1,"NA",IF(COUNTIFS(Validation!$A:$A,M$1,Validation!$S:$S,$A23)&gt;0,"Yes","No"),IF(COUNTIFS(Validation!$A:$A,M$1,Validation!$S:$S,$A23)&gt;0,"Yes","NA"))</f>
        <v>Yes</v>
      </c>
      <c r="N23" s="1" t="str">
        <f t="array" ref="N23">CHOOSE(INDEX('Ontology and concepts per UC'!$G$2:$I$46,MATCH($A23,'Ontology and concepts per UC'!$F$2:$F$46,0),MATCH(LEFT(N$1,3),'Ontology and concepts per UC'!$G$1:$I$1,0))+1,"NA",IF(COUNTIFS(Validation!$A:$A,N$1,Validation!$S:$S,$A23)&gt;0,"Yes","No"),IF(COUNTIFS(Validation!$A:$A,N$1,Validation!$S:$S,$A23)&gt;0,"Yes","NA"))</f>
        <v>Yes</v>
      </c>
      <c r="O23" s="1" t="str">
        <f t="array" ref="O23">CHOOSE(INDEX('Ontology and concepts per UC'!$G$2:$I$46,MATCH($A23,'Ontology and concepts per UC'!$F$2:$F$46,0),MATCH(LEFT(O$1,3),'Ontology and concepts per UC'!$G$1:$I$1,0))+1,"NA",IF(COUNTIFS(Validation!$A:$A,O$1,Validation!$S:$S,$A23)&gt;0,"Yes","No"),IF(COUNTIFS(Validation!$A:$A,O$1,Validation!$S:$S,$A23)&gt;0,"Yes","NA"))</f>
        <v>Yes</v>
      </c>
      <c r="P23" s="1" t="str">
        <f t="array" ref="P23">CHOOSE(INDEX('Ontology and concepts per UC'!$G$2:$I$46,MATCH($A23,'Ontology and concepts per UC'!$F$2:$F$46,0),MATCH(LEFT(P$1,3),'Ontology and concepts per UC'!$G$1:$I$1,0))+1,"NA",IF(COUNTIFS(Validation!$A:$A,P$1,Validation!$S:$S,$A23)&gt;0,"Yes","No"),IF(COUNTIFS(Validation!$A:$A,P$1,Validation!$S:$S,$A23)&gt;0,"Yes","NA"))</f>
        <v>No</v>
      </c>
      <c r="Q23" s="1" t="str">
        <f t="array" ref="Q23">CHOOSE(INDEX('Ontology and concepts per UC'!$G$2:$I$46,MATCH($A23,'Ontology and concepts per UC'!$F$2:$F$46,0),MATCH(LEFT(Q$1,3),'Ontology and concepts per UC'!$G$1:$I$1,0))+1,"NA",IF(COUNTIFS(Validation!$A:$A,Q$1,Validation!$S:$S,$A23)&gt;0,"Yes","No"),IF(COUNTIFS(Validation!$A:$A,Q$1,Validation!$S:$S,$A23)&gt;0,"Yes","NA"))</f>
        <v>Yes</v>
      </c>
      <c r="R23" s="1" t="str">
        <f t="array" ref="R23">CHOOSE(INDEX('Ontology and concepts per UC'!$G$2:$I$46,MATCH($A23,'Ontology and concepts per UC'!$F$2:$F$46,0),MATCH(LEFT(R$1,3),'Ontology and concepts per UC'!$G$1:$I$1,0))+1,"NA",IF(COUNTIFS(Validation!$A:$A,R$1,Validation!$S:$S,$A23)&gt;0,"Yes","No"),IF(COUNTIFS(Validation!$A:$A,R$1,Validation!$S:$S,$A23)&gt;0,"Yes","NA"))</f>
        <v>Yes</v>
      </c>
      <c r="S23" s="1" t="str">
        <f t="array" ref="S23">CHOOSE(INDEX('Ontology and concepts per UC'!$G$2:$I$46,MATCH($A23,'Ontology and concepts per UC'!$F$2:$F$46,0),MATCH(LEFT(S$1,3),'Ontology and concepts per UC'!$G$1:$I$1,0))+1,"NA",IF(COUNTIFS(Validation!$A:$A,S$1,Validation!$S:$S,$A23)&gt;0,"Yes","No"),IF(COUNTIFS(Validation!$A:$A,S$1,Validation!$S:$S,$A23)&gt;0,"Yes","NA"))</f>
        <v>Yes</v>
      </c>
      <c r="T23" s="1" t="str">
        <f t="array" ref="T23">CHOOSE(INDEX('Ontology and concepts per UC'!$G$2:$I$46,MATCH($A23,'Ontology and concepts per UC'!$F$2:$F$46,0),MATCH(LEFT(T$1,3),'Ontology and concepts per UC'!$G$1:$I$1,0))+1,"NA",IF(COUNTIFS(Validation!$A:$A,T$1,Validation!$S:$S,$A23)&gt;0,"Yes","No"),IF(COUNTIFS(Validation!$A:$A,T$1,Validation!$S:$S,$A23)&gt;0,"Yes","NA"))</f>
        <v>No</v>
      </c>
      <c r="U23" s="1" t="str">
        <f t="array" ref="U23">CHOOSE(INDEX('Ontology and concepts per UC'!$G$2:$I$46,MATCH($A23,'Ontology and concepts per UC'!$F$2:$F$46,0),MATCH(LEFT(U$1,3),'Ontology and concepts per UC'!$G$1:$I$1,0))+1,"NA",IF(COUNTIFS(Validation!$A:$A,U$1,Validation!$S:$S,$A23)&gt;0,"Yes","No"),IF(COUNTIFS(Validation!$A:$A,U$1,Validation!$S:$S,$A23)&gt;0,"Yes","NA"))</f>
        <v>No</v>
      </c>
      <c r="V23" s="1" t="str">
        <f t="array" ref="V23">CHOOSE(INDEX('Ontology and concepts per UC'!$G$2:$I$46,MATCH($A23,'Ontology and concepts per UC'!$F$2:$F$46,0),MATCH(LEFT(V$1,3),'Ontology and concepts per UC'!$G$1:$I$1,0))+1,"NA",IF(COUNTIFS(Validation!$A:$A,V$1,Validation!$S:$S,$A23)&gt;0,"Yes","No"),IF(COUNTIFS(Validation!$A:$A,V$1,Validation!$S:$S,$A23)&gt;0,"Yes","NA"))</f>
        <v>Yes</v>
      </c>
      <c r="W23" s="1" t="str">
        <f t="array" ref="W23">CHOOSE(INDEX('Ontology and concepts per UC'!$G$2:$I$46,MATCH($A23,'Ontology and concepts per UC'!$F$2:$F$46,0),MATCH(LEFT(W$1,3),'Ontology and concepts per UC'!$G$1:$I$1,0))+1,"NA",IF(COUNTIFS(Validation!$A:$A,W$1,Validation!$S:$S,$A23)&gt;0,"Yes","No"),IF(COUNTIFS(Validation!$A:$A,W$1,Validation!$S:$S,$A23)&gt;0,"Yes","NA"))</f>
        <v>Yes</v>
      </c>
      <c r="X23" s="1" t="str">
        <f t="array" ref="X23">CHOOSE(INDEX('Ontology and concepts per UC'!$G$2:$I$46,MATCH($A23,'Ontology and concepts per UC'!$F$2:$F$46,0),MATCH(LEFT(X$1,3),'Ontology and concepts per UC'!$G$1:$I$1,0))+1,"NA",IF(COUNTIFS(Validation!$A:$A,X$1,Validation!$S:$S,$A23)&gt;0,"Yes","No"),IF(COUNTIFS(Validation!$A:$A,X$1,Validation!$S:$S,$A23)&gt;0,"Yes","NA"))</f>
        <v>NA</v>
      </c>
      <c r="Y23" s="1" t="str">
        <f t="array" ref="Y23">CHOOSE(INDEX('Ontology and concepts per UC'!$G$2:$I$46,MATCH($A23,'Ontology and concepts per UC'!$F$2:$F$46,0),MATCH(LEFT(Y$1,3),'Ontology and concepts per UC'!$G$1:$I$1,0))+1,"NA",IF(COUNTIFS(Validation!$A:$A,Y$1,Validation!$S:$S,$A23)&gt;0,"Yes","No"),IF(COUNTIFS(Validation!$A:$A,Y$1,Validation!$S:$S,$A23)&gt;0,"Yes","NA"))</f>
        <v>NA</v>
      </c>
      <c r="Z23" s="1" t="str">
        <f t="array" ref="Z23">CHOOSE(INDEX('Ontology and concepts per UC'!$G$2:$I$46,MATCH($A23,'Ontology and concepts per UC'!$F$2:$F$46,0),MATCH(LEFT(Z$1,3),'Ontology and concepts per UC'!$G$1:$I$1,0))+1,"NA",IF(COUNTIFS(Validation!$A:$A,Z$1,Validation!$S:$S,$A23)&gt;0,"Yes","No"),IF(COUNTIFS(Validation!$A:$A,Z$1,Validation!$S:$S,$A23)&gt;0,"Yes","NA"))</f>
        <v>NA</v>
      </c>
      <c r="AA23" s="1" t="str">
        <f t="array" ref="AA23">CHOOSE(INDEX('Ontology and concepts per UC'!$G$2:$I$46,MATCH($A23,'Ontology and concepts per UC'!$F$2:$F$46,0),MATCH(LEFT(AA$1,3),'Ontology and concepts per UC'!$G$1:$I$1,0))+1,"NA",IF(COUNTIFS(Validation!$A:$A,AA$1,Validation!$S:$S,$A23)&gt;0,"Yes","No"),IF(COUNTIFS(Validation!$A:$A,AA$1,Validation!$S:$S,$A23)&gt;0,"Yes","NA"))</f>
        <v>NA</v>
      </c>
      <c r="AB23" s="1" t="str">
        <f t="array" ref="AB23">CHOOSE(INDEX('Ontology and concepts per UC'!$G$2:$I$46,MATCH($A23,'Ontology and concepts per UC'!$F$2:$F$46,0),MATCH(LEFT(AB$1,3),'Ontology and concepts per UC'!$G$1:$I$1,0))+1,"NA",IF(COUNTIFS(Validation!$A:$A,AB$1,Validation!$S:$S,$A23)&gt;0,"Yes","No"),IF(COUNTIFS(Validation!$A:$A,AB$1,Validation!$S:$S,$A23)&gt;0,"Yes","NA"))</f>
        <v>Yes</v>
      </c>
      <c r="AC23" s="1" t="str">
        <f t="array" ref="AC23">CHOOSE(INDEX('Ontology and concepts per UC'!$G$2:$I$46,MATCH($A23,'Ontology and concepts per UC'!$F$2:$F$46,0),MATCH(LEFT(AC$1,3),'Ontology and concepts per UC'!$G$1:$I$1,0))+1,"NA",IF(COUNTIFS(Validation!$A:$A,AC$1,Validation!$S:$S,$A23)&gt;0,"Yes","No"),IF(COUNTIFS(Validation!$A:$A,AC$1,Validation!$S:$S,$A23)&gt;0,"Yes","NA"))</f>
        <v>Yes</v>
      </c>
      <c r="AD23" s="1" t="str">
        <f t="array" ref="AD23">CHOOSE(INDEX('Ontology and concepts per UC'!$G$2:$I$46,MATCH($A23,'Ontology and concepts per UC'!$F$2:$F$46,0),MATCH(LEFT(AD$1,3),'Ontology and concepts per UC'!$G$1:$I$1,0))+1,"NA",IF(COUNTIFS(Validation!$A:$A,AD$1,Validation!$S:$S,$A23)&gt;0,"Yes","No"),IF(COUNTIFS(Validation!$A:$A,AD$1,Validation!$S:$S,$A23)&gt;0,"Yes","NA"))</f>
        <v>Yes</v>
      </c>
      <c r="AE23" s="1" t="str">
        <f t="array" ref="AE23">CHOOSE(INDEX('Ontology and concepts per UC'!$G$2:$I$46,MATCH($A23,'Ontology and concepts per UC'!$F$2:$F$46,0),MATCH(LEFT(AE$1,3),'Ontology and concepts per UC'!$G$1:$I$1,0))+1,"NA",IF(COUNTIFS(Validation!$A:$A,AE$1,Validation!$S:$S,$A23)&gt;0,"Yes","No"),IF(COUNTIFS(Validation!$A:$A,AE$1,Validation!$S:$S,$A23)&gt;0,"Yes","NA"))</f>
        <v>Yes</v>
      </c>
    </row>
    <row r="24" spans="1:31" x14ac:dyDescent="0.25">
      <c r="A24" s="1" t="s">
        <v>42</v>
      </c>
      <c r="B24" s="1" t="str">
        <f t="array" ref="B24">CHOOSE(INDEX('Ontology and concepts per UC'!$G$2:$I$46,MATCH($A24,'Ontology and concepts per UC'!$F$2:$F$46,0),MATCH(LEFT(B$1,3),'Ontology and concepts per UC'!$G$1:$I$1,0))+1,"NA",IF(COUNTIFS(Validation!$A:$A,B$1,Validation!$S:$S,$A24)&gt;0,"Yes","No"),IF(COUNTIFS(Validation!$A:$A,B$1,Validation!$S:$S,$A24)&gt;0,"Yes","NA"))</f>
        <v>NA</v>
      </c>
      <c r="C24" s="1" t="str">
        <f t="array" ref="C24">CHOOSE(INDEX('Ontology and concepts per UC'!$G$2:$I$46,MATCH($A24,'Ontology and concepts per UC'!$F$2:$F$46,0),MATCH(LEFT(C$1,3),'Ontology and concepts per UC'!$G$1:$I$1,0))+1,"NA",IF(COUNTIFS(Validation!$A:$A,C$1,Validation!$S:$S,$A24)&gt;0,"Yes","No"),IF(COUNTIFS(Validation!$A:$A,C$1,Validation!$S:$S,$A24)&gt;0,"Yes","NA"))</f>
        <v>NA</v>
      </c>
      <c r="D24" s="1" t="str">
        <f t="array" ref="D24">CHOOSE(INDEX('Ontology and concepts per UC'!$G$2:$I$46,MATCH($A24,'Ontology and concepts per UC'!$F$2:$F$46,0),MATCH(LEFT(D$1,3),'Ontology and concepts per UC'!$G$1:$I$1,0))+1,"NA",IF(COUNTIFS(Validation!$A:$A,D$1,Validation!$S:$S,$A24)&gt;0,"Yes","No"),IF(COUNTIFS(Validation!$A:$A,D$1,Validation!$S:$S,$A24)&gt;0,"Yes","NA"))</f>
        <v>NA</v>
      </c>
      <c r="E24" s="1" t="str">
        <f t="array" ref="E24">CHOOSE(INDEX('Ontology and concepts per UC'!$G$2:$I$46,MATCH($A24,'Ontology and concepts per UC'!$F$2:$F$46,0),MATCH(LEFT(E$1,3),'Ontology and concepts per UC'!$G$1:$I$1,0))+1,"NA",IF(COUNTIFS(Validation!$A:$A,E$1,Validation!$S:$S,$A24)&gt;0,"Yes","No"),IF(COUNTIFS(Validation!$A:$A,E$1,Validation!$S:$S,$A24)&gt;0,"Yes","NA"))</f>
        <v>Yes</v>
      </c>
      <c r="F24" s="1" t="str">
        <f t="array" ref="F24">CHOOSE(INDEX('Ontology and concepts per UC'!$G$2:$I$46,MATCH($A24,'Ontology and concepts per UC'!$F$2:$F$46,0),MATCH(LEFT(F$1,3),'Ontology and concepts per UC'!$G$1:$I$1,0))+1,"NA",IF(COUNTIFS(Validation!$A:$A,F$1,Validation!$S:$S,$A24)&gt;0,"Yes","No"),IF(COUNTIFS(Validation!$A:$A,F$1,Validation!$S:$S,$A24)&gt;0,"Yes","NA"))</f>
        <v>Yes</v>
      </c>
      <c r="G24" s="1" t="str">
        <f t="array" ref="G24">CHOOSE(INDEX('Ontology and concepts per UC'!$G$2:$I$46,MATCH($A24,'Ontology and concepts per UC'!$F$2:$F$46,0),MATCH(LEFT(G$1,3),'Ontology and concepts per UC'!$G$1:$I$1,0))+1,"NA",IF(COUNTIFS(Validation!$A:$A,G$1,Validation!$S:$S,$A24)&gt;0,"Yes","No"),IF(COUNTIFS(Validation!$A:$A,G$1,Validation!$S:$S,$A24)&gt;0,"Yes","NA"))</f>
        <v>NA</v>
      </c>
      <c r="H24" s="1" t="str">
        <f t="array" ref="H24">CHOOSE(INDEX('Ontology and concepts per UC'!$G$2:$I$46,MATCH($A24,'Ontology and concepts per UC'!$F$2:$F$46,0),MATCH(LEFT(H$1,3),'Ontology and concepts per UC'!$G$1:$I$1,0))+1,"NA",IF(COUNTIFS(Validation!$A:$A,H$1,Validation!$S:$S,$A24)&gt;0,"Yes","No"),IF(COUNTIFS(Validation!$A:$A,H$1,Validation!$S:$S,$A24)&gt;0,"Yes","NA"))</f>
        <v>NA</v>
      </c>
      <c r="I24" s="1" t="str">
        <f t="array" ref="I24">CHOOSE(INDEX('Ontology and concepts per UC'!$G$2:$I$46,MATCH($A24,'Ontology and concepts per UC'!$F$2:$F$46,0),MATCH(LEFT(I$1,3),'Ontology and concepts per UC'!$G$1:$I$1,0))+1,"NA",IF(COUNTIFS(Validation!$A:$A,I$1,Validation!$S:$S,$A24)&gt;0,"Yes","No"),IF(COUNTIFS(Validation!$A:$A,I$1,Validation!$S:$S,$A24)&gt;0,"Yes","NA"))</f>
        <v>NA</v>
      </c>
      <c r="J24" s="1" t="str">
        <f t="array" ref="J24">CHOOSE(INDEX('Ontology and concepts per UC'!$G$2:$I$46,MATCH($A24,'Ontology and concepts per UC'!$F$2:$F$46,0),MATCH(LEFT(J$1,3),'Ontology and concepts per UC'!$G$1:$I$1,0))+1,"NA",IF(COUNTIFS(Validation!$A:$A,J$1,Validation!$S:$S,$A24)&gt;0,"Yes","No"),IF(COUNTIFS(Validation!$A:$A,J$1,Validation!$S:$S,$A24)&gt;0,"Yes","NA"))</f>
        <v>NA</v>
      </c>
      <c r="K24" s="1" t="str">
        <f t="array" ref="K24">CHOOSE(INDEX('Ontology and concepts per UC'!$G$2:$I$46,MATCH($A24,'Ontology and concepts per UC'!$F$2:$F$46,0),MATCH(LEFT(K$1,3),'Ontology and concepts per UC'!$G$1:$I$1,0))+1,"NA",IF(COUNTIFS(Validation!$A:$A,K$1,Validation!$S:$S,$A24)&gt;0,"Yes","No"),IF(COUNTIFS(Validation!$A:$A,K$1,Validation!$S:$S,$A24)&gt;0,"Yes","NA"))</f>
        <v>NA</v>
      </c>
      <c r="L24" s="1" t="str">
        <f t="array" ref="L24">CHOOSE(INDEX('Ontology and concepts per UC'!$G$2:$I$46,MATCH($A24,'Ontology and concepts per UC'!$F$2:$F$46,0),MATCH(LEFT(L$1,3),'Ontology and concepts per UC'!$G$1:$I$1,0))+1,"NA",IF(COUNTIFS(Validation!$A:$A,L$1,Validation!$S:$S,$A24)&gt;0,"Yes","No"),IF(COUNTIFS(Validation!$A:$A,L$1,Validation!$S:$S,$A24)&gt;0,"Yes","NA"))</f>
        <v>NA</v>
      </c>
      <c r="M24" s="1" t="str">
        <f t="array" ref="M24">CHOOSE(INDEX('Ontology and concepts per UC'!$G$2:$I$46,MATCH($A24,'Ontology and concepts per UC'!$F$2:$F$46,0),MATCH(LEFT(M$1,3),'Ontology and concepts per UC'!$G$1:$I$1,0))+1,"NA",IF(COUNTIFS(Validation!$A:$A,M$1,Validation!$S:$S,$A24)&gt;0,"Yes","No"),IF(COUNTIFS(Validation!$A:$A,M$1,Validation!$S:$S,$A24)&gt;0,"Yes","NA"))</f>
        <v>Yes</v>
      </c>
      <c r="N24" s="1" t="str">
        <f t="array" ref="N24">CHOOSE(INDEX('Ontology and concepts per UC'!$G$2:$I$46,MATCH($A24,'Ontology and concepts per UC'!$F$2:$F$46,0),MATCH(LEFT(N$1,3),'Ontology and concepts per UC'!$G$1:$I$1,0))+1,"NA",IF(COUNTIFS(Validation!$A:$A,N$1,Validation!$S:$S,$A24)&gt;0,"Yes","No"),IF(COUNTIFS(Validation!$A:$A,N$1,Validation!$S:$S,$A24)&gt;0,"Yes","NA"))</f>
        <v>NA</v>
      </c>
      <c r="O24" s="1" t="str">
        <f t="array" ref="O24">CHOOSE(INDEX('Ontology and concepts per UC'!$G$2:$I$46,MATCH($A24,'Ontology and concepts per UC'!$F$2:$F$46,0),MATCH(LEFT(O$1,3),'Ontology and concepts per UC'!$G$1:$I$1,0))+1,"NA",IF(COUNTIFS(Validation!$A:$A,O$1,Validation!$S:$S,$A24)&gt;0,"Yes","No"),IF(COUNTIFS(Validation!$A:$A,O$1,Validation!$S:$S,$A24)&gt;0,"Yes","NA"))</f>
        <v>Yes</v>
      </c>
      <c r="P24" s="1" t="str">
        <f t="array" ref="P24">CHOOSE(INDEX('Ontology and concepts per UC'!$G$2:$I$46,MATCH($A24,'Ontology and concepts per UC'!$F$2:$F$46,0),MATCH(LEFT(P$1,3),'Ontology and concepts per UC'!$G$1:$I$1,0))+1,"NA",IF(COUNTIFS(Validation!$A:$A,P$1,Validation!$S:$S,$A24)&gt;0,"Yes","No"),IF(COUNTIFS(Validation!$A:$A,P$1,Validation!$S:$S,$A24)&gt;0,"Yes","NA"))</f>
        <v>NA</v>
      </c>
      <c r="Q24" s="1" t="str">
        <f t="array" ref="Q24">CHOOSE(INDEX('Ontology and concepts per UC'!$G$2:$I$46,MATCH($A24,'Ontology and concepts per UC'!$F$2:$F$46,0),MATCH(LEFT(Q$1,3),'Ontology and concepts per UC'!$G$1:$I$1,0))+1,"NA",IF(COUNTIFS(Validation!$A:$A,Q$1,Validation!$S:$S,$A24)&gt;0,"Yes","No"),IF(COUNTIFS(Validation!$A:$A,Q$1,Validation!$S:$S,$A24)&gt;0,"Yes","NA"))</f>
        <v>NA</v>
      </c>
      <c r="R24" s="1" t="str">
        <f t="array" ref="R24">CHOOSE(INDEX('Ontology and concepts per UC'!$G$2:$I$46,MATCH($A24,'Ontology and concepts per UC'!$F$2:$F$46,0),MATCH(LEFT(R$1,3),'Ontology and concepts per UC'!$G$1:$I$1,0))+1,"NA",IF(COUNTIFS(Validation!$A:$A,R$1,Validation!$S:$S,$A24)&gt;0,"Yes","No"),IF(COUNTIFS(Validation!$A:$A,R$1,Validation!$S:$S,$A24)&gt;0,"Yes","NA"))</f>
        <v>Yes</v>
      </c>
      <c r="S24" s="1" t="str">
        <f t="array" ref="S24">CHOOSE(INDEX('Ontology and concepts per UC'!$G$2:$I$46,MATCH($A24,'Ontology and concepts per UC'!$F$2:$F$46,0),MATCH(LEFT(S$1,3),'Ontology and concepts per UC'!$G$1:$I$1,0))+1,"NA",IF(COUNTIFS(Validation!$A:$A,S$1,Validation!$S:$S,$A24)&gt;0,"Yes","No"),IF(COUNTIFS(Validation!$A:$A,S$1,Validation!$S:$S,$A24)&gt;0,"Yes","NA"))</f>
        <v>Yes</v>
      </c>
      <c r="T24" s="1" t="str">
        <f t="array" ref="T24">CHOOSE(INDEX('Ontology and concepts per UC'!$G$2:$I$46,MATCH($A24,'Ontology and concepts per UC'!$F$2:$F$46,0),MATCH(LEFT(T$1,3),'Ontology and concepts per UC'!$G$1:$I$1,0))+1,"NA",IF(COUNTIFS(Validation!$A:$A,T$1,Validation!$S:$S,$A24)&gt;0,"Yes","No"),IF(COUNTIFS(Validation!$A:$A,T$1,Validation!$S:$S,$A24)&gt;0,"Yes","NA"))</f>
        <v>NA</v>
      </c>
      <c r="U24" s="1" t="str">
        <f t="array" ref="U24">CHOOSE(INDEX('Ontology and concepts per UC'!$G$2:$I$46,MATCH($A24,'Ontology and concepts per UC'!$F$2:$F$46,0),MATCH(LEFT(U$1,3),'Ontology and concepts per UC'!$G$1:$I$1,0))+1,"NA",IF(COUNTIFS(Validation!$A:$A,U$1,Validation!$S:$S,$A24)&gt;0,"Yes","No"),IF(COUNTIFS(Validation!$A:$A,U$1,Validation!$S:$S,$A24)&gt;0,"Yes","NA"))</f>
        <v>NA</v>
      </c>
      <c r="V24" s="1" t="str">
        <f t="array" ref="V24">CHOOSE(INDEX('Ontology and concepts per UC'!$G$2:$I$46,MATCH($A24,'Ontology and concepts per UC'!$F$2:$F$46,0),MATCH(LEFT(V$1,3),'Ontology and concepts per UC'!$G$1:$I$1,0))+1,"NA",IF(COUNTIFS(Validation!$A:$A,V$1,Validation!$S:$S,$A24)&gt;0,"Yes","No"),IF(COUNTIFS(Validation!$A:$A,V$1,Validation!$S:$S,$A24)&gt;0,"Yes","NA"))</f>
        <v>Yes</v>
      </c>
      <c r="W24" s="1" t="str">
        <f t="array" ref="W24">CHOOSE(INDEX('Ontology and concepts per UC'!$G$2:$I$46,MATCH($A24,'Ontology and concepts per UC'!$F$2:$F$46,0),MATCH(LEFT(W$1,3),'Ontology and concepts per UC'!$G$1:$I$1,0))+1,"NA",IF(COUNTIFS(Validation!$A:$A,W$1,Validation!$S:$S,$A24)&gt;0,"Yes","No"),IF(COUNTIFS(Validation!$A:$A,W$1,Validation!$S:$S,$A24)&gt;0,"Yes","NA"))</f>
        <v>Yes</v>
      </c>
      <c r="X24" s="1" t="str">
        <f t="array" ref="X24">CHOOSE(INDEX('Ontology and concepts per UC'!$G$2:$I$46,MATCH($A24,'Ontology and concepts per UC'!$F$2:$F$46,0),MATCH(LEFT(X$1,3),'Ontology and concepts per UC'!$G$1:$I$1,0))+1,"NA",IF(COUNTIFS(Validation!$A:$A,X$1,Validation!$S:$S,$A24)&gt;0,"Yes","No"),IF(COUNTIFS(Validation!$A:$A,X$1,Validation!$S:$S,$A24)&gt;0,"Yes","NA"))</f>
        <v>NA</v>
      </c>
      <c r="Y24" s="1" t="str">
        <f t="array" ref="Y24">CHOOSE(INDEX('Ontology and concepts per UC'!$G$2:$I$46,MATCH($A24,'Ontology and concepts per UC'!$F$2:$F$46,0),MATCH(LEFT(Y$1,3),'Ontology and concepts per UC'!$G$1:$I$1,0))+1,"NA",IF(COUNTIFS(Validation!$A:$A,Y$1,Validation!$S:$S,$A24)&gt;0,"Yes","No"),IF(COUNTIFS(Validation!$A:$A,Y$1,Validation!$S:$S,$A24)&gt;0,"Yes","NA"))</f>
        <v>NA</v>
      </c>
      <c r="Z24" s="1" t="str">
        <f t="array" ref="Z24">CHOOSE(INDEX('Ontology and concepts per UC'!$G$2:$I$46,MATCH($A24,'Ontology and concepts per UC'!$F$2:$F$46,0),MATCH(LEFT(Z$1,3),'Ontology and concepts per UC'!$G$1:$I$1,0))+1,"NA",IF(COUNTIFS(Validation!$A:$A,Z$1,Validation!$S:$S,$A24)&gt;0,"Yes","No"),IF(COUNTIFS(Validation!$A:$A,Z$1,Validation!$S:$S,$A24)&gt;0,"Yes","NA"))</f>
        <v>NA</v>
      </c>
      <c r="AA24" s="1" t="str">
        <f t="array" ref="AA24">CHOOSE(INDEX('Ontology and concepts per UC'!$G$2:$I$46,MATCH($A24,'Ontology and concepts per UC'!$F$2:$F$46,0),MATCH(LEFT(AA$1,3),'Ontology and concepts per UC'!$G$1:$I$1,0))+1,"NA",IF(COUNTIFS(Validation!$A:$A,AA$1,Validation!$S:$S,$A24)&gt;0,"Yes","No"),IF(COUNTIFS(Validation!$A:$A,AA$1,Validation!$S:$S,$A24)&gt;0,"Yes","NA"))</f>
        <v>NA</v>
      </c>
      <c r="AB24" s="1" t="str">
        <f t="array" ref="AB24">CHOOSE(INDEX('Ontology and concepts per UC'!$G$2:$I$46,MATCH($A24,'Ontology and concepts per UC'!$F$2:$F$46,0),MATCH(LEFT(AB$1,3),'Ontology and concepts per UC'!$G$1:$I$1,0))+1,"NA",IF(COUNTIFS(Validation!$A:$A,AB$1,Validation!$S:$S,$A24)&gt;0,"Yes","No"),IF(COUNTIFS(Validation!$A:$A,AB$1,Validation!$S:$S,$A24)&gt;0,"Yes","NA"))</f>
        <v>NA</v>
      </c>
      <c r="AC24" s="1" t="str">
        <f t="array" ref="AC24">CHOOSE(INDEX('Ontology and concepts per UC'!$G$2:$I$46,MATCH($A24,'Ontology and concepts per UC'!$F$2:$F$46,0),MATCH(LEFT(AC$1,3),'Ontology and concepts per UC'!$G$1:$I$1,0))+1,"NA",IF(COUNTIFS(Validation!$A:$A,AC$1,Validation!$S:$S,$A24)&gt;0,"Yes","No"),IF(COUNTIFS(Validation!$A:$A,AC$1,Validation!$S:$S,$A24)&gt;0,"Yes","NA"))</f>
        <v>NA</v>
      </c>
      <c r="AD24" s="1" t="str">
        <f t="array" ref="AD24">CHOOSE(INDEX('Ontology and concepts per UC'!$G$2:$I$46,MATCH($A24,'Ontology and concepts per UC'!$F$2:$F$46,0),MATCH(LEFT(AD$1,3),'Ontology and concepts per UC'!$G$1:$I$1,0))+1,"NA",IF(COUNTIFS(Validation!$A:$A,AD$1,Validation!$S:$S,$A24)&gt;0,"Yes","No"),IF(COUNTIFS(Validation!$A:$A,AD$1,Validation!$S:$S,$A24)&gt;0,"Yes","NA"))</f>
        <v>NA</v>
      </c>
      <c r="AE24" s="1" t="str">
        <f t="array" ref="AE24">CHOOSE(INDEX('Ontology and concepts per UC'!$G$2:$I$46,MATCH($A24,'Ontology and concepts per UC'!$F$2:$F$46,0),MATCH(LEFT(AE$1,3),'Ontology and concepts per UC'!$G$1:$I$1,0))+1,"NA",IF(COUNTIFS(Validation!$A:$A,AE$1,Validation!$S:$S,$A24)&gt;0,"Yes","No"),IF(COUNTIFS(Validation!$A:$A,AE$1,Validation!$S:$S,$A24)&gt;0,"Yes","NA"))</f>
        <v>NA</v>
      </c>
    </row>
    <row r="25" spans="1:31" x14ac:dyDescent="0.25">
      <c r="A25" s="1" t="s">
        <v>45</v>
      </c>
      <c r="B25" s="1" t="str">
        <f t="array" ref="B25">CHOOSE(INDEX('Ontology and concepts per UC'!$G$2:$I$46,MATCH($A25,'Ontology and concepts per UC'!$F$2:$F$46,0),MATCH(LEFT(B$1,3),'Ontology and concepts per UC'!$G$1:$I$1,0))+1,"NA",IF(COUNTIFS(Validation!$A:$A,B$1,Validation!$S:$S,$A25)&gt;0,"Yes","No"),IF(COUNTIFS(Validation!$A:$A,B$1,Validation!$S:$S,$A25)&gt;0,"Yes","NA"))</f>
        <v>No</v>
      </c>
      <c r="C25" s="1" t="str">
        <f t="array" ref="C25">CHOOSE(INDEX('Ontology and concepts per UC'!$G$2:$I$46,MATCH($A25,'Ontology and concepts per UC'!$F$2:$F$46,0),MATCH(LEFT(C$1,3),'Ontology and concepts per UC'!$G$1:$I$1,0))+1,"NA",IF(COUNTIFS(Validation!$A:$A,C$1,Validation!$S:$S,$A25)&gt;0,"Yes","No"),IF(COUNTIFS(Validation!$A:$A,C$1,Validation!$S:$S,$A25)&gt;0,"Yes","NA"))</f>
        <v>No</v>
      </c>
      <c r="D25" s="1" t="str">
        <f t="array" ref="D25">CHOOSE(INDEX('Ontology and concepts per UC'!$G$2:$I$46,MATCH($A25,'Ontology and concepts per UC'!$F$2:$F$46,0),MATCH(LEFT(D$1,3),'Ontology and concepts per UC'!$G$1:$I$1,0))+1,"NA",IF(COUNTIFS(Validation!$A:$A,D$1,Validation!$S:$S,$A25)&gt;0,"Yes","No"),IF(COUNTIFS(Validation!$A:$A,D$1,Validation!$S:$S,$A25)&gt;0,"Yes","NA"))</f>
        <v>Yes</v>
      </c>
      <c r="E25" s="1" t="str">
        <f t="array" ref="E25">CHOOSE(INDEX('Ontology and concepts per UC'!$G$2:$I$46,MATCH($A25,'Ontology and concepts per UC'!$F$2:$F$46,0),MATCH(LEFT(E$1,3),'Ontology and concepts per UC'!$G$1:$I$1,0))+1,"NA",IF(COUNTIFS(Validation!$A:$A,E$1,Validation!$S:$S,$A25)&gt;0,"Yes","No"),IF(COUNTIFS(Validation!$A:$A,E$1,Validation!$S:$S,$A25)&gt;0,"Yes","NA"))</f>
        <v>Yes</v>
      </c>
      <c r="F25" s="1" t="str">
        <f t="array" ref="F25">CHOOSE(INDEX('Ontology and concepts per UC'!$G$2:$I$46,MATCH($A25,'Ontology and concepts per UC'!$F$2:$F$46,0),MATCH(LEFT(F$1,3),'Ontology and concepts per UC'!$G$1:$I$1,0))+1,"NA",IF(COUNTIFS(Validation!$A:$A,F$1,Validation!$S:$S,$A25)&gt;0,"Yes","No"),IF(COUNTIFS(Validation!$A:$A,F$1,Validation!$S:$S,$A25)&gt;0,"Yes","NA"))</f>
        <v>No</v>
      </c>
      <c r="G25" s="1" t="str">
        <f t="array" ref="G25">CHOOSE(INDEX('Ontology and concepts per UC'!$G$2:$I$46,MATCH($A25,'Ontology and concepts per UC'!$F$2:$F$46,0),MATCH(LEFT(G$1,3),'Ontology and concepts per UC'!$G$1:$I$1,0))+1,"NA",IF(COUNTIFS(Validation!$A:$A,G$1,Validation!$S:$S,$A25)&gt;0,"Yes","No"),IF(COUNTIFS(Validation!$A:$A,G$1,Validation!$S:$S,$A25)&gt;0,"Yes","NA"))</f>
        <v>No</v>
      </c>
      <c r="H25" s="1" t="str">
        <f t="array" ref="H25">CHOOSE(INDEX('Ontology and concepts per UC'!$G$2:$I$46,MATCH($A25,'Ontology and concepts per UC'!$F$2:$F$46,0),MATCH(LEFT(H$1,3),'Ontology and concepts per UC'!$G$1:$I$1,0))+1,"NA",IF(COUNTIFS(Validation!$A:$A,H$1,Validation!$S:$S,$A25)&gt;0,"Yes","No"),IF(COUNTIFS(Validation!$A:$A,H$1,Validation!$S:$S,$A25)&gt;0,"Yes","NA"))</f>
        <v>NA</v>
      </c>
      <c r="I25" s="1" t="str">
        <f t="array" ref="I25">CHOOSE(INDEX('Ontology and concepts per UC'!$G$2:$I$46,MATCH($A25,'Ontology and concepts per UC'!$F$2:$F$46,0),MATCH(LEFT(I$1,3),'Ontology and concepts per UC'!$G$1:$I$1,0))+1,"NA",IF(COUNTIFS(Validation!$A:$A,I$1,Validation!$S:$S,$A25)&gt;0,"Yes","No"),IF(COUNTIFS(Validation!$A:$A,I$1,Validation!$S:$S,$A25)&gt;0,"Yes","NA"))</f>
        <v>Yes</v>
      </c>
      <c r="J25" s="1" t="str">
        <f t="array" ref="J25">CHOOSE(INDEX('Ontology and concepts per UC'!$G$2:$I$46,MATCH($A25,'Ontology and concepts per UC'!$F$2:$F$46,0),MATCH(LEFT(J$1,3),'Ontology and concepts per UC'!$G$1:$I$1,0))+1,"NA",IF(COUNTIFS(Validation!$A:$A,J$1,Validation!$S:$S,$A25)&gt;0,"Yes","No"),IF(COUNTIFS(Validation!$A:$A,J$1,Validation!$S:$S,$A25)&gt;0,"Yes","NA"))</f>
        <v>NA</v>
      </c>
      <c r="K25" s="1" t="str">
        <f t="array" ref="K25">CHOOSE(INDEX('Ontology and concepts per UC'!$G$2:$I$46,MATCH($A25,'Ontology and concepts per UC'!$F$2:$F$46,0),MATCH(LEFT(K$1,3),'Ontology and concepts per UC'!$G$1:$I$1,0))+1,"NA",IF(COUNTIFS(Validation!$A:$A,K$1,Validation!$S:$S,$A25)&gt;0,"Yes","No"),IF(COUNTIFS(Validation!$A:$A,K$1,Validation!$S:$S,$A25)&gt;0,"Yes","NA"))</f>
        <v>NA</v>
      </c>
      <c r="L25" s="1" t="str">
        <f t="array" ref="L25">CHOOSE(INDEX('Ontology and concepts per UC'!$G$2:$I$46,MATCH($A25,'Ontology and concepts per UC'!$F$2:$F$46,0),MATCH(LEFT(L$1,3),'Ontology and concepts per UC'!$G$1:$I$1,0))+1,"NA",IF(COUNTIFS(Validation!$A:$A,L$1,Validation!$S:$S,$A25)&gt;0,"Yes","No"),IF(COUNTIFS(Validation!$A:$A,L$1,Validation!$S:$S,$A25)&gt;0,"Yes","NA"))</f>
        <v>No</v>
      </c>
      <c r="M25" s="1" t="str">
        <f t="array" ref="M25">CHOOSE(INDEX('Ontology and concepts per UC'!$G$2:$I$46,MATCH($A25,'Ontology and concepts per UC'!$F$2:$F$46,0),MATCH(LEFT(M$1,3),'Ontology and concepts per UC'!$G$1:$I$1,0))+1,"NA",IF(COUNTIFS(Validation!$A:$A,M$1,Validation!$S:$S,$A25)&gt;0,"Yes","No"),IF(COUNTIFS(Validation!$A:$A,M$1,Validation!$S:$S,$A25)&gt;0,"Yes","NA"))</f>
        <v>Yes</v>
      </c>
      <c r="N25" s="1" t="str">
        <f t="array" ref="N25">CHOOSE(INDEX('Ontology and concepts per UC'!$G$2:$I$46,MATCH($A25,'Ontology and concepts per UC'!$F$2:$F$46,0),MATCH(LEFT(N$1,3),'Ontology and concepts per UC'!$G$1:$I$1,0))+1,"NA",IF(COUNTIFS(Validation!$A:$A,N$1,Validation!$S:$S,$A25)&gt;0,"Yes","No"),IF(COUNTIFS(Validation!$A:$A,N$1,Validation!$S:$S,$A25)&gt;0,"Yes","NA"))</f>
        <v>No</v>
      </c>
      <c r="O25" s="1" t="str">
        <f t="array" ref="O25">CHOOSE(INDEX('Ontology and concepts per UC'!$G$2:$I$46,MATCH($A25,'Ontology and concepts per UC'!$F$2:$F$46,0),MATCH(LEFT(O$1,3),'Ontology and concepts per UC'!$G$1:$I$1,0))+1,"NA",IF(COUNTIFS(Validation!$A:$A,O$1,Validation!$S:$S,$A25)&gt;0,"Yes","No"),IF(COUNTIFS(Validation!$A:$A,O$1,Validation!$S:$S,$A25)&gt;0,"Yes","NA"))</f>
        <v>No</v>
      </c>
      <c r="P25" s="1" t="str">
        <f t="array" ref="P25">CHOOSE(INDEX('Ontology and concepts per UC'!$G$2:$I$46,MATCH($A25,'Ontology and concepts per UC'!$F$2:$F$46,0),MATCH(LEFT(P$1,3),'Ontology and concepts per UC'!$G$1:$I$1,0))+1,"NA",IF(COUNTIFS(Validation!$A:$A,P$1,Validation!$S:$S,$A25)&gt;0,"Yes","No"),IF(COUNTIFS(Validation!$A:$A,P$1,Validation!$S:$S,$A25)&gt;0,"Yes","NA"))</f>
        <v>No</v>
      </c>
      <c r="Q25" s="1" t="str">
        <f t="array" ref="Q25">CHOOSE(INDEX('Ontology and concepts per UC'!$G$2:$I$46,MATCH($A25,'Ontology and concepts per UC'!$F$2:$F$46,0),MATCH(LEFT(Q$1,3),'Ontology and concepts per UC'!$G$1:$I$1,0))+1,"NA",IF(COUNTIFS(Validation!$A:$A,Q$1,Validation!$S:$S,$A25)&gt;0,"Yes","No"),IF(COUNTIFS(Validation!$A:$A,Q$1,Validation!$S:$S,$A25)&gt;0,"Yes","NA"))</f>
        <v>No</v>
      </c>
      <c r="R25" s="1" t="str">
        <f t="array" ref="R25">CHOOSE(INDEX('Ontology and concepts per UC'!$G$2:$I$46,MATCH($A25,'Ontology and concepts per UC'!$F$2:$F$46,0),MATCH(LEFT(R$1,3),'Ontology and concepts per UC'!$G$1:$I$1,0))+1,"NA",IF(COUNTIFS(Validation!$A:$A,R$1,Validation!$S:$S,$A25)&gt;0,"Yes","No"),IF(COUNTIFS(Validation!$A:$A,R$1,Validation!$S:$S,$A25)&gt;0,"Yes","NA"))</f>
        <v>No</v>
      </c>
      <c r="S25" s="1" t="str">
        <f t="array" ref="S25">CHOOSE(INDEX('Ontology and concepts per UC'!$G$2:$I$46,MATCH($A25,'Ontology and concepts per UC'!$F$2:$F$46,0),MATCH(LEFT(S$1,3),'Ontology and concepts per UC'!$G$1:$I$1,0))+1,"NA",IF(COUNTIFS(Validation!$A:$A,S$1,Validation!$S:$S,$A25)&gt;0,"Yes","No"),IF(COUNTIFS(Validation!$A:$A,S$1,Validation!$S:$S,$A25)&gt;0,"Yes","NA"))</f>
        <v>No</v>
      </c>
      <c r="T25" s="1" t="str">
        <f t="array" ref="T25">CHOOSE(INDEX('Ontology and concepts per UC'!$G$2:$I$46,MATCH($A25,'Ontology and concepts per UC'!$F$2:$F$46,0),MATCH(LEFT(T$1,3),'Ontology and concepts per UC'!$G$1:$I$1,0))+1,"NA",IF(COUNTIFS(Validation!$A:$A,T$1,Validation!$S:$S,$A25)&gt;0,"Yes","No"),IF(COUNTIFS(Validation!$A:$A,T$1,Validation!$S:$S,$A25)&gt;0,"Yes","NA"))</f>
        <v>No</v>
      </c>
      <c r="U25" s="1" t="str">
        <f t="array" ref="U25">CHOOSE(INDEX('Ontology and concepts per UC'!$G$2:$I$46,MATCH($A25,'Ontology and concepts per UC'!$F$2:$F$46,0),MATCH(LEFT(U$1,3),'Ontology and concepts per UC'!$G$1:$I$1,0))+1,"NA",IF(COUNTIFS(Validation!$A:$A,U$1,Validation!$S:$S,$A25)&gt;0,"Yes","No"),IF(COUNTIFS(Validation!$A:$A,U$1,Validation!$S:$S,$A25)&gt;0,"Yes","NA"))</f>
        <v>No</v>
      </c>
      <c r="V25" s="1" t="str">
        <f t="array" ref="V25">CHOOSE(INDEX('Ontology and concepts per UC'!$G$2:$I$46,MATCH($A25,'Ontology and concepts per UC'!$F$2:$F$46,0),MATCH(LEFT(V$1,3),'Ontology and concepts per UC'!$G$1:$I$1,0))+1,"NA",IF(COUNTIFS(Validation!$A:$A,V$1,Validation!$S:$S,$A25)&gt;0,"Yes","No"),IF(COUNTIFS(Validation!$A:$A,V$1,Validation!$S:$S,$A25)&gt;0,"Yes","NA"))</f>
        <v>No</v>
      </c>
      <c r="W25" s="1" t="str">
        <f t="array" ref="W25">CHOOSE(INDEX('Ontology and concepts per UC'!$G$2:$I$46,MATCH($A25,'Ontology and concepts per UC'!$F$2:$F$46,0),MATCH(LEFT(W$1,3),'Ontology and concepts per UC'!$G$1:$I$1,0))+1,"NA",IF(COUNTIFS(Validation!$A:$A,W$1,Validation!$S:$S,$A25)&gt;0,"Yes","No"),IF(COUNTIFS(Validation!$A:$A,W$1,Validation!$S:$S,$A25)&gt;0,"Yes","NA"))</f>
        <v>No</v>
      </c>
      <c r="X25" s="1" t="str">
        <f t="array" ref="X25">CHOOSE(INDEX('Ontology and concepts per UC'!$G$2:$I$46,MATCH($A25,'Ontology and concepts per UC'!$F$2:$F$46,0),MATCH(LEFT(X$1,3),'Ontology and concepts per UC'!$G$1:$I$1,0))+1,"NA",IF(COUNTIFS(Validation!$A:$A,X$1,Validation!$S:$S,$A25)&gt;0,"Yes","No"),IF(COUNTIFS(Validation!$A:$A,X$1,Validation!$S:$S,$A25)&gt;0,"Yes","NA"))</f>
        <v>Yes</v>
      </c>
      <c r="Y25" s="1" t="str">
        <f t="array" ref="Y25">CHOOSE(INDEX('Ontology and concepts per UC'!$G$2:$I$46,MATCH($A25,'Ontology and concepts per UC'!$F$2:$F$46,0),MATCH(LEFT(Y$1,3),'Ontology and concepts per UC'!$G$1:$I$1,0))+1,"NA",IF(COUNTIFS(Validation!$A:$A,Y$1,Validation!$S:$S,$A25)&gt;0,"Yes","No"),IF(COUNTIFS(Validation!$A:$A,Y$1,Validation!$S:$S,$A25)&gt;0,"Yes","NA"))</f>
        <v>NA</v>
      </c>
      <c r="Z25" s="1" t="str">
        <f t="array" ref="Z25">CHOOSE(INDEX('Ontology and concepts per UC'!$G$2:$I$46,MATCH($A25,'Ontology and concepts per UC'!$F$2:$F$46,0),MATCH(LEFT(Z$1,3),'Ontology and concepts per UC'!$G$1:$I$1,0))+1,"NA",IF(COUNTIFS(Validation!$A:$A,Z$1,Validation!$S:$S,$A25)&gt;0,"Yes","No"),IF(COUNTIFS(Validation!$A:$A,Z$1,Validation!$S:$S,$A25)&gt;0,"Yes","NA"))</f>
        <v>NA</v>
      </c>
      <c r="AA25" s="1" t="str">
        <f t="array" ref="AA25">CHOOSE(INDEX('Ontology and concepts per UC'!$G$2:$I$46,MATCH($A25,'Ontology and concepts per UC'!$F$2:$F$46,0),MATCH(LEFT(AA$1,3),'Ontology and concepts per UC'!$G$1:$I$1,0))+1,"NA",IF(COUNTIFS(Validation!$A:$A,AA$1,Validation!$S:$S,$A25)&gt;0,"Yes","No"),IF(COUNTIFS(Validation!$A:$A,AA$1,Validation!$S:$S,$A25)&gt;0,"Yes","NA"))</f>
        <v>NA</v>
      </c>
      <c r="AB25" s="1" t="str">
        <f t="array" ref="AB25">CHOOSE(INDEX('Ontology and concepts per UC'!$G$2:$I$46,MATCH($A25,'Ontology and concepts per UC'!$F$2:$F$46,0),MATCH(LEFT(AB$1,3),'Ontology and concepts per UC'!$G$1:$I$1,0))+1,"NA",IF(COUNTIFS(Validation!$A:$A,AB$1,Validation!$S:$S,$A25)&gt;0,"Yes","No"),IF(COUNTIFS(Validation!$A:$A,AB$1,Validation!$S:$S,$A25)&gt;0,"Yes","NA"))</f>
        <v>No</v>
      </c>
      <c r="AC25" s="1" t="str">
        <f t="array" ref="AC25">CHOOSE(INDEX('Ontology and concepts per UC'!$G$2:$I$46,MATCH($A25,'Ontology and concepts per UC'!$F$2:$F$46,0),MATCH(LEFT(AC$1,3),'Ontology and concepts per UC'!$G$1:$I$1,0))+1,"NA",IF(COUNTIFS(Validation!$A:$A,AC$1,Validation!$S:$S,$A25)&gt;0,"Yes","No"),IF(COUNTIFS(Validation!$A:$A,AC$1,Validation!$S:$S,$A25)&gt;0,"Yes","NA"))</f>
        <v>No</v>
      </c>
      <c r="AD25" s="1" t="str">
        <f t="array" ref="AD25">CHOOSE(INDEX('Ontology and concepts per UC'!$G$2:$I$46,MATCH($A25,'Ontology and concepts per UC'!$F$2:$F$46,0),MATCH(LEFT(AD$1,3),'Ontology and concepts per UC'!$G$1:$I$1,0))+1,"NA",IF(COUNTIFS(Validation!$A:$A,AD$1,Validation!$S:$S,$A25)&gt;0,"Yes","No"),IF(COUNTIFS(Validation!$A:$A,AD$1,Validation!$S:$S,$A25)&gt;0,"Yes","NA"))</f>
        <v>No</v>
      </c>
      <c r="AE25" s="1" t="str">
        <f t="array" ref="AE25">CHOOSE(INDEX('Ontology and concepts per UC'!$G$2:$I$46,MATCH($A25,'Ontology and concepts per UC'!$F$2:$F$46,0),MATCH(LEFT(AE$1,3),'Ontology and concepts per UC'!$G$1:$I$1,0))+1,"NA",IF(COUNTIFS(Validation!$A:$A,AE$1,Validation!$S:$S,$A25)&gt;0,"Yes","No"),IF(COUNTIFS(Validation!$A:$A,AE$1,Validation!$S:$S,$A25)&gt;0,"Yes","NA"))</f>
        <v>No</v>
      </c>
    </row>
    <row r="26" spans="1:31" x14ac:dyDescent="0.25">
      <c r="A26" s="1" t="s">
        <v>46</v>
      </c>
      <c r="B26" s="1" t="str">
        <f t="array" ref="B26">CHOOSE(INDEX('Ontology and concepts per UC'!$G$2:$I$46,MATCH($A26,'Ontology and concepts per UC'!$F$2:$F$46,0),MATCH(LEFT(B$1,3),'Ontology and concepts per UC'!$G$1:$I$1,0))+1,"NA",IF(COUNTIFS(Validation!$A:$A,B$1,Validation!$S:$S,$A26)&gt;0,"Yes","No"),IF(COUNTIFS(Validation!$A:$A,B$1,Validation!$S:$S,$A26)&gt;0,"Yes","NA"))</f>
        <v>Yes</v>
      </c>
      <c r="C26" s="1" t="str">
        <f t="array" ref="C26">CHOOSE(INDEX('Ontology and concepts per UC'!$G$2:$I$46,MATCH($A26,'Ontology and concepts per UC'!$F$2:$F$46,0),MATCH(LEFT(C$1,3),'Ontology and concepts per UC'!$G$1:$I$1,0))+1,"NA",IF(COUNTIFS(Validation!$A:$A,C$1,Validation!$S:$S,$A26)&gt;0,"Yes","No"),IF(COUNTIFS(Validation!$A:$A,C$1,Validation!$S:$S,$A26)&gt;0,"Yes","NA"))</f>
        <v>Yes</v>
      </c>
      <c r="D26" s="1" t="str">
        <f t="array" ref="D26">CHOOSE(INDEX('Ontology and concepts per UC'!$G$2:$I$46,MATCH($A26,'Ontology and concepts per UC'!$F$2:$F$46,0),MATCH(LEFT(D$1,3),'Ontology and concepts per UC'!$G$1:$I$1,0))+1,"NA",IF(COUNTIFS(Validation!$A:$A,D$1,Validation!$S:$S,$A26)&gt;0,"Yes","No"),IF(COUNTIFS(Validation!$A:$A,D$1,Validation!$S:$S,$A26)&gt;0,"Yes","NA"))</f>
        <v>No</v>
      </c>
      <c r="E26" s="1" t="str">
        <f t="array" ref="E26">CHOOSE(INDEX('Ontology and concepts per UC'!$G$2:$I$46,MATCH($A26,'Ontology and concepts per UC'!$F$2:$F$46,0),MATCH(LEFT(E$1,3),'Ontology and concepts per UC'!$G$1:$I$1,0))+1,"NA",IF(COUNTIFS(Validation!$A:$A,E$1,Validation!$S:$S,$A26)&gt;0,"Yes","No"),IF(COUNTIFS(Validation!$A:$A,E$1,Validation!$S:$S,$A26)&gt;0,"Yes","NA"))</f>
        <v>Yes</v>
      </c>
      <c r="F26" s="1" t="str">
        <f t="array" ref="F26">CHOOSE(INDEX('Ontology and concepts per UC'!$G$2:$I$46,MATCH($A26,'Ontology and concepts per UC'!$F$2:$F$46,0),MATCH(LEFT(F$1,3),'Ontology and concepts per UC'!$G$1:$I$1,0))+1,"NA",IF(COUNTIFS(Validation!$A:$A,F$1,Validation!$S:$S,$A26)&gt;0,"Yes","No"),IF(COUNTIFS(Validation!$A:$A,F$1,Validation!$S:$S,$A26)&gt;0,"Yes","NA"))</f>
        <v>No</v>
      </c>
      <c r="G26" s="1" t="str">
        <f t="array" ref="G26">CHOOSE(INDEX('Ontology and concepts per UC'!$G$2:$I$46,MATCH($A26,'Ontology and concepts per UC'!$F$2:$F$46,0),MATCH(LEFT(G$1,3),'Ontology and concepts per UC'!$G$1:$I$1,0))+1,"NA",IF(COUNTIFS(Validation!$A:$A,G$1,Validation!$S:$S,$A26)&gt;0,"Yes","No"),IF(COUNTIFS(Validation!$A:$A,G$1,Validation!$S:$S,$A26)&gt;0,"Yes","NA"))</f>
        <v>No</v>
      </c>
      <c r="H26" s="1" t="str">
        <f t="array" ref="H26">CHOOSE(INDEX('Ontology and concepts per UC'!$G$2:$I$46,MATCH($A26,'Ontology and concepts per UC'!$F$2:$F$46,0),MATCH(LEFT(H$1,3),'Ontology and concepts per UC'!$G$1:$I$1,0))+1,"NA",IF(COUNTIFS(Validation!$A:$A,H$1,Validation!$S:$S,$A26)&gt;0,"Yes","No"),IF(COUNTIFS(Validation!$A:$A,H$1,Validation!$S:$S,$A26)&gt;0,"Yes","NA"))</f>
        <v>NA</v>
      </c>
      <c r="I26" s="1" t="str">
        <f t="array" ref="I26">CHOOSE(INDEX('Ontology and concepts per UC'!$G$2:$I$46,MATCH($A26,'Ontology and concepts per UC'!$F$2:$F$46,0),MATCH(LEFT(I$1,3),'Ontology and concepts per UC'!$G$1:$I$1,0))+1,"NA",IF(COUNTIFS(Validation!$A:$A,I$1,Validation!$S:$S,$A26)&gt;0,"Yes","No"),IF(COUNTIFS(Validation!$A:$A,I$1,Validation!$S:$S,$A26)&gt;0,"Yes","NA"))</f>
        <v>NA</v>
      </c>
      <c r="J26" s="1" t="str">
        <f t="array" ref="J26">CHOOSE(INDEX('Ontology and concepts per UC'!$G$2:$I$46,MATCH($A26,'Ontology and concepts per UC'!$F$2:$F$46,0),MATCH(LEFT(J$1,3),'Ontology and concepts per UC'!$G$1:$I$1,0))+1,"NA",IF(COUNTIFS(Validation!$A:$A,J$1,Validation!$S:$S,$A26)&gt;0,"Yes","No"),IF(COUNTIFS(Validation!$A:$A,J$1,Validation!$S:$S,$A26)&gt;0,"Yes","NA"))</f>
        <v>NA</v>
      </c>
      <c r="K26" s="1" t="str">
        <f t="array" ref="K26">CHOOSE(INDEX('Ontology and concepts per UC'!$G$2:$I$46,MATCH($A26,'Ontology and concepts per UC'!$F$2:$F$46,0),MATCH(LEFT(K$1,3),'Ontology and concepts per UC'!$G$1:$I$1,0))+1,"NA",IF(COUNTIFS(Validation!$A:$A,K$1,Validation!$S:$S,$A26)&gt;0,"Yes","No"),IF(COUNTIFS(Validation!$A:$A,K$1,Validation!$S:$S,$A26)&gt;0,"Yes","NA"))</f>
        <v>NA</v>
      </c>
      <c r="L26" s="1" t="str">
        <f t="array" ref="L26">CHOOSE(INDEX('Ontology and concepts per UC'!$G$2:$I$46,MATCH($A26,'Ontology and concepts per UC'!$F$2:$F$46,0),MATCH(LEFT(L$1,3),'Ontology and concepts per UC'!$G$1:$I$1,0))+1,"NA",IF(COUNTIFS(Validation!$A:$A,L$1,Validation!$S:$S,$A26)&gt;0,"Yes","No"),IF(COUNTIFS(Validation!$A:$A,L$1,Validation!$S:$S,$A26)&gt;0,"Yes","NA"))</f>
        <v>No</v>
      </c>
      <c r="M26" s="1" t="str">
        <f t="array" ref="M26">CHOOSE(INDEX('Ontology and concepts per UC'!$G$2:$I$46,MATCH($A26,'Ontology and concepts per UC'!$F$2:$F$46,0),MATCH(LEFT(M$1,3),'Ontology and concepts per UC'!$G$1:$I$1,0))+1,"NA",IF(COUNTIFS(Validation!$A:$A,M$1,Validation!$S:$S,$A26)&gt;0,"Yes","No"),IF(COUNTIFS(Validation!$A:$A,M$1,Validation!$S:$S,$A26)&gt;0,"Yes","NA"))</f>
        <v>No</v>
      </c>
      <c r="N26" s="1" t="str">
        <f t="array" ref="N26">CHOOSE(INDEX('Ontology and concepts per UC'!$G$2:$I$46,MATCH($A26,'Ontology and concepts per UC'!$F$2:$F$46,0),MATCH(LEFT(N$1,3),'Ontology and concepts per UC'!$G$1:$I$1,0))+1,"NA",IF(COUNTIFS(Validation!$A:$A,N$1,Validation!$S:$S,$A26)&gt;0,"Yes","No"),IF(COUNTIFS(Validation!$A:$A,N$1,Validation!$S:$S,$A26)&gt;0,"Yes","NA"))</f>
        <v>No</v>
      </c>
      <c r="O26" s="1" t="str">
        <f t="array" ref="O26">CHOOSE(INDEX('Ontology and concepts per UC'!$G$2:$I$46,MATCH($A26,'Ontology and concepts per UC'!$F$2:$F$46,0),MATCH(LEFT(O$1,3),'Ontology and concepts per UC'!$G$1:$I$1,0))+1,"NA",IF(COUNTIFS(Validation!$A:$A,O$1,Validation!$S:$S,$A26)&gt;0,"Yes","No"),IF(COUNTIFS(Validation!$A:$A,O$1,Validation!$S:$S,$A26)&gt;0,"Yes","NA"))</f>
        <v>No</v>
      </c>
      <c r="P26" s="1" t="str">
        <f t="array" ref="P26">CHOOSE(INDEX('Ontology and concepts per UC'!$G$2:$I$46,MATCH($A26,'Ontology and concepts per UC'!$F$2:$F$46,0),MATCH(LEFT(P$1,3),'Ontology and concepts per UC'!$G$1:$I$1,0))+1,"NA",IF(COUNTIFS(Validation!$A:$A,P$1,Validation!$S:$S,$A26)&gt;0,"Yes","No"),IF(COUNTIFS(Validation!$A:$A,P$1,Validation!$S:$S,$A26)&gt;0,"Yes","NA"))</f>
        <v>Yes</v>
      </c>
      <c r="Q26" s="1" t="str">
        <f t="array" ref="Q26">CHOOSE(INDEX('Ontology and concepts per UC'!$G$2:$I$46,MATCH($A26,'Ontology and concepts per UC'!$F$2:$F$46,0),MATCH(LEFT(Q$1,3),'Ontology and concepts per UC'!$G$1:$I$1,0))+1,"NA",IF(COUNTIFS(Validation!$A:$A,Q$1,Validation!$S:$S,$A26)&gt;0,"Yes","No"),IF(COUNTIFS(Validation!$A:$A,Q$1,Validation!$S:$S,$A26)&gt;0,"Yes","NA"))</f>
        <v>Yes</v>
      </c>
      <c r="R26" s="1" t="str">
        <f t="array" ref="R26">CHOOSE(INDEX('Ontology and concepts per UC'!$G$2:$I$46,MATCH($A26,'Ontology and concepts per UC'!$F$2:$F$46,0),MATCH(LEFT(R$1,3),'Ontology and concepts per UC'!$G$1:$I$1,0))+1,"NA",IF(COUNTIFS(Validation!$A:$A,R$1,Validation!$S:$S,$A26)&gt;0,"Yes","No"),IF(COUNTIFS(Validation!$A:$A,R$1,Validation!$S:$S,$A26)&gt;0,"Yes","NA"))</f>
        <v>Yes</v>
      </c>
      <c r="S26" s="1" t="str">
        <f t="array" ref="S26">CHOOSE(INDEX('Ontology and concepts per UC'!$G$2:$I$46,MATCH($A26,'Ontology and concepts per UC'!$F$2:$F$46,0),MATCH(LEFT(S$1,3),'Ontology and concepts per UC'!$G$1:$I$1,0))+1,"NA",IF(COUNTIFS(Validation!$A:$A,S$1,Validation!$S:$S,$A26)&gt;0,"Yes","No"),IF(COUNTIFS(Validation!$A:$A,S$1,Validation!$S:$S,$A26)&gt;0,"Yes","NA"))</f>
        <v>No</v>
      </c>
      <c r="T26" s="1" t="str">
        <f t="array" ref="T26">CHOOSE(INDEX('Ontology and concepts per UC'!$G$2:$I$46,MATCH($A26,'Ontology and concepts per UC'!$F$2:$F$46,0),MATCH(LEFT(T$1,3),'Ontology and concepts per UC'!$G$1:$I$1,0))+1,"NA",IF(COUNTIFS(Validation!$A:$A,T$1,Validation!$S:$S,$A26)&gt;0,"Yes","No"),IF(COUNTIFS(Validation!$A:$A,T$1,Validation!$S:$S,$A26)&gt;0,"Yes","NA"))</f>
        <v>No</v>
      </c>
      <c r="U26" s="1" t="str">
        <f t="array" ref="U26">CHOOSE(INDEX('Ontology and concepts per UC'!$G$2:$I$46,MATCH($A26,'Ontology and concepts per UC'!$F$2:$F$46,0),MATCH(LEFT(U$1,3),'Ontology and concepts per UC'!$G$1:$I$1,0))+1,"NA",IF(COUNTIFS(Validation!$A:$A,U$1,Validation!$S:$S,$A26)&gt;0,"Yes","No"),IF(COUNTIFS(Validation!$A:$A,U$1,Validation!$S:$S,$A26)&gt;0,"Yes","NA"))</f>
        <v>No</v>
      </c>
      <c r="V26" s="1" t="str">
        <f t="array" ref="V26">CHOOSE(INDEX('Ontology and concepts per UC'!$G$2:$I$46,MATCH($A26,'Ontology and concepts per UC'!$F$2:$F$46,0),MATCH(LEFT(V$1,3),'Ontology and concepts per UC'!$G$1:$I$1,0))+1,"NA",IF(COUNTIFS(Validation!$A:$A,V$1,Validation!$S:$S,$A26)&gt;0,"Yes","No"),IF(COUNTIFS(Validation!$A:$A,V$1,Validation!$S:$S,$A26)&gt;0,"Yes","NA"))</f>
        <v>No</v>
      </c>
      <c r="W26" s="1" t="str">
        <f t="array" ref="W26">CHOOSE(INDEX('Ontology and concepts per UC'!$G$2:$I$46,MATCH($A26,'Ontology and concepts per UC'!$F$2:$F$46,0),MATCH(LEFT(W$1,3),'Ontology and concepts per UC'!$G$1:$I$1,0))+1,"NA",IF(COUNTIFS(Validation!$A:$A,W$1,Validation!$S:$S,$A26)&gt;0,"Yes","No"),IF(COUNTIFS(Validation!$A:$A,W$1,Validation!$S:$S,$A26)&gt;0,"Yes","NA"))</f>
        <v>No</v>
      </c>
      <c r="X26" s="1" t="str">
        <f t="array" ref="X26">CHOOSE(INDEX('Ontology and concepts per UC'!$G$2:$I$46,MATCH($A26,'Ontology and concepts per UC'!$F$2:$F$46,0),MATCH(LEFT(X$1,3),'Ontology and concepts per UC'!$G$1:$I$1,0))+1,"NA",IF(COUNTIFS(Validation!$A:$A,X$1,Validation!$S:$S,$A26)&gt;0,"Yes","No"),IF(COUNTIFS(Validation!$A:$A,X$1,Validation!$S:$S,$A26)&gt;0,"Yes","NA"))</f>
        <v>NA</v>
      </c>
      <c r="Y26" s="1" t="str">
        <f t="array" ref="Y26">CHOOSE(INDEX('Ontology and concepts per UC'!$G$2:$I$46,MATCH($A26,'Ontology and concepts per UC'!$F$2:$F$46,0),MATCH(LEFT(Y$1,3),'Ontology and concepts per UC'!$G$1:$I$1,0))+1,"NA",IF(COUNTIFS(Validation!$A:$A,Y$1,Validation!$S:$S,$A26)&gt;0,"Yes","No"),IF(COUNTIFS(Validation!$A:$A,Y$1,Validation!$S:$S,$A26)&gt;0,"Yes","NA"))</f>
        <v>NA</v>
      </c>
      <c r="Z26" s="1" t="str">
        <f t="array" ref="Z26">CHOOSE(INDEX('Ontology and concepts per UC'!$G$2:$I$46,MATCH($A26,'Ontology and concepts per UC'!$F$2:$F$46,0),MATCH(LEFT(Z$1,3),'Ontology and concepts per UC'!$G$1:$I$1,0))+1,"NA",IF(COUNTIFS(Validation!$A:$A,Z$1,Validation!$S:$S,$A26)&gt;0,"Yes","No"),IF(COUNTIFS(Validation!$A:$A,Z$1,Validation!$S:$S,$A26)&gt;0,"Yes","NA"))</f>
        <v>NA</v>
      </c>
      <c r="AA26" s="1" t="str">
        <f t="array" ref="AA26">CHOOSE(INDEX('Ontology and concepts per UC'!$G$2:$I$46,MATCH($A26,'Ontology and concepts per UC'!$F$2:$F$46,0),MATCH(LEFT(AA$1,3),'Ontology and concepts per UC'!$G$1:$I$1,0))+1,"NA",IF(COUNTIFS(Validation!$A:$A,AA$1,Validation!$S:$S,$A26)&gt;0,"Yes","No"),IF(COUNTIFS(Validation!$A:$A,AA$1,Validation!$S:$S,$A26)&gt;0,"Yes","NA"))</f>
        <v>NA</v>
      </c>
      <c r="AB26" s="1" t="str">
        <f t="array" ref="AB26">CHOOSE(INDEX('Ontology and concepts per UC'!$G$2:$I$46,MATCH($A26,'Ontology and concepts per UC'!$F$2:$F$46,0),MATCH(LEFT(AB$1,3),'Ontology and concepts per UC'!$G$1:$I$1,0))+1,"NA",IF(COUNTIFS(Validation!$A:$A,AB$1,Validation!$S:$S,$A26)&gt;0,"Yes","No"),IF(COUNTIFS(Validation!$A:$A,AB$1,Validation!$S:$S,$A26)&gt;0,"Yes","NA"))</f>
        <v>No</v>
      </c>
      <c r="AC26" s="1" t="str">
        <f t="array" ref="AC26">CHOOSE(INDEX('Ontology and concepts per UC'!$G$2:$I$46,MATCH($A26,'Ontology and concepts per UC'!$F$2:$F$46,0),MATCH(LEFT(AC$1,3),'Ontology and concepts per UC'!$G$1:$I$1,0))+1,"NA",IF(COUNTIFS(Validation!$A:$A,AC$1,Validation!$S:$S,$A26)&gt;0,"Yes","No"),IF(COUNTIFS(Validation!$A:$A,AC$1,Validation!$S:$S,$A26)&gt;0,"Yes","NA"))</f>
        <v>No</v>
      </c>
      <c r="AD26" s="1" t="str">
        <f t="array" ref="AD26">CHOOSE(INDEX('Ontology and concepts per UC'!$G$2:$I$46,MATCH($A26,'Ontology and concepts per UC'!$F$2:$F$46,0),MATCH(LEFT(AD$1,3),'Ontology and concepts per UC'!$G$1:$I$1,0))+1,"NA",IF(COUNTIFS(Validation!$A:$A,AD$1,Validation!$S:$S,$A26)&gt;0,"Yes","No"),IF(COUNTIFS(Validation!$A:$A,AD$1,Validation!$S:$S,$A26)&gt;0,"Yes","NA"))</f>
        <v>No</v>
      </c>
      <c r="AE26" s="1" t="str">
        <f t="array" ref="AE26">CHOOSE(INDEX('Ontology and concepts per UC'!$G$2:$I$46,MATCH($A26,'Ontology and concepts per UC'!$F$2:$F$46,0),MATCH(LEFT(AE$1,3),'Ontology and concepts per UC'!$G$1:$I$1,0))+1,"NA",IF(COUNTIFS(Validation!$A:$A,AE$1,Validation!$S:$S,$A26)&gt;0,"Yes","No"),IF(COUNTIFS(Validation!$A:$A,AE$1,Validation!$S:$S,$A26)&gt;0,"Yes","NA"))</f>
        <v>No</v>
      </c>
    </row>
    <row r="27" spans="1:31" x14ac:dyDescent="0.25">
      <c r="A27" s="1" t="s">
        <v>47</v>
      </c>
      <c r="B27" s="1" t="str">
        <f t="array" ref="B27">CHOOSE(INDEX('Ontology and concepts per UC'!$G$2:$I$46,MATCH($A27,'Ontology and concepts per UC'!$F$2:$F$46,0),MATCH(LEFT(B$1,3),'Ontology and concepts per UC'!$G$1:$I$1,0))+1,"NA",IF(COUNTIFS(Validation!$A:$A,B$1,Validation!$S:$S,$A27)&gt;0,"Yes","No"),IF(COUNTIFS(Validation!$A:$A,B$1,Validation!$S:$S,$A27)&gt;0,"Yes","NA"))</f>
        <v>Yes</v>
      </c>
      <c r="C27" s="1" t="str">
        <f t="array" ref="C27">CHOOSE(INDEX('Ontology and concepts per UC'!$G$2:$I$46,MATCH($A27,'Ontology and concepts per UC'!$F$2:$F$46,0),MATCH(LEFT(C$1,3),'Ontology and concepts per UC'!$G$1:$I$1,0))+1,"NA",IF(COUNTIFS(Validation!$A:$A,C$1,Validation!$S:$S,$A27)&gt;0,"Yes","No"),IF(COUNTIFS(Validation!$A:$A,C$1,Validation!$S:$S,$A27)&gt;0,"Yes","NA"))</f>
        <v>Yes</v>
      </c>
      <c r="D27" s="1" t="str">
        <f t="array" ref="D27">CHOOSE(INDEX('Ontology and concepts per UC'!$G$2:$I$46,MATCH($A27,'Ontology and concepts per UC'!$F$2:$F$46,0),MATCH(LEFT(D$1,3),'Ontology and concepts per UC'!$G$1:$I$1,0))+1,"NA",IF(COUNTIFS(Validation!$A:$A,D$1,Validation!$S:$S,$A27)&gt;0,"Yes","No"),IF(COUNTIFS(Validation!$A:$A,D$1,Validation!$S:$S,$A27)&gt;0,"Yes","NA"))</f>
        <v>Yes</v>
      </c>
      <c r="E27" s="1" t="str">
        <f t="array" ref="E27">CHOOSE(INDEX('Ontology and concepts per UC'!$G$2:$I$46,MATCH($A27,'Ontology and concepts per UC'!$F$2:$F$46,0),MATCH(LEFT(E$1,3),'Ontology and concepts per UC'!$G$1:$I$1,0))+1,"NA",IF(COUNTIFS(Validation!$A:$A,E$1,Validation!$S:$S,$A27)&gt;0,"Yes","No"),IF(COUNTIFS(Validation!$A:$A,E$1,Validation!$S:$S,$A27)&gt;0,"Yes","NA"))</f>
        <v>Yes</v>
      </c>
      <c r="F27" s="1" t="str">
        <f t="array" ref="F27">CHOOSE(INDEX('Ontology and concepts per UC'!$G$2:$I$46,MATCH($A27,'Ontology and concepts per UC'!$F$2:$F$46,0),MATCH(LEFT(F$1,3),'Ontology and concepts per UC'!$G$1:$I$1,0))+1,"NA",IF(COUNTIFS(Validation!$A:$A,F$1,Validation!$S:$S,$A27)&gt;0,"Yes","No"),IF(COUNTIFS(Validation!$A:$A,F$1,Validation!$S:$S,$A27)&gt;0,"Yes","NA"))</f>
        <v>NA</v>
      </c>
      <c r="G27" s="1" t="str">
        <f t="array" ref="G27">CHOOSE(INDEX('Ontology and concepts per UC'!$G$2:$I$46,MATCH($A27,'Ontology and concepts per UC'!$F$2:$F$46,0),MATCH(LEFT(G$1,3),'Ontology and concepts per UC'!$G$1:$I$1,0))+1,"NA",IF(COUNTIFS(Validation!$A:$A,G$1,Validation!$S:$S,$A27)&gt;0,"Yes","No"),IF(COUNTIFS(Validation!$A:$A,G$1,Validation!$S:$S,$A27)&gt;0,"Yes","NA"))</f>
        <v>NA</v>
      </c>
      <c r="H27" s="1" t="str">
        <f t="array" ref="H27">CHOOSE(INDEX('Ontology and concepts per UC'!$G$2:$I$46,MATCH($A27,'Ontology and concepts per UC'!$F$2:$F$46,0),MATCH(LEFT(H$1,3),'Ontology and concepts per UC'!$G$1:$I$1,0))+1,"NA",IF(COUNTIFS(Validation!$A:$A,H$1,Validation!$S:$S,$A27)&gt;0,"Yes","No"),IF(COUNTIFS(Validation!$A:$A,H$1,Validation!$S:$S,$A27)&gt;0,"Yes","NA"))</f>
        <v>NA</v>
      </c>
      <c r="I27" s="1" t="str">
        <f t="array" ref="I27">CHOOSE(INDEX('Ontology and concepts per UC'!$G$2:$I$46,MATCH($A27,'Ontology and concepts per UC'!$F$2:$F$46,0),MATCH(LEFT(I$1,3),'Ontology and concepts per UC'!$G$1:$I$1,0))+1,"NA",IF(COUNTIFS(Validation!$A:$A,I$1,Validation!$S:$S,$A27)&gt;0,"Yes","No"),IF(COUNTIFS(Validation!$A:$A,I$1,Validation!$S:$S,$A27)&gt;0,"Yes","NA"))</f>
        <v>NA</v>
      </c>
      <c r="J27" s="1" t="str">
        <f t="array" ref="J27">CHOOSE(INDEX('Ontology and concepts per UC'!$G$2:$I$46,MATCH($A27,'Ontology and concepts per UC'!$F$2:$F$46,0),MATCH(LEFT(J$1,3),'Ontology and concepts per UC'!$G$1:$I$1,0))+1,"NA",IF(COUNTIFS(Validation!$A:$A,J$1,Validation!$S:$S,$A27)&gt;0,"Yes","No"),IF(COUNTIFS(Validation!$A:$A,J$1,Validation!$S:$S,$A27)&gt;0,"Yes","NA"))</f>
        <v>NA</v>
      </c>
      <c r="K27" s="1" t="str">
        <f t="array" ref="K27">CHOOSE(INDEX('Ontology and concepts per UC'!$G$2:$I$46,MATCH($A27,'Ontology and concepts per UC'!$F$2:$F$46,0),MATCH(LEFT(K$1,3),'Ontology and concepts per UC'!$G$1:$I$1,0))+1,"NA",IF(COUNTIFS(Validation!$A:$A,K$1,Validation!$S:$S,$A27)&gt;0,"Yes","No"),IF(COUNTIFS(Validation!$A:$A,K$1,Validation!$S:$S,$A27)&gt;0,"Yes","NA"))</f>
        <v>NA</v>
      </c>
      <c r="L27" s="1" t="str">
        <f t="array" ref="L27">CHOOSE(INDEX('Ontology and concepts per UC'!$G$2:$I$46,MATCH($A27,'Ontology and concepts per UC'!$F$2:$F$46,0),MATCH(LEFT(L$1,3),'Ontology and concepts per UC'!$G$1:$I$1,0))+1,"NA",IF(COUNTIFS(Validation!$A:$A,L$1,Validation!$S:$S,$A27)&gt;0,"Yes","No"),IF(COUNTIFS(Validation!$A:$A,L$1,Validation!$S:$S,$A27)&gt;0,"Yes","NA"))</f>
        <v>NA</v>
      </c>
      <c r="M27" s="1" t="str">
        <f t="array" ref="M27">CHOOSE(INDEX('Ontology and concepts per UC'!$G$2:$I$46,MATCH($A27,'Ontology and concepts per UC'!$F$2:$F$46,0),MATCH(LEFT(M$1,3),'Ontology and concepts per UC'!$G$1:$I$1,0))+1,"NA",IF(COUNTIFS(Validation!$A:$A,M$1,Validation!$S:$S,$A27)&gt;0,"Yes","No"),IF(COUNTIFS(Validation!$A:$A,M$1,Validation!$S:$S,$A27)&gt;0,"Yes","NA"))</f>
        <v>Yes</v>
      </c>
      <c r="N27" s="1" t="str">
        <f t="array" ref="N27">CHOOSE(INDEX('Ontology and concepts per UC'!$G$2:$I$46,MATCH($A27,'Ontology and concepts per UC'!$F$2:$F$46,0),MATCH(LEFT(N$1,3),'Ontology and concepts per UC'!$G$1:$I$1,0))+1,"NA",IF(COUNTIFS(Validation!$A:$A,N$1,Validation!$S:$S,$A27)&gt;0,"Yes","No"),IF(COUNTIFS(Validation!$A:$A,N$1,Validation!$S:$S,$A27)&gt;0,"Yes","NA"))</f>
        <v>Yes</v>
      </c>
      <c r="O27" s="1" t="str">
        <f t="array" ref="O27">CHOOSE(INDEX('Ontology and concepts per UC'!$G$2:$I$46,MATCH($A27,'Ontology and concepts per UC'!$F$2:$F$46,0),MATCH(LEFT(O$1,3),'Ontology and concepts per UC'!$G$1:$I$1,0))+1,"NA",IF(COUNTIFS(Validation!$A:$A,O$1,Validation!$S:$S,$A27)&gt;0,"Yes","No"),IF(COUNTIFS(Validation!$A:$A,O$1,Validation!$S:$S,$A27)&gt;0,"Yes","NA"))</f>
        <v>NA</v>
      </c>
      <c r="P27" s="1" t="str">
        <f t="array" ref="P27">CHOOSE(INDEX('Ontology and concepts per UC'!$G$2:$I$46,MATCH($A27,'Ontology and concepts per UC'!$F$2:$F$46,0),MATCH(LEFT(P$1,3),'Ontology and concepts per UC'!$G$1:$I$1,0))+1,"NA",IF(COUNTIFS(Validation!$A:$A,P$1,Validation!$S:$S,$A27)&gt;0,"Yes","No"),IF(COUNTIFS(Validation!$A:$A,P$1,Validation!$S:$S,$A27)&gt;0,"Yes","NA"))</f>
        <v>Yes</v>
      </c>
      <c r="Q27" s="1" t="str">
        <f t="array" ref="Q27">CHOOSE(INDEX('Ontology and concepts per UC'!$G$2:$I$46,MATCH($A27,'Ontology and concepts per UC'!$F$2:$F$46,0),MATCH(LEFT(Q$1,3),'Ontology and concepts per UC'!$G$1:$I$1,0))+1,"NA",IF(COUNTIFS(Validation!$A:$A,Q$1,Validation!$S:$S,$A27)&gt;0,"Yes","No"),IF(COUNTIFS(Validation!$A:$A,Q$1,Validation!$S:$S,$A27)&gt;0,"Yes","NA"))</f>
        <v>Yes</v>
      </c>
      <c r="R27" s="1" t="str">
        <f t="array" ref="R27">CHOOSE(INDEX('Ontology and concepts per UC'!$G$2:$I$46,MATCH($A27,'Ontology and concepts per UC'!$F$2:$F$46,0),MATCH(LEFT(R$1,3),'Ontology and concepts per UC'!$G$1:$I$1,0))+1,"NA",IF(COUNTIFS(Validation!$A:$A,R$1,Validation!$S:$S,$A27)&gt;0,"Yes","No"),IF(COUNTIFS(Validation!$A:$A,R$1,Validation!$S:$S,$A27)&gt;0,"Yes","NA"))</f>
        <v>Yes</v>
      </c>
      <c r="S27" s="1" t="str">
        <f t="array" ref="S27">CHOOSE(INDEX('Ontology and concepts per UC'!$G$2:$I$46,MATCH($A27,'Ontology and concepts per UC'!$F$2:$F$46,0),MATCH(LEFT(S$1,3),'Ontology and concepts per UC'!$G$1:$I$1,0))+1,"NA",IF(COUNTIFS(Validation!$A:$A,S$1,Validation!$S:$S,$A27)&gt;0,"Yes","No"),IF(COUNTIFS(Validation!$A:$A,S$1,Validation!$S:$S,$A27)&gt;0,"Yes","NA"))</f>
        <v>NA</v>
      </c>
      <c r="T27" s="1" t="str">
        <f t="array" ref="T27">CHOOSE(INDEX('Ontology and concepts per UC'!$G$2:$I$46,MATCH($A27,'Ontology and concepts per UC'!$F$2:$F$46,0),MATCH(LEFT(T$1,3),'Ontology and concepts per UC'!$G$1:$I$1,0))+1,"NA",IF(COUNTIFS(Validation!$A:$A,T$1,Validation!$S:$S,$A27)&gt;0,"Yes","No"),IF(COUNTIFS(Validation!$A:$A,T$1,Validation!$S:$S,$A27)&gt;0,"Yes","NA"))</f>
        <v>NA</v>
      </c>
      <c r="U27" s="1" t="str">
        <f t="array" ref="U27">CHOOSE(INDEX('Ontology and concepts per UC'!$G$2:$I$46,MATCH($A27,'Ontology and concepts per UC'!$F$2:$F$46,0),MATCH(LEFT(U$1,3),'Ontology and concepts per UC'!$G$1:$I$1,0))+1,"NA",IF(COUNTIFS(Validation!$A:$A,U$1,Validation!$S:$S,$A27)&gt;0,"Yes","No"),IF(COUNTIFS(Validation!$A:$A,U$1,Validation!$S:$S,$A27)&gt;0,"Yes","NA"))</f>
        <v>NA</v>
      </c>
      <c r="V27" s="1" t="str">
        <f t="array" ref="V27">CHOOSE(INDEX('Ontology and concepts per UC'!$G$2:$I$46,MATCH($A27,'Ontology and concepts per UC'!$F$2:$F$46,0),MATCH(LEFT(V$1,3),'Ontology and concepts per UC'!$G$1:$I$1,0))+1,"NA",IF(COUNTIFS(Validation!$A:$A,V$1,Validation!$S:$S,$A27)&gt;0,"Yes","No"),IF(COUNTIFS(Validation!$A:$A,V$1,Validation!$S:$S,$A27)&gt;0,"Yes","NA"))</f>
        <v>Yes</v>
      </c>
      <c r="W27" s="1" t="str">
        <f t="array" ref="W27">CHOOSE(INDEX('Ontology and concepts per UC'!$G$2:$I$46,MATCH($A27,'Ontology and concepts per UC'!$F$2:$F$46,0),MATCH(LEFT(W$1,3),'Ontology and concepts per UC'!$G$1:$I$1,0))+1,"NA",IF(COUNTIFS(Validation!$A:$A,W$1,Validation!$S:$S,$A27)&gt;0,"Yes","No"),IF(COUNTIFS(Validation!$A:$A,W$1,Validation!$S:$S,$A27)&gt;0,"Yes","NA"))</f>
        <v>NA</v>
      </c>
      <c r="X27" s="1" t="str">
        <f t="array" ref="X27">CHOOSE(INDEX('Ontology and concepts per UC'!$G$2:$I$46,MATCH($A27,'Ontology and concepts per UC'!$F$2:$F$46,0),MATCH(LEFT(X$1,3),'Ontology and concepts per UC'!$G$1:$I$1,0))+1,"NA",IF(COUNTIFS(Validation!$A:$A,X$1,Validation!$S:$S,$A27)&gt;0,"Yes","No"),IF(COUNTIFS(Validation!$A:$A,X$1,Validation!$S:$S,$A27)&gt;0,"Yes","NA"))</f>
        <v>NA</v>
      </c>
      <c r="Y27" s="1" t="str">
        <f t="array" ref="Y27">CHOOSE(INDEX('Ontology and concepts per UC'!$G$2:$I$46,MATCH($A27,'Ontology and concepts per UC'!$F$2:$F$46,0),MATCH(LEFT(Y$1,3),'Ontology and concepts per UC'!$G$1:$I$1,0))+1,"NA",IF(COUNTIFS(Validation!$A:$A,Y$1,Validation!$S:$S,$A27)&gt;0,"Yes","No"),IF(COUNTIFS(Validation!$A:$A,Y$1,Validation!$S:$S,$A27)&gt;0,"Yes","NA"))</f>
        <v>NA</v>
      </c>
      <c r="Z27" s="1" t="str">
        <f t="array" ref="Z27">CHOOSE(INDEX('Ontology and concepts per UC'!$G$2:$I$46,MATCH($A27,'Ontology and concepts per UC'!$F$2:$F$46,0),MATCH(LEFT(Z$1,3),'Ontology and concepts per UC'!$G$1:$I$1,0))+1,"NA",IF(COUNTIFS(Validation!$A:$A,Z$1,Validation!$S:$S,$A27)&gt;0,"Yes","No"),IF(COUNTIFS(Validation!$A:$A,Z$1,Validation!$S:$S,$A27)&gt;0,"Yes","NA"))</f>
        <v>NA</v>
      </c>
      <c r="AA27" s="1" t="str">
        <f t="array" ref="AA27">CHOOSE(INDEX('Ontology and concepts per UC'!$G$2:$I$46,MATCH($A27,'Ontology and concepts per UC'!$F$2:$F$46,0),MATCH(LEFT(AA$1,3),'Ontology and concepts per UC'!$G$1:$I$1,0))+1,"NA",IF(COUNTIFS(Validation!$A:$A,AA$1,Validation!$S:$S,$A27)&gt;0,"Yes","No"),IF(COUNTIFS(Validation!$A:$A,AA$1,Validation!$S:$S,$A27)&gt;0,"Yes","NA"))</f>
        <v>NA</v>
      </c>
      <c r="AB27" s="1" t="str">
        <f t="array" ref="AB27">CHOOSE(INDEX('Ontology and concepts per UC'!$G$2:$I$46,MATCH($A27,'Ontology and concepts per UC'!$F$2:$F$46,0),MATCH(LEFT(AB$1,3),'Ontology and concepts per UC'!$G$1:$I$1,0))+1,"NA",IF(COUNTIFS(Validation!$A:$A,AB$1,Validation!$S:$S,$A27)&gt;0,"Yes","No"),IF(COUNTIFS(Validation!$A:$A,AB$1,Validation!$S:$S,$A27)&gt;0,"Yes","NA"))</f>
        <v>NA</v>
      </c>
      <c r="AC27" s="1" t="str">
        <f t="array" ref="AC27">CHOOSE(INDEX('Ontology and concepts per UC'!$G$2:$I$46,MATCH($A27,'Ontology and concepts per UC'!$F$2:$F$46,0),MATCH(LEFT(AC$1,3),'Ontology and concepts per UC'!$G$1:$I$1,0))+1,"NA",IF(COUNTIFS(Validation!$A:$A,AC$1,Validation!$S:$S,$A27)&gt;0,"Yes","No"),IF(COUNTIFS(Validation!$A:$A,AC$1,Validation!$S:$S,$A27)&gt;0,"Yes","NA"))</f>
        <v>Yes</v>
      </c>
      <c r="AD27" s="1" t="str">
        <f t="array" ref="AD27">CHOOSE(INDEX('Ontology and concepts per UC'!$G$2:$I$46,MATCH($A27,'Ontology and concepts per UC'!$F$2:$F$46,0),MATCH(LEFT(AD$1,3),'Ontology and concepts per UC'!$G$1:$I$1,0))+1,"NA",IF(COUNTIFS(Validation!$A:$A,AD$1,Validation!$S:$S,$A27)&gt;0,"Yes","No"),IF(COUNTIFS(Validation!$A:$A,AD$1,Validation!$S:$S,$A27)&gt;0,"Yes","NA"))</f>
        <v>NA</v>
      </c>
      <c r="AE27" s="1" t="str">
        <f t="array" ref="AE27">CHOOSE(INDEX('Ontology and concepts per UC'!$G$2:$I$46,MATCH($A27,'Ontology and concepts per UC'!$F$2:$F$46,0),MATCH(LEFT(AE$1,3),'Ontology and concepts per UC'!$G$1:$I$1,0))+1,"NA",IF(COUNTIFS(Validation!$A:$A,AE$1,Validation!$S:$S,$A27)&gt;0,"Yes","No"),IF(COUNTIFS(Validation!$A:$A,AE$1,Validation!$S:$S,$A27)&gt;0,"Yes","NA"))</f>
        <v>NA</v>
      </c>
    </row>
    <row r="28" spans="1:31" x14ac:dyDescent="0.25">
      <c r="A28" s="1" t="s">
        <v>50</v>
      </c>
      <c r="B28" s="1" t="str">
        <f t="array" ref="B28">CHOOSE(INDEX('Ontology and concepts per UC'!$G$2:$I$46,MATCH($A28,'Ontology and concepts per UC'!$F$2:$F$46,0),MATCH(LEFT(B$1,3),'Ontology and concepts per UC'!$G$1:$I$1,0))+1,"NA",IF(COUNTIFS(Validation!$A:$A,B$1,Validation!$S:$S,$A28)&gt;0,"Yes","No"),IF(COUNTIFS(Validation!$A:$A,B$1,Validation!$S:$S,$A28)&gt;0,"Yes","NA"))</f>
        <v>Yes</v>
      </c>
      <c r="C28" s="1" t="str">
        <f t="array" ref="C28">CHOOSE(INDEX('Ontology and concepts per UC'!$G$2:$I$46,MATCH($A28,'Ontology and concepts per UC'!$F$2:$F$46,0),MATCH(LEFT(C$1,3),'Ontology and concepts per UC'!$G$1:$I$1,0))+1,"NA",IF(COUNTIFS(Validation!$A:$A,C$1,Validation!$S:$S,$A28)&gt;0,"Yes","No"),IF(COUNTIFS(Validation!$A:$A,C$1,Validation!$S:$S,$A28)&gt;0,"Yes","NA"))</f>
        <v>No</v>
      </c>
      <c r="D28" s="1" t="str">
        <f t="array" ref="D28">CHOOSE(INDEX('Ontology and concepts per UC'!$G$2:$I$46,MATCH($A28,'Ontology and concepts per UC'!$F$2:$F$46,0),MATCH(LEFT(D$1,3),'Ontology and concepts per UC'!$G$1:$I$1,0))+1,"NA",IF(COUNTIFS(Validation!$A:$A,D$1,Validation!$S:$S,$A28)&gt;0,"Yes","No"),IF(COUNTIFS(Validation!$A:$A,D$1,Validation!$S:$S,$A28)&gt;0,"Yes","NA"))</f>
        <v>Yes</v>
      </c>
      <c r="E28" s="1" t="str">
        <f t="array" ref="E28">CHOOSE(INDEX('Ontology and concepts per UC'!$G$2:$I$46,MATCH($A28,'Ontology and concepts per UC'!$F$2:$F$46,0),MATCH(LEFT(E$1,3),'Ontology and concepts per UC'!$G$1:$I$1,0))+1,"NA",IF(COUNTIFS(Validation!$A:$A,E$1,Validation!$S:$S,$A28)&gt;0,"Yes","No"),IF(COUNTIFS(Validation!$A:$A,E$1,Validation!$S:$S,$A28)&gt;0,"Yes","NA"))</f>
        <v>No</v>
      </c>
      <c r="F28" s="1" t="str">
        <f t="array" ref="F28">CHOOSE(INDEX('Ontology and concepts per UC'!$G$2:$I$46,MATCH($A28,'Ontology and concepts per UC'!$F$2:$F$46,0),MATCH(LEFT(F$1,3),'Ontology and concepts per UC'!$G$1:$I$1,0))+1,"NA",IF(COUNTIFS(Validation!$A:$A,F$1,Validation!$S:$S,$A28)&gt;0,"Yes","No"),IF(COUNTIFS(Validation!$A:$A,F$1,Validation!$S:$S,$A28)&gt;0,"Yes","NA"))</f>
        <v>Yes</v>
      </c>
      <c r="G28" s="1" t="str">
        <f t="array" ref="G28">CHOOSE(INDEX('Ontology and concepts per UC'!$G$2:$I$46,MATCH($A28,'Ontology and concepts per UC'!$F$2:$F$46,0),MATCH(LEFT(G$1,3),'Ontology and concepts per UC'!$G$1:$I$1,0))+1,"NA",IF(COUNTIFS(Validation!$A:$A,G$1,Validation!$S:$S,$A28)&gt;0,"Yes","No"),IF(COUNTIFS(Validation!$A:$A,G$1,Validation!$S:$S,$A28)&gt;0,"Yes","NA"))</f>
        <v>Yes</v>
      </c>
      <c r="H28" s="1" t="str">
        <f t="array" ref="H28">CHOOSE(INDEX('Ontology and concepts per UC'!$G$2:$I$46,MATCH($A28,'Ontology and concepts per UC'!$F$2:$F$46,0),MATCH(LEFT(H$1,3),'Ontology and concepts per UC'!$G$1:$I$1,0))+1,"NA",IF(COUNTIFS(Validation!$A:$A,H$1,Validation!$S:$S,$A28)&gt;0,"Yes","No"),IF(COUNTIFS(Validation!$A:$A,H$1,Validation!$S:$S,$A28)&gt;0,"Yes","NA"))</f>
        <v>Yes</v>
      </c>
      <c r="I28" s="1" t="str">
        <f t="array" ref="I28">CHOOSE(INDEX('Ontology and concepts per UC'!$G$2:$I$46,MATCH($A28,'Ontology and concepts per UC'!$F$2:$F$46,0),MATCH(LEFT(I$1,3),'Ontology and concepts per UC'!$G$1:$I$1,0))+1,"NA",IF(COUNTIFS(Validation!$A:$A,I$1,Validation!$S:$S,$A28)&gt;0,"Yes","No"),IF(COUNTIFS(Validation!$A:$A,I$1,Validation!$S:$S,$A28)&gt;0,"Yes","NA"))</f>
        <v>Yes</v>
      </c>
      <c r="J28" s="1" t="str">
        <f t="array" ref="J28">CHOOSE(INDEX('Ontology and concepts per UC'!$G$2:$I$46,MATCH($A28,'Ontology and concepts per UC'!$F$2:$F$46,0),MATCH(LEFT(J$1,3),'Ontology and concepts per UC'!$G$1:$I$1,0))+1,"NA",IF(COUNTIFS(Validation!$A:$A,J$1,Validation!$S:$S,$A28)&gt;0,"Yes","No"),IF(COUNTIFS(Validation!$A:$A,J$1,Validation!$S:$S,$A28)&gt;0,"Yes","NA"))</f>
        <v>Yes</v>
      </c>
      <c r="K28" s="1" t="str">
        <f t="array" ref="K28">CHOOSE(INDEX('Ontology and concepts per UC'!$G$2:$I$46,MATCH($A28,'Ontology and concepts per UC'!$F$2:$F$46,0),MATCH(LEFT(K$1,3),'Ontology and concepts per UC'!$G$1:$I$1,0))+1,"NA",IF(COUNTIFS(Validation!$A:$A,K$1,Validation!$S:$S,$A28)&gt;0,"Yes","No"),IF(COUNTIFS(Validation!$A:$A,K$1,Validation!$S:$S,$A28)&gt;0,"Yes","NA"))</f>
        <v>Yes</v>
      </c>
      <c r="L28" s="1" t="str">
        <f t="array" ref="L28">CHOOSE(INDEX('Ontology and concepts per UC'!$G$2:$I$46,MATCH($A28,'Ontology and concepts per UC'!$F$2:$F$46,0),MATCH(LEFT(L$1,3),'Ontology and concepts per UC'!$G$1:$I$1,0))+1,"NA",IF(COUNTIFS(Validation!$A:$A,L$1,Validation!$S:$S,$A28)&gt;0,"Yes","No"),IF(COUNTIFS(Validation!$A:$A,L$1,Validation!$S:$S,$A28)&gt;0,"Yes","NA"))</f>
        <v>No</v>
      </c>
      <c r="M28" s="1" t="str">
        <f t="array" ref="M28">CHOOSE(INDEX('Ontology and concepts per UC'!$G$2:$I$46,MATCH($A28,'Ontology and concepts per UC'!$F$2:$F$46,0),MATCH(LEFT(M$1,3),'Ontology and concepts per UC'!$G$1:$I$1,0))+1,"NA",IF(COUNTIFS(Validation!$A:$A,M$1,Validation!$S:$S,$A28)&gt;0,"Yes","No"),IF(COUNTIFS(Validation!$A:$A,M$1,Validation!$S:$S,$A28)&gt;0,"Yes","NA"))</f>
        <v>Yes</v>
      </c>
      <c r="N28" s="1" t="str">
        <f t="array" ref="N28">CHOOSE(INDEX('Ontology and concepts per UC'!$G$2:$I$46,MATCH($A28,'Ontology and concepts per UC'!$F$2:$F$46,0),MATCH(LEFT(N$1,3),'Ontology and concepts per UC'!$G$1:$I$1,0))+1,"NA",IF(COUNTIFS(Validation!$A:$A,N$1,Validation!$S:$S,$A28)&gt;0,"Yes","No"),IF(COUNTIFS(Validation!$A:$A,N$1,Validation!$S:$S,$A28)&gt;0,"Yes","NA"))</f>
        <v>No</v>
      </c>
      <c r="O28" s="1" t="str">
        <f t="array" ref="O28">CHOOSE(INDEX('Ontology and concepts per UC'!$G$2:$I$46,MATCH($A28,'Ontology and concepts per UC'!$F$2:$F$46,0),MATCH(LEFT(O$1,3),'Ontology and concepts per UC'!$G$1:$I$1,0))+1,"NA",IF(COUNTIFS(Validation!$A:$A,O$1,Validation!$S:$S,$A28)&gt;0,"Yes","No"),IF(COUNTIFS(Validation!$A:$A,O$1,Validation!$S:$S,$A28)&gt;0,"Yes","NA"))</f>
        <v>Yes</v>
      </c>
      <c r="P28" s="1" t="str">
        <f t="array" ref="P28">CHOOSE(INDEX('Ontology and concepts per UC'!$G$2:$I$46,MATCH($A28,'Ontology and concepts per UC'!$F$2:$F$46,0),MATCH(LEFT(P$1,3),'Ontology and concepts per UC'!$G$1:$I$1,0))+1,"NA",IF(COUNTIFS(Validation!$A:$A,P$1,Validation!$S:$S,$A28)&gt;0,"Yes","No"),IF(COUNTIFS(Validation!$A:$A,P$1,Validation!$S:$S,$A28)&gt;0,"Yes","NA"))</f>
        <v>Yes</v>
      </c>
      <c r="Q28" s="1" t="str">
        <f t="array" ref="Q28">CHOOSE(INDEX('Ontology and concepts per UC'!$G$2:$I$46,MATCH($A28,'Ontology and concepts per UC'!$F$2:$F$46,0),MATCH(LEFT(Q$1,3),'Ontology and concepts per UC'!$G$1:$I$1,0))+1,"NA",IF(COUNTIFS(Validation!$A:$A,Q$1,Validation!$S:$S,$A28)&gt;0,"Yes","No"),IF(COUNTIFS(Validation!$A:$A,Q$1,Validation!$S:$S,$A28)&gt;0,"Yes","NA"))</f>
        <v>Yes</v>
      </c>
      <c r="R28" s="1" t="str">
        <f t="array" ref="R28">CHOOSE(INDEX('Ontology and concepts per UC'!$G$2:$I$46,MATCH($A28,'Ontology and concepts per UC'!$F$2:$F$46,0),MATCH(LEFT(R$1,3),'Ontology and concepts per UC'!$G$1:$I$1,0))+1,"NA",IF(COUNTIFS(Validation!$A:$A,R$1,Validation!$S:$S,$A28)&gt;0,"Yes","No"),IF(COUNTIFS(Validation!$A:$A,R$1,Validation!$S:$S,$A28)&gt;0,"Yes","NA"))</f>
        <v>Yes</v>
      </c>
      <c r="S28" s="1" t="str">
        <f t="array" ref="S28">CHOOSE(INDEX('Ontology and concepts per UC'!$G$2:$I$46,MATCH($A28,'Ontology and concepts per UC'!$F$2:$F$46,0),MATCH(LEFT(S$1,3),'Ontology and concepts per UC'!$G$1:$I$1,0))+1,"NA",IF(COUNTIFS(Validation!$A:$A,S$1,Validation!$S:$S,$A28)&gt;0,"Yes","No"),IF(COUNTIFS(Validation!$A:$A,S$1,Validation!$S:$S,$A28)&gt;0,"Yes","NA"))</f>
        <v>Yes</v>
      </c>
      <c r="T28" s="1" t="str">
        <f t="array" ref="T28">CHOOSE(INDEX('Ontology and concepts per UC'!$G$2:$I$46,MATCH($A28,'Ontology and concepts per UC'!$F$2:$F$46,0),MATCH(LEFT(T$1,3),'Ontology and concepts per UC'!$G$1:$I$1,0))+1,"NA",IF(COUNTIFS(Validation!$A:$A,T$1,Validation!$S:$S,$A28)&gt;0,"Yes","No"),IF(COUNTIFS(Validation!$A:$A,T$1,Validation!$S:$S,$A28)&gt;0,"Yes","NA"))</f>
        <v>No</v>
      </c>
      <c r="U28" s="1" t="str">
        <f t="array" ref="U28">CHOOSE(INDEX('Ontology and concepts per UC'!$G$2:$I$46,MATCH($A28,'Ontology and concepts per UC'!$F$2:$F$46,0),MATCH(LEFT(U$1,3),'Ontology and concepts per UC'!$G$1:$I$1,0))+1,"NA",IF(COUNTIFS(Validation!$A:$A,U$1,Validation!$S:$S,$A28)&gt;0,"Yes","No"),IF(COUNTIFS(Validation!$A:$A,U$1,Validation!$S:$S,$A28)&gt;0,"Yes","NA"))</f>
        <v>No</v>
      </c>
      <c r="V28" s="1" t="str">
        <f t="array" ref="V28">CHOOSE(INDEX('Ontology and concepts per UC'!$G$2:$I$46,MATCH($A28,'Ontology and concepts per UC'!$F$2:$F$46,0),MATCH(LEFT(V$1,3),'Ontology and concepts per UC'!$G$1:$I$1,0))+1,"NA",IF(COUNTIFS(Validation!$A:$A,V$1,Validation!$S:$S,$A28)&gt;0,"Yes","No"),IF(COUNTIFS(Validation!$A:$A,V$1,Validation!$S:$S,$A28)&gt;0,"Yes","NA"))</f>
        <v>Yes</v>
      </c>
      <c r="W28" s="1" t="str">
        <f t="array" ref="W28">CHOOSE(INDEX('Ontology and concepts per UC'!$G$2:$I$46,MATCH($A28,'Ontology and concepts per UC'!$F$2:$F$46,0),MATCH(LEFT(W$1,3),'Ontology and concepts per UC'!$G$1:$I$1,0))+1,"NA",IF(COUNTIFS(Validation!$A:$A,W$1,Validation!$S:$S,$A28)&gt;0,"Yes","No"),IF(COUNTIFS(Validation!$A:$A,W$1,Validation!$S:$S,$A28)&gt;0,"Yes","NA"))</f>
        <v>Yes</v>
      </c>
      <c r="X28" s="1" t="str">
        <f t="array" ref="X28">CHOOSE(INDEX('Ontology and concepts per UC'!$G$2:$I$46,MATCH($A28,'Ontology and concepts per UC'!$F$2:$F$46,0),MATCH(LEFT(X$1,3),'Ontology and concepts per UC'!$G$1:$I$1,0))+1,"NA",IF(COUNTIFS(Validation!$A:$A,X$1,Validation!$S:$S,$A28)&gt;0,"Yes","No"),IF(COUNTIFS(Validation!$A:$A,X$1,Validation!$S:$S,$A28)&gt;0,"Yes","NA"))</f>
        <v>Yes</v>
      </c>
      <c r="Y28" s="1" t="str">
        <f t="array" ref="Y28">CHOOSE(INDEX('Ontology and concepts per UC'!$G$2:$I$46,MATCH($A28,'Ontology and concepts per UC'!$F$2:$F$46,0),MATCH(LEFT(Y$1,3),'Ontology and concepts per UC'!$G$1:$I$1,0))+1,"NA",IF(COUNTIFS(Validation!$A:$A,Y$1,Validation!$S:$S,$A28)&gt;0,"Yes","No"),IF(COUNTIFS(Validation!$A:$A,Y$1,Validation!$S:$S,$A28)&gt;0,"Yes","NA"))</f>
        <v>Yes</v>
      </c>
      <c r="Z28" s="1" t="str">
        <f t="array" ref="Z28">CHOOSE(INDEX('Ontology and concepts per UC'!$G$2:$I$46,MATCH($A28,'Ontology and concepts per UC'!$F$2:$F$46,0),MATCH(LEFT(Z$1,3),'Ontology and concepts per UC'!$G$1:$I$1,0))+1,"NA",IF(COUNTIFS(Validation!$A:$A,Z$1,Validation!$S:$S,$A28)&gt;0,"Yes","No"),IF(COUNTIFS(Validation!$A:$A,Z$1,Validation!$S:$S,$A28)&gt;0,"Yes","NA"))</f>
        <v>Yes</v>
      </c>
      <c r="AA28" s="1" t="str">
        <f t="array" ref="AA28">CHOOSE(INDEX('Ontology and concepts per UC'!$G$2:$I$46,MATCH($A28,'Ontology and concepts per UC'!$F$2:$F$46,0),MATCH(LEFT(AA$1,3),'Ontology and concepts per UC'!$G$1:$I$1,0))+1,"NA",IF(COUNTIFS(Validation!$A:$A,AA$1,Validation!$S:$S,$A28)&gt;0,"Yes","No"),IF(COUNTIFS(Validation!$A:$A,AA$1,Validation!$S:$S,$A28)&gt;0,"Yes","NA"))</f>
        <v>Yes</v>
      </c>
      <c r="AB28" s="1" t="str">
        <f t="array" ref="AB28">CHOOSE(INDEX('Ontology and concepts per UC'!$G$2:$I$46,MATCH($A28,'Ontology and concepts per UC'!$F$2:$F$46,0),MATCH(LEFT(AB$1,3),'Ontology and concepts per UC'!$G$1:$I$1,0))+1,"NA",IF(COUNTIFS(Validation!$A:$A,AB$1,Validation!$S:$S,$A28)&gt;0,"Yes","No"),IF(COUNTIFS(Validation!$A:$A,AB$1,Validation!$S:$S,$A28)&gt;0,"Yes","NA"))</f>
        <v>Yes</v>
      </c>
      <c r="AC28" s="1" t="str">
        <f t="array" ref="AC28">CHOOSE(INDEX('Ontology and concepts per UC'!$G$2:$I$46,MATCH($A28,'Ontology and concepts per UC'!$F$2:$F$46,0),MATCH(LEFT(AC$1,3),'Ontology and concepts per UC'!$G$1:$I$1,0))+1,"NA",IF(COUNTIFS(Validation!$A:$A,AC$1,Validation!$S:$S,$A28)&gt;0,"Yes","No"),IF(COUNTIFS(Validation!$A:$A,AC$1,Validation!$S:$S,$A28)&gt;0,"Yes","NA"))</f>
        <v>Yes</v>
      </c>
      <c r="AD28" s="1" t="str">
        <f t="array" ref="AD28">CHOOSE(INDEX('Ontology and concepts per UC'!$G$2:$I$46,MATCH($A28,'Ontology and concepts per UC'!$F$2:$F$46,0),MATCH(LEFT(AD$1,3),'Ontology and concepts per UC'!$G$1:$I$1,0))+1,"NA",IF(COUNTIFS(Validation!$A:$A,AD$1,Validation!$S:$S,$A28)&gt;0,"Yes","No"),IF(COUNTIFS(Validation!$A:$A,AD$1,Validation!$S:$S,$A28)&gt;0,"Yes","NA"))</f>
        <v>Yes</v>
      </c>
      <c r="AE28" s="1" t="str">
        <f t="array" ref="AE28">CHOOSE(INDEX('Ontology and concepts per UC'!$G$2:$I$46,MATCH($A28,'Ontology and concepts per UC'!$F$2:$F$46,0),MATCH(LEFT(AE$1,3),'Ontology and concepts per UC'!$G$1:$I$1,0))+1,"NA",IF(COUNTIFS(Validation!$A:$A,AE$1,Validation!$S:$S,$A28)&gt;0,"Yes","No"),IF(COUNTIFS(Validation!$A:$A,AE$1,Validation!$S:$S,$A28)&gt;0,"Yes","NA"))</f>
        <v>Yes</v>
      </c>
    </row>
    <row r="29" spans="1:31" x14ac:dyDescent="0.25">
      <c r="A29" s="1" t="s">
        <v>51</v>
      </c>
      <c r="B29" s="1" t="str">
        <f t="array" ref="B29">CHOOSE(INDEX('Ontology and concepts per UC'!$G$2:$I$46,MATCH($A29,'Ontology and concepts per UC'!$F$2:$F$46,0),MATCH(LEFT(B$1,3),'Ontology and concepts per UC'!$G$1:$I$1,0))+1,"NA",IF(COUNTIFS(Validation!$A:$A,B$1,Validation!$S:$S,$A29)&gt;0,"Yes","No"),IF(COUNTIFS(Validation!$A:$A,B$1,Validation!$S:$S,$A29)&gt;0,"Yes","NA"))</f>
        <v>No</v>
      </c>
      <c r="C29" s="1" t="str">
        <f t="array" ref="C29">CHOOSE(INDEX('Ontology and concepts per UC'!$G$2:$I$46,MATCH($A29,'Ontology and concepts per UC'!$F$2:$F$46,0),MATCH(LEFT(C$1,3),'Ontology and concepts per UC'!$G$1:$I$1,0))+1,"NA",IF(COUNTIFS(Validation!$A:$A,C$1,Validation!$S:$S,$A29)&gt;0,"Yes","No"),IF(COUNTIFS(Validation!$A:$A,C$1,Validation!$S:$S,$A29)&gt;0,"Yes","NA"))</f>
        <v>No</v>
      </c>
      <c r="D29" s="1" t="str">
        <f t="array" ref="D29">CHOOSE(INDEX('Ontology and concepts per UC'!$G$2:$I$46,MATCH($A29,'Ontology and concepts per UC'!$F$2:$F$46,0),MATCH(LEFT(D$1,3),'Ontology and concepts per UC'!$G$1:$I$1,0))+1,"NA",IF(COUNTIFS(Validation!$A:$A,D$1,Validation!$S:$S,$A29)&gt;0,"Yes","No"),IF(COUNTIFS(Validation!$A:$A,D$1,Validation!$S:$S,$A29)&gt;0,"Yes","NA"))</f>
        <v>No</v>
      </c>
      <c r="E29" s="1" t="str">
        <f t="array" ref="E29">CHOOSE(INDEX('Ontology and concepts per UC'!$G$2:$I$46,MATCH($A29,'Ontology and concepts per UC'!$F$2:$F$46,0),MATCH(LEFT(E$1,3),'Ontology and concepts per UC'!$G$1:$I$1,0))+1,"NA",IF(COUNTIFS(Validation!$A:$A,E$1,Validation!$S:$S,$A29)&gt;0,"Yes","No"),IF(COUNTIFS(Validation!$A:$A,E$1,Validation!$S:$S,$A29)&gt;0,"Yes","NA"))</f>
        <v>Yes</v>
      </c>
      <c r="F29" s="1" t="str">
        <f t="array" ref="F29">CHOOSE(INDEX('Ontology and concepts per UC'!$G$2:$I$46,MATCH($A29,'Ontology and concepts per UC'!$F$2:$F$46,0),MATCH(LEFT(F$1,3),'Ontology and concepts per UC'!$G$1:$I$1,0))+1,"NA",IF(COUNTIFS(Validation!$A:$A,F$1,Validation!$S:$S,$A29)&gt;0,"Yes","No"),IF(COUNTIFS(Validation!$A:$A,F$1,Validation!$S:$S,$A29)&gt;0,"Yes","NA"))</f>
        <v>Yes</v>
      </c>
      <c r="G29" s="1" t="str">
        <f t="array" ref="G29">CHOOSE(INDEX('Ontology and concepts per UC'!$G$2:$I$46,MATCH($A29,'Ontology and concepts per UC'!$F$2:$F$46,0),MATCH(LEFT(G$1,3),'Ontology and concepts per UC'!$G$1:$I$1,0))+1,"NA",IF(COUNTIFS(Validation!$A:$A,G$1,Validation!$S:$S,$A29)&gt;0,"Yes","No"),IF(COUNTIFS(Validation!$A:$A,G$1,Validation!$S:$S,$A29)&gt;0,"Yes","NA"))</f>
        <v>Yes</v>
      </c>
      <c r="H29" s="1" t="str">
        <f t="array" ref="H29">CHOOSE(INDEX('Ontology and concepts per UC'!$G$2:$I$46,MATCH($A29,'Ontology and concepts per UC'!$F$2:$F$46,0),MATCH(LEFT(H$1,3),'Ontology and concepts per UC'!$G$1:$I$1,0))+1,"NA",IF(COUNTIFS(Validation!$A:$A,H$1,Validation!$S:$S,$A29)&gt;0,"Yes","No"),IF(COUNTIFS(Validation!$A:$A,H$1,Validation!$S:$S,$A29)&gt;0,"Yes","NA"))</f>
        <v>Yes</v>
      </c>
      <c r="I29" s="1" t="str">
        <f t="array" ref="I29">CHOOSE(INDEX('Ontology and concepts per UC'!$G$2:$I$46,MATCH($A29,'Ontology and concepts per UC'!$F$2:$F$46,0),MATCH(LEFT(I$1,3),'Ontology and concepts per UC'!$G$1:$I$1,0))+1,"NA",IF(COUNTIFS(Validation!$A:$A,I$1,Validation!$S:$S,$A29)&gt;0,"Yes","No"),IF(COUNTIFS(Validation!$A:$A,I$1,Validation!$S:$S,$A29)&gt;0,"Yes","NA"))</f>
        <v>Yes</v>
      </c>
      <c r="J29" s="1" t="str">
        <f t="array" ref="J29">CHOOSE(INDEX('Ontology and concepts per UC'!$G$2:$I$46,MATCH($A29,'Ontology and concepts per UC'!$F$2:$F$46,0),MATCH(LEFT(J$1,3),'Ontology and concepts per UC'!$G$1:$I$1,0))+1,"NA",IF(COUNTIFS(Validation!$A:$A,J$1,Validation!$S:$S,$A29)&gt;0,"Yes","No"),IF(COUNTIFS(Validation!$A:$A,J$1,Validation!$S:$S,$A29)&gt;0,"Yes","NA"))</f>
        <v>Yes</v>
      </c>
      <c r="K29" s="1" t="str">
        <f t="array" ref="K29">CHOOSE(INDEX('Ontology and concepts per UC'!$G$2:$I$46,MATCH($A29,'Ontology and concepts per UC'!$F$2:$F$46,0),MATCH(LEFT(K$1,3),'Ontology and concepts per UC'!$G$1:$I$1,0))+1,"NA",IF(COUNTIFS(Validation!$A:$A,K$1,Validation!$S:$S,$A29)&gt;0,"Yes","No"),IF(COUNTIFS(Validation!$A:$A,K$1,Validation!$S:$S,$A29)&gt;0,"Yes","NA"))</f>
        <v>Yes</v>
      </c>
      <c r="L29" s="1" t="str">
        <f t="array" ref="L29">CHOOSE(INDEX('Ontology and concepts per UC'!$G$2:$I$46,MATCH($A29,'Ontology and concepts per UC'!$F$2:$F$46,0),MATCH(LEFT(L$1,3),'Ontology and concepts per UC'!$G$1:$I$1,0))+1,"NA",IF(COUNTIFS(Validation!$A:$A,L$1,Validation!$S:$S,$A29)&gt;0,"Yes","No"),IF(COUNTIFS(Validation!$A:$A,L$1,Validation!$S:$S,$A29)&gt;0,"Yes","NA"))</f>
        <v>No</v>
      </c>
      <c r="M29" s="1" t="str">
        <f t="array" ref="M29">CHOOSE(INDEX('Ontology and concepts per UC'!$G$2:$I$46,MATCH($A29,'Ontology and concepts per UC'!$F$2:$F$46,0),MATCH(LEFT(M$1,3),'Ontology and concepts per UC'!$G$1:$I$1,0))+1,"NA",IF(COUNTIFS(Validation!$A:$A,M$1,Validation!$S:$S,$A29)&gt;0,"Yes","No"),IF(COUNTIFS(Validation!$A:$A,M$1,Validation!$S:$S,$A29)&gt;0,"Yes","NA"))</f>
        <v>Yes</v>
      </c>
      <c r="N29" s="1" t="str">
        <f t="array" ref="N29">CHOOSE(INDEX('Ontology and concepts per UC'!$G$2:$I$46,MATCH($A29,'Ontology and concepts per UC'!$F$2:$F$46,0),MATCH(LEFT(N$1,3),'Ontology and concepts per UC'!$G$1:$I$1,0))+1,"NA",IF(COUNTIFS(Validation!$A:$A,N$1,Validation!$S:$S,$A29)&gt;0,"Yes","No"),IF(COUNTIFS(Validation!$A:$A,N$1,Validation!$S:$S,$A29)&gt;0,"Yes","NA"))</f>
        <v>No</v>
      </c>
      <c r="O29" s="1" t="str">
        <f t="array" ref="O29">CHOOSE(INDEX('Ontology and concepts per UC'!$G$2:$I$46,MATCH($A29,'Ontology and concepts per UC'!$F$2:$F$46,0),MATCH(LEFT(O$1,3),'Ontology and concepts per UC'!$G$1:$I$1,0))+1,"NA",IF(COUNTIFS(Validation!$A:$A,O$1,Validation!$S:$S,$A29)&gt;0,"Yes","No"),IF(COUNTIFS(Validation!$A:$A,O$1,Validation!$S:$S,$A29)&gt;0,"Yes","NA"))</f>
        <v>Yes</v>
      </c>
      <c r="P29" s="1" t="str">
        <f t="array" ref="P29">CHOOSE(INDEX('Ontology and concepts per UC'!$G$2:$I$46,MATCH($A29,'Ontology and concepts per UC'!$F$2:$F$46,0),MATCH(LEFT(P$1,3),'Ontology and concepts per UC'!$G$1:$I$1,0))+1,"NA",IF(COUNTIFS(Validation!$A:$A,P$1,Validation!$S:$S,$A29)&gt;0,"Yes","No"),IF(COUNTIFS(Validation!$A:$A,P$1,Validation!$S:$S,$A29)&gt;0,"Yes","NA"))</f>
        <v>Yes</v>
      </c>
      <c r="Q29" s="1" t="str">
        <f t="array" ref="Q29">CHOOSE(INDEX('Ontology and concepts per UC'!$G$2:$I$46,MATCH($A29,'Ontology and concepts per UC'!$F$2:$F$46,0),MATCH(LEFT(Q$1,3),'Ontology and concepts per UC'!$G$1:$I$1,0))+1,"NA",IF(COUNTIFS(Validation!$A:$A,Q$1,Validation!$S:$S,$A29)&gt;0,"Yes","No"),IF(COUNTIFS(Validation!$A:$A,Q$1,Validation!$S:$S,$A29)&gt;0,"Yes","NA"))</f>
        <v>Yes</v>
      </c>
      <c r="R29" s="1" t="str">
        <f t="array" ref="R29">CHOOSE(INDEX('Ontology and concepts per UC'!$G$2:$I$46,MATCH($A29,'Ontology and concepts per UC'!$F$2:$F$46,0),MATCH(LEFT(R$1,3),'Ontology and concepts per UC'!$G$1:$I$1,0))+1,"NA",IF(COUNTIFS(Validation!$A:$A,R$1,Validation!$S:$S,$A29)&gt;0,"Yes","No"),IF(COUNTIFS(Validation!$A:$A,R$1,Validation!$S:$S,$A29)&gt;0,"Yes","NA"))</f>
        <v>Yes</v>
      </c>
      <c r="S29" s="1" t="str">
        <f t="array" ref="S29">CHOOSE(INDEX('Ontology and concepts per UC'!$G$2:$I$46,MATCH($A29,'Ontology and concepts per UC'!$F$2:$F$46,0),MATCH(LEFT(S$1,3),'Ontology and concepts per UC'!$G$1:$I$1,0))+1,"NA",IF(COUNTIFS(Validation!$A:$A,S$1,Validation!$S:$S,$A29)&gt;0,"Yes","No"),IF(COUNTIFS(Validation!$A:$A,S$1,Validation!$S:$S,$A29)&gt;0,"Yes","NA"))</f>
        <v>Yes</v>
      </c>
      <c r="T29" s="1" t="str">
        <f t="array" ref="T29">CHOOSE(INDEX('Ontology and concepts per UC'!$G$2:$I$46,MATCH($A29,'Ontology and concepts per UC'!$F$2:$F$46,0),MATCH(LEFT(T$1,3),'Ontology and concepts per UC'!$G$1:$I$1,0))+1,"NA",IF(COUNTIFS(Validation!$A:$A,T$1,Validation!$S:$S,$A29)&gt;0,"Yes","No"),IF(COUNTIFS(Validation!$A:$A,T$1,Validation!$S:$S,$A29)&gt;0,"Yes","NA"))</f>
        <v>No</v>
      </c>
      <c r="U29" s="1" t="str">
        <f t="array" ref="U29">CHOOSE(INDEX('Ontology and concepts per UC'!$G$2:$I$46,MATCH($A29,'Ontology and concepts per UC'!$F$2:$F$46,0),MATCH(LEFT(U$1,3),'Ontology and concepts per UC'!$G$1:$I$1,0))+1,"NA",IF(COUNTIFS(Validation!$A:$A,U$1,Validation!$S:$S,$A29)&gt;0,"Yes","No"),IF(COUNTIFS(Validation!$A:$A,U$1,Validation!$S:$S,$A29)&gt;0,"Yes","NA"))</f>
        <v>No</v>
      </c>
      <c r="V29" s="1" t="str">
        <f t="array" ref="V29">CHOOSE(INDEX('Ontology and concepts per UC'!$G$2:$I$46,MATCH($A29,'Ontology and concepts per UC'!$F$2:$F$46,0),MATCH(LEFT(V$1,3),'Ontology and concepts per UC'!$G$1:$I$1,0))+1,"NA",IF(COUNTIFS(Validation!$A:$A,V$1,Validation!$S:$S,$A29)&gt;0,"Yes","No"),IF(COUNTIFS(Validation!$A:$A,V$1,Validation!$S:$S,$A29)&gt;0,"Yes","NA"))</f>
        <v>Yes</v>
      </c>
      <c r="W29" s="1" t="str">
        <f t="array" ref="W29">CHOOSE(INDEX('Ontology and concepts per UC'!$G$2:$I$46,MATCH($A29,'Ontology and concepts per UC'!$F$2:$F$46,0),MATCH(LEFT(W$1,3),'Ontology and concepts per UC'!$G$1:$I$1,0))+1,"NA",IF(COUNTIFS(Validation!$A:$A,W$1,Validation!$S:$S,$A29)&gt;0,"Yes","No"),IF(COUNTIFS(Validation!$A:$A,W$1,Validation!$S:$S,$A29)&gt;0,"Yes","NA"))</f>
        <v>Yes</v>
      </c>
      <c r="X29" s="1" t="str">
        <f t="array" ref="X29">CHOOSE(INDEX('Ontology and concepts per UC'!$G$2:$I$46,MATCH($A29,'Ontology and concepts per UC'!$F$2:$F$46,0),MATCH(LEFT(X$1,3),'Ontology and concepts per UC'!$G$1:$I$1,0))+1,"NA",IF(COUNTIFS(Validation!$A:$A,X$1,Validation!$S:$S,$A29)&gt;0,"Yes","No"),IF(COUNTIFS(Validation!$A:$A,X$1,Validation!$S:$S,$A29)&gt;0,"Yes","NA"))</f>
        <v>No</v>
      </c>
      <c r="Y29" s="1" t="str">
        <f t="array" ref="Y29">CHOOSE(INDEX('Ontology and concepts per UC'!$G$2:$I$46,MATCH($A29,'Ontology and concepts per UC'!$F$2:$F$46,0),MATCH(LEFT(Y$1,3),'Ontology and concepts per UC'!$G$1:$I$1,0))+1,"NA",IF(COUNTIFS(Validation!$A:$A,Y$1,Validation!$S:$S,$A29)&gt;0,"Yes","No"),IF(COUNTIFS(Validation!$A:$A,Y$1,Validation!$S:$S,$A29)&gt;0,"Yes","NA"))</f>
        <v>Yes</v>
      </c>
      <c r="Z29" s="1" t="str">
        <f t="array" ref="Z29">CHOOSE(INDEX('Ontology and concepts per UC'!$G$2:$I$46,MATCH($A29,'Ontology and concepts per UC'!$F$2:$F$46,0),MATCH(LEFT(Z$1,3),'Ontology and concepts per UC'!$G$1:$I$1,0))+1,"NA",IF(COUNTIFS(Validation!$A:$A,Z$1,Validation!$S:$S,$A29)&gt;0,"Yes","No"),IF(COUNTIFS(Validation!$A:$A,Z$1,Validation!$S:$S,$A29)&gt;0,"Yes","NA"))</f>
        <v>No</v>
      </c>
      <c r="AA29" s="1" t="str">
        <f t="array" ref="AA29">CHOOSE(INDEX('Ontology and concepts per UC'!$G$2:$I$46,MATCH($A29,'Ontology and concepts per UC'!$F$2:$F$46,0),MATCH(LEFT(AA$1,3),'Ontology and concepts per UC'!$G$1:$I$1,0))+1,"NA",IF(COUNTIFS(Validation!$A:$A,AA$1,Validation!$S:$S,$A29)&gt;0,"Yes","No"),IF(COUNTIFS(Validation!$A:$A,AA$1,Validation!$S:$S,$A29)&gt;0,"Yes","NA"))</f>
        <v>Yes</v>
      </c>
      <c r="AB29" s="1" t="str">
        <f t="array" ref="AB29">CHOOSE(INDEX('Ontology and concepts per UC'!$G$2:$I$46,MATCH($A29,'Ontology and concepts per UC'!$F$2:$F$46,0),MATCH(LEFT(AB$1,3),'Ontology and concepts per UC'!$G$1:$I$1,0))+1,"NA",IF(COUNTIFS(Validation!$A:$A,AB$1,Validation!$S:$S,$A29)&gt;0,"Yes","No"),IF(COUNTIFS(Validation!$A:$A,AB$1,Validation!$S:$S,$A29)&gt;0,"Yes","NA"))</f>
        <v>Yes</v>
      </c>
      <c r="AC29" s="1" t="str">
        <f t="array" ref="AC29">CHOOSE(INDEX('Ontology and concepts per UC'!$G$2:$I$46,MATCH($A29,'Ontology and concepts per UC'!$F$2:$F$46,0),MATCH(LEFT(AC$1,3),'Ontology and concepts per UC'!$G$1:$I$1,0))+1,"NA",IF(COUNTIFS(Validation!$A:$A,AC$1,Validation!$S:$S,$A29)&gt;0,"Yes","No"),IF(COUNTIFS(Validation!$A:$A,AC$1,Validation!$S:$S,$A29)&gt;0,"Yes","NA"))</f>
        <v>Yes</v>
      </c>
      <c r="AD29" s="1" t="str">
        <f t="array" ref="AD29">CHOOSE(INDEX('Ontology and concepts per UC'!$G$2:$I$46,MATCH($A29,'Ontology and concepts per UC'!$F$2:$F$46,0),MATCH(LEFT(AD$1,3),'Ontology and concepts per UC'!$G$1:$I$1,0))+1,"NA",IF(COUNTIFS(Validation!$A:$A,AD$1,Validation!$S:$S,$A29)&gt;0,"Yes","No"),IF(COUNTIFS(Validation!$A:$A,AD$1,Validation!$S:$S,$A29)&gt;0,"Yes","NA"))</f>
        <v>Yes</v>
      </c>
      <c r="AE29" s="1" t="str">
        <f t="array" ref="AE29">CHOOSE(INDEX('Ontology and concepts per UC'!$G$2:$I$46,MATCH($A29,'Ontology and concepts per UC'!$F$2:$F$46,0),MATCH(LEFT(AE$1,3),'Ontology and concepts per UC'!$G$1:$I$1,0))+1,"NA",IF(COUNTIFS(Validation!$A:$A,AE$1,Validation!$S:$S,$A29)&gt;0,"Yes","No"),IF(COUNTIFS(Validation!$A:$A,AE$1,Validation!$S:$S,$A29)&gt;0,"Yes","NA"))</f>
        <v>Yes</v>
      </c>
    </row>
    <row r="30" spans="1:31" x14ac:dyDescent="0.25">
      <c r="A30" s="1" t="s">
        <v>52</v>
      </c>
      <c r="B30" s="1" t="str">
        <f t="array" ref="B30">CHOOSE(INDEX('Ontology and concepts per UC'!$G$2:$I$46,MATCH($A30,'Ontology and concepts per UC'!$F$2:$F$46,0),MATCH(LEFT(B$1,3),'Ontology and concepts per UC'!$G$1:$I$1,0))+1,"NA",IF(COUNTIFS(Validation!$A:$A,B$1,Validation!$S:$S,$A30)&gt;0,"Yes","No"),IF(COUNTIFS(Validation!$A:$A,B$1,Validation!$S:$S,$A30)&gt;0,"Yes","NA"))</f>
        <v>No</v>
      </c>
      <c r="C30" s="1" t="str">
        <f t="array" ref="C30">CHOOSE(INDEX('Ontology and concepts per UC'!$G$2:$I$46,MATCH($A30,'Ontology and concepts per UC'!$F$2:$F$46,0),MATCH(LEFT(C$1,3),'Ontology and concepts per UC'!$G$1:$I$1,0))+1,"NA",IF(COUNTIFS(Validation!$A:$A,C$1,Validation!$S:$S,$A30)&gt;0,"Yes","No"),IF(COUNTIFS(Validation!$A:$A,C$1,Validation!$S:$S,$A30)&gt;0,"Yes","NA"))</f>
        <v>No</v>
      </c>
      <c r="D30" s="1" t="str">
        <f t="array" ref="D30">CHOOSE(INDEX('Ontology and concepts per UC'!$G$2:$I$46,MATCH($A30,'Ontology and concepts per UC'!$F$2:$F$46,0),MATCH(LEFT(D$1,3),'Ontology and concepts per UC'!$G$1:$I$1,0))+1,"NA",IF(COUNTIFS(Validation!$A:$A,D$1,Validation!$S:$S,$A30)&gt;0,"Yes","No"),IF(COUNTIFS(Validation!$A:$A,D$1,Validation!$S:$S,$A30)&gt;0,"Yes","NA"))</f>
        <v>No</v>
      </c>
      <c r="E30" s="1" t="str">
        <f t="array" ref="E30">CHOOSE(INDEX('Ontology and concepts per UC'!$G$2:$I$46,MATCH($A30,'Ontology and concepts per UC'!$F$2:$F$46,0),MATCH(LEFT(E$1,3),'Ontology and concepts per UC'!$G$1:$I$1,0))+1,"NA",IF(COUNTIFS(Validation!$A:$A,E$1,Validation!$S:$S,$A30)&gt;0,"Yes","No"),IF(COUNTIFS(Validation!$A:$A,E$1,Validation!$S:$S,$A30)&gt;0,"Yes","NA"))</f>
        <v>No</v>
      </c>
      <c r="F30" s="1" t="str">
        <f t="array" ref="F30">CHOOSE(INDEX('Ontology and concepts per UC'!$G$2:$I$46,MATCH($A30,'Ontology and concepts per UC'!$F$2:$F$46,0),MATCH(LEFT(F$1,3),'Ontology and concepts per UC'!$G$1:$I$1,0))+1,"NA",IF(COUNTIFS(Validation!$A:$A,F$1,Validation!$S:$S,$A30)&gt;0,"Yes","No"),IF(COUNTIFS(Validation!$A:$A,F$1,Validation!$S:$S,$A30)&gt;0,"Yes","NA"))</f>
        <v>No</v>
      </c>
      <c r="G30" s="1" t="str">
        <f t="array" ref="G30">CHOOSE(INDEX('Ontology and concepts per UC'!$G$2:$I$46,MATCH($A30,'Ontology and concepts per UC'!$F$2:$F$46,0),MATCH(LEFT(G$1,3),'Ontology and concepts per UC'!$G$1:$I$1,0))+1,"NA",IF(COUNTIFS(Validation!$A:$A,G$1,Validation!$S:$S,$A30)&gt;0,"Yes","No"),IF(COUNTIFS(Validation!$A:$A,G$1,Validation!$S:$S,$A30)&gt;0,"Yes","NA"))</f>
        <v>No</v>
      </c>
      <c r="H30" s="1" t="str">
        <f t="array" ref="H30">CHOOSE(INDEX('Ontology and concepts per UC'!$G$2:$I$46,MATCH($A30,'Ontology and concepts per UC'!$F$2:$F$46,0),MATCH(LEFT(H$1,3),'Ontology and concepts per UC'!$G$1:$I$1,0))+1,"NA",IF(COUNTIFS(Validation!$A:$A,H$1,Validation!$S:$S,$A30)&gt;0,"Yes","No"),IF(COUNTIFS(Validation!$A:$A,H$1,Validation!$S:$S,$A30)&gt;0,"Yes","NA"))</f>
        <v>NA</v>
      </c>
      <c r="I30" s="1" t="str">
        <f t="array" ref="I30">CHOOSE(INDEX('Ontology and concepts per UC'!$G$2:$I$46,MATCH($A30,'Ontology and concepts per UC'!$F$2:$F$46,0),MATCH(LEFT(I$1,3),'Ontology and concepts per UC'!$G$1:$I$1,0))+1,"NA",IF(COUNTIFS(Validation!$A:$A,I$1,Validation!$S:$S,$A30)&gt;0,"Yes","No"),IF(COUNTIFS(Validation!$A:$A,I$1,Validation!$S:$S,$A30)&gt;0,"Yes","NA"))</f>
        <v>NA</v>
      </c>
      <c r="J30" s="1" t="str">
        <f t="array" ref="J30">CHOOSE(INDEX('Ontology and concepts per UC'!$G$2:$I$46,MATCH($A30,'Ontology and concepts per UC'!$F$2:$F$46,0),MATCH(LEFT(J$1,3),'Ontology and concepts per UC'!$G$1:$I$1,0))+1,"NA",IF(COUNTIFS(Validation!$A:$A,J$1,Validation!$S:$S,$A30)&gt;0,"Yes","No"),IF(COUNTIFS(Validation!$A:$A,J$1,Validation!$S:$S,$A30)&gt;0,"Yes","NA"))</f>
        <v>NA</v>
      </c>
      <c r="K30" s="1" t="str">
        <f t="array" ref="K30">CHOOSE(INDEX('Ontology and concepts per UC'!$G$2:$I$46,MATCH($A30,'Ontology and concepts per UC'!$F$2:$F$46,0),MATCH(LEFT(K$1,3),'Ontology and concepts per UC'!$G$1:$I$1,0))+1,"NA",IF(COUNTIFS(Validation!$A:$A,K$1,Validation!$S:$S,$A30)&gt;0,"Yes","No"),IF(COUNTIFS(Validation!$A:$A,K$1,Validation!$S:$S,$A30)&gt;0,"Yes","NA"))</f>
        <v>NA</v>
      </c>
      <c r="L30" s="1" t="str">
        <f t="array" ref="L30">CHOOSE(INDEX('Ontology and concepts per UC'!$G$2:$I$46,MATCH($A30,'Ontology and concepts per UC'!$F$2:$F$46,0),MATCH(LEFT(L$1,3),'Ontology and concepts per UC'!$G$1:$I$1,0))+1,"NA",IF(COUNTIFS(Validation!$A:$A,L$1,Validation!$S:$S,$A30)&gt;0,"Yes","No"),IF(COUNTIFS(Validation!$A:$A,L$1,Validation!$S:$S,$A30)&gt;0,"Yes","NA"))</f>
        <v>No</v>
      </c>
      <c r="M30" s="1" t="str">
        <f t="array" ref="M30">CHOOSE(INDEX('Ontology and concepts per UC'!$G$2:$I$46,MATCH($A30,'Ontology and concepts per UC'!$F$2:$F$46,0),MATCH(LEFT(M$1,3),'Ontology and concepts per UC'!$G$1:$I$1,0))+1,"NA",IF(COUNTIFS(Validation!$A:$A,M$1,Validation!$S:$S,$A30)&gt;0,"Yes","No"),IF(COUNTIFS(Validation!$A:$A,M$1,Validation!$S:$S,$A30)&gt;0,"Yes","NA"))</f>
        <v>Yes</v>
      </c>
      <c r="N30" s="1" t="str">
        <f t="array" ref="N30">CHOOSE(INDEX('Ontology and concepts per UC'!$G$2:$I$46,MATCH($A30,'Ontology and concepts per UC'!$F$2:$F$46,0),MATCH(LEFT(N$1,3),'Ontology and concepts per UC'!$G$1:$I$1,0))+1,"NA",IF(COUNTIFS(Validation!$A:$A,N$1,Validation!$S:$S,$A30)&gt;0,"Yes","No"),IF(COUNTIFS(Validation!$A:$A,N$1,Validation!$S:$S,$A30)&gt;0,"Yes","NA"))</f>
        <v>No</v>
      </c>
      <c r="O30" s="1" t="str">
        <f t="array" ref="O30">CHOOSE(INDEX('Ontology and concepts per UC'!$G$2:$I$46,MATCH($A30,'Ontology and concepts per UC'!$F$2:$F$46,0),MATCH(LEFT(O$1,3),'Ontology and concepts per UC'!$G$1:$I$1,0))+1,"NA",IF(COUNTIFS(Validation!$A:$A,O$1,Validation!$S:$S,$A30)&gt;0,"Yes","No"),IF(COUNTIFS(Validation!$A:$A,O$1,Validation!$S:$S,$A30)&gt;0,"Yes","NA"))</f>
        <v>No</v>
      </c>
      <c r="P30" s="1" t="str">
        <f t="array" ref="P30">CHOOSE(INDEX('Ontology and concepts per UC'!$G$2:$I$46,MATCH($A30,'Ontology and concepts per UC'!$F$2:$F$46,0),MATCH(LEFT(P$1,3),'Ontology and concepts per UC'!$G$1:$I$1,0))+1,"NA",IF(COUNTIFS(Validation!$A:$A,P$1,Validation!$S:$S,$A30)&gt;0,"Yes","No"),IF(COUNTIFS(Validation!$A:$A,P$1,Validation!$S:$S,$A30)&gt;0,"Yes","NA"))</f>
        <v>No</v>
      </c>
      <c r="Q30" s="1" t="str">
        <f t="array" ref="Q30">CHOOSE(INDEX('Ontology and concepts per UC'!$G$2:$I$46,MATCH($A30,'Ontology and concepts per UC'!$F$2:$F$46,0),MATCH(LEFT(Q$1,3),'Ontology and concepts per UC'!$G$1:$I$1,0))+1,"NA",IF(COUNTIFS(Validation!$A:$A,Q$1,Validation!$S:$S,$A30)&gt;0,"Yes","No"),IF(COUNTIFS(Validation!$A:$A,Q$1,Validation!$S:$S,$A30)&gt;0,"Yes","NA"))</f>
        <v>No</v>
      </c>
      <c r="R30" s="1" t="str">
        <f t="array" ref="R30">CHOOSE(INDEX('Ontology and concepts per UC'!$G$2:$I$46,MATCH($A30,'Ontology and concepts per UC'!$F$2:$F$46,0),MATCH(LEFT(R$1,3),'Ontology and concepts per UC'!$G$1:$I$1,0))+1,"NA",IF(COUNTIFS(Validation!$A:$A,R$1,Validation!$S:$S,$A30)&gt;0,"Yes","No"),IF(COUNTIFS(Validation!$A:$A,R$1,Validation!$S:$S,$A30)&gt;0,"Yes","NA"))</f>
        <v>No</v>
      </c>
      <c r="S30" s="1" t="str">
        <f t="array" ref="S30">CHOOSE(INDEX('Ontology and concepts per UC'!$G$2:$I$46,MATCH($A30,'Ontology and concepts per UC'!$F$2:$F$46,0),MATCH(LEFT(S$1,3),'Ontology and concepts per UC'!$G$1:$I$1,0))+1,"NA",IF(COUNTIFS(Validation!$A:$A,S$1,Validation!$S:$S,$A30)&gt;0,"Yes","No"),IF(COUNTIFS(Validation!$A:$A,S$1,Validation!$S:$S,$A30)&gt;0,"Yes","NA"))</f>
        <v>No</v>
      </c>
      <c r="T30" s="1" t="str">
        <f t="array" ref="T30">CHOOSE(INDEX('Ontology and concepts per UC'!$G$2:$I$46,MATCH($A30,'Ontology and concepts per UC'!$F$2:$F$46,0),MATCH(LEFT(T$1,3),'Ontology and concepts per UC'!$G$1:$I$1,0))+1,"NA",IF(COUNTIFS(Validation!$A:$A,T$1,Validation!$S:$S,$A30)&gt;0,"Yes","No"),IF(COUNTIFS(Validation!$A:$A,T$1,Validation!$S:$S,$A30)&gt;0,"Yes","NA"))</f>
        <v>No</v>
      </c>
      <c r="U30" s="1" t="str">
        <f t="array" ref="U30">CHOOSE(INDEX('Ontology and concepts per UC'!$G$2:$I$46,MATCH($A30,'Ontology and concepts per UC'!$F$2:$F$46,0),MATCH(LEFT(U$1,3),'Ontology and concepts per UC'!$G$1:$I$1,0))+1,"NA",IF(COUNTIFS(Validation!$A:$A,U$1,Validation!$S:$S,$A30)&gt;0,"Yes","No"),IF(COUNTIFS(Validation!$A:$A,U$1,Validation!$S:$S,$A30)&gt;0,"Yes","NA"))</f>
        <v>No</v>
      </c>
      <c r="V30" s="1" t="str">
        <f t="array" ref="V30">CHOOSE(INDEX('Ontology and concepts per UC'!$G$2:$I$46,MATCH($A30,'Ontology and concepts per UC'!$F$2:$F$46,0),MATCH(LEFT(V$1,3),'Ontology and concepts per UC'!$G$1:$I$1,0))+1,"NA",IF(COUNTIFS(Validation!$A:$A,V$1,Validation!$S:$S,$A30)&gt;0,"Yes","No"),IF(COUNTIFS(Validation!$A:$A,V$1,Validation!$S:$S,$A30)&gt;0,"Yes","NA"))</f>
        <v>No</v>
      </c>
      <c r="W30" s="1" t="str">
        <f t="array" ref="W30">CHOOSE(INDEX('Ontology and concepts per UC'!$G$2:$I$46,MATCH($A30,'Ontology and concepts per UC'!$F$2:$F$46,0),MATCH(LEFT(W$1,3),'Ontology and concepts per UC'!$G$1:$I$1,0))+1,"NA",IF(COUNTIFS(Validation!$A:$A,W$1,Validation!$S:$S,$A30)&gt;0,"Yes","No"),IF(COUNTIFS(Validation!$A:$A,W$1,Validation!$S:$S,$A30)&gt;0,"Yes","NA"))</f>
        <v>No</v>
      </c>
      <c r="X30" s="1" t="str">
        <f t="array" ref="X30">CHOOSE(INDEX('Ontology and concepts per UC'!$G$2:$I$46,MATCH($A30,'Ontology and concepts per UC'!$F$2:$F$46,0),MATCH(LEFT(X$1,3),'Ontology and concepts per UC'!$G$1:$I$1,0))+1,"NA",IF(COUNTIFS(Validation!$A:$A,X$1,Validation!$S:$S,$A30)&gt;0,"Yes","No"),IF(COUNTIFS(Validation!$A:$A,X$1,Validation!$S:$S,$A30)&gt;0,"Yes","NA"))</f>
        <v>NA</v>
      </c>
      <c r="Y30" s="1" t="str">
        <f t="array" ref="Y30">CHOOSE(INDEX('Ontology and concepts per UC'!$G$2:$I$46,MATCH($A30,'Ontology and concepts per UC'!$F$2:$F$46,0),MATCH(LEFT(Y$1,3),'Ontology and concepts per UC'!$G$1:$I$1,0))+1,"NA",IF(COUNTIFS(Validation!$A:$A,Y$1,Validation!$S:$S,$A30)&gt;0,"Yes","No"),IF(COUNTIFS(Validation!$A:$A,Y$1,Validation!$S:$S,$A30)&gt;0,"Yes","NA"))</f>
        <v>NA</v>
      </c>
      <c r="Z30" s="1" t="str">
        <f t="array" ref="Z30">CHOOSE(INDEX('Ontology and concepts per UC'!$G$2:$I$46,MATCH($A30,'Ontology and concepts per UC'!$F$2:$F$46,0),MATCH(LEFT(Z$1,3),'Ontology and concepts per UC'!$G$1:$I$1,0))+1,"NA",IF(COUNTIFS(Validation!$A:$A,Z$1,Validation!$S:$S,$A30)&gt;0,"Yes","No"),IF(COUNTIFS(Validation!$A:$A,Z$1,Validation!$S:$S,$A30)&gt;0,"Yes","NA"))</f>
        <v>NA</v>
      </c>
      <c r="AA30" s="1" t="str">
        <f t="array" ref="AA30">CHOOSE(INDEX('Ontology and concepts per UC'!$G$2:$I$46,MATCH($A30,'Ontology and concepts per UC'!$F$2:$F$46,0),MATCH(LEFT(AA$1,3),'Ontology and concepts per UC'!$G$1:$I$1,0))+1,"NA",IF(COUNTIFS(Validation!$A:$A,AA$1,Validation!$S:$S,$A30)&gt;0,"Yes","No"),IF(COUNTIFS(Validation!$A:$A,AA$1,Validation!$S:$S,$A30)&gt;0,"Yes","NA"))</f>
        <v>NA</v>
      </c>
      <c r="AB30" s="1" t="str">
        <f t="array" ref="AB30">CHOOSE(INDEX('Ontology and concepts per UC'!$G$2:$I$46,MATCH($A30,'Ontology and concepts per UC'!$F$2:$F$46,0),MATCH(LEFT(AB$1,3),'Ontology and concepts per UC'!$G$1:$I$1,0))+1,"NA",IF(COUNTIFS(Validation!$A:$A,AB$1,Validation!$S:$S,$A30)&gt;0,"Yes","No"),IF(COUNTIFS(Validation!$A:$A,AB$1,Validation!$S:$S,$A30)&gt;0,"Yes","NA"))</f>
        <v>No</v>
      </c>
      <c r="AC30" s="1" t="str">
        <f t="array" ref="AC30">CHOOSE(INDEX('Ontology and concepts per UC'!$G$2:$I$46,MATCH($A30,'Ontology and concepts per UC'!$F$2:$F$46,0),MATCH(LEFT(AC$1,3),'Ontology and concepts per UC'!$G$1:$I$1,0))+1,"NA",IF(COUNTIFS(Validation!$A:$A,AC$1,Validation!$S:$S,$A30)&gt;0,"Yes","No"),IF(COUNTIFS(Validation!$A:$A,AC$1,Validation!$S:$S,$A30)&gt;0,"Yes","NA"))</f>
        <v>No</v>
      </c>
      <c r="AD30" s="1" t="str">
        <f t="array" ref="AD30">CHOOSE(INDEX('Ontology and concepts per UC'!$G$2:$I$46,MATCH($A30,'Ontology and concepts per UC'!$F$2:$F$46,0),MATCH(LEFT(AD$1,3),'Ontology and concepts per UC'!$G$1:$I$1,0))+1,"NA",IF(COUNTIFS(Validation!$A:$A,AD$1,Validation!$S:$S,$A30)&gt;0,"Yes","No"),IF(COUNTIFS(Validation!$A:$A,AD$1,Validation!$S:$S,$A30)&gt;0,"Yes","NA"))</f>
        <v>No</v>
      </c>
      <c r="AE30" s="1" t="str">
        <f t="array" ref="AE30">CHOOSE(INDEX('Ontology and concepts per UC'!$G$2:$I$46,MATCH($A30,'Ontology and concepts per UC'!$F$2:$F$46,0),MATCH(LEFT(AE$1,3),'Ontology and concepts per UC'!$G$1:$I$1,0))+1,"NA",IF(COUNTIFS(Validation!$A:$A,AE$1,Validation!$S:$S,$A30)&gt;0,"Yes","No"),IF(COUNTIFS(Validation!$A:$A,AE$1,Validation!$S:$S,$A30)&gt;0,"Yes","NA"))</f>
        <v>No</v>
      </c>
    </row>
    <row r="31" spans="1:31" x14ac:dyDescent="0.25">
      <c r="A31" s="1" t="s">
        <v>54</v>
      </c>
      <c r="B31" s="1" t="str">
        <f t="array" ref="B31">CHOOSE(INDEX('Ontology and concepts per UC'!$G$2:$I$46,MATCH($A31,'Ontology and concepts per UC'!$F$2:$F$46,0),MATCH(LEFT(B$1,3),'Ontology and concepts per UC'!$G$1:$I$1,0))+1,"NA",IF(COUNTIFS(Validation!$A:$A,B$1,Validation!$S:$S,$A31)&gt;0,"Yes","No"),IF(COUNTIFS(Validation!$A:$A,B$1,Validation!$S:$S,$A31)&gt;0,"Yes","NA"))</f>
        <v>Yes</v>
      </c>
      <c r="C31" s="1" t="str">
        <f t="array" ref="C31">CHOOSE(INDEX('Ontology and concepts per UC'!$G$2:$I$46,MATCH($A31,'Ontology and concepts per UC'!$F$2:$F$46,0),MATCH(LEFT(C$1,3),'Ontology and concepts per UC'!$G$1:$I$1,0))+1,"NA",IF(COUNTIFS(Validation!$A:$A,C$1,Validation!$S:$S,$A31)&gt;0,"Yes","No"),IF(COUNTIFS(Validation!$A:$A,C$1,Validation!$S:$S,$A31)&gt;0,"Yes","NA"))</f>
        <v>No</v>
      </c>
      <c r="D31" s="1" t="str">
        <f t="array" ref="D31">CHOOSE(INDEX('Ontology and concepts per UC'!$G$2:$I$46,MATCH($A31,'Ontology and concepts per UC'!$F$2:$F$46,0),MATCH(LEFT(D$1,3),'Ontology and concepts per UC'!$G$1:$I$1,0))+1,"NA",IF(COUNTIFS(Validation!$A:$A,D$1,Validation!$S:$S,$A31)&gt;0,"Yes","No"),IF(COUNTIFS(Validation!$A:$A,D$1,Validation!$S:$S,$A31)&gt;0,"Yes","NA"))</f>
        <v>No</v>
      </c>
      <c r="E31" s="1" t="str">
        <f t="array" ref="E31">CHOOSE(INDEX('Ontology and concepts per UC'!$G$2:$I$46,MATCH($A31,'Ontology and concepts per UC'!$F$2:$F$46,0),MATCH(LEFT(E$1,3),'Ontology and concepts per UC'!$G$1:$I$1,0))+1,"NA",IF(COUNTIFS(Validation!$A:$A,E$1,Validation!$S:$S,$A31)&gt;0,"Yes","No"),IF(COUNTIFS(Validation!$A:$A,E$1,Validation!$S:$S,$A31)&gt;0,"Yes","NA"))</f>
        <v>Yes</v>
      </c>
      <c r="F31" s="1" t="str">
        <f t="array" ref="F31">CHOOSE(INDEX('Ontology and concepts per UC'!$G$2:$I$46,MATCH($A31,'Ontology and concepts per UC'!$F$2:$F$46,0),MATCH(LEFT(F$1,3),'Ontology and concepts per UC'!$G$1:$I$1,0))+1,"NA",IF(COUNTIFS(Validation!$A:$A,F$1,Validation!$S:$S,$A31)&gt;0,"Yes","No"),IF(COUNTIFS(Validation!$A:$A,F$1,Validation!$S:$S,$A31)&gt;0,"Yes","NA"))</f>
        <v>Yes</v>
      </c>
      <c r="G31" s="1" t="str">
        <f t="array" ref="G31">CHOOSE(INDEX('Ontology and concepts per UC'!$G$2:$I$46,MATCH($A31,'Ontology and concepts per UC'!$F$2:$F$46,0),MATCH(LEFT(G$1,3),'Ontology and concepts per UC'!$G$1:$I$1,0))+1,"NA",IF(COUNTIFS(Validation!$A:$A,G$1,Validation!$S:$S,$A31)&gt;0,"Yes","No"),IF(COUNTIFS(Validation!$A:$A,G$1,Validation!$S:$S,$A31)&gt;0,"Yes","NA"))</f>
        <v>Yes</v>
      </c>
      <c r="H31" s="1" t="str">
        <f t="array" ref="H31">CHOOSE(INDEX('Ontology and concepts per UC'!$G$2:$I$46,MATCH($A31,'Ontology and concepts per UC'!$F$2:$F$46,0),MATCH(LEFT(H$1,3),'Ontology and concepts per UC'!$G$1:$I$1,0))+1,"NA",IF(COUNTIFS(Validation!$A:$A,H$1,Validation!$S:$S,$A31)&gt;0,"Yes","No"),IF(COUNTIFS(Validation!$A:$A,H$1,Validation!$S:$S,$A31)&gt;0,"Yes","NA"))</f>
        <v>Yes</v>
      </c>
      <c r="I31" s="1" t="str">
        <f t="array" ref="I31">CHOOSE(INDEX('Ontology and concepts per UC'!$G$2:$I$46,MATCH($A31,'Ontology and concepts per UC'!$F$2:$F$46,0),MATCH(LEFT(I$1,3),'Ontology and concepts per UC'!$G$1:$I$1,0))+1,"NA",IF(COUNTIFS(Validation!$A:$A,I$1,Validation!$S:$S,$A31)&gt;0,"Yes","No"),IF(COUNTIFS(Validation!$A:$A,I$1,Validation!$S:$S,$A31)&gt;0,"Yes","NA"))</f>
        <v>Yes</v>
      </c>
      <c r="J31" s="1" t="str">
        <f t="array" ref="J31">CHOOSE(INDEX('Ontology and concepts per UC'!$G$2:$I$46,MATCH($A31,'Ontology and concepts per UC'!$F$2:$F$46,0),MATCH(LEFT(J$1,3),'Ontology and concepts per UC'!$G$1:$I$1,0))+1,"NA",IF(COUNTIFS(Validation!$A:$A,J$1,Validation!$S:$S,$A31)&gt;0,"Yes","No"),IF(COUNTIFS(Validation!$A:$A,J$1,Validation!$S:$S,$A31)&gt;0,"Yes","NA"))</f>
        <v>Yes</v>
      </c>
      <c r="K31" s="1" t="str">
        <f t="array" ref="K31">CHOOSE(INDEX('Ontology and concepts per UC'!$G$2:$I$46,MATCH($A31,'Ontology and concepts per UC'!$F$2:$F$46,0),MATCH(LEFT(K$1,3),'Ontology and concepts per UC'!$G$1:$I$1,0))+1,"NA",IF(COUNTIFS(Validation!$A:$A,K$1,Validation!$S:$S,$A31)&gt;0,"Yes","No"),IF(COUNTIFS(Validation!$A:$A,K$1,Validation!$S:$S,$A31)&gt;0,"Yes","NA"))</f>
        <v>Yes</v>
      </c>
      <c r="L31" s="1" t="str">
        <f t="array" ref="L31">CHOOSE(INDEX('Ontology and concepts per UC'!$G$2:$I$46,MATCH($A31,'Ontology and concepts per UC'!$F$2:$F$46,0),MATCH(LEFT(L$1,3),'Ontology and concepts per UC'!$G$1:$I$1,0))+1,"NA",IF(COUNTIFS(Validation!$A:$A,L$1,Validation!$S:$S,$A31)&gt;0,"Yes","No"),IF(COUNTIFS(Validation!$A:$A,L$1,Validation!$S:$S,$A31)&gt;0,"Yes","NA"))</f>
        <v>No</v>
      </c>
      <c r="M31" s="1" t="str">
        <f t="array" ref="M31">CHOOSE(INDEX('Ontology and concepts per UC'!$G$2:$I$46,MATCH($A31,'Ontology and concepts per UC'!$F$2:$F$46,0),MATCH(LEFT(M$1,3),'Ontology and concepts per UC'!$G$1:$I$1,0))+1,"NA",IF(COUNTIFS(Validation!$A:$A,M$1,Validation!$S:$S,$A31)&gt;0,"Yes","No"),IF(COUNTIFS(Validation!$A:$A,M$1,Validation!$S:$S,$A31)&gt;0,"Yes","NA"))</f>
        <v>Yes</v>
      </c>
      <c r="N31" s="1" t="str">
        <f t="array" ref="N31">CHOOSE(INDEX('Ontology and concepts per UC'!$G$2:$I$46,MATCH($A31,'Ontology and concepts per UC'!$F$2:$F$46,0),MATCH(LEFT(N$1,3),'Ontology and concepts per UC'!$G$1:$I$1,0))+1,"NA",IF(COUNTIFS(Validation!$A:$A,N$1,Validation!$S:$S,$A31)&gt;0,"Yes","No"),IF(COUNTIFS(Validation!$A:$A,N$1,Validation!$S:$S,$A31)&gt;0,"Yes","NA"))</f>
        <v>No</v>
      </c>
      <c r="O31" s="1" t="str">
        <f t="array" ref="O31">CHOOSE(INDEX('Ontology and concepts per UC'!$G$2:$I$46,MATCH($A31,'Ontology and concepts per UC'!$F$2:$F$46,0),MATCH(LEFT(O$1,3),'Ontology and concepts per UC'!$G$1:$I$1,0))+1,"NA",IF(COUNTIFS(Validation!$A:$A,O$1,Validation!$S:$S,$A31)&gt;0,"Yes","No"),IF(COUNTIFS(Validation!$A:$A,O$1,Validation!$S:$S,$A31)&gt;0,"Yes","NA"))</f>
        <v>Yes</v>
      </c>
      <c r="P31" s="1" t="str">
        <f t="array" ref="P31">CHOOSE(INDEX('Ontology and concepts per UC'!$G$2:$I$46,MATCH($A31,'Ontology and concepts per UC'!$F$2:$F$46,0),MATCH(LEFT(P$1,3),'Ontology and concepts per UC'!$G$1:$I$1,0))+1,"NA",IF(COUNTIFS(Validation!$A:$A,P$1,Validation!$S:$S,$A31)&gt;0,"Yes","No"),IF(COUNTIFS(Validation!$A:$A,P$1,Validation!$S:$S,$A31)&gt;0,"Yes","NA"))</f>
        <v>Yes</v>
      </c>
      <c r="Q31" s="1" t="str">
        <f t="array" ref="Q31">CHOOSE(INDEX('Ontology and concepts per UC'!$G$2:$I$46,MATCH($A31,'Ontology and concepts per UC'!$F$2:$F$46,0),MATCH(LEFT(Q$1,3),'Ontology and concepts per UC'!$G$1:$I$1,0))+1,"NA",IF(COUNTIFS(Validation!$A:$A,Q$1,Validation!$S:$S,$A31)&gt;0,"Yes","No"),IF(COUNTIFS(Validation!$A:$A,Q$1,Validation!$S:$S,$A31)&gt;0,"Yes","NA"))</f>
        <v>No</v>
      </c>
      <c r="R31" s="1" t="str">
        <f t="array" ref="R31">CHOOSE(INDEX('Ontology and concepts per UC'!$G$2:$I$46,MATCH($A31,'Ontology and concepts per UC'!$F$2:$F$46,0),MATCH(LEFT(R$1,3),'Ontology and concepts per UC'!$G$1:$I$1,0))+1,"NA",IF(COUNTIFS(Validation!$A:$A,R$1,Validation!$S:$S,$A31)&gt;0,"Yes","No"),IF(COUNTIFS(Validation!$A:$A,R$1,Validation!$S:$S,$A31)&gt;0,"Yes","NA"))</f>
        <v>Yes</v>
      </c>
      <c r="S31" s="1" t="str">
        <f t="array" ref="S31">CHOOSE(INDEX('Ontology and concepts per UC'!$G$2:$I$46,MATCH($A31,'Ontology and concepts per UC'!$F$2:$F$46,0),MATCH(LEFT(S$1,3),'Ontology and concepts per UC'!$G$1:$I$1,0))+1,"NA",IF(COUNTIFS(Validation!$A:$A,S$1,Validation!$S:$S,$A31)&gt;0,"Yes","No"),IF(COUNTIFS(Validation!$A:$A,S$1,Validation!$S:$S,$A31)&gt;0,"Yes","NA"))</f>
        <v>Yes</v>
      </c>
      <c r="T31" s="1" t="str">
        <f t="array" ref="T31">CHOOSE(INDEX('Ontology and concepts per UC'!$G$2:$I$46,MATCH($A31,'Ontology and concepts per UC'!$F$2:$F$46,0),MATCH(LEFT(T$1,3),'Ontology and concepts per UC'!$G$1:$I$1,0))+1,"NA",IF(COUNTIFS(Validation!$A:$A,T$1,Validation!$S:$S,$A31)&gt;0,"Yes","No"),IF(COUNTIFS(Validation!$A:$A,T$1,Validation!$S:$S,$A31)&gt;0,"Yes","NA"))</f>
        <v>No</v>
      </c>
      <c r="U31" s="1" t="str">
        <f t="array" ref="U31">CHOOSE(INDEX('Ontology and concepts per UC'!$G$2:$I$46,MATCH($A31,'Ontology and concepts per UC'!$F$2:$F$46,0),MATCH(LEFT(U$1,3),'Ontology and concepts per UC'!$G$1:$I$1,0))+1,"NA",IF(COUNTIFS(Validation!$A:$A,U$1,Validation!$S:$S,$A31)&gt;0,"Yes","No"),IF(COUNTIFS(Validation!$A:$A,U$1,Validation!$S:$S,$A31)&gt;0,"Yes","NA"))</f>
        <v>No</v>
      </c>
      <c r="V31" s="1" t="str">
        <f t="array" ref="V31">CHOOSE(INDEX('Ontology and concepts per UC'!$G$2:$I$46,MATCH($A31,'Ontology and concepts per UC'!$F$2:$F$46,0),MATCH(LEFT(V$1,3),'Ontology and concepts per UC'!$G$1:$I$1,0))+1,"NA",IF(COUNTIFS(Validation!$A:$A,V$1,Validation!$S:$S,$A31)&gt;0,"Yes","No"),IF(COUNTIFS(Validation!$A:$A,V$1,Validation!$S:$S,$A31)&gt;0,"Yes","NA"))</f>
        <v>No</v>
      </c>
      <c r="W31" s="1" t="str">
        <f t="array" ref="W31">CHOOSE(INDEX('Ontology and concepts per UC'!$G$2:$I$46,MATCH($A31,'Ontology and concepts per UC'!$F$2:$F$46,0),MATCH(LEFT(W$1,3),'Ontology and concepts per UC'!$G$1:$I$1,0))+1,"NA",IF(COUNTIFS(Validation!$A:$A,W$1,Validation!$S:$S,$A31)&gt;0,"Yes","No"),IF(COUNTIFS(Validation!$A:$A,W$1,Validation!$S:$S,$A31)&gt;0,"Yes","NA"))</f>
        <v>Yes</v>
      </c>
      <c r="X31" s="1" t="str">
        <f t="array" ref="X31">CHOOSE(INDEX('Ontology and concepts per UC'!$G$2:$I$46,MATCH($A31,'Ontology and concepts per UC'!$F$2:$F$46,0),MATCH(LEFT(X$1,3),'Ontology and concepts per UC'!$G$1:$I$1,0))+1,"NA",IF(COUNTIFS(Validation!$A:$A,X$1,Validation!$S:$S,$A31)&gt;0,"Yes","No"),IF(COUNTIFS(Validation!$A:$A,X$1,Validation!$S:$S,$A31)&gt;0,"Yes","NA"))</f>
        <v>Yes</v>
      </c>
      <c r="Y31" s="1" t="str">
        <f t="array" ref="Y31">CHOOSE(INDEX('Ontology and concepts per UC'!$G$2:$I$46,MATCH($A31,'Ontology and concepts per UC'!$F$2:$F$46,0),MATCH(LEFT(Y$1,3),'Ontology and concepts per UC'!$G$1:$I$1,0))+1,"NA",IF(COUNTIFS(Validation!$A:$A,Y$1,Validation!$S:$S,$A31)&gt;0,"Yes","No"),IF(COUNTIFS(Validation!$A:$A,Y$1,Validation!$S:$S,$A31)&gt;0,"Yes","NA"))</f>
        <v>Yes</v>
      </c>
      <c r="Z31" s="1" t="str">
        <f t="array" ref="Z31">CHOOSE(INDEX('Ontology and concepts per UC'!$G$2:$I$46,MATCH($A31,'Ontology and concepts per UC'!$F$2:$F$46,0),MATCH(LEFT(Z$1,3),'Ontology and concepts per UC'!$G$1:$I$1,0))+1,"NA",IF(COUNTIFS(Validation!$A:$A,Z$1,Validation!$S:$S,$A31)&gt;0,"Yes","No"),IF(COUNTIFS(Validation!$A:$A,Z$1,Validation!$S:$S,$A31)&gt;0,"Yes","NA"))</f>
        <v>Yes</v>
      </c>
      <c r="AA31" s="1" t="str">
        <f t="array" ref="AA31">CHOOSE(INDEX('Ontology and concepts per UC'!$G$2:$I$46,MATCH($A31,'Ontology and concepts per UC'!$F$2:$F$46,0),MATCH(LEFT(AA$1,3),'Ontology and concepts per UC'!$G$1:$I$1,0))+1,"NA",IF(COUNTIFS(Validation!$A:$A,AA$1,Validation!$S:$S,$A31)&gt;0,"Yes","No"),IF(COUNTIFS(Validation!$A:$A,AA$1,Validation!$S:$S,$A31)&gt;0,"Yes","NA"))</f>
        <v>Yes</v>
      </c>
      <c r="AB31" s="1" t="str">
        <f t="array" ref="AB31">CHOOSE(INDEX('Ontology and concepts per UC'!$G$2:$I$46,MATCH($A31,'Ontology and concepts per UC'!$F$2:$F$46,0),MATCH(LEFT(AB$1,3),'Ontology and concepts per UC'!$G$1:$I$1,0))+1,"NA",IF(COUNTIFS(Validation!$A:$A,AB$1,Validation!$S:$S,$A31)&gt;0,"Yes","No"),IF(COUNTIFS(Validation!$A:$A,AB$1,Validation!$S:$S,$A31)&gt;0,"Yes","NA"))</f>
        <v>Yes</v>
      </c>
      <c r="AC31" s="1" t="str">
        <f t="array" ref="AC31">CHOOSE(INDEX('Ontology and concepts per UC'!$G$2:$I$46,MATCH($A31,'Ontology and concepts per UC'!$F$2:$F$46,0),MATCH(LEFT(AC$1,3),'Ontology and concepts per UC'!$G$1:$I$1,0))+1,"NA",IF(COUNTIFS(Validation!$A:$A,AC$1,Validation!$S:$S,$A31)&gt;0,"Yes","No"),IF(COUNTIFS(Validation!$A:$A,AC$1,Validation!$S:$S,$A31)&gt;0,"Yes","NA"))</f>
        <v>Yes</v>
      </c>
      <c r="AD31" s="1" t="str">
        <f t="array" ref="AD31">CHOOSE(INDEX('Ontology and concepts per UC'!$G$2:$I$46,MATCH($A31,'Ontology and concepts per UC'!$F$2:$F$46,0),MATCH(LEFT(AD$1,3),'Ontology and concepts per UC'!$G$1:$I$1,0))+1,"NA",IF(COUNTIFS(Validation!$A:$A,AD$1,Validation!$S:$S,$A31)&gt;0,"Yes","No"),IF(COUNTIFS(Validation!$A:$A,AD$1,Validation!$S:$S,$A31)&gt;0,"Yes","NA"))</f>
        <v>Yes</v>
      </c>
      <c r="AE31" s="1" t="str">
        <f t="array" ref="AE31">CHOOSE(INDEX('Ontology and concepts per UC'!$G$2:$I$46,MATCH($A31,'Ontology and concepts per UC'!$F$2:$F$46,0),MATCH(LEFT(AE$1,3),'Ontology and concepts per UC'!$G$1:$I$1,0))+1,"NA",IF(COUNTIFS(Validation!$A:$A,AE$1,Validation!$S:$S,$A31)&gt;0,"Yes","No"),IF(COUNTIFS(Validation!$A:$A,AE$1,Validation!$S:$S,$A31)&gt;0,"Yes","NA"))</f>
        <v>Yes</v>
      </c>
    </row>
    <row r="32" spans="1:31" x14ac:dyDescent="0.25">
      <c r="A32" s="1" t="s">
        <v>55</v>
      </c>
      <c r="B32" s="1" t="str">
        <f t="array" ref="B32">CHOOSE(INDEX('Ontology and concepts per UC'!$G$2:$I$46,MATCH($A32,'Ontology and concepts per UC'!$F$2:$F$46,0),MATCH(LEFT(B$1,3),'Ontology and concepts per UC'!$G$1:$I$1,0))+1,"NA",IF(COUNTIFS(Validation!$A:$A,B$1,Validation!$S:$S,$A32)&gt;0,"Yes","No"),IF(COUNTIFS(Validation!$A:$A,B$1,Validation!$S:$S,$A32)&gt;0,"Yes","NA"))</f>
        <v>Yes</v>
      </c>
      <c r="C32" s="1" t="str">
        <f t="array" ref="C32">CHOOSE(INDEX('Ontology and concepts per UC'!$G$2:$I$46,MATCH($A32,'Ontology and concepts per UC'!$F$2:$F$46,0),MATCH(LEFT(C$1,3),'Ontology and concepts per UC'!$G$1:$I$1,0))+1,"NA",IF(COUNTIFS(Validation!$A:$A,C$1,Validation!$S:$S,$A32)&gt;0,"Yes","No"),IF(COUNTIFS(Validation!$A:$A,C$1,Validation!$S:$S,$A32)&gt;0,"Yes","NA"))</f>
        <v>No</v>
      </c>
      <c r="D32" s="1" t="str">
        <f t="array" ref="D32">CHOOSE(INDEX('Ontology and concepts per UC'!$G$2:$I$46,MATCH($A32,'Ontology and concepts per UC'!$F$2:$F$46,0),MATCH(LEFT(D$1,3),'Ontology and concepts per UC'!$G$1:$I$1,0))+1,"NA",IF(COUNTIFS(Validation!$A:$A,D$1,Validation!$S:$S,$A32)&gt;0,"Yes","No"),IF(COUNTIFS(Validation!$A:$A,D$1,Validation!$S:$S,$A32)&gt;0,"Yes","NA"))</f>
        <v>No</v>
      </c>
      <c r="E32" s="1" t="str">
        <f t="array" ref="E32">CHOOSE(INDEX('Ontology and concepts per UC'!$G$2:$I$46,MATCH($A32,'Ontology and concepts per UC'!$F$2:$F$46,0),MATCH(LEFT(E$1,3),'Ontology and concepts per UC'!$G$1:$I$1,0))+1,"NA",IF(COUNTIFS(Validation!$A:$A,E$1,Validation!$S:$S,$A32)&gt;0,"Yes","No"),IF(COUNTIFS(Validation!$A:$A,E$1,Validation!$S:$S,$A32)&gt;0,"Yes","NA"))</f>
        <v>Yes</v>
      </c>
      <c r="F32" s="1" t="str">
        <f t="array" ref="F32">CHOOSE(INDEX('Ontology and concepts per UC'!$G$2:$I$46,MATCH($A32,'Ontology and concepts per UC'!$F$2:$F$46,0),MATCH(LEFT(F$1,3),'Ontology and concepts per UC'!$G$1:$I$1,0))+1,"NA",IF(COUNTIFS(Validation!$A:$A,F$1,Validation!$S:$S,$A32)&gt;0,"Yes","No"),IF(COUNTIFS(Validation!$A:$A,F$1,Validation!$S:$S,$A32)&gt;0,"Yes","NA"))</f>
        <v>Yes</v>
      </c>
      <c r="G32" s="1" t="str">
        <f t="array" ref="G32">CHOOSE(INDEX('Ontology and concepts per UC'!$G$2:$I$46,MATCH($A32,'Ontology and concepts per UC'!$F$2:$F$46,0),MATCH(LEFT(G$1,3),'Ontology and concepts per UC'!$G$1:$I$1,0))+1,"NA",IF(COUNTIFS(Validation!$A:$A,G$1,Validation!$S:$S,$A32)&gt;0,"Yes","No"),IF(COUNTIFS(Validation!$A:$A,G$1,Validation!$S:$S,$A32)&gt;0,"Yes","NA"))</f>
        <v>Yes</v>
      </c>
      <c r="H32" s="1" t="str">
        <f t="array" ref="H32">CHOOSE(INDEX('Ontology and concepts per UC'!$G$2:$I$46,MATCH($A32,'Ontology and concepts per UC'!$F$2:$F$46,0),MATCH(LEFT(H$1,3),'Ontology and concepts per UC'!$G$1:$I$1,0))+1,"NA",IF(COUNTIFS(Validation!$A:$A,H$1,Validation!$S:$S,$A32)&gt;0,"Yes","No"),IF(COUNTIFS(Validation!$A:$A,H$1,Validation!$S:$S,$A32)&gt;0,"Yes","NA"))</f>
        <v>Yes</v>
      </c>
      <c r="I32" s="1" t="str">
        <f t="array" ref="I32">CHOOSE(INDEX('Ontology and concepts per UC'!$G$2:$I$46,MATCH($A32,'Ontology and concepts per UC'!$F$2:$F$46,0),MATCH(LEFT(I$1,3),'Ontology and concepts per UC'!$G$1:$I$1,0))+1,"NA",IF(COUNTIFS(Validation!$A:$A,I$1,Validation!$S:$S,$A32)&gt;0,"Yes","No"),IF(COUNTIFS(Validation!$A:$A,I$1,Validation!$S:$S,$A32)&gt;0,"Yes","NA"))</f>
        <v>Yes</v>
      </c>
      <c r="J32" s="1" t="str">
        <f t="array" ref="J32">CHOOSE(INDEX('Ontology and concepts per UC'!$G$2:$I$46,MATCH($A32,'Ontology and concepts per UC'!$F$2:$F$46,0),MATCH(LEFT(J$1,3),'Ontology and concepts per UC'!$G$1:$I$1,0))+1,"NA",IF(COUNTIFS(Validation!$A:$A,J$1,Validation!$S:$S,$A32)&gt;0,"Yes","No"),IF(COUNTIFS(Validation!$A:$A,J$1,Validation!$S:$S,$A32)&gt;0,"Yes","NA"))</f>
        <v>Yes</v>
      </c>
      <c r="K32" s="1" t="str">
        <f t="array" ref="K32">CHOOSE(INDEX('Ontology and concepts per UC'!$G$2:$I$46,MATCH($A32,'Ontology and concepts per UC'!$F$2:$F$46,0),MATCH(LEFT(K$1,3),'Ontology and concepts per UC'!$G$1:$I$1,0))+1,"NA",IF(COUNTIFS(Validation!$A:$A,K$1,Validation!$S:$S,$A32)&gt;0,"Yes","No"),IF(COUNTIFS(Validation!$A:$A,K$1,Validation!$S:$S,$A32)&gt;0,"Yes","NA"))</f>
        <v>Yes</v>
      </c>
      <c r="L32" s="1" t="str">
        <f t="array" ref="L32">CHOOSE(INDEX('Ontology and concepts per UC'!$G$2:$I$46,MATCH($A32,'Ontology and concepts per UC'!$F$2:$F$46,0),MATCH(LEFT(L$1,3),'Ontology and concepts per UC'!$G$1:$I$1,0))+1,"NA",IF(COUNTIFS(Validation!$A:$A,L$1,Validation!$S:$S,$A32)&gt;0,"Yes","No"),IF(COUNTIFS(Validation!$A:$A,L$1,Validation!$S:$S,$A32)&gt;0,"Yes","NA"))</f>
        <v>Yes</v>
      </c>
      <c r="M32" s="1" t="str">
        <f t="array" ref="M32">CHOOSE(INDEX('Ontology and concepts per UC'!$G$2:$I$46,MATCH($A32,'Ontology and concepts per UC'!$F$2:$F$46,0),MATCH(LEFT(M$1,3),'Ontology and concepts per UC'!$G$1:$I$1,0))+1,"NA",IF(COUNTIFS(Validation!$A:$A,M$1,Validation!$S:$S,$A32)&gt;0,"Yes","No"),IF(COUNTIFS(Validation!$A:$A,M$1,Validation!$S:$S,$A32)&gt;0,"Yes","NA"))</f>
        <v>Yes</v>
      </c>
      <c r="N32" s="1" t="str">
        <f t="array" ref="N32">CHOOSE(INDEX('Ontology and concepts per UC'!$G$2:$I$46,MATCH($A32,'Ontology and concepts per UC'!$F$2:$F$46,0),MATCH(LEFT(N$1,3),'Ontology and concepts per UC'!$G$1:$I$1,0))+1,"NA",IF(COUNTIFS(Validation!$A:$A,N$1,Validation!$S:$S,$A32)&gt;0,"Yes","No"),IF(COUNTIFS(Validation!$A:$A,N$1,Validation!$S:$S,$A32)&gt;0,"Yes","NA"))</f>
        <v>No</v>
      </c>
      <c r="O32" s="1" t="str">
        <f t="array" ref="O32">CHOOSE(INDEX('Ontology and concepts per UC'!$G$2:$I$46,MATCH($A32,'Ontology and concepts per UC'!$F$2:$F$46,0),MATCH(LEFT(O$1,3),'Ontology and concepts per UC'!$G$1:$I$1,0))+1,"NA",IF(COUNTIFS(Validation!$A:$A,O$1,Validation!$S:$S,$A32)&gt;0,"Yes","No"),IF(COUNTIFS(Validation!$A:$A,O$1,Validation!$S:$S,$A32)&gt;0,"Yes","NA"))</f>
        <v>Yes</v>
      </c>
      <c r="P32" s="1" t="str">
        <f t="array" ref="P32">CHOOSE(INDEX('Ontology and concepts per UC'!$G$2:$I$46,MATCH($A32,'Ontology and concepts per UC'!$F$2:$F$46,0),MATCH(LEFT(P$1,3),'Ontology and concepts per UC'!$G$1:$I$1,0))+1,"NA",IF(COUNTIFS(Validation!$A:$A,P$1,Validation!$S:$S,$A32)&gt;0,"Yes","No"),IF(COUNTIFS(Validation!$A:$A,P$1,Validation!$S:$S,$A32)&gt;0,"Yes","NA"))</f>
        <v>Yes</v>
      </c>
      <c r="Q32" s="1" t="str">
        <f t="array" ref="Q32">CHOOSE(INDEX('Ontology and concepts per UC'!$G$2:$I$46,MATCH($A32,'Ontology and concepts per UC'!$F$2:$F$46,0),MATCH(LEFT(Q$1,3),'Ontology and concepts per UC'!$G$1:$I$1,0))+1,"NA",IF(COUNTIFS(Validation!$A:$A,Q$1,Validation!$S:$S,$A32)&gt;0,"Yes","No"),IF(COUNTIFS(Validation!$A:$A,Q$1,Validation!$S:$S,$A32)&gt;0,"Yes","NA"))</f>
        <v>No</v>
      </c>
      <c r="R32" s="1" t="str">
        <f t="array" ref="R32">CHOOSE(INDEX('Ontology and concepts per UC'!$G$2:$I$46,MATCH($A32,'Ontology and concepts per UC'!$F$2:$F$46,0),MATCH(LEFT(R$1,3),'Ontology and concepts per UC'!$G$1:$I$1,0))+1,"NA",IF(COUNTIFS(Validation!$A:$A,R$1,Validation!$S:$S,$A32)&gt;0,"Yes","No"),IF(COUNTIFS(Validation!$A:$A,R$1,Validation!$S:$S,$A32)&gt;0,"Yes","NA"))</f>
        <v>Yes</v>
      </c>
      <c r="S32" s="1" t="str">
        <f t="array" ref="S32">CHOOSE(INDEX('Ontology and concepts per UC'!$G$2:$I$46,MATCH($A32,'Ontology and concepts per UC'!$F$2:$F$46,0),MATCH(LEFT(S$1,3),'Ontology and concepts per UC'!$G$1:$I$1,0))+1,"NA",IF(COUNTIFS(Validation!$A:$A,S$1,Validation!$S:$S,$A32)&gt;0,"Yes","No"),IF(COUNTIFS(Validation!$A:$A,S$1,Validation!$S:$S,$A32)&gt;0,"Yes","NA"))</f>
        <v>Yes</v>
      </c>
      <c r="T32" s="1" t="str">
        <f t="array" ref="T32">CHOOSE(INDEX('Ontology and concepts per UC'!$G$2:$I$46,MATCH($A32,'Ontology and concepts per UC'!$F$2:$F$46,0),MATCH(LEFT(T$1,3),'Ontology and concepts per UC'!$G$1:$I$1,0))+1,"NA",IF(COUNTIFS(Validation!$A:$A,T$1,Validation!$S:$S,$A32)&gt;0,"Yes","No"),IF(COUNTIFS(Validation!$A:$A,T$1,Validation!$S:$S,$A32)&gt;0,"Yes","NA"))</f>
        <v>No</v>
      </c>
      <c r="U32" s="1" t="str">
        <f t="array" ref="U32">CHOOSE(INDEX('Ontology and concepts per UC'!$G$2:$I$46,MATCH($A32,'Ontology and concepts per UC'!$F$2:$F$46,0),MATCH(LEFT(U$1,3),'Ontology and concepts per UC'!$G$1:$I$1,0))+1,"NA",IF(COUNTIFS(Validation!$A:$A,U$1,Validation!$S:$S,$A32)&gt;0,"Yes","No"),IF(COUNTIFS(Validation!$A:$A,U$1,Validation!$S:$S,$A32)&gt;0,"Yes","NA"))</f>
        <v>No</v>
      </c>
      <c r="V32" s="1" t="str">
        <f t="array" ref="V32">CHOOSE(INDEX('Ontology and concepts per UC'!$G$2:$I$46,MATCH($A32,'Ontology and concepts per UC'!$F$2:$F$46,0),MATCH(LEFT(V$1,3),'Ontology and concepts per UC'!$G$1:$I$1,0))+1,"NA",IF(COUNTIFS(Validation!$A:$A,V$1,Validation!$S:$S,$A32)&gt;0,"Yes","No"),IF(COUNTIFS(Validation!$A:$A,V$1,Validation!$S:$S,$A32)&gt;0,"Yes","NA"))</f>
        <v>Yes</v>
      </c>
      <c r="W32" s="1" t="str">
        <f t="array" ref="W32">CHOOSE(INDEX('Ontology and concepts per UC'!$G$2:$I$46,MATCH($A32,'Ontology and concepts per UC'!$F$2:$F$46,0),MATCH(LEFT(W$1,3),'Ontology and concepts per UC'!$G$1:$I$1,0))+1,"NA",IF(COUNTIFS(Validation!$A:$A,W$1,Validation!$S:$S,$A32)&gt;0,"Yes","No"),IF(COUNTIFS(Validation!$A:$A,W$1,Validation!$S:$S,$A32)&gt;0,"Yes","NA"))</f>
        <v>Yes</v>
      </c>
      <c r="X32" s="1" t="str">
        <f t="array" ref="X32">CHOOSE(INDEX('Ontology and concepts per UC'!$G$2:$I$46,MATCH($A32,'Ontology and concepts per UC'!$F$2:$F$46,0),MATCH(LEFT(X$1,3),'Ontology and concepts per UC'!$G$1:$I$1,0))+1,"NA",IF(COUNTIFS(Validation!$A:$A,X$1,Validation!$S:$S,$A32)&gt;0,"Yes","No"),IF(COUNTIFS(Validation!$A:$A,X$1,Validation!$S:$S,$A32)&gt;0,"Yes","NA"))</f>
        <v>No</v>
      </c>
      <c r="Y32" s="1" t="str">
        <f t="array" ref="Y32">CHOOSE(INDEX('Ontology and concepts per UC'!$G$2:$I$46,MATCH($A32,'Ontology and concepts per UC'!$F$2:$F$46,0),MATCH(LEFT(Y$1,3),'Ontology and concepts per UC'!$G$1:$I$1,0))+1,"NA",IF(COUNTIFS(Validation!$A:$A,Y$1,Validation!$S:$S,$A32)&gt;0,"Yes","No"),IF(COUNTIFS(Validation!$A:$A,Y$1,Validation!$S:$S,$A32)&gt;0,"Yes","NA"))</f>
        <v>Yes</v>
      </c>
      <c r="Z32" s="1" t="str">
        <f t="array" ref="Z32">CHOOSE(INDEX('Ontology and concepts per UC'!$G$2:$I$46,MATCH($A32,'Ontology and concepts per UC'!$F$2:$F$46,0),MATCH(LEFT(Z$1,3),'Ontology and concepts per UC'!$G$1:$I$1,0))+1,"NA",IF(COUNTIFS(Validation!$A:$A,Z$1,Validation!$S:$S,$A32)&gt;0,"Yes","No"),IF(COUNTIFS(Validation!$A:$A,Z$1,Validation!$S:$S,$A32)&gt;0,"Yes","NA"))</f>
        <v>Yes</v>
      </c>
      <c r="AA32" s="1" t="str">
        <f t="array" ref="AA32">CHOOSE(INDEX('Ontology and concepts per UC'!$G$2:$I$46,MATCH($A32,'Ontology and concepts per UC'!$F$2:$F$46,0),MATCH(LEFT(AA$1,3),'Ontology and concepts per UC'!$G$1:$I$1,0))+1,"NA",IF(COUNTIFS(Validation!$A:$A,AA$1,Validation!$S:$S,$A32)&gt;0,"Yes","No"),IF(COUNTIFS(Validation!$A:$A,AA$1,Validation!$S:$S,$A32)&gt;0,"Yes","NA"))</f>
        <v>Yes</v>
      </c>
      <c r="AB32" s="1" t="str">
        <f t="array" ref="AB32">CHOOSE(INDEX('Ontology and concepts per UC'!$G$2:$I$46,MATCH($A32,'Ontology and concepts per UC'!$F$2:$F$46,0),MATCH(LEFT(AB$1,3),'Ontology and concepts per UC'!$G$1:$I$1,0))+1,"NA",IF(COUNTIFS(Validation!$A:$A,AB$1,Validation!$S:$S,$A32)&gt;0,"Yes","No"),IF(COUNTIFS(Validation!$A:$A,AB$1,Validation!$S:$S,$A32)&gt;0,"Yes","NA"))</f>
        <v>Yes</v>
      </c>
      <c r="AC32" s="1" t="str">
        <f t="array" ref="AC32">CHOOSE(INDEX('Ontology and concepts per UC'!$G$2:$I$46,MATCH($A32,'Ontology and concepts per UC'!$F$2:$F$46,0),MATCH(LEFT(AC$1,3),'Ontology and concepts per UC'!$G$1:$I$1,0))+1,"NA",IF(COUNTIFS(Validation!$A:$A,AC$1,Validation!$S:$S,$A32)&gt;0,"Yes","No"),IF(COUNTIFS(Validation!$A:$A,AC$1,Validation!$S:$S,$A32)&gt;0,"Yes","NA"))</f>
        <v>Yes</v>
      </c>
      <c r="AD32" s="1" t="str">
        <f t="array" ref="AD32">CHOOSE(INDEX('Ontology and concepts per UC'!$G$2:$I$46,MATCH($A32,'Ontology and concepts per UC'!$F$2:$F$46,0),MATCH(LEFT(AD$1,3),'Ontology and concepts per UC'!$G$1:$I$1,0))+1,"NA",IF(COUNTIFS(Validation!$A:$A,AD$1,Validation!$S:$S,$A32)&gt;0,"Yes","No"),IF(COUNTIFS(Validation!$A:$A,AD$1,Validation!$S:$S,$A32)&gt;0,"Yes","NA"))</f>
        <v>Yes</v>
      </c>
      <c r="AE32" s="1" t="str">
        <f t="array" ref="AE32">CHOOSE(INDEX('Ontology and concepts per UC'!$G$2:$I$46,MATCH($A32,'Ontology and concepts per UC'!$F$2:$F$46,0),MATCH(LEFT(AE$1,3),'Ontology and concepts per UC'!$G$1:$I$1,0))+1,"NA",IF(COUNTIFS(Validation!$A:$A,AE$1,Validation!$S:$S,$A32)&gt;0,"Yes","No"),IF(COUNTIFS(Validation!$A:$A,AE$1,Validation!$S:$S,$A32)&gt;0,"Yes","NA"))</f>
        <v>Yes</v>
      </c>
    </row>
    <row r="33" spans="1:31" x14ac:dyDescent="0.25">
      <c r="A33" s="1" t="s">
        <v>56</v>
      </c>
      <c r="B33" s="1" t="str">
        <f t="array" ref="B33">CHOOSE(INDEX('Ontology and concepts per UC'!$G$2:$I$46,MATCH($A33,'Ontology and concepts per UC'!$F$2:$F$46,0),MATCH(LEFT(B$1,3),'Ontology and concepts per UC'!$G$1:$I$1,0))+1,"NA",IF(COUNTIFS(Validation!$A:$A,B$1,Validation!$S:$S,$A33)&gt;0,"Yes","No"),IF(COUNTIFS(Validation!$A:$A,B$1,Validation!$S:$S,$A33)&gt;0,"Yes","NA"))</f>
        <v>No</v>
      </c>
      <c r="C33" s="1" t="str">
        <f t="array" ref="C33">CHOOSE(INDEX('Ontology and concepts per UC'!$G$2:$I$46,MATCH($A33,'Ontology and concepts per UC'!$F$2:$F$46,0),MATCH(LEFT(C$1,3),'Ontology and concepts per UC'!$G$1:$I$1,0))+1,"NA",IF(COUNTIFS(Validation!$A:$A,C$1,Validation!$S:$S,$A33)&gt;0,"Yes","No"),IF(COUNTIFS(Validation!$A:$A,C$1,Validation!$S:$S,$A33)&gt;0,"Yes","NA"))</f>
        <v>No</v>
      </c>
      <c r="D33" s="1" t="str">
        <f t="array" ref="D33">CHOOSE(INDEX('Ontology and concepts per UC'!$G$2:$I$46,MATCH($A33,'Ontology and concepts per UC'!$F$2:$F$46,0),MATCH(LEFT(D$1,3),'Ontology and concepts per UC'!$G$1:$I$1,0))+1,"NA",IF(COUNTIFS(Validation!$A:$A,D$1,Validation!$S:$S,$A33)&gt;0,"Yes","No"),IF(COUNTIFS(Validation!$A:$A,D$1,Validation!$S:$S,$A33)&gt;0,"Yes","NA"))</f>
        <v>No</v>
      </c>
      <c r="E33" s="1" t="str">
        <f t="array" ref="E33">CHOOSE(INDEX('Ontology and concepts per UC'!$G$2:$I$46,MATCH($A33,'Ontology and concepts per UC'!$F$2:$F$46,0),MATCH(LEFT(E$1,3),'Ontology and concepts per UC'!$G$1:$I$1,0))+1,"NA",IF(COUNTIFS(Validation!$A:$A,E$1,Validation!$S:$S,$A33)&gt;0,"Yes","No"),IF(COUNTIFS(Validation!$A:$A,E$1,Validation!$S:$S,$A33)&gt;0,"Yes","NA"))</f>
        <v>No</v>
      </c>
      <c r="F33" s="1" t="str">
        <f t="array" ref="F33">CHOOSE(INDEX('Ontology and concepts per UC'!$G$2:$I$46,MATCH($A33,'Ontology and concepts per UC'!$F$2:$F$46,0),MATCH(LEFT(F$1,3),'Ontology and concepts per UC'!$G$1:$I$1,0))+1,"NA",IF(COUNTIFS(Validation!$A:$A,F$1,Validation!$S:$S,$A33)&gt;0,"Yes","No"),IF(COUNTIFS(Validation!$A:$A,F$1,Validation!$S:$S,$A33)&gt;0,"Yes","NA"))</f>
        <v>Yes</v>
      </c>
      <c r="G33" s="1" t="str">
        <f t="array" ref="G33">CHOOSE(INDEX('Ontology and concepts per UC'!$G$2:$I$46,MATCH($A33,'Ontology and concepts per UC'!$F$2:$F$46,0),MATCH(LEFT(G$1,3),'Ontology and concepts per UC'!$G$1:$I$1,0))+1,"NA",IF(COUNTIFS(Validation!$A:$A,G$1,Validation!$S:$S,$A33)&gt;0,"Yes","No"),IF(COUNTIFS(Validation!$A:$A,G$1,Validation!$S:$S,$A33)&gt;0,"Yes","NA"))</f>
        <v>Yes</v>
      </c>
      <c r="H33" s="1" t="str">
        <f t="array" ref="H33">CHOOSE(INDEX('Ontology and concepts per UC'!$G$2:$I$46,MATCH($A33,'Ontology and concepts per UC'!$F$2:$F$46,0),MATCH(LEFT(H$1,3),'Ontology and concepts per UC'!$G$1:$I$1,0))+1,"NA",IF(COUNTIFS(Validation!$A:$A,H$1,Validation!$S:$S,$A33)&gt;0,"Yes","No"),IF(COUNTIFS(Validation!$A:$A,H$1,Validation!$S:$S,$A33)&gt;0,"Yes","NA"))</f>
        <v>Yes</v>
      </c>
      <c r="I33" s="1" t="str">
        <f t="array" ref="I33">CHOOSE(INDEX('Ontology and concepts per UC'!$G$2:$I$46,MATCH($A33,'Ontology and concepts per UC'!$F$2:$F$46,0),MATCH(LEFT(I$1,3),'Ontology and concepts per UC'!$G$1:$I$1,0))+1,"NA",IF(COUNTIFS(Validation!$A:$A,I$1,Validation!$S:$S,$A33)&gt;0,"Yes","No"),IF(COUNTIFS(Validation!$A:$A,I$1,Validation!$S:$S,$A33)&gt;0,"Yes","NA"))</f>
        <v>Yes</v>
      </c>
      <c r="J33" s="1" t="str">
        <f t="array" ref="J33">CHOOSE(INDEX('Ontology and concepts per UC'!$G$2:$I$46,MATCH($A33,'Ontology and concepts per UC'!$F$2:$F$46,0),MATCH(LEFT(J$1,3),'Ontology and concepts per UC'!$G$1:$I$1,0))+1,"NA",IF(COUNTIFS(Validation!$A:$A,J$1,Validation!$S:$S,$A33)&gt;0,"Yes","No"),IF(COUNTIFS(Validation!$A:$A,J$1,Validation!$S:$S,$A33)&gt;0,"Yes","NA"))</f>
        <v>Yes</v>
      </c>
      <c r="K33" s="1" t="str">
        <f t="array" ref="K33">CHOOSE(INDEX('Ontology and concepts per UC'!$G$2:$I$46,MATCH($A33,'Ontology and concepts per UC'!$F$2:$F$46,0),MATCH(LEFT(K$1,3),'Ontology and concepts per UC'!$G$1:$I$1,0))+1,"NA",IF(COUNTIFS(Validation!$A:$A,K$1,Validation!$S:$S,$A33)&gt;0,"Yes","No"),IF(COUNTIFS(Validation!$A:$A,K$1,Validation!$S:$S,$A33)&gt;0,"Yes","NA"))</f>
        <v>Yes</v>
      </c>
      <c r="L33" s="1" t="str">
        <f t="array" ref="L33">CHOOSE(INDEX('Ontology and concepts per UC'!$G$2:$I$46,MATCH($A33,'Ontology and concepts per UC'!$F$2:$F$46,0),MATCH(LEFT(L$1,3),'Ontology and concepts per UC'!$G$1:$I$1,0))+1,"NA",IF(COUNTIFS(Validation!$A:$A,L$1,Validation!$S:$S,$A33)&gt;0,"Yes","No"),IF(COUNTIFS(Validation!$A:$A,L$1,Validation!$S:$S,$A33)&gt;0,"Yes","NA"))</f>
        <v>No</v>
      </c>
      <c r="M33" s="1" t="str">
        <f t="array" ref="M33">CHOOSE(INDEX('Ontology and concepts per UC'!$G$2:$I$46,MATCH($A33,'Ontology and concepts per UC'!$F$2:$F$46,0),MATCH(LEFT(M$1,3),'Ontology and concepts per UC'!$G$1:$I$1,0))+1,"NA",IF(COUNTIFS(Validation!$A:$A,M$1,Validation!$S:$S,$A33)&gt;0,"Yes","No"),IF(COUNTIFS(Validation!$A:$A,M$1,Validation!$S:$S,$A33)&gt;0,"Yes","NA"))</f>
        <v>Yes</v>
      </c>
      <c r="N33" s="1" t="str">
        <f t="array" ref="N33">CHOOSE(INDEX('Ontology and concepts per UC'!$G$2:$I$46,MATCH($A33,'Ontology and concepts per UC'!$F$2:$F$46,0),MATCH(LEFT(N$1,3),'Ontology and concepts per UC'!$G$1:$I$1,0))+1,"NA",IF(COUNTIFS(Validation!$A:$A,N$1,Validation!$S:$S,$A33)&gt;0,"Yes","No"),IF(COUNTIFS(Validation!$A:$A,N$1,Validation!$S:$S,$A33)&gt;0,"Yes","NA"))</f>
        <v>No</v>
      </c>
      <c r="O33" s="1" t="str">
        <f t="array" ref="O33">CHOOSE(INDEX('Ontology and concepts per UC'!$G$2:$I$46,MATCH($A33,'Ontology and concepts per UC'!$F$2:$F$46,0),MATCH(LEFT(O$1,3),'Ontology and concepts per UC'!$G$1:$I$1,0))+1,"NA",IF(COUNTIFS(Validation!$A:$A,O$1,Validation!$S:$S,$A33)&gt;0,"Yes","No"),IF(COUNTIFS(Validation!$A:$A,O$1,Validation!$S:$S,$A33)&gt;0,"Yes","NA"))</f>
        <v>Yes</v>
      </c>
      <c r="P33" s="1" t="str">
        <f t="array" ref="P33">CHOOSE(INDEX('Ontology and concepts per UC'!$G$2:$I$46,MATCH($A33,'Ontology and concepts per UC'!$F$2:$F$46,0),MATCH(LEFT(P$1,3),'Ontology and concepts per UC'!$G$1:$I$1,0))+1,"NA",IF(COUNTIFS(Validation!$A:$A,P$1,Validation!$S:$S,$A33)&gt;0,"Yes","No"),IF(COUNTIFS(Validation!$A:$A,P$1,Validation!$S:$S,$A33)&gt;0,"Yes","NA"))</f>
        <v>No</v>
      </c>
      <c r="Q33" s="1" t="str">
        <f t="array" ref="Q33">CHOOSE(INDEX('Ontology and concepts per UC'!$G$2:$I$46,MATCH($A33,'Ontology and concepts per UC'!$F$2:$F$46,0),MATCH(LEFT(Q$1,3),'Ontology and concepts per UC'!$G$1:$I$1,0))+1,"NA",IF(COUNTIFS(Validation!$A:$A,Q$1,Validation!$S:$S,$A33)&gt;0,"Yes","No"),IF(COUNTIFS(Validation!$A:$A,Q$1,Validation!$S:$S,$A33)&gt;0,"Yes","NA"))</f>
        <v>No</v>
      </c>
      <c r="R33" s="1" t="str">
        <f t="array" ref="R33">CHOOSE(INDEX('Ontology and concepts per UC'!$G$2:$I$46,MATCH($A33,'Ontology and concepts per UC'!$F$2:$F$46,0),MATCH(LEFT(R$1,3),'Ontology and concepts per UC'!$G$1:$I$1,0))+1,"NA",IF(COUNTIFS(Validation!$A:$A,R$1,Validation!$S:$S,$A33)&gt;0,"Yes","No"),IF(COUNTIFS(Validation!$A:$A,R$1,Validation!$S:$S,$A33)&gt;0,"Yes","NA"))</f>
        <v>Yes</v>
      </c>
      <c r="S33" s="1" t="str">
        <f t="array" ref="S33">CHOOSE(INDEX('Ontology and concepts per UC'!$G$2:$I$46,MATCH($A33,'Ontology and concepts per UC'!$F$2:$F$46,0),MATCH(LEFT(S$1,3),'Ontology and concepts per UC'!$G$1:$I$1,0))+1,"NA",IF(COUNTIFS(Validation!$A:$A,S$1,Validation!$S:$S,$A33)&gt;0,"Yes","No"),IF(COUNTIFS(Validation!$A:$A,S$1,Validation!$S:$S,$A33)&gt;0,"Yes","NA"))</f>
        <v>Yes</v>
      </c>
      <c r="T33" s="1" t="str">
        <f t="array" ref="T33">CHOOSE(INDEX('Ontology and concepts per UC'!$G$2:$I$46,MATCH($A33,'Ontology and concepts per UC'!$F$2:$F$46,0),MATCH(LEFT(T$1,3),'Ontology and concepts per UC'!$G$1:$I$1,0))+1,"NA",IF(COUNTIFS(Validation!$A:$A,T$1,Validation!$S:$S,$A33)&gt;0,"Yes","No"),IF(COUNTIFS(Validation!$A:$A,T$1,Validation!$S:$S,$A33)&gt;0,"Yes","NA"))</f>
        <v>No</v>
      </c>
      <c r="U33" s="1" t="str">
        <f t="array" ref="U33">CHOOSE(INDEX('Ontology and concepts per UC'!$G$2:$I$46,MATCH($A33,'Ontology and concepts per UC'!$F$2:$F$46,0),MATCH(LEFT(U$1,3),'Ontology and concepts per UC'!$G$1:$I$1,0))+1,"NA",IF(COUNTIFS(Validation!$A:$A,U$1,Validation!$S:$S,$A33)&gt;0,"Yes","No"),IF(COUNTIFS(Validation!$A:$A,U$1,Validation!$S:$S,$A33)&gt;0,"Yes","NA"))</f>
        <v>No</v>
      </c>
      <c r="V33" s="1" t="str">
        <f t="array" ref="V33">CHOOSE(INDEX('Ontology and concepts per UC'!$G$2:$I$46,MATCH($A33,'Ontology and concepts per UC'!$F$2:$F$46,0),MATCH(LEFT(V$1,3),'Ontology and concepts per UC'!$G$1:$I$1,0))+1,"NA",IF(COUNTIFS(Validation!$A:$A,V$1,Validation!$S:$S,$A33)&gt;0,"Yes","No"),IF(COUNTIFS(Validation!$A:$A,V$1,Validation!$S:$S,$A33)&gt;0,"Yes","NA"))</f>
        <v>Yes</v>
      </c>
      <c r="W33" s="1" t="str">
        <f t="array" ref="W33">CHOOSE(INDEX('Ontology and concepts per UC'!$G$2:$I$46,MATCH($A33,'Ontology and concepts per UC'!$F$2:$F$46,0),MATCH(LEFT(W$1,3),'Ontology and concepts per UC'!$G$1:$I$1,0))+1,"NA",IF(COUNTIFS(Validation!$A:$A,W$1,Validation!$S:$S,$A33)&gt;0,"Yes","No"),IF(COUNTIFS(Validation!$A:$A,W$1,Validation!$S:$S,$A33)&gt;0,"Yes","NA"))</f>
        <v>Yes</v>
      </c>
      <c r="X33" s="1" t="str">
        <f t="array" ref="X33">CHOOSE(INDEX('Ontology and concepts per UC'!$G$2:$I$46,MATCH($A33,'Ontology and concepts per UC'!$F$2:$F$46,0),MATCH(LEFT(X$1,3),'Ontology and concepts per UC'!$G$1:$I$1,0))+1,"NA",IF(COUNTIFS(Validation!$A:$A,X$1,Validation!$S:$S,$A33)&gt;0,"Yes","No"),IF(COUNTIFS(Validation!$A:$A,X$1,Validation!$S:$S,$A33)&gt;0,"Yes","NA"))</f>
        <v>No</v>
      </c>
      <c r="Y33" s="1" t="str">
        <f t="array" ref="Y33">CHOOSE(INDEX('Ontology and concepts per UC'!$G$2:$I$46,MATCH($A33,'Ontology and concepts per UC'!$F$2:$F$46,0),MATCH(LEFT(Y$1,3),'Ontology and concepts per UC'!$G$1:$I$1,0))+1,"NA",IF(COUNTIFS(Validation!$A:$A,Y$1,Validation!$S:$S,$A33)&gt;0,"Yes","No"),IF(COUNTIFS(Validation!$A:$A,Y$1,Validation!$S:$S,$A33)&gt;0,"Yes","NA"))</f>
        <v>Yes</v>
      </c>
      <c r="Z33" s="1" t="str">
        <f t="array" ref="Z33">CHOOSE(INDEX('Ontology and concepts per UC'!$G$2:$I$46,MATCH($A33,'Ontology and concepts per UC'!$F$2:$F$46,0),MATCH(LEFT(Z$1,3),'Ontology and concepts per UC'!$G$1:$I$1,0))+1,"NA",IF(COUNTIFS(Validation!$A:$A,Z$1,Validation!$S:$S,$A33)&gt;0,"Yes","No"),IF(COUNTIFS(Validation!$A:$A,Z$1,Validation!$S:$S,$A33)&gt;0,"Yes","NA"))</f>
        <v>Yes</v>
      </c>
      <c r="AA33" s="1" t="str">
        <f t="array" ref="AA33">CHOOSE(INDEX('Ontology and concepts per UC'!$G$2:$I$46,MATCH($A33,'Ontology and concepts per UC'!$F$2:$F$46,0),MATCH(LEFT(AA$1,3),'Ontology and concepts per UC'!$G$1:$I$1,0))+1,"NA",IF(COUNTIFS(Validation!$A:$A,AA$1,Validation!$S:$S,$A33)&gt;0,"Yes","No"),IF(COUNTIFS(Validation!$A:$A,AA$1,Validation!$S:$S,$A33)&gt;0,"Yes","NA"))</f>
        <v>Yes</v>
      </c>
      <c r="AB33" s="1" t="str">
        <f t="array" ref="AB33">CHOOSE(INDEX('Ontology and concepts per UC'!$G$2:$I$46,MATCH($A33,'Ontology and concepts per UC'!$F$2:$F$46,0),MATCH(LEFT(AB$1,3),'Ontology and concepts per UC'!$G$1:$I$1,0))+1,"NA",IF(COUNTIFS(Validation!$A:$A,AB$1,Validation!$S:$S,$A33)&gt;0,"Yes","No"),IF(COUNTIFS(Validation!$A:$A,AB$1,Validation!$S:$S,$A33)&gt;0,"Yes","NA"))</f>
        <v>Yes</v>
      </c>
      <c r="AC33" s="1" t="str">
        <f t="array" ref="AC33">CHOOSE(INDEX('Ontology and concepts per UC'!$G$2:$I$46,MATCH($A33,'Ontology and concepts per UC'!$F$2:$F$46,0),MATCH(LEFT(AC$1,3),'Ontology and concepts per UC'!$G$1:$I$1,0))+1,"NA",IF(COUNTIFS(Validation!$A:$A,AC$1,Validation!$S:$S,$A33)&gt;0,"Yes","No"),IF(COUNTIFS(Validation!$A:$A,AC$1,Validation!$S:$S,$A33)&gt;0,"Yes","NA"))</f>
        <v>Yes</v>
      </c>
      <c r="AD33" s="1" t="str">
        <f t="array" ref="AD33">CHOOSE(INDEX('Ontology and concepts per UC'!$G$2:$I$46,MATCH($A33,'Ontology and concepts per UC'!$F$2:$F$46,0),MATCH(LEFT(AD$1,3),'Ontology and concepts per UC'!$G$1:$I$1,0))+1,"NA",IF(COUNTIFS(Validation!$A:$A,AD$1,Validation!$S:$S,$A33)&gt;0,"Yes","No"),IF(COUNTIFS(Validation!$A:$A,AD$1,Validation!$S:$S,$A33)&gt;0,"Yes","NA"))</f>
        <v>No</v>
      </c>
      <c r="AE33" s="1" t="str">
        <f t="array" ref="AE33">CHOOSE(INDEX('Ontology and concepts per UC'!$G$2:$I$46,MATCH($A33,'Ontology and concepts per UC'!$F$2:$F$46,0),MATCH(LEFT(AE$1,3),'Ontology and concepts per UC'!$G$1:$I$1,0))+1,"NA",IF(COUNTIFS(Validation!$A:$A,AE$1,Validation!$S:$S,$A33)&gt;0,"Yes","No"),IF(COUNTIFS(Validation!$A:$A,AE$1,Validation!$S:$S,$A33)&gt;0,"Yes","NA"))</f>
        <v>Yes</v>
      </c>
    </row>
    <row r="34" spans="1:31" x14ac:dyDescent="0.25">
      <c r="A34" s="1" t="s">
        <v>58</v>
      </c>
      <c r="B34" s="1" t="str">
        <f t="array" ref="B34">CHOOSE(INDEX('Ontology and concepts per UC'!$G$2:$I$46,MATCH($A34,'Ontology and concepts per UC'!$F$2:$F$46,0),MATCH(LEFT(B$1,3),'Ontology and concepts per UC'!$G$1:$I$1,0))+1,"NA",IF(COUNTIFS(Validation!$A:$A,B$1,Validation!$S:$S,$A34)&gt;0,"Yes","No"),IF(COUNTIFS(Validation!$A:$A,B$1,Validation!$S:$S,$A34)&gt;0,"Yes","NA"))</f>
        <v>Yes</v>
      </c>
      <c r="C34" s="1" t="str">
        <f t="array" ref="C34">CHOOSE(INDEX('Ontology and concepts per UC'!$G$2:$I$46,MATCH($A34,'Ontology and concepts per UC'!$F$2:$F$46,0),MATCH(LEFT(C$1,3),'Ontology and concepts per UC'!$G$1:$I$1,0))+1,"NA",IF(COUNTIFS(Validation!$A:$A,C$1,Validation!$S:$S,$A34)&gt;0,"Yes","No"),IF(COUNTIFS(Validation!$A:$A,C$1,Validation!$S:$S,$A34)&gt;0,"Yes","NA"))</f>
        <v>No</v>
      </c>
      <c r="D34" s="1" t="str">
        <f t="array" ref="D34">CHOOSE(INDEX('Ontology and concepts per UC'!$G$2:$I$46,MATCH($A34,'Ontology and concepts per UC'!$F$2:$F$46,0),MATCH(LEFT(D$1,3),'Ontology and concepts per UC'!$G$1:$I$1,0))+1,"NA",IF(COUNTIFS(Validation!$A:$A,D$1,Validation!$S:$S,$A34)&gt;0,"Yes","No"),IF(COUNTIFS(Validation!$A:$A,D$1,Validation!$S:$S,$A34)&gt;0,"Yes","NA"))</f>
        <v>No</v>
      </c>
      <c r="E34" s="1" t="str">
        <f t="array" ref="E34">CHOOSE(INDEX('Ontology and concepts per UC'!$G$2:$I$46,MATCH($A34,'Ontology and concepts per UC'!$F$2:$F$46,0),MATCH(LEFT(E$1,3),'Ontology and concepts per UC'!$G$1:$I$1,0))+1,"NA",IF(COUNTIFS(Validation!$A:$A,E$1,Validation!$S:$S,$A34)&gt;0,"Yes","No"),IF(COUNTIFS(Validation!$A:$A,E$1,Validation!$S:$S,$A34)&gt;0,"Yes","NA"))</f>
        <v>Yes</v>
      </c>
      <c r="F34" s="1" t="str">
        <f t="array" ref="F34">CHOOSE(INDEX('Ontology and concepts per UC'!$G$2:$I$46,MATCH($A34,'Ontology and concepts per UC'!$F$2:$F$46,0),MATCH(LEFT(F$1,3),'Ontology and concepts per UC'!$G$1:$I$1,0))+1,"NA",IF(COUNTIFS(Validation!$A:$A,F$1,Validation!$S:$S,$A34)&gt;0,"Yes","No"),IF(COUNTIFS(Validation!$A:$A,F$1,Validation!$S:$S,$A34)&gt;0,"Yes","NA"))</f>
        <v>Yes</v>
      </c>
      <c r="G34" s="1" t="str">
        <f t="array" ref="G34">CHOOSE(INDEX('Ontology and concepts per UC'!$G$2:$I$46,MATCH($A34,'Ontology and concepts per UC'!$F$2:$F$46,0),MATCH(LEFT(G$1,3),'Ontology and concepts per UC'!$G$1:$I$1,0))+1,"NA",IF(COUNTIFS(Validation!$A:$A,G$1,Validation!$S:$S,$A34)&gt;0,"Yes","No"),IF(COUNTIFS(Validation!$A:$A,G$1,Validation!$S:$S,$A34)&gt;0,"Yes","NA"))</f>
        <v>Yes</v>
      </c>
      <c r="H34" s="1" t="str">
        <f t="array" ref="H34">CHOOSE(INDEX('Ontology and concepts per UC'!$G$2:$I$46,MATCH($A34,'Ontology and concepts per UC'!$F$2:$F$46,0),MATCH(LEFT(H$1,3),'Ontology and concepts per UC'!$G$1:$I$1,0))+1,"NA",IF(COUNTIFS(Validation!$A:$A,H$1,Validation!$S:$S,$A34)&gt;0,"Yes","No"),IF(COUNTIFS(Validation!$A:$A,H$1,Validation!$S:$S,$A34)&gt;0,"Yes","NA"))</f>
        <v>Yes</v>
      </c>
      <c r="I34" s="1" t="str">
        <f t="array" ref="I34">CHOOSE(INDEX('Ontology and concepts per UC'!$G$2:$I$46,MATCH($A34,'Ontology and concepts per UC'!$F$2:$F$46,0),MATCH(LEFT(I$1,3),'Ontology and concepts per UC'!$G$1:$I$1,0))+1,"NA",IF(COUNTIFS(Validation!$A:$A,I$1,Validation!$S:$S,$A34)&gt;0,"Yes","No"),IF(COUNTIFS(Validation!$A:$A,I$1,Validation!$S:$S,$A34)&gt;0,"Yes","NA"))</f>
        <v>Yes</v>
      </c>
      <c r="J34" s="1" t="str">
        <f t="array" ref="J34">CHOOSE(INDEX('Ontology and concepts per UC'!$G$2:$I$46,MATCH($A34,'Ontology and concepts per UC'!$F$2:$F$46,0),MATCH(LEFT(J$1,3),'Ontology and concepts per UC'!$G$1:$I$1,0))+1,"NA",IF(COUNTIFS(Validation!$A:$A,J$1,Validation!$S:$S,$A34)&gt;0,"Yes","No"),IF(COUNTIFS(Validation!$A:$A,J$1,Validation!$S:$S,$A34)&gt;0,"Yes","NA"))</f>
        <v>Yes</v>
      </c>
      <c r="K34" s="1" t="str">
        <f t="array" ref="K34">CHOOSE(INDEX('Ontology and concepts per UC'!$G$2:$I$46,MATCH($A34,'Ontology and concepts per UC'!$F$2:$F$46,0),MATCH(LEFT(K$1,3),'Ontology and concepts per UC'!$G$1:$I$1,0))+1,"NA",IF(COUNTIFS(Validation!$A:$A,K$1,Validation!$S:$S,$A34)&gt;0,"Yes","No"),IF(COUNTIFS(Validation!$A:$A,K$1,Validation!$S:$S,$A34)&gt;0,"Yes","NA"))</f>
        <v>Yes</v>
      </c>
      <c r="L34" s="1" t="str">
        <f t="array" ref="L34">CHOOSE(INDEX('Ontology and concepts per UC'!$G$2:$I$46,MATCH($A34,'Ontology and concepts per UC'!$F$2:$F$46,0),MATCH(LEFT(L$1,3),'Ontology and concepts per UC'!$G$1:$I$1,0))+1,"NA",IF(COUNTIFS(Validation!$A:$A,L$1,Validation!$S:$S,$A34)&gt;0,"Yes","No"),IF(COUNTIFS(Validation!$A:$A,L$1,Validation!$S:$S,$A34)&gt;0,"Yes","NA"))</f>
        <v>No</v>
      </c>
      <c r="M34" s="1" t="str">
        <f t="array" ref="M34">CHOOSE(INDEX('Ontology and concepts per UC'!$G$2:$I$46,MATCH($A34,'Ontology and concepts per UC'!$F$2:$F$46,0),MATCH(LEFT(M$1,3),'Ontology and concepts per UC'!$G$1:$I$1,0))+1,"NA",IF(COUNTIFS(Validation!$A:$A,M$1,Validation!$S:$S,$A34)&gt;0,"Yes","No"),IF(COUNTIFS(Validation!$A:$A,M$1,Validation!$S:$S,$A34)&gt;0,"Yes","NA"))</f>
        <v>Yes</v>
      </c>
      <c r="N34" s="1" t="str">
        <f t="array" ref="N34">CHOOSE(INDEX('Ontology and concepts per UC'!$G$2:$I$46,MATCH($A34,'Ontology and concepts per UC'!$F$2:$F$46,0),MATCH(LEFT(N$1,3),'Ontology and concepts per UC'!$G$1:$I$1,0))+1,"NA",IF(COUNTIFS(Validation!$A:$A,N$1,Validation!$S:$S,$A34)&gt;0,"Yes","No"),IF(COUNTIFS(Validation!$A:$A,N$1,Validation!$S:$S,$A34)&gt;0,"Yes","NA"))</f>
        <v>No</v>
      </c>
      <c r="O34" s="1" t="str">
        <f t="array" ref="O34">CHOOSE(INDEX('Ontology and concepts per UC'!$G$2:$I$46,MATCH($A34,'Ontology and concepts per UC'!$F$2:$F$46,0),MATCH(LEFT(O$1,3),'Ontology and concepts per UC'!$G$1:$I$1,0))+1,"NA",IF(COUNTIFS(Validation!$A:$A,O$1,Validation!$S:$S,$A34)&gt;0,"Yes","No"),IF(COUNTIFS(Validation!$A:$A,O$1,Validation!$S:$S,$A34)&gt;0,"Yes","NA"))</f>
        <v>Yes</v>
      </c>
      <c r="P34" s="1" t="str">
        <f t="array" ref="P34">CHOOSE(INDEX('Ontology and concepts per UC'!$G$2:$I$46,MATCH($A34,'Ontology and concepts per UC'!$F$2:$F$46,0),MATCH(LEFT(P$1,3),'Ontology and concepts per UC'!$G$1:$I$1,0))+1,"NA",IF(COUNTIFS(Validation!$A:$A,P$1,Validation!$S:$S,$A34)&gt;0,"Yes","No"),IF(COUNTIFS(Validation!$A:$A,P$1,Validation!$S:$S,$A34)&gt;0,"Yes","NA"))</f>
        <v>Yes</v>
      </c>
      <c r="Q34" s="1" t="str">
        <f t="array" ref="Q34">CHOOSE(INDEX('Ontology and concepts per UC'!$G$2:$I$46,MATCH($A34,'Ontology and concepts per UC'!$F$2:$F$46,0),MATCH(LEFT(Q$1,3),'Ontology and concepts per UC'!$G$1:$I$1,0))+1,"NA",IF(COUNTIFS(Validation!$A:$A,Q$1,Validation!$S:$S,$A34)&gt;0,"Yes","No"),IF(COUNTIFS(Validation!$A:$A,Q$1,Validation!$S:$S,$A34)&gt;0,"Yes","NA"))</f>
        <v>No</v>
      </c>
      <c r="R34" s="1" t="str">
        <f t="array" ref="R34">CHOOSE(INDEX('Ontology and concepts per UC'!$G$2:$I$46,MATCH($A34,'Ontology and concepts per UC'!$F$2:$F$46,0),MATCH(LEFT(R$1,3),'Ontology and concepts per UC'!$G$1:$I$1,0))+1,"NA",IF(COUNTIFS(Validation!$A:$A,R$1,Validation!$S:$S,$A34)&gt;0,"Yes","No"),IF(COUNTIFS(Validation!$A:$A,R$1,Validation!$S:$S,$A34)&gt;0,"Yes","NA"))</f>
        <v>Yes</v>
      </c>
      <c r="S34" s="1" t="str">
        <f t="array" ref="S34">CHOOSE(INDEX('Ontology and concepts per UC'!$G$2:$I$46,MATCH($A34,'Ontology and concepts per UC'!$F$2:$F$46,0),MATCH(LEFT(S$1,3),'Ontology and concepts per UC'!$G$1:$I$1,0))+1,"NA",IF(COUNTIFS(Validation!$A:$A,S$1,Validation!$S:$S,$A34)&gt;0,"Yes","No"),IF(COUNTIFS(Validation!$A:$A,S$1,Validation!$S:$S,$A34)&gt;0,"Yes","NA"))</f>
        <v>Yes</v>
      </c>
      <c r="T34" s="1" t="str">
        <f t="array" ref="T34">CHOOSE(INDEX('Ontology and concepts per UC'!$G$2:$I$46,MATCH($A34,'Ontology and concepts per UC'!$F$2:$F$46,0),MATCH(LEFT(T$1,3),'Ontology and concepts per UC'!$G$1:$I$1,0))+1,"NA",IF(COUNTIFS(Validation!$A:$A,T$1,Validation!$S:$S,$A34)&gt;0,"Yes","No"),IF(COUNTIFS(Validation!$A:$A,T$1,Validation!$S:$S,$A34)&gt;0,"Yes","NA"))</f>
        <v>No</v>
      </c>
      <c r="U34" s="1" t="str">
        <f t="array" ref="U34">CHOOSE(INDEX('Ontology and concepts per UC'!$G$2:$I$46,MATCH($A34,'Ontology and concepts per UC'!$F$2:$F$46,0),MATCH(LEFT(U$1,3),'Ontology and concepts per UC'!$G$1:$I$1,0))+1,"NA",IF(COUNTIFS(Validation!$A:$A,U$1,Validation!$S:$S,$A34)&gt;0,"Yes","No"),IF(COUNTIFS(Validation!$A:$A,U$1,Validation!$S:$S,$A34)&gt;0,"Yes","NA"))</f>
        <v>No</v>
      </c>
      <c r="V34" s="1" t="str">
        <f t="array" ref="V34">CHOOSE(INDEX('Ontology and concepts per UC'!$G$2:$I$46,MATCH($A34,'Ontology and concepts per UC'!$F$2:$F$46,0),MATCH(LEFT(V$1,3),'Ontology and concepts per UC'!$G$1:$I$1,0))+1,"NA",IF(COUNTIFS(Validation!$A:$A,V$1,Validation!$S:$S,$A34)&gt;0,"Yes","No"),IF(COUNTIFS(Validation!$A:$A,V$1,Validation!$S:$S,$A34)&gt;0,"Yes","NA"))</f>
        <v>Yes</v>
      </c>
      <c r="W34" s="1" t="str">
        <f t="array" ref="W34">CHOOSE(INDEX('Ontology and concepts per UC'!$G$2:$I$46,MATCH($A34,'Ontology and concepts per UC'!$F$2:$F$46,0),MATCH(LEFT(W$1,3),'Ontology and concepts per UC'!$G$1:$I$1,0))+1,"NA",IF(COUNTIFS(Validation!$A:$A,W$1,Validation!$S:$S,$A34)&gt;0,"Yes","No"),IF(COUNTIFS(Validation!$A:$A,W$1,Validation!$S:$S,$A34)&gt;0,"Yes","NA"))</f>
        <v>Yes</v>
      </c>
      <c r="X34" s="1" t="str">
        <f t="array" ref="X34">CHOOSE(INDEX('Ontology and concepts per UC'!$G$2:$I$46,MATCH($A34,'Ontology and concepts per UC'!$F$2:$F$46,0),MATCH(LEFT(X$1,3),'Ontology and concepts per UC'!$G$1:$I$1,0))+1,"NA",IF(COUNTIFS(Validation!$A:$A,X$1,Validation!$S:$S,$A34)&gt;0,"Yes","No"),IF(COUNTIFS(Validation!$A:$A,X$1,Validation!$S:$S,$A34)&gt;0,"Yes","NA"))</f>
        <v>Yes</v>
      </c>
      <c r="Y34" s="1" t="str">
        <f t="array" ref="Y34">CHOOSE(INDEX('Ontology and concepts per UC'!$G$2:$I$46,MATCH($A34,'Ontology and concepts per UC'!$F$2:$F$46,0),MATCH(LEFT(Y$1,3),'Ontology and concepts per UC'!$G$1:$I$1,0))+1,"NA",IF(COUNTIFS(Validation!$A:$A,Y$1,Validation!$S:$S,$A34)&gt;0,"Yes","No"),IF(COUNTIFS(Validation!$A:$A,Y$1,Validation!$S:$S,$A34)&gt;0,"Yes","NA"))</f>
        <v>Yes</v>
      </c>
      <c r="Z34" s="1" t="str">
        <f t="array" ref="Z34">CHOOSE(INDEX('Ontology and concepts per UC'!$G$2:$I$46,MATCH($A34,'Ontology and concepts per UC'!$F$2:$F$46,0),MATCH(LEFT(Z$1,3),'Ontology and concepts per UC'!$G$1:$I$1,0))+1,"NA",IF(COUNTIFS(Validation!$A:$A,Z$1,Validation!$S:$S,$A34)&gt;0,"Yes","No"),IF(COUNTIFS(Validation!$A:$A,Z$1,Validation!$S:$S,$A34)&gt;0,"Yes","NA"))</f>
        <v>Yes</v>
      </c>
      <c r="AA34" s="1" t="str">
        <f t="array" ref="AA34">CHOOSE(INDEX('Ontology and concepts per UC'!$G$2:$I$46,MATCH($A34,'Ontology and concepts per UC'!$F$2:$F$46,0),MATCH(LEFT(AA$1,3),'Ontology and concepts per UC'!$G$1:$I$1,0))+1,"NA",IF(COUNTIFS(Validation!$A:$A,AA$1,Validation!$S:$S,$A34)&gt;0,"Yes","No"),IF(COUNTIFS(Validation!$A:$A,AA$1,Validation!$S:$S,$A34)&gt;0,"Yes","NA"))</f>
        <v>Yes</v>
      </c>
      <c r="AB34" s="1" t="str">
        <f t="array" ref="AB34">CHOOSE(INDEX('Ontology and concepts per UC'!$G$2:$I$46,MATCH($A34,'Ontology and concepts per UC'!$F$2:$F$46,0),MATCH(LEFT(AB$1,3),'Ontology and concepts per UC'!$G$1:$I$1,0))+1,"NA",IF(COUNTIFS(Validation!$A:$A,AB$1,Validation!$S:$S,$A34)&gt;0,"Yes","No"),IF(COUNTIFS(Validation!$A:$A,AB$1,Validation!$S:$S,$A34)&gt;0,"Yes","NA"))</f>
        <v>Yes</v>
      </c>
      <c r="AC34" s="1" t="str">
        <f t="array" ref="AC34">CHOOSE(INDEX('Ontology and concepts per UC'!$G$2:$I$46,MATCH($A34,'Ontology and concepts per UC'!$F$2:$F$46,0),MATCH(LEFT(AC$1,3),'Ontology and concepts per UC'!$G$1:$I$1,0))+1,"NA",IF(COUNTIFS(Validation!$A:$A,AC$1,Validation!$S:$S,$A34)&gt;0,"Yes","No"),IF(COUNTIFS(Validation!$A:$A,AC$1,Validation!$S:$S,$A34)&gt;0,"Yes","NA"))</f>
        <v>Yes</v>
      </c>
      <c r="AD34" s="1" t="str">
        <f t="array" ref="AD34">CHOOSE(INDEX('Ontology and concepts per UC'!$G$2:$I$46,MATCH($A34,'Ontology and concepts per UC'!$F$2:$F$46,0),MATCH(LEFT(AD$1,3),'Ontology and concepts per UC'!$G$1:$I$1,0))+1,"NA",IF(COUNTIFS(Validation!$A:$A,AD$1,Validation!$S:$S,$A34)&gt;0,"Yes","No"),IF(COUNTIFS(Validation!$A:$A,AD$1,Validation!$S:$S,$A34)&gt;0,"Yes","NA"))</f>
        <v>Yes</v>
      </c>
      <c r="AE34" s="1" t="str">
        <f t="array" ref="AE34">CHOOSE(INDEX('Ontology and concepts per UC'!$G$2:$I$46,MATCH($A34,'Ontology and concepts per UC'!$F$2:$F$46,0),MATCH(LEFT(AE$1,3),'Ontology and concepts per UC'!$G$1:$I$1,0))+1,"NA",IF(COUNTIFS(Validation!$A:$A,AE$1,Validation!$S:$S,$A34)&gt;0,"Yes","No"),IF(COUNTIFS(Validation!$A:$A,AE$1,Validation!$S:$S,$A34)&gt;0,"Yes","NA"))</f>
        <v>Yes</v>
      </c>
    </row>
    <row r="35" spans="1:31" x14ac:dyDescent="0.25">
      <c r="A35" s="1" t="s">
        <v>60</v>
      </c>
      <c r="B35" s="1" t="str">
        <f t="array" ref="B35">CHOOSE(INDEX('Ontology and concepts per UC'!$G$2:$I$46,MATCH($A35,'Ontology and concepts per UC'!$F$2:$F$46,0),MATCH(LEFT(B$1,3),'Ontology and concepts per UC'!$G$1:$I$1,0))+1,"NA",IF(COUNTIFS(Validation!$A:$A,B$1,Validation!$S:$S,$A35)&gt;0,"Yes","No"),IF(COUNTIFS(Validation!$A:$A,B$1,Validation!$S:$S,$A35)&gt;0,"Yes","NA"))</f>
        <v>Yes</v>
      </c>
      <c r="C35" s="1" t="str">
        <f t="array" ref="C35">CHOOSE(INDEX('Ontology and concepts per UC'!$G$2:$I$46,MATCH($A35,'Ontology and concepts per UC'!$F$2:$F$46,0),MATCH(LEFT(C$1,3),'Ontology and concepts per UC'!$G$1:$I$1,0))+1,"NA",IF(COUNTIFS(Validation!$A:$A,C$1,Validation!$S:$S,$A35)&gt;0,"Yes","No"),IF(COUNTIFS(Validation!$A:$A,C$1,Validation!$S:$S,$A35)&gt;0,"Yes","NA"))</f>
        <v>NA</v>
      </c>
      <c r="D35" s="1" t="str">
        <f t="array" ref="D35">CHOOSE(INDEX('Ontology and concepts per UC'!$G$2:$I$46,MATCH($A35,'Ontology and concepts per UC'!$F$2:$F$46,0),MATCH(LEFT(D$1,3),'Ontology and concepts per UC'!$G$1:$I$1,0))+1,"NA",IF(COUNTIFS(Validation!$A:$A,D$1,Validation!$S:$S,$A35)&gt;0,"Yes","No"),IF(COUNTIFS(Validation!$A:$A,D$1,Validation!$S:$S,$A35)&gt;0,"Yes","NA"))</f>
        <v>Yes</v>
      </c>
      <c r="E35" s="1" t="str">
        <f t="array" ref="E35">CHOOSE(INDEX('Ontology and concepts per UC'!$G$2:$I$46,MATCH($A35,'Ontology and concepts per UC'!$F$2:$F$46,0),MATCH(LEFT(E$1,3),'Ontology and concepts per UC'!$G$1:$I$1,0))+1,"NA",IF(COUNTIFS(Validation!$A:$A,E$1,Validation!$S:$S,$A35)&gt;0,"Yes","No"),IF(COUNTIFS(Validation!$A:$A,E$1,Validation!$S:$S,$A35)&gt;0,"Yes","NA"))</f>
        <v>Yes</v>
      </c>
      <c r="F35" s="1" t="str">
        <f t="array" ref="F35">CHOOSE(INDEX('Ontology and concepts per UC'!$G$2:$I$46,MATCH($A35,'Ontology and concepts per UC'!$F$2:$F$46,0),MATCH(LEFT(F$1,3),'Ontology and concepts per UC'!$G$1:$I$1,0))+1,"NA",IF(COUNTIFS(Validation!$A:$A,F$1,Validation!$S:$S,$A35)&gt;0,"Yes","No"),IF(COUNTIFS(Validation!$A:$A,F$1,Validation!$S:$S,$A35)&gt;0,"Yes","NA"))</f>
        <v>Yes</v>
      </c>
      <c r="G35" s="1" t="str">
        <f t="array" ref="G35">CHOOSE(INDEX('Ontology and concepts per UC'!$G$2:$I$46,MATCH($A35,'Ontology and concepts per UC'!$F$2:$F$46,0),MATCH(LEFT(G$1,3),'Ontology and concepts per UC'!$G$1:$I$1,0))+1,"NA",IF(COUNTIFS(Validation!$A:$A,G$1,Validation!$S:$S,$A35)&gt;0,"Yes","No"),IF(COUNTIFS(Validation!$A:$A,G$1,Validation!$S:$S,$A35)&gt;0,"Yes","NA"))</f>
        <v>Yes</v>
      </c>
      <c r="H35" s="1" t="str">
        <f t="array" ref="H35">CHOOSE(INDEX('Ontology and concepts per UC'!$G$2:$I$46,MATCH($A35,'Ontology and concepts per UC'!$F$2:$F$46,0),MATCH(LEFT(H$1,3),'Ontology and concepts per UC'!$G$1:$I$1,0))+1,"NA",IF(COUNTIFS(Validation!$A:$A,H$1,Validation!$S:$S,$A35)&gt;0,"Yes","No"),IF(COUNTIFS(Validation!$A:$A,H$1,Validation!$S:$S,$A35)&gt;0,"Yes","NA"))</f>
        <v>NA</v>
      </c>
      <c r="I35" s="1" t="str">
        <f t="array" ref="I35">CHOOSE(INDEX('Ontology and concepts per UC'!$G$2:$I$46,MATCH($A35,'Ontology and concepts per UC'!$F$2:$F$46,0),MATCH(LEFT(I$1,3),'Ontology and concepts per UC'!$G$1:$I$1,0))+1,"NA",IF(COUNTIFS(Validation!$A:$A,I$1,Validation!$S:$S,$A35)&gt;0,"Yes","No"),IF(COUNTIFS(Validation!$A:$A,I$1,Validation!$S:$S,$A35)&gt;0,"Yes","NA"))</f>
        <v>NA</v>
      </c>
      <c r="J35" s="1" t="str">
        <f t="array" ref="J35">CHOOSE(INDEX('Ontology and concepts per UC'!$G$2:$I$46,MATCH($A35,'Ontology and concepts per UC'!$F$2:$F$46,0),MATCH(LEFT(J$1,3),'Ontology and concepts per UC'!$G$1:$I$1,0))+1,"NA",IF(COUNTIFS(Validation!$A:$A,J$1,Validation!$S:$S,$A35)&gt;0,"Yes","No"),IF(COUNTIFS(Validation!$A:$A,J$1,Validation!$S:$S,$A35)&gt;0,"Yes","NA"))</f>
        <v>NA</v>
      </c>
      <c r="K35" s="1" t="str">
        <f t="array" ref="K35">CHOOSE(INDEX('Ontology and concepts per UC'!$G$2:$I$46,MATCH($A35,'Ontology and concepts per UC'!$F$2:$F$46,0),MATCH(LEFT(K$1,3),'Ontology and concepts per UC'!$G$1:$I$1,0))+1,"NA",IF(COUNTIFS(Validation!$A:$A,K$1,Validation!$S:$S,$A35)&gt;0,"Yes","No"),IF(COUNTIFS(Validation!$A:$A,K$1,Validation!$S:$S,$A35)&gt;0,"Yes","NA"))</f>
        <v>NA</v>
      </c>
      <c r="L35" s="1" t="str">
        <f t="array" ref="L35">CHOOSE(INDEX('Ontology and concepts per UC'!$G$2:$I$46,MATCH($A35,'Ontology and concepts per UC'!$F$2:$F$46,0),MATCH(LEFT(L$1,3),'Ontology and concepts per UC'!$G$1:$I$1,0))+1,"NA",IF(COUNTIFS(Validation!$A:$A,L$1,Validation!$S:$S,$A35)&gt;0,"Yes","No"),IF(COUNTIFS(Validation!$A:$A,L$1,Validation!$S:$S,$A35)&gt;0,"Yes","NA"))</f>
        <v>NA</v>
      </c>
      <c r="M35" s="1" t="str">
        <f t="array" ref="M35">CHOOSE(INDEX('Ontology and concepts per UC'!$G$2:$I$46,MATCH($A35,'Ontology and concepts per UC'!$F$2:$F$46,0),MATCH(LEFT(M$1,3),'Ontology and concepts per UC'!$G$1:$I$1,0))+1,"NA",IF(COUNTIFS(Validation!$A:$A,M$1,Validation!$S:$S,$A35)&gt;0,"Yes","No"),IF(COUNTIFS(Validation!$A:$A,M$1,Validation!$S:$S,$A35)&gt;0,"Yes","NA"))</f>
        <v>Yes</v>
      </c>
      <c r="N35" s="1" t="str">
        <f t="array" ref="N35">CHOOSE(INDEX('Ontology and concepts per UC'!$G$2:$I$46,MATCH($A35,'Ontology and concepts per UC'!$F$2:$F$46,0),MATCH(LEFT(N$1,3),'Ontology and concepts per UC'!$G$1:$I$1,0))+1,"NA",IF(COUNTIFS(Validation!$A:$A,N$1,Validation!$S:$S,$A35)&gt;0,"Yes","No"),IF(COUNTIFS(Validation!$A:$A,N$1,Validation!$S:$S,$A35)&gt;0,"Yes","NA"))</f>
        <v>NA</v>
      </c>
      <c r="O35" s="1" t="str">
        <f t="array" ref="O35">CHOOSE(INDEX('Ontology and concepts per UC'!$G$2:$I$46,MATCH($A35,'Ontology and concepts per UC'!$F$2:$F$46,0),MATCH(LEFT(O$1,3),'Ontology and concepts per UC'!$G$1:$I$1,0))+1,"NA",IF(COUNTIFS(Validation!$A:$A,O$1,Validation!$S:$S,$A35)&gt;0,"Yes","No"),IF(COUNTIFS(Validation!$A:$A,O$1,Validation!$S:$S,$A35)&gt;0,"Yes","NA"))</f>
        <v>Yes</v>
      </c>
      <c r="P35" s="1" t="str">
        <f t="array" ref="P35">CHOOSE(INDEX('Ontology and concepts per UC'!$G$2:$I$46,MATCH($A35,'Ontology and concepts per UC'!$F$2:$F$46,0),MATCH(LEFT(P$1,3),'Ontology and concepts per UC'!$G$1:$I$1,0))+1,"NA",IF(COUNTIFS(Validation!$A:$A,P$1,Validation!$S:$S,$A35)&gt;0,"Yes","No"),IF(COUNTIFS(Validation!$A:$A,P$1,Validation!$S:$S,$A35)&gt;0,"Yes","NA"))</f>
        <v>NA</v>
      </c>
      <c r="Q35" s="1" t="str">
        <f t="array" ref="Q35">CHOOSE(INDEX('Ontology and concepts per UC'!$G$2:$I$46,MATCH($A35,'Ontology and concepts per UC'!$F$2:$F$46,0),MATCH(LEFT(Q$1,3),'Ontology and concepts per UC'!$G$1:$I$1,0))+1,"NA",IF(COUNTIFS(Validation!$A:$A,Q$1,Validation!$S:$S,$A35)&gt;0,"Yes","No"),IF(COUNTIFS(Validation!$A:$A,Q$1,Validation!$S:$S,$A35)&gt;0,"Yes","NA"))</f>
        <v>NA</v>
      </c>
      <c r="R35" s="1" t="str">
        <f t="array" ref="R35">CHOOSE(INDEX('Ontology and concepts per UC'!$G$2:$I$46,MATCH($A35,'Ontology and concepts per UC'!$F$2:$F$46,0),MATCH(LEFT(R$1,3),'Ontology and concepts per UC'!$G$1:$I$1,0))+1,"NA",IF(COUNTIFS(Validation!$A:$A,R$1,Validation!$S:$S,$A35)&gt;0,"Yes","No"),IF(COUNTIFS(Validation!$A:$A,R$1,Validation!$S:$S,$A35)&gt;0,"Yes","NA"))</f>
        <v>Yes</v>
      </c>
      <c r="S35" s="1" t="str">
        <f t="array" ref="S35">CHOOSE(INDEX('Ontology and concepts per UC'!$G$2:$I$46,MATCH($A35,'Ontology and concepts per UC'!$F$2:$F$46,0),MATCH(LEFT(S$1,3),'Ontology and concepts per UC'!$G$1:$I$1,0))+1,"NA",IF(COUNTIFS(Validation!$A:$A,S$1,Validation!$S:$S,$A35)&gt;0,"Yes","No"),IF(COUNTIFS(Validation!$A:$A,S$1,Validation!$S:$S,$A35)&gt;0,"Yes","NA"))</f>
        <v>Yes</v>
      </c>
      <c r="T35" s="1" t="str">
        <f t="array" ref="T35">CHOOSE(INDEX('Ontology and concepts per UC'!$G$2:$I$46,MATCH($A35,'Ontology and concepts per UC'!$F$2:$F$46,0),MATCH(LEFT(T$1,3),'Ontology and concepts per UC'!$G$1:$I$1,0))+1,"NA",IF(COUNTIFS(Validation!$A:$A,T$1,Validation!$S:$S,$A35)&gt;0,"Yes","No"),IF(COUNTIFS(Validation!$A:$A,T$1,Validation!$S:$S,$A35)&gt;0,"Yes","NA"))</f>
        <v>NA</v>
      </c>
      <c r="U35" s="1" t="str">
        <f t="array" ref="U35">CHOOSE(INDEX('Ontology and concepts per UC'!$G$2:$I$46,MATCH($A35,'Ontology and concepts per UC'!$F$2:$F$46,0),MATCH(LEFT(U$1,3),'Ontology and concepts per UC'!$G$1:$I$1,0))+1,"NA",IF(COUNTIFS(Validation!$A:$A,U$1,Validation!$S:$S,$A35)&gt;0,"Yes","No"),IF(COUNTIFS(Validation!$A:$A,U$1,Validation!$S:$S,$A35)&gt;0,"Yes","NA"))</f>
        <v>NA</v>
      </c>
      <c r="V35" s="1" t="str">
        <f t="array" ref="V35">CHOOSE(INDEX('Ontology and concepts per UC'!$G$2:$I$46,MATCH($A35,'Ontology and concepts per UC'!$F$2:$F$46,0),MATCH(LEFT(V$1,3),'Ontology and concepts per UC'!$G$1:$I$1,0))+1,"NA",IF(COUNTIFS(Validation!$A:$A,V$1,Validation!$S:$S,$A35)&gt;0,"Yes","No"),IF(COUNTIFS(Validation!$A:$A,V$1,Validation!$S:$S,$A35)&gt;0,"Yes","NA"))</f>
        <v>Yes</v>
      </c>
      <c r="W35" s="1" t="str">
        <f t="array" ref="W35">CHOOSE(INDEX('Ontology and concepts per UC'!$G$2:$I$46,MATCH($A35,'Ontology and concepts per UC'!$F$2:$F$46,0),MATCH(LEFT(W$1,3),'Ontology and concepts per UC'!$G$1:$I$1,0))+1,"NA",IF(COUNTIFS(Validation!$A:$A,W$1,Validation!$S:$S,$A35)&gt;0,"Yes","No"),IF(COUNTIFS(Validation!$A:$A,W$1,Validation!$S:$S,$A35)&gt;0,"Yes","NA"))</f>
        <v>Yes</v>
      </c>
      <c r="X35" s="1" t="str">
        <f t="array" ref="X35">CHOOSE(INDEX('Ontology and concepts per UC'!$G$2:$I$46,MATCH($A35,'Ontology and concepts per UC'!$F$2:$F$46,0),MATCH(LEFT(X$1,3),'Ontology and concepts per UC'!$G$1:$I$1,0))+1,"NA",IF(COUNTIFS(Validation!$A:$A,X$1,Validation!$S:$S,$A35)&gt;0,"Yes","No"),IF(COUNTIFS(Validation!$A:$A,X$1,Validation!$S:$S,$A35)&gt;0,"Yes","NA"))</f>
        <v>NA</v>
      </c>
      <c r="Y35" s="1" t="str">
        <f t="array" ref="Y35">CHOOSE(INDEX('Ontology and concepts per UC'!$G$2:$I$46,MATCH($A35,'Ontology and concepts per UC'!$F$2:$F$46,0),MATCH(LEFT(Y$1,3),'Ontology and concepts per UC'!$G$1:$I$1,0))+1,"NA",IF(COUNTIFS(Validation!$A:$A,Y$1,Validation!$S:$S,$A35)&gt;0,"Yes","No"),IF(COUNTIFS(Validation!$A:$A,Y$1,Validation!$S:$S,$A35)&gt;0,"Yes","NA"))</f>
        <v>NA</v>
      </c>
      <c r="Z35" s="1" t="str">
        <f t="array" ref="Z35">CHOOSE(INDEX('Ontology and concepts per UC'!$G$2:$I$46,MATCH($A35,'Ontology and concepts per UC'!$F$2:$F$46,0),MATCH(LEFT(Z$1,3),'Ontology and concepts per UC'!$G$1:$I$1,0))+1,"NA",IF(COUNTIFS(Validation!$A:$A,Z$1,Validation!$S:$S,$A35)&gt;0,"Yes","No"),IF(COUNTIFS(Validation!$A:$A,Z$1,Validation!$S:$S,$A35)&gt;0,"Yes","NA"))</f>
        <v>NA</v>
      </c>
      <c r="AA35" s="1" t="str">
        <f t="array" ref="AA35">CHOOSE(INDEX('Ontology and concepts per UC'!$G$2:$I$46,MATCH($A35,'Ontology and concepts per UC'!$F$2:$F$46,0),MATCH(LEFT(AA$1,3),'Ontology and concepts per UC'!$G$1:$I$1,0))+1,"NA",IF(COUNTIFS(Validation!$A:$A,AA$1,Validation!$S:$S,$A35)&gt;0,"Yes","No"),IF(COUNTIFS(Validation!$A:$A,AA$1,Validation!$S:$S,$A35)&gt;0,"Yes","NA"))</f>
        <v>NA</v>
      </c>
      <c r="AB35" s="1" t="str">
        <f t="array" ref="AB35">CHOOSE(INDEX('Ontology and concepts per UC'!$G$2:$I$46,MATCH($A35,'Ontology and concepts per UC'!$F$2:$F$46,0),MATCH(LEFT(AB$1,3),'Ontology and concepts per UC'!$G$1:$I$1,0))+1,"NA",IF(COUNTIFS(Validation!$A:$A,AB$1,Validation!$S:$S,$A35)&gt;0,"Yes","No"),IF(COUNTIFS(Validation!$A:$A,AB$1,Validation!$S:$S,$A35)&gt;0,"Yes","NA"))</f>
        <v>NA</v>
      </c>
      <c r="AC35" s="1" t="str">
        <f t="array" ref="AC35">CHOOSE(INDEX('Ontology and concepts per UC'!$G$2:$I$46,MATCH($A35,'Ontology and concepts per UC'!$F$2:$F$46,0),MATCH(LEFT(AC$1,3),'Ontology and concepts per UC'!$G$1:$I$1,0))+1,"NA",IF(COUNTIFS(Validation!$A:$A,AC$1,Validation!$S:$S,$A35)&gt;0,"Yes","No"),IF(COUNTIFS(Validation!$A:$A,AC$1,Validation!$S:$S,$A35)&gt;0,"Yes","NA"))</f>
        <v>Yes</v>
      </c>
      <c r="AD35" s="1" t="str">
        <f t="array" ref="AD35">CHOOSE(INDEX('Ontology and concepts per UC'!$G$2:$I$46,MATCH($A35,'Ontology and concepts per UC'!$F$2:$F$46,0),MATCH(LEFT(AD$1,3),'Ontology and concepts per UC'!$G$1:$I$1,0))+1,"NA",IF(COUNTIFS(Validation!$A:$A,AD$1,Validation!$S:$S,$A35)&gt;0,"Yes","No"),IF(COUNTIFS(Validation!$A:$A,AD$1,Validation!$S:$S,$A35)&gt;0,"Yes","NA"))</f>
        <v>NA</v>
      </c>
      <c r="AE35" s="1" t="str">
        <f t="array" ref="AE35">CHOOSE(INDEX('Ontology and concepts per UC'!$G$2:$I$46,MATCH($A35,'Ontology and concepts per UC'!$F$2:$F$46,0),MATCH(LEFT(AE$1,3),'Ontology and concepts per UC'!$G$1:$I$1,0))+1,"NA",IF(COUNTIFS(Validation!$A:$A,AE$1,Validation!$S:$S,$A35)&gt;0,"Yes","No"),IF(COUNTIFS(Validation!$A:$A,AE$1,Validation!$S:$S,$A35)&gt;0,"Yes","NA"))</f>
        <v>Yes</v>
      </c>
    </row>
    <row r="36" spans="1:31" x14ac:dyDescent="0.25">
      <c r="A36" s="1" t="s">
        <v>62</v>
      </c>
      <c r="B36" s="1" t="str">
        <f t="array" ref="B36">CHOOSE(INDEX('Ontology and concepts per UC'!$G$2:$I$46,MATCH($A36,'Ontology and concepts per UC'!$F$2:$F$46,0),MATCH(LEFT(B$1,3),'Ontology and concepts per UC'!$G$1:$I$1,0))+1,"NA",IF(COUNTIFS(Validation!$A:$A,B$1,Validation!$S:$S,$A36)&gt;0,"Yes","No"),IF(COUNTIFS(Validation!$A:$A,B$1,Validation!$S:$S,$A36)&gt;0,"Yes","NA"))</f>
        <v>Yes</v>
      </c>
      <c r="C36" s="1" t="str">
        <f t="array" ref="C36">CHOOSE(INDEX('Ontology and concepts per UC'!$G$2:$I$46,MATCH($A36,'Ontology and concepts per UC'!$F$2:$F$46,0),MATCH(LEFT(C$1,3),'Ontology and concepts per UC'!$G$1:$I$1,0))+1,"NA",IF(COUNTIFS(Validation!$A:$A,C$1,Validation!$S:$S,$A36)&gt;0,"Yes","No"),IF(COUNTIFS(Validation!$A:$A,C$1,Validation!$S:$S,$A36)&gt;0,"Yes","NA"))</f>
        <v>NA</v>
      </c>
      <c r="D36" s="1" t="str">
        <f t="array" ref="D36">CHOOSE(INDEX('Ontology and concepts per UC'!$G$2:$I$46,MATCH($A36,'Ontology and concepts per UC'!$F$2:$F$46,0),MATCH(LEFT(D$1,3),'Ontology and concepts per UC'!$G$1:$I$1,0))+1,"NA",IF(COUNTIFS(Validation!$A:$A,D$1,Validation!$S:$S,$A36)&gt;0,"Yes","No"),IF(COUNTIFS(Validation!$A:$A,D$1,Validation!$S:$S,$A36)&gt;0,"Yes","NA"))</f>
        <v>Yes</v>
      </c>
      <c r="E36" s="1" t="str">
        <f t="array" ref="E36">CHOOSE(INDEX('Ontology and concepts per UC'!$G$2:$I$46,MATCH($A36,'Ontology and concepts per UC'!$F$2:$F$46,0),MATCH(LEFT(E$1,3),'Ontology and concepts per UC'!$G$1:$I$1,0))+1,"NA",IF(COUNTIFS(Validation!$A:$A,E$1,Validation!$S:$S,$A36)&gt;0,"Yes","No"),IF(COUNTIFS(Validation!$A:$A,E$1,Validation!$S:$S,$A36)&gt;0,"Yes","NA"))</f>
        <v>Yes</v>
      </c>
      <c r="F36" s="1" t="str">
        <f t="array" ref="F36">CHOOSE(INDEX('Ontology and concepts per UC'!$G$2:$I$46,MATCH($A36,'Ontology and concepts per UC'!$F$2:$F$46,0),MATCH(LEFT(F$1,3),'Ontology and concepts per UC'!$G$1:$I$1,0))+1,"NA",IF(COUNTIFS(Validation!$A:$A,F$1,Validation!$S:$S,$A36)&gt;0,"Yes","No"),IF(COUNTIFS(Validation!$A:$A,F$1,Validation!$S:$S,$A36)&gt;0,"Yes","NA"))</f>
        <v>Yes</v>
      </c>
      <c r="G36" s="1" t="str">
        <f t="array" ref="G36">CHOOSE(INDEX('Ontology and concepts per UC'!$G$2:$I$46,MATCH($A36,'Ontology and concepts per UC'!$F$2:$F$46,0),MATCH(LEFT(G$1,3),'Ontology and concepts per UC'!$G$1:$I$1,0))+1,"NA",IF(COUNTIFS(Validation!$A:$A,G$1,Validation!$S:$S,$A36)&gt;0,"Yes","No"),IF(COUNTIFS(Validation!$A:$A,G$1,Validation!$S:$S,$A36)&gt;0,"Yes","NA"))</f>
        <v>Yes</v>
      </c>
      <c r="H36" s="1" t="str">
        <f t="array" ref="H36">CHOOSE(INDEX('Ontology and concepts per UC'!$G$2:$I$46,MATCH($A36,'Ontology and concepts per UC'!$F$2:$F$46,0),MATCH(LEFT(H$1,3),'Ontology and concepts per UC'!$G$1:$I$1,0))+1,"NA",IF(COUNTIFS(Validation!$A:$A,H$1,Validation!$S:$S,$A36)&gt;0,"Yes","No"),IF(COUNTIFS(Validation!$A:$A,H$1,Validation!$S:$S,$A36)&gt;0,"Yes","NA"))</f>
        <v>NA</v>
      </c>
      <c r="I36" s="1" t="str">
        <f t="array" ref="I36">CHOOSE(INDEX('Ontology and concepts per UC'!$G$2:$I$46,MATCH($A36,'Ontology and concepts per UC'!$F$2:$F$46,0),MATCH(LEFT(I$1,3),'Ontology and concepts per UC'!$G$1:$I$1,0))+1,"NA",IF(COUNTIFS(Validation!$A:$A,I$1,Validation!$S:$S,$A36)&gt;0,"Yes","No"),IF(COUNTIFS(Validation!$A:$A,I$1,Validation!$S:$S,$A36)&gt;0,"Yes","NA"))</f>
        <v>NA</v>
      </c>
      <c r="J36" s="1" t="str">
        <f t="array" ref="J36">CHOOSE(INDEX('Ontology and concepts per UC'!$G$2:$I$46,MATCH($A36,'Ontology and concepts per UC'!$F$2:$F$46,0),MATCH(LEFT(J$1,3),'Ontology and concepts per UC'!$G$1:$I$1,0))+1,"NA",IF(COUNTIFS(Validation!$A:$A,J$1,Validation!$S:$S,$A36)&gt;0,"Yes","No"),IF(COUNTIFS(Validation!$A:$A,J$1,Validation!$S:$S,$A36)&gt;0,"Yes","NA"))</f>
        <v>NA</v>
      </c>
      <c r="K36" s="1" t="str">
        <f t="array" ref="K36">CHOOSE(INDEX('Ontology and concepts per UC'!$G$2:$I$46,MATCH($A36,'Ontology and concepts per UC'!$F$2:$F$46,0),MATCH(LEFT(K$1,3),'Ontology and concepts per UC'!$G$1:$I$1,0))+1,"NA",IF(COUNTIFS(Validation!$A:$A,K$1,Validation!$S:$S,$A36)&gt;0,"Yes","No"),IF(COUNTIFS(Validation!$A:$A,K$1,Validation!$S:$S,$A36)&gt;0,"Yes","NA"))</f>
        <v>NA</v>
      </c>
      <c r="L36" s="1" t="str">
        <f t="array" ref="L36">CHOOSE(INDEX('Ontology and concepts per UC'!$G$2:$I$46,MATCH($A36,'Ontology and concepts per UC'!$F$2:$F$46,0),MATCH(LEFT(L$1,3),'Ontology and concepts per UC'!$G$1:$I$1,0))+1,"NA",IF(COUNTIFS(Validation!$A:$A,L$1,Validation!$S:$S,$A36)&gt;0,"Yes","No"),IF(COUNTIFS(Validation!$A:$A,L$1,Validation!$S:$S,$A36)&gt;0,"Yes","NA"))</f>
        <v>NA</v>
      </c>
      <c r="M36" s="1" t="str">
        <f t="array" ref="M36">CHOOSE(INDEX('Ontology and concepts per UC'!$G$2:$I$46,MATCH($A36,'Ontology and concepts per UC'!$F$2:$F$46,0),MATCH(LEFT(M$1,3),'Ontology and concepts per UC'!$G$1:$I$1,0))+1,"NA",IF(COUNTIFS(Validation!$A:$A,M$1,Validation!$S:$S,$A36)&gt;0,"Yes","No"),IF(COUNTIFS(Validation!$A:$A,M$1,Validation!$S:$S,$A36)&gt;0,"Yes","NA"))</f>
        <v>Yes</v>
      </c>
      <c r="N36" s="1" t="str">
        <f t="array" ref="N36">CHOOSE(INDEX('Ontology and concepts per UC'!$G$2:$I$46,MATCH($A36,'Ontology and concepts per UC'!$F$2:$F$46,0),MATCH(LEFT(N$1,3),'Ontology and concepts per UC'!$G$1:$I$1,0))+1,"NA",IF(COUNTIFS(Validation!$A:$A,N$1,Validation!$S:$S,$A36)&gt;0,"Yes","No"),IF(COUNTIFS(Validation!$A:$A,N$1,Validation!$S:$S,$A36)&gt;0,"Yes","NA"))</f>
        <v>NA</v>
      </c>
      <c r="O36" s="1" t="str">
        <f t="array" ref="O36">CHOOSE(INDEX('Ontology and concepts per UC'!$G$2:$I$46,MATCH($A36,'Ontology and concepts per UC'!$F$2:$F$46,0),MATCH(LEFT(O$1,3),'Ontology and concepts per UC'!$G$1:$I$1,0))+1,"NA",IF(COUNTIFS(Validation!$A:$A,O$1,Validation!$S:$S,$A36)&gt;0,"Yes","No"),IF(COUNTIFS(Validation!$A:$A,O$1,Validation!$S:$S,$A36)&gt;0,"Yes","NA"))</f>
        <v>Yes</v>
      </c>
      <c r="P36" s="1" t="str">
        <f t="array" ref="P36">CHOOSE(INDEX('Ontology and concepts per UC'!$G$2:$I$46,MATCH($A36,'Ontology and concepts per UC'!$F$2:$F$46,0),MATCH(LEFT(P$1,3),'Ontology and concepts per UC'!$G$1:$I$1,0))+1,"NA",IF(COUNTIFS(Validation!$A:$A,P$1,Validation!$S:$S,$A36)&gt;0,"Yes","No"),IF(COUNTIFS(Validation!$A:$A,P$1,Validation!$S:$S,$A36)&gt;0,"Yes","NA"))</f>
        <v>Yes</v>
      </c>
      <c r="Q36" s="1" t="str">
        <f t="array" ref="Q36">CHOOSE(INDEX('Ontology and concepts per UC'!$G$2:$I$46,MATCH($A36,'Ontology and concepts per UC'!$F$2:$F$46,0),MATCH(LEFT(Q$1,3),'Ontology and concepts per UC'!$G$1:$I$1,0))+1,"NA",IF(COUNTIFS(Validation!$A:$A,Q$1,Validation!$S:$S,$A36)&gt;0,"Yes","No"),IF(COUNTIFS(Validation!$A:$A,Q$1,Validation!$S:$S,$A36)&gt;0,"Yes","NA"))</f>
        <v>NA</v>
      </c>
      <c r="R36" s="1" t="str">
        <f t="array" ref="R36">CHOOSE(INDEX('Ontology and concepts per UC'!$G$2:$I$46,MATCH($A36,'Ontology and concepts per UC'!$F$2:$F$46,0),MATCH(LEFT(R$1,3),'Ontology and concepts per UC'!$G$1:$I$1,0))+1,"NA",IF(COUNTIFS(Validation!$A:$A,R$1,Validation!$S:$S,$A36)&gt;0,"Yes","No"),IF(COUNTIFS(Validation!$A:$A,R$1,Validation!$S:$S,$A36)&gt;0,"Yes","NA"))</f>
        <v>Yes</v>
      </c>
      <c r="S36" s="1" t="str">
        <f t="array" ref="S36">CHOOSE(INDEX('Ontology and concepts per UC'!$G$2:$I$46,MATCH($A36,'Ontology and concepts per UC'!$F$2:$F$46,0),MATCH(LEFT(S$1,3),'Ontology and concepts per UC'!$G$1:$I$1,0))+1,"NA",IF(COUNTIFS(Validation!$A:$A,S$1,Validation!$S:$S,$A36)&gt;0,"Yes","No"),IF(COUNTIFS(Validation!$A:$A,S$1,Validation!$S:$S,$A36)&gt;0,"Yes","NA"))</f>
        <v>Yes</v>
      </c>
      <c r="T36" s="1" t="str">
        <f t="array" ref="T36">CHOOSE(INDEX('Ontology and concepts per UC'!$G$2:$I$46,MATCH($A36,'Ontology and concepts per UC'!$F$2:$F$46,0),MATCH(LEFT(T$1,3),'Ontology and concepts per UC'!$G$1:$I$1,0))+1,"NA",IF(COUNTIFS(Validation!$A:$A,T$1,Validation!$S:$S,$A36)&gt;0,"Yes","No"),IF(COUNTIFS(Validation!$A:$A,T$1,Validation!$S:$S,$A36)&gt;0,"Yes","NA"))</f>
        <v>NA</v>
      </c>
      <c r="U36" s="1" t="str">
        <f t="array" ref="U36">CHOOSE(INDEX('Ontology and concepts per UC'!$G$2:$I$46,MATCH($A36,'Ontology and concepts per UC'!$F$2:$F$46,0),MATCH(LEFT(U$1,3),'Ontology and concepts per UC'!$G$1:$I$1,0))+1,"NA",IF(COUNTIFS(Validation!$A:$A,U$1,Validation!$S:$S,$A36)&gt;0,"Yes","No"),IF(COUNTIFS(Validation!$A:$A,U$1,Validation!$S:$S,$A36)&gt;0,"Yes","NA"))</f>
        <v>NA</v>
      </c>
      <c r="V36" s="1" t="str">
        <f t="array" ref="V36">CHOOSE(INDEX('Ontology and concepts per UC'!$G$2:$I$46,MATCH($A36,'Ontology and concepts per UC'!$F$2:$F$46,0),MATCH(LEFT(V$1,3),'Ontology and concepts per UC'!$G$1:$I$1,0))+1,"NA",IF(COUNTIFS(Validation!$A:$A,V$1,Validation!$S:$S,$A36)&gt;0,"Yes","No"),IF(COUNTIFS(Validation!$A:$A,V$1,Validation!$S:$S,$A36)&gt;0,"Yes","NA"))</f>
        <v>Yes</v>
      </c>
      <c r="W36" s="1" t="str">
        <f t="array" ref="W36">CHOOSE(INDEX('Ontology and concepts per UC'!$G$2:$I$46,MATCH($A36,'Ontology and concepts per UC'!$F$2:$F$46,0),MATCH(LEFT(W$1,3),'Ontology and concepts per UC'!$G$1:$I$1,0))+1,"NA",IF(COUNTIFS(Validation!$A:$A,W$1,Validation!$S:$S,$A36)&gt;0,"Yes","No"),IF(COUNTIFS(Validation!$A:$A,W$1,Validation!$S:$S,$A36)&gt;0,"Yes","NA"))</f>
        <v>Yes</v>
      </c>
      <c r="X36" s="1" t="str">
        <f t="array" ref="X36">CHOOSE(INDEX('Ontology and concepts per UC'!$G$2:$I$46,MATCH($A36,'Ontology and concepts per UC'!$F$2:$F$46,0),MATCH(LEFT(X$1,3),'Ontology and concepts per UC'!$G$1:$I$1,0))+1,"NA",IF(COUNTIFS(Validation!$A:$A,X$1,Validation!$S:$S,$A36)&gt;0,"Yes","No"),IF(COUNTIFS(Validation!$A:$A,X$1,Validation!$S:$S,$A36)&gt;0,"Yes","NA"))</f>
        <v>NA</v>
      </c>
      <c r="Y36" s="1" t="str">
        <f t="array" ref="Y36">CHOOSE(INDEX('Ontology and concepts per UC'!$G$2:$I$46,MATCH($A36,'Ontology and concepts per UC'!$F$2:$F$46,0),MATCH(LEFT(Y$1,3),'Ontology and concepts per UC'!$G$1:$I$1,0))+1,"NA",IF(COUNTIFS(Validation!$A:$A,Y$1,Validation!$S:$S,$A36)&gt;0,"Yes","No"),IF(COUNTIFS(Validation!$A:$A,Y$1,Validation!$S:$S,$A36)&gt;0,"Yes","NA"))</f>
        <v>NA</v>
      </c>
      <c r="Z36" s="1" t="str">
        <f t="array" ref="Z36">CHOOSE(INDEX('Ontology and concepts per UC'!$G$2:$I$46,MATCH($A36,'Ontology and concepts per UC'!$F$2:$F$46,0),MATCH(LEFT(Z$1,3),'Ontology and concepts per UC'!$G$1:$I$1,0))+1,"NA",IF(COUNTIFS(Validation!$A:$A,Z$1,Validation!$S:$S,$A36)&gt;0,"Yes","No"),IF(COUNTIFS(Validation!$A:$A,Z$1,Validation!$S:$S,$A36)&gt;0,"Yes","NA"))</f>
        <v>NA</v>
      </c>
      <c r="AA36" s="1" t="str">
        <f t="array" ref="AA36">CHOOSE(INDEX('Ontology and concepts per UC'!$G$2:$I$46,MATCH($A36,'Ontology and concepts per UC'!$F$2:$F$46,0),MATCH(LEFT(AA$1,3),'Ontology and concepts per UC'!$G$1:$I$1,0))+1,"NA",IF(COUNTIFS(Validation!$A:$A,AA$1,Validation!$S:$S,$A36)&gt;0,"Yes","No"),IF(COUNTIFS(Validation!$A:$A,AA$1,Validation!$S:$S,$A36)&gt;0,"Yes","NA"))</f>
        <v>NA</v>
      </c>
      <c r="AB36" s="1" t="str">
        <f t="array" ref="AB36">CHOOSE(INDEX('Ontology and concepts per UC'!$G$2:$I$46,MATCH($A36,'Ontology and concepts per UC'!$F$2:$F$46,0),MATCH(LEFT(AB$1,3),'Ontology and concepts per UC'!$G$1:$I$1,0))+1,"NA",IF(COUNTIFS(Validation!$A:$A,AB$1,Validation!$S:$S,$A36)&gt;0,"Yes","No"),IF(COUNTIFS(Validation!$A:$A,AB$1,Validation!$S:$S,$A36)&gt;0,"Yes","NA"))</f>
        <v>NA</v>
      </c>
      <c r="AC36" s="1" t="str">
        <f t="array" ref="AC36">CHOOSE(INDEX('Ontology and concepts per UC'!$G$2:$I$46,MATCH($A36,'Ontology and concepts per UC'!$F$2:$F$46,0),MATCH(LEFT(AC$1,3),'Ontology and concepts per UC'!$G$1:$I$1,0))+1,"NA",IF(COUNTIFS(Validation!$A:$A,AC$1,Validation!$S:$S,$A36)&gt;0,"Yes","No"),IF(COUNTIFS(Validation!$A:$A,AC$1,Validation!$S:$S,$A36)&gt;0,"Yes","NA"))</f>
        <v>Yes</v>
      </c>
      <c r="AD36" s="1" t="str">
        <f t="array" ref="AD36">CHOOSE(INDEX('Ontology and concepts per UC'!$G$2:$I$46,MATCH($A36,'Ontology and concepts per UC'!$F$2:$F$46,0),MATCH(LEFT(AD$1,3),'Ontology and concepts per UC'!$G$1:$I$1,0))+1,"NA",IF(COUNTIFS(Validation!$A:$A,AD$1,Validation!$S:$S,$A36)&gt;0,"Yes","No"),IF(COUNTIFS(Validation!$A:$A,AD$1,Validation!$S:$S,$A36)&gt;0,"Yes","NA"))</f>
        <v>NA</v>
      </c>
      <c r="AE36" s="1" t="str">
        <f t="array" ref="AE36">CHOOSE(INDEX('Ontology and concepts per UC'!$G$2:$I$46,MATCH($A36,'Ontology and concepts per UC'!$F$2:$F$46,0),MATCH(LEFT(AE$1,3),'Ontology and concepts per UC'!$G$1:$I$1,0))+1,"NA",IF(COUNTIFS(Validation!$A:$A,AE$1,Validation!$S:$S,$A36)&gt;0,"Yes","No"),IF(COUNTIFS(Validation!$A:$A,AE$1,Validation!$S:$S,$A36)&gt;0,"Yes","NA"))</f>
        <v>Yes</v>
      </c>
    </row>
    <row r="37" spans="1:31" x14ac:dyDescent="0.25">
      <c r="A37" s="1" t="s">
        <v>65</v>
      </c>
      <c r="B37" s="1" t="str">
        <f t="array" ref="B37">CHOOSE(INDEX('Ontology and concepts per UC'!$G$2:$I$46,MATCH($A37,'Ontology and concepts per UC'!$F$2:$F$46,0),MATCH(LEFT(B$1,3),'Ontology and concepts per UC'!$G$1:$I$1,0))+1,"NA",IF(COUNTIFS(Validation!$A:$A,B$1,Validation!$S:$S,$A37)&gt;0,"Yes","No"),IF(COUNTIFS(Validation!$A:$A,B$1,Validation!$S:$S,$A37)&gt;0,"Yes","NA"))</f>
        <v>Yes</v>
      </c>
      <c r="C37" s="1" t="str">
        <f t="array" ref="C37">CHOOSE(INDEX('Ontology and concepts per UC'!$G$2:$I$46,MATCH($A37,'Ontology and concepts per UC'!$F$2:$F$46,0),MATCH(LEFT(C$1,3),'Ontology and concepts per UC'!$G$1:$I$1,0))+1,"NA",IF(COUNTIFS(Validation!$A:$A,C$1,Validation!$S:$S,$A37)&gt;0,"Yes","No"),IF(COUNTIFS(Validation!$A:$A,C$1,Validation!$S:$S,$A37)&gt;0,"Yes","NA"))</f>
        <v>No</v>
      </c>
      <c r="D37" s="1" t="str">
        <f t="array" ref="D37">CHOOSE(INDEX('Ontology and concepts per UC'!$G$2:$I$46,MATCH($A37,'Ontology and concepts per UC'!$F$2:$F$46,0),MATCH(LEFT(D$1,3),'Ontology and concepts per UC'!$G$1:$I$1,0))+1,"NA",IF(COUNTIFS(Validation!$A:$A,D$1,Validation!$S:$S,$A37)&gt;0,"Yes","No"),IF(COUNTIFS(Validation!$A:$A,D$1,Validation!$S:$S,$A37)&gt;0,"Yes","NA"))</f>
        <v>Yes</v>
      </c>
      <c r="E37" s="1" t="str">
        <f t="array" ref="E37">CHOOSE(INDEX('Ontology and concepts per UC'!$G$2:$I$46,MATCH($A37,'Ontology and concepts per UC'!$F$2:$F$46,0),MATCH(LEFT(E$1,3),'Ontology and concepts per UC'!$G$1:$I$1,0))+1,"NA",IF(COUNTIFS(Validation!$A:$A,E$1,Validation!$S:$S,$A37)&gt;0,"Yes","No"),IF(COUNTIFS(Validation!$A:$A,E$1,Validation!$S:$S,$A37)&gt;0,"Yes","NA"))</f>
        <v>Yes</v>
      </c>
      <c r="F37" s="1" t="str">
        <f t="array" ref="F37">CHOOSE(INDEX('Ontology and concepts per UC'!$G$2:$I$46,MATCH($A37,'Ontology and concepts per UC'!$F$2:$F$46,0),MATCH(LEFT(F$1,3),'Ontology and concepts per UC'!$G$1:$I$1,0))+1,"NA",IF(COUNTIFS(Validation!$A:$A,F$1,Validation!$S:$S,$A37)&gt;0,"Yes","No"),IF(COUNTIFS(Validation!$A:$A,F$1,Validation!$S:$S,$A37)&gt;0,"Yes","NA"))</f>
        <v>Yes</v>
      </c>
      <c r="G37" s="1" t="str">
        <f t="array" ref="G37">CHOOSE(INDEX('Ontology and concepts per UC'!$G$2:$I$46,MATCH($A37,'Ontology and concepts per UC'!$F$2:$F$46,0),MATCH(LEFT(G$1,3),'Ontology and concepts per UC'!$G$1:$I$1,0))+1,"NA",IF(COUNTIFS(Validation!$A:$A,G$1,Validation!$S:$S,$A37)&gt;0,"Yes","No"),IF(COUNTIFS(Validation!$A:$A,G$1,Validation!$S:$S,$A37)&gt;0,"Yes","NA"))</f>
        <v>Yes</v>
      </c>
      <c r="H37" s="1" t="str">
        <f t="array" ref="H37">CHOOSE(INDEX('Ontology and concepts per UC'!$G$2:$I$46,MATCH($A37,'Ontology and concepts per UC'!$F$2:$F$46,0),MATCH(LEFT(H$1,3),'Ontology and concepts per UC'!$G$1:$I$1,0))+1,"NA",IF(COUNTIFS(Validation!$A:$A,H$1,Validation!$S:$S,$A37)&gt;0,"Yes","No"),IF(COUNTIFS(Validation!$A:$A,H$1,Validation!$S:$S,$A37)&gt;0,"Yes","NA"))</f>
        <v>Yes</v>
      </c>
      <c r="I37" s="1" t="str">
        <f t="array" ref="I37">CHOOSE(INDEX('Ontology and concepts per UC'!$G$2:$I$46,MATCH($A37,'Ontology and concepts per UC'!$F$2:$F$46,0),MATCH(LEFT(I$1,3),'Ontology and concepts per UC'!$G$1:$I$1,0))+1,"NA",IF(COUNTIFS(Validation!$A:$A,I$1,Validation!$S:$S,$A37)&gt;0,"Yes","No"),IF(COUNTIFS(Validation!$A:$A,I$1,Validation!$S:$S,$A37)&gt;0,"Yes","NA"))</f>
        <v>Yes</v>
      </c>
      <c r="J37" s="1" t="str">
        <f t="array" ref="J37">CHOOSE(INDEX('Ontology and concepts per UC'!$G$2:$I$46,MATCH($A37,'Ontology and concepts per UC'!$F$2:$F$46,0),MATCH(LEFT(J$1,3),'Ontology and concepts per UC'!$G$1:$I$1,0))+1,"NA",IF(COUNTIFS(Validation!$A:$A,J$1,Validation!$S:$S,$A37)&gt;0,"Yes","No"),IF(COUNTIFS(Validation!$A:$A,J$1,Validation!$S:$S,$A37)&gt;0,"Yes","NA"))</f>
        <v>Yes</v>
      </c>
      <c r="K37" s="1" t="str">
        <f t="array" ref="K37">CHOOSE(INDEX('Ontology and concepts per UC'!$G$2:$I$46,MATCH($A37,'Ontology and concepts per UC'!$F$2:$F$46,0),MATCH(LEFT(K$1,3),'Ontology and concepts per UC'!$G$1:$I$1,0))+1,"NA",IF(COUNTIFS(Validation!$A:$A,K$1,Validation!$S:$S,$A37)&gt;0,"Yes","No"),IF(COUNTIFS(Validation!$A:$A,K$1,Validation!$S:$S,$A37)&gt;0,"Yes","NA"))</f>
        <v>Yes</v>
      </c>
      <c r="L37" s="1" t="str">
        <f t="array" ref="L37">CHOOSE(INDEX('Ontology and concepts per UC'!$G$2:$I$46,MATCH($A37,'Ontology and concepts per UC'!$F$2:$F$46,0),MATCH(LEFT(L$1,3),'Ontology and concepts per UC'!$G$1:$I$1,0))+1,"NA",IF(COUNTIFS(Validation!$A:$A,L$1,Validation!$S:$S,$A37)&gt;0,"Yes","No"),IF(COUNTIFS(Validation!$A:$A,L$1,Validation!$S:$S,$A37)&gt;0,"Yes","NA"))</f>
        <v>No</v>
      </c>
      <c r="M37" s="1" t="str">
        <f t="array" ref="M37">CHOOSE(INDEX('Ontology and concepts per UC'!$G$2:$I$46,MATCH($A37,'Ontology and concepts per UC'!$F$2:$F$46,0),MATCH(LEFT(M$1,3),'Ontology and concepts per UC'!$G$1:$I$1,0))+1,"NA",IF(COUNTIFS(Validation!$A:$A,M$1,Validation!$S:$S,$A37)&gt;0,"Yes","No"),IF(COUNTIFS(Validation!$A:$A,M$1,Validation!$S:$S,$A37)&gt;0,"Yes","NA"))</f>
        <v>Yes</v>
      </c>
      <c r="N37" s="1" t="str">
        <f t="array" ref="N37">CHOOSE(INDEX('Ontology and concepts per UC'!$G$2:$I$46,MATCH($A37,'Ontology and concepts per UC'!$F$2:$F$46,0),MATCH(LEFT(N$1,3),'Ontology and concepts per UC'!$G$1:$I$1,0))+1,"NA",IF(COUNTIFS(Validation!$A:$A,N$1,Validation!$S:$S,$A37)&gt;0,"Yes","No"),IF(COUNTIFS(Validation!$A:$A,N$1,Validation!$S:$S,$A37)&gt;0,"Yes","NA"))</f>
        <v>Yes</v>
      </c>
      <c r="O37" s="1" t="str">
        <f t="array" ref="O37">CHOOSE(INDEX('Ontology and concepts per UC'!$G$2:$I$46,MATCH($A37,'Ontology and concepts per UC'!$F$2:$F$46,0),MATCH(LEFT(O$1,3),'Ontology and concepts per UC'!$G$1:$I$1,0))+1,"NA",IF(COUNTIFS(Validation!$A:$A,O$1,Validation!$S:$S,$A37)&gt;0,"Yes","No"),IF(COUNTIFS(Validation!$A:$A,O$1,Validation!$S:$S,$A37)&gt;0,"Yes","NA"))</f>
        <v>Yes</v>
      </c>
      <c r="P37" s="1" t="str">
        <f t="array" ref="P37">CHOOSE(INDEX('Ontology and concepts per UC'!$G$2:$I$46,MATCH($A37,'Ontology and concepts per UC'!$F$2:$F$46,0),MATCH(LEFT(P$1,3),'Ontology and concepts per UC'!$G$1:$I$1,0))+1,"NA",IF(COUNTIFS(Validation!$A:$A,P$1,Validation!$S:$S,$A37)&gt;0,"Yes","No"),IF(COUNTIFS(Validation!$A:$A,P$1,Validation!$S:$S,$A37)&gt;0,"Yes","NA"))</f>
        <v>Yes</v>
      </c>
      <c r="Q37" s="1" t="str">
        <f t="array" ref="Q37">CHOOSE(INDEX('Ontology and concepts per UC'!$G$2:$I$46,MATCH($A37,'Ontology and concepts per UC'!$F$2:$F$46,0),MATCH(LEFT(Q$1,3),'Ontology and concepts per UC'!$G$1:$I$1,0))+1,"NA",IF(COUNTIFS(Validation!$A:$A,Q$1,Validation!$S:$S,$A37)&gt;0,"Yes","No"),IF(COUNTIFS(Validation!$A:$A,Q$1,Validation!$S:$S,$A37)&gt;0,"Yes","NA"))</f>
        <v>Yes</v>
      </c>
      <c r="R37" s="1" t="str">
        <f t="array" ref="R37">CHOOSE(INDEX('Ontology and concepts per UC'!$G$2:$I$46,MATCH($A37,'Ontology and concepts per UC'!$F$2:$F$46,0),MATCH(LEFT(R$1,3),'Ontology and concepts per UC'!$G$1:$I$1,0))+1,"NA",IF(COUNTIFS(Validation!$A:$A,R$1,Validation!$S:$S,$A37)&gt;0,"Yes","No"),IF(COUNTIFS(Validation!$A:$A,R$1,Validation!$S:$S,$A37)&gt;0,"Yes","NA"))</f>
        <v>Yes</v>
      </c>
      <c r="S37" s="1" t="str">
        <f t="array" ref="S37">CHOOSE(INDEX('Ontology and concepts per UC'!$G$2:$I$46,MATCH($A37,'Ontology and concepts per UC'!$F$2:$F$46,0),MATCH(LEFT(S$1,3),'Ontology and concepts per UC'!$G$1:$I$1,0))+1,"NA",IF(COUNTIFS(Validation!$A:$A,S$1,Validation!$S:$S,$A37)&gt;0,"Yes","No"),IF(COUNTIFS(Validation!$A:$A,S$1,Validation!$S:$S,$A37)&gt;0,"Yes","NA"))</f>
        <v>Yes</v>
      </c>
      <c r="T37" s="1" t="str">
        <f t="array" ref="T37">CHOOSE(INDEX('Ontology and concepts per UC'!$G$2:$I$46,MATCH($A37,'Ontology and concepts per UC'!$F$2:$F$46,0),MATCH(LEFT(T$1,3),'Ontology and concepts per UC'!$G$1:$I$1,0))+1,"NA",IF(COUNTIFS(Validation!$A:$A,T$1,Validation!$S:$S,$A37)&gt;0,"Yes","No"),IF(COUNTIFS(Validation!$A:$A,T$1,Validation!$S:$S,$A37)&gt;0,"Yes","NA"))</f>
        <v>Yes</v>
      </c>
      <c r="U37" s="1" t="str">
        <f t="array" ref="U37">CHOOSE(INDEX('Ontology and concepts per UC'!$G$2:$I$46,MATCH($A37,'Ontology and concepts per UC'!$F$2:$F$46,0),MATCH(LEFT(U$1,3),'Ontology and concepts per UC'!$G$1:$I$1,0))+1,"NA",IF(COUNTIFS(Validation!$A:$A,U$1,Validation!$S:$S,$A37)&gt;0,"Yes","No"),IF(COUNTIFS(Validation!$A:$A,U$1,Validation!$S:$S,$A37)&gt;0,"Yes","NA"))</f>
        <v>Yes</v>
      </c>
      <c r="V37" s="1" t="str">
        <f t="array" ref="V37">CHOOSE(INDEX('Ontology and concepts per UC'!$G$2:$I$46,MATCH($A37,'Ontology and concepts per UC'!$F$2:$F$46,0),MATCH(LEFT(V$1,3),'Ontology and concepts per UC'!$G$1:$I$1,0))+1,"NA",IF(COUNTIFS(Validation!$A:$A,V$1,Validation!$S:$S,$A37)&gt;0,"Yes","No"),IF(COUNTIFS(Validation!$A:$A,V$1,Validation!$S:$S,$A37)&gt;0,"Yes","NA"))</f>
        <v>Yes</v>
      </c>
      <c r="W37" s="1" t="str">
        <f t="array" ref="W37">CHOOSE(INDEX('Ontology and concepts per UC'!$G$2:$I$46,MATCH($A37,'Ontology and concepts per UC'!$F$2:$F$46,0),MATCH(LEFT(W$1,3),'Ontology and concepts per UC'!$G$1:$I$1,0))+1,"NA",IF(COUNTIFS(Validation!$A:$A,W$1,Validation!$S:$S,$A37)&gt;0,"Yes","No"),IF(COUNTIFS(Validation!$A:$A,W$1,Validation!$S:$S,$A37)&gt;0,"Yes","NA"))</f>
        <v>No</v>
      </c>
      <c r="X37" s="1" t="str">
        <f t="array" ref="X37">CHOOSE(INDEX('Ontology and concepts per UC'!$G$2:$I$46,MATCH($A37,'Ontology and concepts per UC'!$F$2:$F$46,0),MATCH(LEFT(X$1,3),'Ontology and concepts per UC'!$G$1:$I$1,0))+1,"NA",IF(COUNTIFS(Validation!$A:$A,X$1,Validation!$S:$S,$A37)&gt;0,"Yes","No"),IF(COUNTIFS(Validation!$A:$A,X$1,Validation!$S:$S,$A37)&gt;0,"Yes","NA"))</f>
        <v>Yes</v>
      </c>
      <c r="Y37" s="1" t="str">
        <f t="array" ref="Y37">CHOOSE(INDEX('Ontology and concepts per UC'!$G$2:$I$46,MATCH($A37,'Ontology and concepts per UC'!$F$2:$F$46,0),MATCH(LEFT(Y$1,3),'Ontology and concepts per UC'!$G$1:$I$1,0))+1,"NA",IF(COUNTIFS(Validation!$A:$A,Y$1,Validation!$S:$S,$A37)&gt;0,"Yes","No"),IF(COUNTIFS(Validation!$A:$A,Y$1,Validation!$S:$S,$A37)&gt;0,"Yes","NA"))</f>
        <v>Yes</v>
      </c>
      <c r="Z37" s="1" t="str">
        <f t="array" ref="Z37">CHOOSE(INDEX('Ontology and concepts per UC'!$G$2:$I$46,MATCH($A37,'Ontology and concepts per UC'!$F$2:$F$46,0),MATCH(LEFT(Z$1,3),'Ontology and concepts per UC'!$G$1:$I$1,0))+1,"NA",IF(COUNTIFS(Validation!$A:$A,Z$1,Validation!$S:$S,$A37)&gt;0,"Yes","No"),IF(COUNTIFS(Validation!$A:$A,Z$1,Validation!$S:$S,$A37)&gt;0,"Yes","NA"))</f>
        <v>Yes</v>
      </c>
      <c r="AA37" s="1" t="str">
        <f t="array" ref="AA37">CHOOSE(INDEX('Ontology and concepts per UC'!$G$2:$I$46,MATCH($A37,'Ontology and concepts per UC'!$F$2:$F$46,0),MATCH(LEFT(AA$1,3),'Ontology and concepts per UC'!$G$1:$I$1,0))+1,"NA",IF(COUNTIFS(Validation!$A:$A,AA$1,Validation!$S:$S,$A37)&gt;0,"Yes","No"),IF(COUNTIFS(Validation!$A:$A,AA$1,Validation!$S:$S,$A37)&gt;0,"Yes","NA"))</f>
        <v>Yes</v>
      </c>
      <c r="AB37" s="1" t="str">
        <f t="array" ref="AB37">CHOOSE(INDEX('Ontology and concepts per UC'!$G$2:$I$46,MATCH($A37,'Ontology and concepts per UC'!$F$2:$F$46,0),MATCH(LEFT(AB$1,3),'Ontology and concepts per UC'!$G$1:$I$1,0))+1,"NA",IF(COUNTIFS(Validation!$A:$A,AB$1,Validation!$S:$S,$A37)&gt;0,"Yes","No"),IF(COUNTIFS(Validation!$A:$A,AB$1,Validation!$S:$S,$A37)&gt;0,"Yes","NA"))</f>
        <v>Yes</v>
      </c>
      <c r="AC37" s="1" t="str">
        <f t="array" ref="AC37">CHOOSE(INDEX('Ontology and concepts per UC'!$G$2:$I$46,MATCH($A37,'Ontology and concepts per UC'!$F$2:$F$46,0),MATCH(LEFT(AC$1,3),'Ontology and concepts per UC'!$G$1:$I$1,0))+1,"NA",IF(COUNTIFS(Validation!$A:$A,AC$1,Validation!$S:$S,$A37)&gt;0,"Yes","No"),IF(COUNTIFS(Validation!$A:$A,AC$1,Validation!$S:$S,$A37)&gt;0,"Yes","NA"))</f>
        <v>Yes</v>
      </c>
      <c r="AD37" s="1" t="str">
        <f t="array" ref="AD37">CHOOSE(INDEX('Ontology and concepts per UC'!$G$2:$I$46,MATCH($A37,'Ontology and concepts per UC'!$F$2:$F$46,0),MATCH(LEFT(AD$1,3),'Ontology and concepts per UC'!$G$1:$I$1,0))+1,"NA",IF(COUNTIFS(Validation!$A:$A,AD$1,Validation!$S:$S,$A37)&gt;0,"Yes","No"),IF(COUNTIFS(Validation!$A:$A,AD$1,Validation!$S:$S,$A37)&gt;0,"Yes","NA"))</f>
        <v>Yes</v>
      </c>
      <c r="AE37" s="1" t="str">
        <f t="array" ref="AE37">CHOOSE(INDEX('Ontology and concepts per UC'!$G$2:$I$46,MATCH($A37,'Ontology and concepts per UC'!$F$2:$F$46,0),MATCH(LEFT(AE$1,3),'Ontology and concepts per UC'!$G$1:$I$1,0))+1,"NA",IF(COUNTIFS(Validation!$A:$A,AE$1,Validation!$S:$S,$A37)&gt;0,"Yes","No"),IF(COUNTIFS(Validation!$A:$A,AE$1,Validation!$S:$S,$A37)&gt;0,"Yes","NA"))</f>
        <v>Yes</v>
      </c>
    </row>
    <row r="38" spans="1:31" x14ac:dyDescent="0.25">
      <c r="A38" s="1" t="s">
        <v>66</v>
      </c>
      <c r="B38" s="1" t="str">
        <f t="array" ref="B38">CHOOSE(INDEX('Ontology and concepts per UC'!$G$2:$I$46,MATCH($A38,'Ontology and concepts per UC'!$F$2:$F$46,0),MATCH(LEFT(B$1,3),'Ontology and concepts per UC'!$G$1:$I$1,0))+1,"NA",IF(COUNTIFS(Validation!$A:$A,B$1,Validation!$S:$S,$A38)&gt;0,"Yes","No"),IF(COUNTIFS(Validation!$A:$A,B$1,Validation!$S:$S,$A38)&gt;0,"Yes","NA"))</f>
        <v>No</v>
      </c>
      <c r="C38" s="1" t="str">
        <f t="array" ref="C38">CHOOSE(INDEX('Ontology and concepts per UC'!$G$2:$I$46,MATCH($A38,'Ontology and concepts per UC'!$F$2:$F$46,0),MATCH(LEFT(C$1,3),'Ontology and concepts per UC'!$G$1:$I$1,0))+1,"NA",IF(COUNTIFS(Validation!$A:$A,C$1,Validation!$S:$S,$A38)&gt;0,"Yes","No"),IF(COUNTIFS(Validation!$A:$A,C$1,Validation!$S:$S,$A38)&gt;0,"Yes","NA"))</f>
        <v>No</v>
      </c>
      <c r="D38" s="1" t="str">
        <f t="array" ref="D38">CHOOSE(INDEX('Ontology and concepts per UC'!$G$2:$I$46,MATCH($A38,'Ontology and concepts per UC'!$F$2:$F$46,0),MATCH(LEFT(D$1,3),'Ontology and concepts per UC'!$G$1:$I$1,0))+1,"NA",IF(COUNTIFS(Validation!$A:$A,D$1,Validation!$S:$S,$A38)&gt;0,"Yes","No"),IF(COUNTIFS(Validation!$A:$A,D$1,Validation!$S:$S,$A38)&gt;0,"Yes","NA"))</f>
        <v>No</v>
      </c>
      <c r="E38" s="1" t="str">
        <f t="array" ref="E38">CHOOSE(INDEX('Ontology and concepts per UC'!$G$2:$I$46,MATCH($A38,'Ontology and concepts per UC'!$F$2:$F$46,0),MATCH(LEFT(E$1,3),'Ontology and concepts per UC'!$G$1:$I$1,0))+1,"NA",IF(COUNTIFS(Validation!$A:$A,E$1,Validation!$S:$S,$A38)&gt;0,"Yes","No"),IF(COUNTIFS(Validation!$A:$A,E$1,Validation!$S:$S,$A38)&gt;0,"Yes","NA"))</f>
        <v>No</v>
      </c>
      <c r="F38" s="1" t="str">
        <f t="array" ref="F38">CHOOSE(INDEX('Ontology and concepts per UC'!$G$2:$I$46,MATCH($A38,'Ontology and concepts per UC'!$F$2:$F$46,0),MATCH(LEFT(F$1,3),'Ontology and concepts per UC'!$G$1:$I$1,0))+1,"NA",IF(COUNTIFS(Validation!$A:$A,F$1,Validation!$S:$S,$A38)&gt;0,"Yes","No"),IF(COUNTIFS(Validation!$A:$A,F$1,Validation!$S:$S,$A38)&gt;0,"Yes","NA"))</f>
        <v>Yes</v>
      </c>
      <c r="G38" s="1" t="str">
        <f t="array" ref="G38">CHOOSE(INDEX('Ontology and concepts per UC'!$G$2:$I$46,MATCH($A38,'Ontology and concepts per UC'!$F$2:$F$46,0),MATCH(LEFT(G$1,3),'Ontology and concepts per UC'!$G$1:$I$1,0))+1,"NA",IF(COUNTIFS(Validation!$A:$A,G$1,Validation!$S:$S,$A38)&gt;0,"Yes","No"),IF(COUNTIFS(Validation!$A:$A,G$1,Validation!$S:$S,$A38)&gt;0,"Yes","NA"))</f>
        <v>Yes</v>
      </c>
      <c r="H38" s="1" t="str">
        <f t="array" ref="H38">CHOOSE(INDEX('Ontology and concepts per UC'!$G$2:$I$46,MATCH($A38,'Ontology and concepts per UC'!$F$2:$F$46,0),MATCH(LEFT(H$1,3),'Ontology and concepts per UC'!$G$1:$I$1,0))+1,"NA",IF(COUNTIFS(Validation!$A:$A,H$1,Validation!$S:$S,$A38)&gt;0,"Yes","No"),IF(COUNTIFS(Validation!$A:$A,H$1,Validation!$S:$S,$A38)&gt;0,"Yes","NA"))</f>
        <v>Yes</v>
      </c>
      <c r="I38" s="1" t="str">
        <f t="array" ref="I38">CHOOSE(INDEX('Ontology and concepts per UC'!$G$2:$I$46,MATCH($A38,'Ontology and concepts per UC'!$F$2:$F$46,0),MATCH(LEFT(I$1,3),'Ontology and concepts per UC'!$G$1:$I$1,0))+1,"NA",IF(COUNTIFS(Validation!$A:$A,I$1,Validation!$S:$S,$A38)&gt;0,"Yes","No"),IF(COUNTIFS(Validation!$A:$A,I$1,Validation!$S:$S,$A38)&gt;0,"Yes","NA"))</f>
        <v>Yes</v>
      </c>
      <c r="J38" s="1" t="str">
        <f t="array" ref="J38">CHOOSE(INDEX('Ontology and concepts per UC'!$G$2:$I$46,MATCH($A38,'Ontology and concepts per UC'!$F$2:$F$46,0),MATCH(LEFT(J$1,3),'Ontology and concepts per UC'!$G$1:$I$1,0))+1,"NA",IF(COUNTIFS(Validation!$A:$A,J$1,Validation!$S:$S,$A38)&gt;0,"Yes","No"),IF(COUNTIFS(Validation!$A:$A,J$1,Validation!$S:$S,$A38)&gt;0,"Yes","NA"))</f>
        <v>Yes</v>
      </c>
      <c r="K38" s="1" t="str">
        <f t="array" ref="K38">CHOOSE(INDEX('Ontology and concepts per UC'!$G$2:$I$46,MATCH($A38,'Ontology and concepts per UC'!$F$2:$F$46,0),MATCH(LEFT(K$1,3),'Ontology and concepts per UC'!$G$1:$I$1,0))+1,"NA",IF(COUNTIFS(Validation!$A:$A,K$1,Validation!$S:$S,$A38)&gt;0,"Yes","No"),IF(COUNTIFS(Validation!$A:$A,K$1,Validation!$S:$S,$A38)&gt;0,"Yes","NA"))</f>
        <v>Yes</v>
      </c>
      <c r="L38" s="1" t="str">
        <f t="array" ref="L38">CHOOSE(INDEX('Ontology and concepts per UC'!$G$2:$I$46,MATCH($A38,'Ontology and concepts per UC'!$F$2:$F$46,0),MATCH(LEFT(L$1,3),'Ontology and concepts per UC'!$G$1:$I$1,0))+1,"NA",IF(COUNTIFS(Validation!$A:$A,L$1,Validation!$S:$S,$A38)&gt;0,"Yes","No"),IF(COUNTIFS(Validation!$A:$A,L$1,Validation!$S:$S,$A38)&gt;0,"Yes","NA"))</f>
        <v>No</v>
      </c>
      <c r="M38" s="1" t="str">
        <f t="array" ref="M38">CHOOSE(INDEX('Ontology and concepts per UC'!$G$2:$I$46,MATCH($A38,'Ontology and concepts per UC'!$F$2:$F$46,0),MATCH(LEFT(M$1,3),'Ontology and concepts per UC'!$G$1:$I$1,0))+1,"NA",IF(COUNTIFS(Validation!$A:$A,M$1,Validation!$S:$S,$A38)&gt;0,"Yes","No"),IF(COUNTIFS(Validation!$A:$A,M$1,Validation!$S:$S,$A38)&gt;0,"Yes","NA"))</f>
        <v>Yes</v>
      </c>
      <c r="N38" s="1" t="str">
        <f t="array" ref="N38">CHOOSE(INDEX('Ontology and concepts per UC'!$G$2:$I$46,MATCH($A38,'Ontology and concepts per UC'!$F$2:$F$46,0),MATCH(LEFT(N$1,3),'Ontology and concepts per UC'!$G$1:$I$1,0))+1,"NA",IF(COUNTIFS(Validation!$A:$A,N$1,Validation!$S:$S,$A38)&gt;0,"Yes","No"),IF(COUNTIFS(Validation!$A:$A,N$1,Validation!$S:$S,$A38)&gt;0,"Yes","NA"))</f>
        <v>No</v>
      </c>
      <c r="O38" s="1" t="str">
        <f t="array" ref="O38">CHOOSE(INDEX('Ontology and concepts per UC'!$G$2:$I$46,MATCH($A38,'Ontology and concepts per UC'!$F$2:$F$46,0),MATCH(LEFT(O$1,3),'Ontology and concepts per UC'!$G$1:$I$1,0))+1,"NA",IF(COUNTIFS(Validation!$A:$A,O$1,Validation!$S:$S,$A38)&gt;0,"Yes","No"),IF(COUNTIFS(Validation!$A:$A,O$1,Validation!$S:$S,$A38)&gt;0,"Yes","NA"))</f>
        <v>Yes</v>
      </c>
      <c r="P38" s="1" t="str">
        <f t="array" ref="P38">CHOOSE(INDEX('Ontology and concepts per UC'!$G$2:$I$46,MATCH($A38,'Ontology and concepts per UC'!$F$2:$F$46,0),MATCH(LEFT(P$1,3),'Ontology and concepts per UC'!$G$1:$I$1,0))+1,"NA",IF(COUNTIFS(Validation!$A:$A,P$1,Validation!$S:$S,$A38)&gt;0,"Yes","No"),IF(COUNTIFS(Validation!$A:$A,P$1,Validation!$S:$S,$A38)&gt;0,"Yes","NA"))</f>
        <v>Yes</v>
      </c>
      <c r="Q38" s="1" t="str">
        <f t="array" ref="Q38">CHOOSE(INDEX('Ontology and concepts per UC'!$G$2:$I$46,MATCH($A38,'Ontology and concepts per UC'!$F$2:$F$46,0),MATCH(LEFT(Q$1,3),'Ontology and concepts per UC'!$G$1:$I$1,0))+1,"NA",IF(COUNTIFS(Validation!$A:$A,Q$1,Validation!$S:$S,$A38)&gt;0,"Yes","No"),IF(COUNTIFS(Validation!$A:$A,Q$1,Validation!$S:$S,$A38)&gt;0,"Yes","NA"))</f>
        <v>No</v>
      </c>
      <c r="R38" s="1" t="str">
        <f t="array" ref="R38">CHOOSE(INDEX('Ontology and concepts per UC'!$G$2:$I$46,MATCH($A38,'Ontology and concepts per UC'!$F$2:$F$46,0),MATCH(LEFT(R$1,3),'Ontology and concepts per UC'!$G$1:$I$1,0))+1,"NA",IF(COUNTIFS(Validation!$A:$A,R$1,Validation!$S:$S,$A38)&gt;0,"Yes","No"),IF(COUNTIFS(Validation!$A:$A,R$1,Validation!$S:$S,$A38)&gt;0,"Yes","NA"))</f>
        <v>Yes</v>
      </c>
      <c r="S38" s="1" t="str">
        <f t="array" ref="S38">CHOOSE(INDEX('Ontology and concepts per UC'!$G$2:$I$46,MATCH($A38,'Ontology and concepts per UC'!$F$2:$F$46,0),MATCH(LEFT(S$1,3),'Ontology and concepts per UC'!$G$1:$I$1,0))+1,"NA",IF(COUNTIFS(Validation!$A:$A,S$1,Validation!$S:$S,$A38)&gt;0,"Yes","No"),IF(COUNTIFS(Validation!$A:$A,S$1,Validation!$S:$S,$A38)&gt;0,"Yes","NA"))</f>
        <v>No</v>
      </c>
      <c r="T38" s="1" t="str">
        <f t="array" ref="T38">CHOOSE(INDEX('Ontology and concepts per UC'!$G$2:$I$46,MATCH($A38,'Ontology and concepts per UC'!$F$2:$F$46,0),MATCH(LEFT(T$1,3),'Ontology and concepts per UC'!$G$1:$I$1,0))+1,"NA",IF(COUNTIFS(Validation!$A:$A,T$1,Validation!$S:$S,$A38)&gt;0,"Yes","No"),IF(COUNTIFS(Validation!$A:$A,T$1,Validation!$S:$S,$A38)&gt;0,"Yes","NA"))</f>
        <v>No</v>
      </c>
      <c r="U38" s="1" t="str">
        <f t="array" ref="U38">CHOOSE(INDEX('Ontology and concepts per UC'!$G$2:$I$46,MATCH($A38,'Ontology and concepts per UC'!$F$2:$F$46,0),MATCH(LEFT(U$1,3),'Ontology and concepts per UC'!$G$1:$I$1,0))+1,"NA",IF(COUNTIFS(Validation!$A:$A,U$1,Validation!$S:$S,$A38)&gt;0,"Yes","No"),IF(COUNTIFS(Validation!$A:$A,U$1,Validation!$S:$S,$A38)&gt;0,"Yes","NA"))</f>
        <v>No</v>
      </c>
      <c r="V38" s="1" t="str">
        <f t="array" ref="V38">CHOOSE(INDEX('Ontology and concepts per UC'!$G$2:$I$46,MATCH($A38,'Ontology and concepts per UC'!$F$2:$F$46,0),MATCH(LEFT(V$1,3),'Ontology and concepts per UC'!$G$1:$I$1,0))+1,"NA",IF(COUNTIFS(Validation!$A:$A,V$1,Validation!$S:$S,$A38)&gt;0,"Yes","No"),IF(COUNTIFS(Validation!$A:$A,V$1,Validation!$S:$S,$A38)&gt;0,"Yes","NA"))</f>
        <v>No</v>
      </c>
      <c r="W38" s="1" t="str">
        <f t="array" ref="W38">CHOOSE(INDEX('Ontology and concepts per UC'!$G$2:$I$46,MATCH($A38,'Ontology and concepts per UC'!$F$2:$F$46,0),MATCH(LEFT(W$1,3),'Ontology and concepts per UC'!$G$1:$I$1,0))+1,"NA",IF(COUNTIFS(Validation!$A:$A,W$1,Validation!$S:$S,$A38)&gt;0,"Yes","No"),IF(COUNTIFS(Validation!$A:$A,W$1,Validation!$S:$S,$A38)&gt;0,"Yes","NA"))</f>
        <v>No</v>
      </c>
      <c r="X38" s="1" t="str">
        <f t="array" ref="X38">CHOOSE(INDEX('Ontology and concepts per UC'!$G$2:$I$46,MATCH($A38,'Ontology and concepts per UC'!$F$2:$F$46,0),MATCH(LEFT(X$1,3),'Ontology and concepts per UC'!$G$1:$I$1,0))+1,"NA",IF(COUNTIFS(Validation!$A:$A,X$1,Validation!$S:$S,$A38)&gt;0,"Yes","No"),IF(COUNTIFS(Validation!$A:$A,X$1,Validation!$S:$S,$A38)&gt;0,"Yes","NA"))</f>
        <v>No</v>
      </c>
      <c r="Y38" s="1" t="str">
        <f t="array" ref="Y38">CHOOSE(INDEX('Ontology and concepts per UC'!$G$2:$I$46,MATCH($A38,'Ontology and concepts per UC'!$F$2:$F$46,0),MATCH(LEFT(Y$1,3),'Ontology and concepts per UC'!$G$1:$I$1,0))+1,"NA",IF(COUNTIFS(Validation!$A:$A,Y$1,Validation!$S:$S,$A38)&gt;0,"Yes","No"),IF(COUNTIFS(Validation!$A:$A,Y$1,Validation!$S:$S,$A38)&gt;0,"Yes","NA"))</f>
        <v>Yes</v>
      </c>
      <c r="Z38" s="1" t="str">
        <f t="array" ref="Z38">CHOOSE(INDEX('Ontology and concepts per UC'!$G$2:$I$46,MATCH($A38,'Ontology and concepts per UC'!$F$2:$F$46,0),MATCH(LEFT(Z$1,3),'Ontology and concepts per UC'!$G$1:$I$1,0))+1,"NA",IF(COUNTIFS(Validation!$A:$A,Z$1,Validation!$S:$S,$A38)&gt;0,"Yes","No"),IF(COUNTIFS(Validation!$A:$A,Z$1,Validation!$S:$S,$A38)&gt;0,"Yes","NA"))</f>
        <v>No</v>
      </c>
      <c r="AA38" s="1" t="str">
        <f t="array" ref="AA38">CHOOSE(INDEX('Ontology and concepts per UC'!$G$2:$I$46,MATCH($A38,'Ontology and concepts per UC'!$F$2:$F$46,0),MATCH(LEFT(AA$1,3),'Ontology and concepts per UC'!$G$1:$I$1,0))+1,"NA",IF(COUNTIFS(Validation!$A:$A,AA$1,Validation!$S:$S,$A38)&gt;0,"Yes","No"),IF(COUNTIFS(Validation!$A:$A,AA$1,Validation!$S:$S,$A38)&gt;0,"Yes","NA"))</f>
        <v>Yes</v>
      </c>
      <c r="AB38" s="1" t="str">
        <f t="array" ref="AB38">CHOOSE(INDEX('Ontology and concepts per UC'!$G$2:$I$46,MATCH($A38,'Ontology and concepts per UC'!$F$2:$F$46,0),MATCH(LEFT(AB$1,3),'Ontology and concepts per UC'!$G$1:$I$1,0))+1,"NA",IF(COUNTIFS(Validation!$A:$A,AB$1,Validation!$S:$S,$A38)&gt;0,"Yes","No"),IF(COUNTIFS(Validation!$A:$A,AB$1,Validation!$S:$S,$A38)&gt;0,"Yes","NA"))</f>
        <v>Yes</v>
      </c>
      <c r="AC38" s="1" t="str">
        <f t="array" ref="AC38">CHOOSE(INDEX('Ontology and concepts per UC'!$G$2:$I$46,MATCH($A38,'Ontology and concepts per UC'!$F$2:$F$46,0),MATCH(LEFT(AC$1,3),'Ontology and concepts per UC'!$G$1:$I$1,0))+1,"NA",IF(COUNTIFS(Validation!$A:$A,AC$1,Validation!$S:$S,$A38)&gt;0,"Yes","No"),IF(COUNTIFS(Validation!$A:$A,AC$1,Validation!$S:$S,$A38)&gt;0,"Yes","NA"))</f>
        <v>Yes</v>
      </c>
      <c r="AD38" s="1" t="str">
        <f t="array" ref="AD38">CHOOSE(INDEX('Ontology and concepts per UC'!$G$2:$I$46,MATCH($A38,'Ontology and concepts per UC'!$F$2:$F$46,0),MATCH(LEFT(AD$1,3),'Ontology and concepts per UC'!$G$1:$I$1,0))+1,"NA",IF(COUNTIFS(Validation!$A:$A,AD$1,Validation!$S:$S,$A38)&gt;0,"Yes","No"),IF(COUNTIFS(Validation!$A:$A,AD$1,Validation!$S:$S,$A38)&gt;0,"Yes","NA"))</f>
        <v>Yes</v>
      </c>
      <c r="AE38" s="1" t="str">
        <f t="array" ref="AE38">CHOOSE(INDEX('Ontology and concepts per UC'!$G$2:$I$46,MATCH($A38,'Ontology and concepts per UC'!$F$2:$F$46,0),MATCH(LEFT(AE$1,3),'Ontology and concepts per UC'!$G$1:$I$1,0))+1,"NA",IF(COUNTIFS(Validation!$A:$A,AE$1,Validation!$S:$S,$A38)&gt;0,"Yes","No"),IF(COUNTIFS(Validation!$A:$A,AE$1,Validation!$S:$S,$A38)&gt;0,"Yes","NA"))</f>
        <v>No</v>
      </c>
    </row>
    <row r="39" spans="1:31" x14ac:dyDescent="0.25">
      <c r="A39" s="1" t="s">
        <v>67</v>
      </c>
      <c r="B39" s="1" t="str">
        <f t="array" ref="B39">CHOOSE(INDEX('Ontology and concepts per UC'!$G$2:$I$46,MATCH($A39,'Ontology and concepts per UC'!$F$2:$F$46,0),MATCH(LEFT(B$1,3),'Ontology and concepts per UC'!$G$1:$I$1,0))+1,"NA",IF(COUNTIFS(Validation!$A:$A,B$1,Validation!$S:$S,$A39)&gt;0,"Yes","No"),IF(COUNTIFS(Validation!$A:$A,B$1,Validation!$S:$S,$A39)&gt;0,"Yes","NA"))</f>
        <v>Yes</v>
      </c>
      <c r="C39" s="1" t="str">
        <f t="array" ref="C39">CHOOSE(INDEX('Ontology and concepts per UC'!$G$2:$I$46,MATCH($A39,'Ontology and concepts per UC'!$F$2:$F$46,0),MATCH(LEFT(C$1,3),'Ontology and concepts per UC'!$G$1:$I$1,0))+1,"NA",IF(COUNTIFS(Validation!$A:$A,C$1,Validation!$S:$S,$A39)&gt;0,"Yes","No"),IF(COUNTIFS(Validation!$A:$A,C$1,Validation!$S:$S,$A39)&gt;0,"Yes","NA"))</f>
        <v>No</v>
      </c>
      <c r="D39" s="1" t="str">
        <f t="array" ref="D39">CHOOSE(INDEX('Ontology and concepts per UC'!$G$2:$I$46,MATCH($A39,'Ontology and concepts per UC'!$F$2:$F$46,0),MATCH(LEFT(D$1,3),'Ontology and concepts per UC'!$G$1:$I$1,0))+1,"NA",IF(COUNTIFS(Validation!$A:$A,D$1,Validation!$S:$S,$A39)&gt;0,"Yes","No"),IF(COUNTIFS(Validation!$A:$A,D$1,Validation!$S:$S,$A39)&gt;0,"Yes","NA"))</f>
        <v>Yes</v>
      </c>
      <c r="E39" s="1" t="str">
        <f t="array" ref="E39">CHOOSE(INDEX('Ontology and concepts per UC'!$G$2:$I$46,MATCH($A39,'Ontology and concepts per UC'!$F$2:$F$46,0),MATCH(LEFT(E$1,3),'Ontology and concepts per UC'!$G$1:$I$1,0))+1,"NA",IF(COUNTIFS(Validation!$A:$A,E$1,Validation!$S:$S,$A39)&gt;0,"Yes","No"),IF(COUNTIFS(Validation!$A:$A,E$1,Validation!$S:$S,$A39)&gt;0,"Yes","NA"))</f>
        <v>Yes</v>
      </c>
      <c r="F39" s="1" t="str">
        <f t="array" ref="F39">CHOOSE(INDEX('Ontology and concepts per UC'!$G$2:$I$46,MATCH($A39,'Ontology and concepts per UC'!$F$2:$F$46,0),MATCH(LEFT(F$1,3),'Ontology and concepts per UC'!$G$1:$I$1,0))+1,"NA",IF(COUNTIFS(Validation!$A:$A,F$1,Validation!$S:$S,$A39)&gt;0,"Yes","No"),IF(COUNTIFS(Validation!$A:$A,F$1,Validation!$S:$S,$A39)&gt;0,"Yes","NA"))</f>
        <v>Yes</v>
      </c>
      <c r="G39" s="1" t="str">
        <f t="array" ref="G39">CHOOSE(INDEX('Ontology and concepts per UC'!$G$2:$I$46,MATCH($A39,'Ontology and concepts per UC'!$F$2:$F$46,0),MATCH(LEFT(G$1,3),'Ontology and concepts per UC'!$G$1:$I$1,0))+1,"NA",IF(COUNTIFS(Validation!$A:$A,G$1,Validation!$S:$S,$A39)&gt;0,"Yes","No"),IF(COUNTIFS(Validation!$A:$A,G$1,Validation!$S:$S,$A39)&gt;0,"Yes","NA"))</f>
        <v>No</v>
      </c>
      <c r="H39" s="1" t="str">
        <f t="array" ref="H39">CHOOSE(INDEX('Ontology and concepts per UC'!$G$2:$I$46,MATCH($A39,'Ontology and concepts per UC'!$F$2:$F$46,0),MATCH(LEFT(H$1,3),'Ontology and concepts per UC'!$G$1:$I$1,0))+1,"NA",IF(COUNTIFS(Validation!$A:$A,H$1,Validation!$S:$S,$A39)&gt;0,"Yes","No"),IF(COUNTIFS(Validation!$A:$A,H$1,Validation!$S:$S,$A39)&gt;0,"Yes","NA"))</f>
        <v>Yes</v>
      </c>
      <c r="I39" s="1" t="str">
        <f t="array" ref="I39">CHOOSE(INDEX('Ontology and concepts per UC'!$G$2:$I$46,MATCH($A39,'Ontology and concepts per UC'!$F$2:$F$46,0),MATCH(LEFT(I$1,3),'Ontology and concepts per UC'!$G$1:$I$1,0))+1,"NA",IF(COUNTIFS(Validation!$A:$A,I$1,Validation!$S:$S,$A39)&gt;0,"Yes","No"),IF(COUNTIFS(Validation!$A:$A,I$1,Validation!$S:$S,$A39)&gt;0,"Yes","NA"))</f>
        <v>Yes</v>
      </c>
      <c r="J39" s="1" t="str">
        <f t="array" ref="J39">CHOOSE(INDEX('Ontology and concepts per UC'!$G$2:$I$46,MATCH($A39,'Ontology and concepts per UC'!$F$2:$F$46,0),MATCH(LEFT(J$1,3),'Ontology and concepts per UC'!$G$1:$I$1,0))+1,"NA",IF(COUNTIFS(Validation!$A:$A,J$1,Validation!$S:$S,$A39)&gt;0,"Yes","No"),IF(COUNTIFS(Validation!$A:$A,J$1,Validation!$S:$S,$A39)&gt;0,"Yes","NA"))</f>
        <v>Yes</v>
      </c>
      <c r="K39" s="1" t="str">
        <f t="array" ref="K39">CHOOSE(INDEX('Ontology and concepts per UC'!$G$2:$I$46,MATCH($A39,'Ontology and concepts per UC'!$F$2:$F$46,0),MATCH(LEFT(K$1,3),'Ontology and concepts per UC'!$G$1:$I$1,0))+1,"NA",IF(COUNTIFS(Validation!$A:$A,K$1,Validation!$S:$S,$A39)&gt;0,"Yes","No"),IF(COUNTIFS(Validation!$A:$A,K$1,Validation!$S:$S,$A39)&gt;0,"Yes","NA"))</f>
        <v>Yes</v>
      </c>
      <c r="L39" s="1" t="str">
        <f t="array" ref="L39">CHOOSE(INDEX('Ontology and concepts per UC'!$G$2:$I$46,MATCH($A39,'Ontology and concepts per UC'!$F$2:$F$46,0),MATCH(LEFT(L$1,3),'Ontology and concepts per UC'!$G$1:$I$1,0))+1,"NA",IF(COUNTIFS(Validation!$A:$A,L$1,Validation!$S:$S,$A39)&gt;0,"Yes","No"),IF(COUNTIFS(Validation!$A:$A,L$1,Validation!$S:$S,$A39)&gt;0,"Yes","NA"))</f>
        <v>No</v>
      </c>
      <c r="M39" s="1" t="str">
        <f t="array" ref="M39">CHOOSE(INDEX('Ontology and concepts per UC'!$G$2:$I$46,MATCH($A39,'Ontology and concepts per UC'!$F$2:$F$46,0),MATCH(LEFT(M$1,3),'Ontology and concepts per UC'!$G$1:$I$1,0))+1,"NA",IF(COUNTIFS(Validation!$A:$A,M$1,Validation!$S:$S,$A39)&gt;0,"Yes","No"),IF(COUNTIFS(Validation!$A:$A,M$1,Validation!$S:$S,$A39)&gt;0,"Yes","NA"))</f>
        <v>Yes</v>
      </c>
      <c r="N39" s="1" t="str">
        <f t="array" ref="N39">CHOOSE(INDEX('Ontology and concepts per UC'!$G$2:$I$46,MATCH($A39,'Ontology and concepts per UC'!$F$2:$F$46,0),MATCH(LEFT(N$1,3),'Ontology and concepts per UC'!$G$1:$I$1,0))+1,"NA",IF(COUNTIFS(Validation!$A:$A,N$1,Validation!$S:$S,$A39)&gt;0,"Yes","No"),IF(COUNTIFS(Validation!$A:$A,N$1,Validation!$S:$S,$A39)&gt;0,"Yes","NA"))</f>
        <v>Yes</v>
      </c>
      <c r="O39" s="1" t="str">
        <f t="array" ref="O39">CHOOSE(INDEX('Ontology and concepts per UC'!$G$2:$I$46,MATCH($A39,'Ontology and concepts per UC'!$F$2:$F$46,0),MATCH(LEFT(O$1,3),'Ontology and concepts per UC'!$G$1:$I$1,0))+1,"NA",IF(COUNTIFS(Validation!$A:$A,O$1,Validation!$S:$S,$A39)&gt;0,"Yes","No"),IF(COUNTIFS(Validation!$A:$A,O$1,Validation!$S:$S,$A39)&gt;0,"Yes","NA"))</f>
        <v>Yes</v>
      </c>
      <c r="P39" s="1" t="str">
        <f t="array" ref="P39">CHOOSE(INDEX('Ontology and concepts per UC'!$G$2:$I$46,MATCH($A39,'Ontology and concepts per UC'!$F$2:$F$46,0),MATCH(LEFT(P$1,3),'Ontology and concepts per UC'!$G$1:$I$1,0))+1,"NA",IF(COUNTIFS(Validation!$A:$A,P$1,Validation!$S:$S,$A39)&gt;0,"Yes","No"),IF(COUNTIFS(Validation!$A:$A,P$1,Validation!$S:$S,$A39)&gt;0,"Yes","NA"))</f>
        <v>Yes</v>
      </c>
      <c r="Q39" s="1" t="str">
        <f t="array" ref="Q39">CHOOSE(INDEX('Ontology and concepts per UC'!$G$2:$I$46,MATCH($A39,'Ontology and concepts per UC'!$F$2:$F$46,0),MATCH(LEFT(Q$1,3),'Ontology and concepts per UC'!$G$1:$I$1,0))+1,"NA",IF(COUNTIFS(Validation!$A:$A,Q$1,Validation!$S:$S,$A39)&gt;0,"Yes","No"),IF(COUNTIFS(Validation!$A:$A,Q$1,Validation!$S:$S,$A39)&gt;0,"Yes","NA"))</f>
        <v>No</v>
      </c>
      <c r="R39" s="1" t="str">
        <f t="array" ref="R39">CHOOSE(INDEX('Ontology and concepts per UC'!$G$2:$I$46,MATCH($A39,'Ontology and concepts per UC'!$F$2:$F$46,0),MATCH(LEFT(R$1,3),'Ontology and concepts per UC'!$G$1:$I$1,0))+1,"NA",IF(COUNTIFS(Validation!$A:$A,R$1,Validation!$S:$S,$A39)&gt;0,"Yes","No"),IF(COUNTIFS(Validation!$A:$A,R$1,Validation!$S:$S,$A39)&gt;0,"Yes","NA"))</f>
        <v>Yes</v>
      </c>
      <c r="S39" s="1" t="str">
        <f t="array" ref="S39">CHOOSE(INDEX('Ontology and concepts per UC'!$G$2:$I$46,MATCH($A39,'Ontology and concepts per UC'!$F$2:$F$46,0),MATCH(LEFT(S$1,3),'Ontology and concepts per UC'!$G$1:$I$1,0))+1,"NA",IF(COUNTIFS(Validation!$A:$A,S$1,Validation!$S:$S,$A39)&gt;0,"Yes","No"),IF(COUNTIFS(Validation!$A:$A,S$1,Validation!$S:$S,$A39)&gt;0,"Yes","NA"))</f>
        <v>No</v>
      </c>
      <c r="T39" s="1" t="str">
        <f t="array" ref="T39">CHOOSE(INDEX('Ontology and concepts per UC'!$G$2:$I$46,MATCH($A39,'Ontology and concepts per UC'!$F$2:$F$46,0),MATCH(LEFT(T$1,3),'Ontology and concepts per UC'!$G$1:$I$1,0))+1,"NA",IF(COUNTIFS(Validation!$A:$A,T$1,Validation!$S:$S,$A39)&gt;0,"Yes","No"),IF(COUNTIFS(Validation!$A:$A,T$1,Validation!$S:$S,$A39)&gt;0,"Yes","NA"))</f>
        <v>Yes</v>
      </c>
      <c r="U39" s="1" t="str">
        <f t="array" ref="U39">CHOOSE(INDEX('Ontology and concepts per UC'!$G$2:$I$46,MATCH($A39,'Ontology and concepts per UC'!$F$2:$F$46,0),MATCH(LEFT(U$1,3),'Ontology and concepts per UC'!$G$1:$I$1,0))+1,"NA",IF(COUNTIFS(Validation!$A:$A,U$1,Validation!$S:$S,$A39)&gt;0,"Yes","No"),IF(COUNTIFS(Validation!$A:$A,U$1,Validation!$S:$S,$A39)&gt;0,"Yes","NA"))</f>
        <v>No</v>
      </c>
      <c r="V39" s="1" t="str">
        <f t="array" ref="V39">CHOOSE(INDEX('Ontology and concepts per UC'!$G$2:$I$46,MATCH($A39,'Ontology and concepts per UC'!$F$2:$F$46,0),MATCH(LEFT(V$1,3),'Ontology and concepts per UC'!$G$1:$I$1,0))+1,"NA",IF(COUNTIFS(Validation!$A:$A,V$1,Validation!$S:$S,$A39)&gt;0,"Yes","No"),IF(COUNTIFS(Validation!$A:$A,V$1,Validation!$S:$S,$A39)&gt;0,"Yes","NA"))</f>
        <v>Yes</v>
      </c>
      <c r="W39" s="1" t="str">
        <f t="array" ref="W39">CHOOSE(INDEX('Ontology and concepts per UC'!$G$2:$I$46,MATCH($A39,'Ontology and concepts per UC'!$F$2:$F$46,0),MATCH(LEFT(W$1,3),'Ontology and concepts per UC'!$G$1:$I$1,0))+1,"NA",IF(COUNTIFS(Validation!$A:$A,W$1,Validation!$S:$S,$A39)&gt;0,"Yes","No"),IF(COUNTIFS(Validation!$A:$A,W$1,Validation!$S:$S,$A39)&gt;0,"Yes","NA"))</f>
        <v>No</v>
      </c>
      <c r="X39" s="1" t="str">
        <f t="array" ref="X39">CHOOSE(INDEX('Ontology and concepts per UC'!$G$2:$I$46,MATCH($A39,'Ontology and concepts per UC'!$F$2:$F$46,0),MATCH(LEFT(X$1,3),'Ontology and concepts per UC'!$G$1:$I$1,0))+1,"NA",IF(COUNTIFS(Validation!$A:$A,X$1,Validation!$S:$S,$A39)&gt;0,"Yes","No"),IF(COUNTIFS(Validation!$A:$A,X$1,Validation!$S:$S,$A39)&gt;0,"Yes","NA"))</f>
        <v>Yes</v>
      </c>
      <c r="Y39" s="1" t="str">
        <f t="array" ref="Y39">CHOOSE(INDEX('Ontology and concepts per UC'!$G$2:$I$46,MATCH($A39,'Ontology and concepts per UC'!$F$2:$F$46,0),MATCH(LEFT(Y$1,3),'Ontology and concepts per UC'!$G$1:$I$1,0))+1,"NA",IF(COUNTIFS(Validation!$A:$A,Y$1,Validation!$S:$S,$A39)&gt;0,"Yes","No"),IF(COUNTIFS(Validation!$A:$A,Y$1,Validation!$S:$S,$A39)&gt;0,"Yes","NA"))</f>
        <v>Yes</v>
      </c>
      <c r="Z39" s="1" t="str">
        <f t="array" ref="Z39">CHOOSE(INDEX('Ontology and concepts per UC'!$G$2:$I$46,MATCH($A39,'Ontology and concepts per UC'!$F$2:$F$46,0),MATCH(LEFT(Z$1,3),'Ontology and concepts per UC'!$G$1:$I$1,0))+1,"NA",IF(COUNTIFS(Validation!$A:$A,Z$1,Validation!$S:$S,$A39)&gt;0,"Yes","No"),IF(COUNTIFS(Validation!$A:$A,Z$1,Validation!$S:$S,$A39)&gt;0,"Yes","NA"))</f>
        <v>Yes</v>
      </c>
      <c r="AA39" s="1" t="str">
        <f t="array" ref="AA39">CHOOSE(INDEX('Ontology and concepts per UC'!$G$2:$I$46,MATCH($A39,'Ontology and concepts per UC'!$F$2:$F$46,0),MATCH(LEFT(AA$1,3),'Ontology and concepts per UC'!$G$1:$I$1,0))+1,"NA",IF(COUNTIFS(Validation!$A:$A,AA$1,Validation!$S:$S,$A39)&gt;0,"Yes","No"),IF(COUNTIFS(Validation!$A:$A,AA$1,Validation!$S:$S,$A39)&gt;0,"Yes","NA"))</f>
        <v>Yes</v>
      </c>
      <c r="AB39" s="1" t="str">
        <f t="array" ref="AB39">CHOOSE(INDEX('Ontology and concepts per UC'!$G$2:$I$46,MATCH($A39,'Ontology and concepts per UC'!$F$2:$F$46,0),MATCH(LEFT(AB$1,3),'Ontology and concepts per UC'!$G$1:$I$1,0))+1,"NA",IF(COUNTIFS(Validation!$A:$A,AB$1,Validation!$S:$S,$A39)&gt;0,"Yes","No"),IF(COUNTIFS(Validation!$A:$A,AB$1,Validation!$S:$S,$A39)&gt;0,"Yes","NA"))</f>
        <v>Yes</v>
      </c>
      <c r="AC39" s="1" t="str">
        <f t="array" ref="AC39">CHOOSE(INDEX('Ontology and concepts per UC'!$G$2:$I$46,MATCH($A39,'Ontology and concepts per UC'!$F$2:$F$46,0),MATCH(LEFT(AC$1,3),'Ontology and concepts per UC'!$G$1:$I$1,0))+1,"NA",IF(COUNTIFS(Validation!$A:$A,AC$1,Validation!$S:$S,$A39)&gt;0,"Yes","No"),IF(COUNTIFS(Validation!$A:$A,AC$1,Validation!$S:$S,$A39)&gt;0,"Yes","NA"))</f>
        <v>Yes</v>
      </c>
      <c r="AD39" s="1" t="str">
        <f t="array" ref="AD39">CHOOSE(INDEX('Ontology and concepts per UC'!$G$2:$I$46,MATCH($A39,'Ontology and concepts per UC'!$F$2:$F$46,0),MATCH(LEFT(AD$1,3),'Ontology and concepts per UC'!$G$1:$I$1,0))+1,"NA",IF(COUNTIFS(Validation!$A:$A,AD$1,Validation!$S:$S,$A39)&gt;0,"Yes","No"),IF(COUNTIFS(Validation!$A:$A,AD$1,Validation!$S:$S,$A39)&gt;0,"Yes","NA"))</f>
        <v>Yes</v>
      </c>
      <c r="AE39" s="1" t="str">
        <f t="array" ref="AE39">CHOOSE(INDEX('Ontology and concepts per UC'!$G$2:$I$46,MATCH($A39,'Ontology and concepts per UC'!$F$2:$F$46,0),MATCH(LEFT(AE$1,3),'Ontology and concepts per UC'!$G$1:$I$1,0))+1,"NA",IF(COUNTIFS(Validation!$A:$A,AE$1,Validation!$S:$S,$A39)&gt;0,"Yes","No"),IF(COUNTIFS(Validation!$A:$A,AE$1,Validation!$S:$S,$A39)&gt;0,"Yes","NA"))</f>
        <v>Yes</v>
      </c>
    </row>
    <row r="40" spans="1:31" x14ac:dyDescent="0.25">
      <c r="A40" s="1" t="s">
        <v>68</v>
      </c>
      <c r="B40" s="1" t="str">
        <f t="array" ref="B40">CHOOSE(INDEX('Ontology and concepts per UC'!$G$2:$I$46,MATCH($A40,'Ontology and concepts per UC'!$F$2:$F$46,0),MATCH(LEFT(B$1,3),'Ontology and concepts per UC'!$G$1:$I$1,0))+1,"NA",IF(COUNTIFS(Validation!$A:$A,B$1,Validation!$S:$S,$A40)&gt;0,"Yes","No"),IF(COUNTIFS(Validation!$A:$A,B$1,Validation!$S:$S,$A40)&gt;0,"Yes","NA"))</f>
        <v>No</v>
      </c>
      <c r="C40" s="1" t="str">
        <f t="array" ref="C40">CHOOSE(INDEX('Ontology and concepts per UC'!$G$2:$I$46,MATCH($A40,'Ontology and concepts per UC'!$F$2:$F$46,0),MATCH(LEFT(C$1,3),'Ontology and concepts per UC'!$G$1:$I$1,0))+1,"NA",IF(COUNTIFS(Validation!$A:$A,C$1,Validation!$S:$S,$A40)&gt;0,"Yes","No"),IF(COUNTIFS(Validation!$A:$A,C$1,Validation!$S:$S,$A40)&gt;0,"Yes","NA"))</f>
        <v>Yes</v>
      </c>
      <c r="D40" s="1" t="str">
        <f t="array" ref="D40">CHOOSE(INDEX('Ontology and concepts per UC'!$G$2:$I$46,MATCH($A40,'Ontology and concepts per UC'!$F$2:$F$46,0),MATCH(LEFT(D$1,3),'Ontology and concepts per UC'!$G$1:$I$1,0))+1,"NA",IF(COUNTIFS(Validation!$A:$A,D$1,Validation!$S:$S,$A40)&gt;0,"Yes","No"),IF(COUNTIFS(Validation!$A:$A,D$1,Validation!$S:$S,$A40)&gt;0,"Yes","NA"))</f>
        <v>Yes</v>
      </c>
      <c r="E40" s="1" t="str">
        <f t="array" ref="E40">CHOOSE(INDEX('Ontology and concepts per UC'!$G$2:$I$46,MATCH($A40,'Ontology and concepts per UC'!$F$2:$F$46,0),MATCH(LEFT(E$1,3),'Ontology and concepts per UC'!$G$1:$I$1,0))+1,"NA",IF(COUNTIFS(Validation!$A:$A,E$1,Validation!$S:$S,$A40)&gt;0,"Yes","No"),IF(COUNTIFS(Validation!$A:$A,E$1,Validation!$S:$S,$A40)&gt;0,"Yes","NA"))</f>
        <v>No</v>
      </c>
      <c r="F40" s="1" t="str">
        <f t="array" ref="F40">CHOOSE(INDEX('Ontology and concepts per UC'!$G$2:$I$46,MATCH($A40,'Ontology and concepts per UC'!$F$2:$F$46,0),MATCH(LEFT(F$1,3),'Ontology and concepts per UC'!$G$1:$I$1,0))+1,"NA",IF(COUNTIFS(Validation!$A:$A,F$1,Validation!$S:$S,$A40)&gt;0,"Yes","No"),IF(COUNTIFS(Validation!$A:$A,F$1,Validation!$S:$S,$A40)&gt;0,"Yes","NA"))</f>
        <v>Yes</v>
      </c>
      <c r="G40" s="1" t="str">
        <f t="array" ref="G40">CHOOSE(INDEX('Ontology and concepts per UC'!$G$2:$I$46,MATCH($A40,'Ontology and concepts per UC'!$F$2:$F$46,0),MATCH(LEFT(G$1,3),'Ontology and concepts per UC'!$G$1:$I$1,0))+1,"NA",IF(COUNTIFS(Validation!$A:$A,G$1,Validation!$S:$S,$A40)&gt;0,"Yes","No"),IF(COUNTIFS(Validation!$A:$A,G$1,Validation!$S:$S,$A40)&gt;0,"Yes","NA"))</f>
        <v>Yes</v>
      </c>
      <c r="H40" s="1" t="str">
        <f t="array" ref="H40">CHOOSE(INDEX('Ontology and concepts per UC'!$G$2:$I$46,MATCH($A40,'Ontology and concepts per UC'!$F$2:$F$46,0),MATCH(LEFT(H$1,3),'Ontology and concepts per UC'!$G$1:$I$1,0))+1,"NA",IF(COUNTIFS(Validation!$A:$A,H$1,Validation!$S:$S,$A40)&gt;0,"Yes","No"),IF(COUNTIFS(Validation!$A:$A,H$1,Validation!$S:$S,$A40)&gt;0,"Yes","NA"))</f>
        <v>Yes</v>
      </c>
      <c r="I40" s="1" t="str">
        <f t="array" ref="I40">CHOOSE(INDEX('Ontology and concepts per UC'!$G$2:$I$46,MATCH($A40,'Ontology and concepts per UC'!$F$2:$F$46,0),MATCH(LEFT(I$1,3),'Ontology and concepts per UC'!$G$1:$I$1,0))+1,"NA",IF(COUNTIFS(Validation!$A:$A,I$1,Validation!$S:$S,$A40)&gt;0,"Yes","No"),IF(COUNTIFS(Validation!$A:$A,I$1,Validation!$S:$S,$A40)&gt;0,"Yes","NA"))</f>
        <v>Yes</v>
      </c>
      <c r="J40" s="1" t="str">
        <f t="array" ref="J40">CHOOSE(INDEX('Ontology and concepts per UC'!$G$2:$I$46,MATCH($A40,'Ontology and concepts per UC'!$F$2:$F$46,0),MATCH(LEFT(J$1,3),'Ontology and concepts per UC'!$G$1:$I$1,0))+1,"NA",IF(COUNTIFS(Validation!$A:$A,J$1,Validation!$S:$S,$A40)&gt;0,"Yes","No"),IF(COUNTIFS(Validation!$A:$A,J$1,Validation!$S:$S,$A40)&gt;0,"Yes","NA"))</f>
        <v>Yes</v>
      </c>
      <c r="K40" s="1" t="str">
        <f t="array" ref="K40">CHOOSE(INDEX('Ontology and concepts per UC'!$G$2:$I$46,MATCH($A40,'Ontology and concepts per UC'!$F$2:$F$46,0),MATCH(LEFT(K$1,3),'Ontology and concepts per UC'!$G$1:$I$1,0))+1,"NA",IF(COUNTIFS(Validation!$A:$A,K$1,Validation!$S:$S,$A40)&gt;0,"Yes","No"),IF(COUNTIFS(Validation!$A:$A,K$1,Validation!$S:$S,$A40)&gt;0,"Yes","NA"))</f>
        <v>Yes</v>
      </c>
      <c r="L40" s="1" t="str">
        <f t="array" ref="L40">CHOOSE(INDEX('Ontology and concepts per UC'!$G$2:$I$46,MATCH($A40,'Ontology and concepts per UC'!$F$2:$F$46,0),MATCH(LEFT(L$1,3),'Ontology and concepts per UC'!$G$1:$I$1,0))+1,"NA",IF(COUNTIFS(Validation!$A:$A,L$1,Validation!$S:$S,$A40)&gt;0,"Yes","No"),IF(COUNTIFS(Validation!$A:$A,L$1,Validation!$S:$S,$A40)&gt;0,"Yes","NA"))</f>
        <v>No</v>
      </c>
      <c r="M40" s="1" t="str">
        <f t="array" ref="M40">CHOOSE(INDEX('Ontology and concepts per UC'!$G$2:$I$46,MATCH($A40,'Ontology and concepts per UC'!$F$2:$F$46,0),MATCH(LEFT(M$1,3),'Ontology and concepts per UC'!$G$1:$I$1,0))+1,"NA",IF(COUNTIFS(Validation!$A:$A,M$1,Validation!$S:$S,$A40)&gt;0,"Yes","No"),IF(COUNTIFS(Validation!$A:$A,M$1,Validation!$S:$S,$A40)&gt;0,"Yes","NA"))</f>
        <v>Yes</v>
      </c>
      <c r="N40" s="1" t="str">
        <f t="array" ref="N40">CHOOSE(INDEX('Ontology and concepts per UC'!$G$2:$I$46,MATCH($A40,'Ontology and concepts per UC'!$F$2:$F$46,0),MATCH(LEFT(N$1,3),'Ontology and concepts per UC'!$G$1:$I$1,0))+1,"NA",IF(COUNTIFS(Validation!$A:$A,N$1,Validation!$S:$S,$A40)&gt;0,"Yes","No"),IF(COUNTIFS(Validation!$A:$A,N$1,Validation!$S:$S,$A40)&gt;0,"Yes","NA"))</f>
        <v>No</v>
      </c>
      <c r="O40" s="1" t="str">
        <f t="array" ref="O40">CHOOSE(INDEX('Ontology and concepts per UC'!$G$2:$I$46,MATCH($A40,'Ontology and concepts per UC'!$F$2:$F$46,0),MATCH(LEFT(O$1,3),'Ontology and concepts per UC'!$G$1:$I$1,0))+1,"NA",IF(COUNTIFS(Validation!$A:$A,O$1,Validation!$S:$S,$A40)&gt;0,"Yes","No"),IF(COUNTIFS(Validation!$A:$A,O$1,Validation!$S:$S,$A40)&gt;0,"Yes","NA"))</f>
        <v>Yes</v>
      </c>
      <c r="P40" s="1" t="str">
        <f t="array" ref="P40">CHOOSE(INDEX('Ontology and concepts per UC'!$G$2:$I$46,MATCH($A40,'Ontology and concepts per UC'!$F$2:$F$46,0),MATCH(LEFT(P$1,3),'Ontology and concepts per UC'!$G$1:$I$1,0))+1,"NA",IF(COUNTIFS(Validation!$A:$A,P$1,Validation!$S:$S,$A40)&gt;0,"Yes","No"),IF(COUNTIFS(Validation!$A:$A,P$1,Validation!$S:$S,$A40)&gt;0,"Yes","NA"))</f>
        <v>No</v>
      </c>
      <c r="Q40" s="1" t="str">
        <f t="array" ref="Q40">CHOOSE(INDEX('Ontology and concepts per UC'!$G$2:$I$46,MATCH($A40,'Ontology and concepts per UC'!$F$2:$F$46,0),MATCH(LEFT(Q$1,3),'Ontology and concepts per UC'!$G$1:$I$1,0))+1,"NA",IF(COUNTIFS(Validation!$A:$A,Q$1,Validation!$S:$S,$A40)&gt;0,"Yes","No"),IF(COUNTIFS(Validation!$A:$A,Q$1,Validation!$S:$S,$A40)&gt;0,"Yes","NA"))</f>
        <v>No</v>
      </c>
      <c r="R40" s="1" t="str">
        <f t="array" ref="R40">CHOOSE(INDEX('Ontology and concepts per UC'!$G$2:$I$46,MATCH($A40,'Ontology and concepts per UC'!$F$2:$F$46,0),MATCH(LEFT(R$1,3),'Ontology and concepts per UC'!$G$1:$I$1,0))+1,"NA",IF(COUNTIFS(Validation!$A:$A,R$1,Validation!$S:$S,$A40)&gt;0,"Yes","No"),IF(COUNTIFS(Validation!$A:$A,R$1,Validation!$S:$S,$A40)&gt;0,"Yes","NA"))</f>
        <v>Yes</v>
      </c>
      <c r="S40" s="1" t="str">
        <f t="array" ref="S40">CHOOSE(INDEX('Ontology and concepts per UC'!$G$2:$I$46,MATCH($A40,'Ontology and concepts per UC'!$F$2:$F$46,0),MATCH(LEFT(S$1,3),'Ontology and concepts per UC'!$G$1:$I$1,0))+1,"NA",IF(COUNTIFS(Validation!$A:$A,S$1,Validation!$S:$S,$A40)&gt;0,"Yes","No"),IF(COUNTIFS(Validation!$A:$A,S$1,Validation!$S:$S,$A40)&gt;0,"Yes","NA"))</f>
        <v>Yes</v>
      </c>
      <c r="T40" s="1" t="str">
        <f t="array" ref="T40">CHOOSE(INDEX('Ontology and concepts per UC'!$G$2:$I$46,MATCH($A40,'Ontology and concepts per UC'!$F$2:$F$46,0),MATCH(LEFT(T$1,3),'Ontology and concepts per UC'!$G$1:$I$1,0))+1,"NA",IF(COUNTIFS(Validation!$A:$A,T$1,Validation!$S:$S,$A40)&gt;0,"Yes","No"),IF(COUNTIFS(Validation!$A:$A,T$1,Validation!$S:$S,$A40)&gt;0,"Yes","NA"))</f>
        <v>No</v>
      </c>
      <c r="U40" s="1" t="str">
        <f t="array" ref="U40">CHOOSE(INDEX('Ontology and concepts per UC'!$G$2:$I$46,MATCH($A40,'Ontology and concepts per UC'!$F$2:$F$46,0),MATCH(LEFT(U$1,3),'Ontology and concepts per UC'!$G$1:$I$1,0))+1,"NA",IF(COUNTIFS(Validation!$A:$A,U$1,Validation!$S:$S,$A40)&gt;0,"Yes","No"),IF(COUNTIFS(Validation!$A:$A,U$1,Validation!$S:$S,$A40)&gt;0,"Yes","NA"))</f>
        <v>No</v>
      </c>
      <c r="V40" s="1" t="str">
        <f t="array" ref="V40">CHOOSE(INDEX('Ontology and concepts per UC'!$G$2:$I$46,MATCH($A40,'Ontology and concepts per UC'!$F$2:$F$46,0),MATCH(LEFT(V$1,3),'Ontology and concepts per UC'!$G$1:$I$1,0))+1,"NA",IF(COUNTIFS(Validation!$A:$A,V$1,Validation!$S:$S,$A40)&gt;0,"Yes","No"),IF(COUNTIFS(Validation!$A:$A,V$1,Validation!$S:$S,$A40)&gt;0,"Yes","NA"))</f>
        <v>Yes</v>
      </c>
      <c r="W40" s="1" t="str">
        <f t="array" ref="W40">CHOOSE(INDEX('Ontology and concepts per UC'!$G$2:$I$46,MATCH($A40,'Ontology and concepts per UC'!$F$2:$F$46,0),MATCH(LEFT(W$1,3),'Ontology and concepts per UC'!$G$1:$I$1,0))+1,"NA",IF(COUNTIFS(Validation!$A:$A,W$1,Validation!$S:$S,$A40)&gt;0,"Yes","No"),IF(COUNTIFS(Validation!$A:$A,W$1,Validation!$S:$S,$A40)&gt;0,"Yes","NA"))</f>
        <v>No</v>
      </c>
      <c r="X40" s="1" t="str">
        <f t="array" ref="X40">CHOOSE(INDEX('Ontology and concepts per UC'!$G$2:$I$46,MATCH($A40,'Ontology and concepts per UC'!$F$2:$F$46,0),MATCH(LEFT(X$1,3),'Ontology and concepts per UC'!$G$1:$I$1,0))+1,"NA",IF(COUNTIFS(Validation!$A:$A,X$1,Validation!$S:$S,$A40)&gt;0,"Yes","No"),IF(COUNTIFS(Validation!$A:$A,X$1,Validation!$S:$S,$A40)&gt;0,"Yes","NA"))</f>
        <v>No</v>
      </c>
      <c r="Y40" s="1" t="str">
        <f t="array" ref="Y40">CHOOSE(INDEX('Ontology and concepts per UC'!$G$2:$I$46,MATCH($A40,'Ontology and concepts per UC'!$F$2:$F$46,0),MATCH(LEFT(Y$1,3),'Ontology and concepts per UC'!$G$1:$I$1,0))+1,"NA",IF(COUNTIFS(Validation!$A:$A,Y$1,Validation!$S:$S,$A40)&gt;0,"Yes","No"),IF(COUNTIFS(Validation!$A:$A,Y$1,Validation!$S:$S,$A40)&gt;0,"Yes","NA"))</f>
        <v>Yes</v>
      </c>
      <c r="Z40" s="1" t="str">
        <f t="array" ref="Z40">CHOOSE(INDEX('Ontology and concepts per UC'!$G$2:$I$46,MATCH($A40,'Ontology and concepts per UC'!$F$2:$F$46,0),MATCH(LEFT(Z$1,3),'Ontology and concepts per UC'!$G$1:$I$1,0))+1,"NA",IF(COUNTIFS(Validation!$A:$A,Z$1,Validation!$S:$S,$A40)&gt;0,"Yes","No"),IF(COUNTIFS(Validation!$A:$A,Z$1,Validation!$S:$S,$A40)&gt;0,"Yes","NA"))</f>
        <v>No</v>
      </c>
      <c r="AA40" s="1" t="str">
        <f t="array" ref="AA40">CHOOSE(INDEX('Ontology and concepts per UC'!$G$2:$I$46,MATCH($A40,'Ontology and concepts per UC'!$F$2:$F$46,0),MATCH(LEFT(AA$1,3),'Ontology and concepts per UC'!$G$1:$I$1,0))+1,"NA",IF(COUNTIFS(Validation!$A:$A,AA$1,Validation!$S:$S,$A40)&gt;0,"Yes","No"),IF(COUNTIFS(Validation!$A:$A,AA$1,Validation!$S:$S,$A40)&gt;0,"Yes","NA"))</f>
        <v>Yes</v>
      </c>
      <c r="AB40" s="1" t="str">
        <f t="array" ref="AB40">CHOOSE(INDEX('Ontology and concepts per UC'!$G$2:$I$46,MATCH($A40,'Ontology and concepts per UC'!$F$2:$F$46,0),MATCH(LEFT(AB$1,3),'Ontology and concepts per UC'!$G$1:$I$1,0))+1,"NA",IF(COUNTIFS(Validation!$A:$A,AB$1,Validation!$S:$S,$A40)&gt;0,"Yes","No"),IF(COUNTIFS(Validation!$A:$A,AB$1,Validation!$S:$S,$A40)&gt;0,"Yes","NA"))</f>
        <v>Yes</v>
      </c>
      <c r="AC40" s="1" t="str">
        <f t="array" ref="AC40">CHOOSE(INDEX('Ontology and concepts per UC'!$G$2:$I$46,MATCH($A40,'Ontology and concepts per UC'!$F$2:$F$46,0),MATCH(LEFT(AC$1,3),'Ontology and concepts per UC'!$G$1:$I$1,0))+1,"NA",IF(COUNTIFS(Validation!$A:$A,AC$1,Validation!$S:$S,$A40)&gt;0,"Yes","No"),IF(COUNTIFS(Validation!$A:$A,AC$1,Validation!$S:$S,$A40)&gt;0,"Yes","NA"))</f>
        <v>Yes</v>
      </c>
      <c r="AD40" s="1" t="str">
        <f t="array" ref="AD40">CHOOSE(INDEX('Ontology and concepts per UC'!$G$2:$I$46,MATCH($A40,'Ontology and concepts per UC'!$F$2:$F$46,0),MATCH(LEFT(AD$1,3),'Ontology and concepts per UC'!$G$1:$I$1,0))+1,"NA",IF(COUNTIFS(Validation!$A:$A,AD$1,Validation!$S:$S,$A40)&gt;0,"Yes","No"),IF(COUNTIFS(Validation!$A:$A,AD$1,Validation!$S:$S,$A40)&gt;0,"Yes","NA"))</f>
        <v>No</v>
      </c>
      <c r="AE40" s="1" t="str">
        <f t="array" ref="AE40">CHOOSE(INDEX('Ontology and concepts per UC'!$G$2:$I$46,MATCH($A40,'Ontology and concepts per UC'!$F$2:$F$46,0),MATCH(LEFT(AE$1,3),'Ontology and concepts per UC'!$G$1:$I$1,0))+1,"NA",IF(COUNTIFS(Validation!$A:$A,AE$1,Validation!$S:$S,$A40)&gt;0,"Yes","No"),IF(COUNTIFS(Validation!$A:$A,AE$1,Validation!$S:$S,$A40)&gt;0,"Yes","NA"))</f>
        <v>Yes</v>
      </c>
    </row>
    <row r="41" spans="1:31" x14ac:dyDescent="0.25">
      <c r="A41" s="1" t="s">
        <v>69</v>
      </c>
      <c r="B41" s="1" t="str">
        <f t="array" ref="B41">CHOOSE(INDEX('Ontology and concepts per UC'!$G$2:$I$46,MATCH($A41,'Ontology and concepts per UC'!$F$2:$F$46,0),MATCH(LEFT(B$1,3),'Ontology and concepts per UC'!$G$1:$I$1,0))+1,"NA",IF(COUNTIFS(Validation!$A:$A,B$1,Validation!$S:$S,$A41)&gt;0,"Yes","No"),IF(COUNTIFS(Validation!$A:$A,B$1,Validation!$S:$S,$A41)&gt;0,"Yes","NA"))</f>
        <v>Yes</v>
      </c>
      <c r="C41" s="1" t="str">
        <f t="array" ref="C41">CHOOSE(INDEX('Ontology and concepts per UC'!$G$2:$I$46,MATCH($A41,'Ontology and concepts per UC'!$F$2:$F$46,0),MATCH(LEFT(C$1,3),'Ontology and concepts per UC'!$G$1:$I$1,0))+1,"NA",IF(COUNTIFS(Validation!$A:$A,C$1,Validation!$S:$S,$A41)&gt;0,"Yes","No"),IF(COUNTIFS(Validation!$A:$A,C$1,Validation!$S:$S,$A41)&gt;0,"Yes","NA"))</f>
        <v>No</v>
      </c>
      <c r="D41" s="1" t="str">
        <f t="array" ref="D41">CHOOSE(INDEX('Ontology and concepts per UC'!$G$2:$I$46,MATCH($A41,'Ontology and concepts per UC'!$F$2:$F$46,0),MATCH(LEFT(D$1,3),'Ontology and concepts per UC'!$G$1:$I$1,0))+1,"NA",IF(COUNTIFS(Validation!$A:$A,D$1,Validation!$S:$S,$A41)&gt;0,"Yes","No"),IF(COUNTIFS(Validation!$A:$A,D$1,Validation!$S:$S,$A41)&gt;0,"Yes","NA"))</f>
        <v>Yes</v>
      </c>
      <c r="E41" s="1" t="str">
        <f t="array" ref="E41">CHOOSE(INDEX('Ontology and concepts per UC'!$G$2:$I$46,MATCH($A41,'Ontology and concepts per UC'!$F$2:$F$46,0),MATCH(LEFT(E$1,3),'Ontology and concepts per UC'!$G$1:$I$1,0))+1,"NA",IF(COUNTIFS(Validation!$A:$A,E$1,Validation!$S:$S,$A41)&gt;0,"Yes","No"),IF(COUNTIFS(Validation!$A:$A,E$1,Validation!$S:$S,$A41)&gt;0,"Yes","NA"))</f>
        <v>Yes</v>
      </c>
      <c r="F41" s="1" t="str">
        <f t="array" ref="F41">CHOOSE(INDEX('Ontology and concepts per UC'!$G$2:$I$46,MATCH($A41,'Ontology and concepts per UC'!$F$2:$F$46,0),MATCH(LEFT(F$1,3),'Ontology and concepts per UC'!$G$1:$I$1,0))+1,"NA",IF(COUNTIFS(Validation!$A:$A,F$1,Validation!$S:$S,$A41)&gt;0,"Yes","No"),IF(COUNTIFS(Validation!$A:$A,F$1,Validation!$S:$S,$A41)&gt;0,"Yes","NA"))</f>
        <v>Yes</v>
      </c>
      <c r="G41" s="1" t="str">
        <f t="array" ref="G41">CHOOSE(INDEX('Ontology and concepts per UC'!$G$2:$I$46,MATCH($A41,'Ontology and concepts per UC'!$F$2:$F$46,0),MATCH(LEFT(G$1,3),'Ontology and concepts per UC'!$G$1:$I$1,0))+1,"NA",IF(COUNTIFS(Validation!$A:$A,G$1,Validation!$S:$S,$A41)&gt;0,"Yes","No"),IF(COUNTIFS(Validation!$A:$A,G$1,Validation!$S:$S,$A41)&gt;0,"Yes","NA"))</f>
        <v>Yes</v>
      </c>
      <c r="H41" s="1" t="str">
        <f t="array" ref="H41">CHOOSE(INDEX('Ontology and concepts per UC'!$G$2:$I$46,MATCH($A41,'Ontology and concepts per UC'!$F$2:$F$46,0),MATCH(LEFT(H$1,3),'Ontology and concepts per UC'!$G$1:$I$1,0))+1,"NA",IF(COUNTIFS(Validation!$A:$A,H$1,Validation!$S:$S,$A41)&gt;0,"Yes","No"),IF(COUNTIFS(Validation!$A:$A,H$1,Validation!$S:$S,$A41)&gt;0,"Yes","NA"))</f>
        <v>Yes</v>
      </c>
      <c r="I41" s="1" t="str">
        <f t="array" ref="I41">CHOOSE(INDEX('Ontology and concepts per UC'!$G$2:$I$46,MATCH($A41,'Ontology and concepts per UC'!$F$2:$F$46,0),MATCH(LEFT(I$1,3),'Ontology and concepts per UC'!$G$1:$I$1,0))+1,"NA",IF(COUNTIFS(Validation!$A:$A,I$1,Validation!$S:$S,$A41)&gt;0,"Yes","No"),IF(COUNTIFS(Validation!$A:$A,I$1,Validation!$S:$S,$A41)&gt;0,"Yes","NA"))</f>
        <v>Yes</v>
      </c>
      <c r="J41" s="1" t="str">
        <f t="array" ref="J41">CHOOSE(INDEX('Ontology and concepts per UC'!$G$2:$I$46,MATCH($A41,'Ontology and concepts per UC'!$F$2:$F$46,0),MATCH(LEFT(J$1,3),'Ontology and concepts per UC'!$G$1:$I$1,0))+1,"NA",IF(COUNTIFS(Validation!$A:$A,J$1,Validation!$S:$S,$A41)&gt;0,"Yes","No"),IF(COUNTIFS(Validation!$A:$A,J$1,Validation!$S:$S,$A41)&gt;0,"Yes","NA"))</f>
        <v>Yes</v>
      </c>
      <c r="K41" s="1" t="str">
        <f t="array" ref="K41">CHOOSE(INDEX('Ontology and concepts per UC'!$G$2:$I$46,MATCH($A41,'Ontology and concepts per UC'!$F$2:$F$46,0),MATCH(LEFT(K$1,3),'Ontology and concepts per UC'!$G$1:$I$1,0))+1,"NA",IF(COUNTIFS(Validation!$A:$A,K$1,Validation!$S:$S,$A41)&gt;0,"Yes","No"),IF(COUNTIFS(Validation!$A:$A,K$1,Validation!$S:$S,$A41)&gt;0,"Yes","NA"))</f>
        <v>Yes</v>
      </c>
      <c r="L41" s="1" t="str">
        <f t="array" ref="L41">CHOOSE(INDEX('Ontology and concepts per UC'!$G$2:$I$46,MATCH($A41,'Ontology and concepts per UC'!$F$2:$F$46,0),MATCH(LEFT(L$1,3),'Ontology and concepts per UC'!$G$1:$I$1,0))+1,"NA",IF(COUNTIFS(Validation!$A:$A,L$1,Validation!$S:$S,$A41)&gt;0,"Yes","No"),IF(COUNTIFS(Validation!$A:$A,L$1,Validation!$S:$S,$A41)&gt;0,"Yes","NA"))</f>
        <v>No</v>
      </c>
      <c r="M41" s="1" t="str">
        <f t="array" ref="M41">CHOOSE(INDEX('Ontology and concepts per UC'!$G$2:$I$46,MATCH($A41,'Ontology and concepts per UC'!$F$2:$F$46,0),MATCH(LEFT(M$1,3),'Ontology and concepts per UC'!$G$1:$I$1,0))+1,"NA",IF(COUNTIFS(Validation!$A:$A,M$1,Validation!$S:$S,$A41)&gt;0,"Yes","No"),IF(COUNTIFS(Validation!$A:$A,M$1,Validation!$S:$S,$A41)&gt;0,"Yes","NA"))</f>
        <v>Yes</v>
      </c>
      <c r="N41" s="1" t="str">
        <f t="array" ref="N41">CHOOSE(INDEX('Ontology and concepts per UC'!$G$2:$I$46,MATCH($A41,'Ontology and concepts per UC'!$F$2:$F$46,0),MATCH(LEFT(N$1,3),'Ontology and concepts per UC'!$G$1:$I$1,0))+1,"NA",IF(COUNTIFS(Validation!$A:$A,N$1,Validation!$S:$S,$A41)&gt;0,"Yes","No"),IF(COUNTIFS(Validation!$A:$A,N$1,Validation!$S:$S,$A41)&gt;0,"Yes","NA"))</f>
        <v>Yes</v>
      </c>
      <c r="O41" s="1" t="str">
        <f t="array" ref="O41">CHOOSE(INDEX('Ontology and concepts per UC'!$G$2:$I$46,MATCH($A41,'Ontology and concepts per UC'!$F$2:$F$46,0),MATCH(LEFT(O$1,3),'Ontology and concepts per UC'!$G$1:$I$1,0))+1,"NA",IF(COUNTIFS(Validation!$A:$A,O$1,Validation!$S:$S,$A41)&gt;0,"Yes","No"),IF(COUNTIFS(Validation!$A:$A,O$1,Validation!$S:$S,$A41)&gt;0,"Yes","NA"))</f>
        <v>Yes</v>
      </c>
      <c r="P41" s="1" t="str">
        <f t="array" ref="P41">CHOOSE(INDEX('Ontology and concepts per UC'!$G$2:$I$46,MATCH($A41,'Ontology and concepts per UC'!$F$2:$F$46,0),MATCH(LEFT(P$1,3),'Ontology and concepts per UC'!$G$1:$I$1,0))+1,"NA",IF(COUNTIFS(Validation!$A:$A,P$1,Validation!$S:$S,$A41)&gt;0,"Yes","No"),IF(COUNTIFS(Validation!$A:$A,P$1,Validation!$S:$S,$A41)&gt;0,"Yes","NA"))</f>
        <v>Yes</v>
      </c>
      <c r="Q41" s="1" t="str">
        <f t="array" ref="Q41">CHOOSE(INDEX('Ontology and concepts per UC'!$G$2:$I$46,MATCH($A41,'Ontology and concepts per UC'!$F$2:$F$46,0),MATCH(LEFT(Q$1,3),'Ontology and concepts per UC'!$G$1:$I$1,0))+1,"NA",IF(COUNTIFS(Validation!$A:$A,Q$1,Validation!$S:$S,$A41)&gt;0,"Yes","No"),IF(COUNTIFS(Validation!$A:$A,Q$1,Validation!$S:$S,$A41)&gt;0,"Yes","NA"))</f>
        <v>No</v>
      </c>
      <c r="R41" s="1" t="str">
        <f t="array" ref="R41">CHOOSE(INDEX('Ontology and concepts per UC'!$G$2:$I$46,MATCH($A41,'Ontology and concepts per UC'!$F$2:$F$46,0),MATCH(LEFT(R$1,3),'Ontology and concepts per UC'!$G$1:$I$1,0))+1,"NA",IF(COUNTIFS(Validation!$A:$A,R$1,Validation!$S:$S,$A41)&gt;0,"Yes","No"),IF(COUNTIFS(Validation!$A:$A,R$1,Validation!$S:$S,$A41)&gt;0,"Yes","NA"))</f>
        <v>Yes</v>
      </c>
      <c r="S41" s="1" t="str">
        <f t="array" ref="S41">CHOOSE(INDEX('Ontology and concepts per UC'!$G$2:$I$46,MATCH($A41,'Ontology and concepts per UC'!$F$2:$F$46,0),MATCH(LEFT(S$1,3),'Ontology and concepts per UC'!$G$1:$I$1,0))+1,"NA",IF(COUNTIFS(Validation!$A:$A,S$1,Validation!$S:$S,$A41)&gt;0,"Yes","No"),IF(COUNTIFS(Validation!$A:$A,S$1,Validation!$S:$S,$A41)&gt;0,"Yes","NA"))</f>
        <v>Yes</v>
      </c>
      <c r="T41" s="1" t="str">
        <f t="array" ref="T41">CHOOSE(INDEX('Ontology and concepts per UC'!$G$2:$I$46,MATCH($A41,'Ontology and concepts per UC'!$F$2:$F$46,0),MATCH(LEFT(T$1,3),'Ontology and concepts per UC'!$G$1:$I$1,0))+1,"NA",IF(COUNTIFS(Validation!$A:$A,T$1,Validation!$S:$S,$A41)&gt;0,"Yes","No"),IF(COUNTIFS(Validation!$A:$A,T$1,Validation!$S:$S,$A41)&gt;0,"Yes","NA"))</f>
        <v>Yes</v>
      </c>
      <c r="U41" s="1" t="str">
        <f t="array" ref="U41">CHOOSE(INDEX('Ontology and concepts per UC'!$G$2:$I$46,MATCH($A41,'Ontology and concepts per UC'!$F$2:$F$46,0),MATCH(LEFT(U$1,3),'Ontology and concepts per UC'!$G$1:$I$1,0))+1,"NA",IF(COUNTIFS(Validation!$A:$A,U$1,Validation!$S:$S,$A41)&gt;0,"Yes","No"),IF(COUNTIFS(Validation!$A:$A,U$1,Validation!$S:$S,$A41)&gt;0,"Yes","NA"))</f>
        <v>Yes</v>
      </c>
      <c r="V41" s="1" t="str">
        <f t="array" ref="V41">CHOOSE(INDEX('Ontology and concepts per UC'!$G$2:$I$46,MATCH($A41,'Ontology and concepts per UC'!$F$2:$F$46,0),MATCH(LEFT(V$1,3),'Ontology and concepts per UC'!$G$1:$I$1,0))+1,"NA",IF(COUNTIFS(Validation!$A:$A,V$1,Validation!$S:$S,$A41)&gt;0,"Yes","No"),IF(COUNTIFS(Validation!$A:$A,V$1,Validation!$S:$S,$A41)&gt;0,"Yes","NA"))</f>
        <v>Yes</v>
      </c>
      <c r="W41" s="1" t="str">
        <f t="array" ref="W41">CHOOSE(INDEX('Ontology and concepts per UC'!$G$2:$I$46,MATCH($A41,'Ontology and concepts per UC'!$F$2:$F$46,0),MATCH(LEFT(W$1,3),'Ontology and concepts per UC'!$G$1:$I$1,0))+1,"NA",IF(COUNTIFS(Validation!$A:$A,W$1,Validation!$S:$S,$A41)&gt;0,"Yes","No"),IF(COUNTIFS(Validation!$A:$A,W$1,Validation!$S:$S,$A41)&gt;0,"Yes","NA"))</f>
        <v>Yes</v>
      </c>
      <c r="X41" s="1" t="str">
        <f t="array" ref="X41">CHOOSE(INDEX('Ontology and concepts per UC'!$G$2:$I$46,MATCH($A41,'Ontology and concepts per UC'!$F$2:$F$46,0),MATCH(LEFT(X$1,3),'Ontology and concepts per UC'!$G$1:$I$1,0))+1,"NA",IF(COUNTIFS(Validation!$A:$A,X$1,Validation!$S:$S,$A41)&gt;0,"Yes","No"),IF(COUNTIFS(Validation!$A:$A,X$1,Validation!$S:$S,$A41)&gt;0,"Yes","NA"))</f>
        <v>No</v>
      </c>
      <c r="Y41" s="1" t="str">
        <f t="array" ref="Y41">CHOOSE(INDEX('Ontology and concepts per UC'!$G$2:$I$46,MATCH($A41,'Ontology and concepts per UC'!$F$2:$F$46,0),MATCH(LEFT(Y$1,3),'Ontology and concepts per UC'!$G$1:$I$1,0))+1,"NA",IF(COUNTIFS(Validation!$A:$A,Y$1,Validation!$S:$S,$A41)&gt;0,"Yes","No"),IF(COUNTIFS(Validation!$A:$A,Y$1,Validation!$S:$S,$A41)&gt;0,"Yes","NA"))</f>
        <v>Yes</v>
      </c>
      <c r="Z41" s="1" t="str">
        <f t="array" ref="Z41">CHOOSE(INDEX('Ontology and concepts per UC'!$G$2:$I$46,MATCH($A41,'Ontology and concepts per UC'!$F$2:$F$46,0),MATCH(LEFT(Z$1,3),'Ontology and concepts per UC'!$G$1:$I$1,0))+1,"NA",IF(COUNTIFS(Validation!$A:$A,Z$1,Validation!$S:$S,$A41)&gt;0,"Yes","No"),IF(COUNTIFS(Validation!$A:$A,Z$1,Validation!$S:$S,$A41)&gt;0,"Yes","NA"))</f>
        <v>Yes</v>
      </c>
      <c r="AA41" s="1" t="str">
        <f t="array" ref="AA41">CHOOSE(INDEX('Ontology and concepts per UC'!$G$2:$I$46,MATCH($A41,'Ontology and concepts per UC'!$F$2:$F$46,0),MATCH(LEFT(AA$1,3),'Ontology and concepts per UC'!$G$1:$I$1,0))+1,"NA",IF(COUNTIFS(Validation!$A:$A,AA$1,Validation!$S:$S,$A41)&gt;0,"Yes","No"),IF(COUNTIFS(Validation!$A:$A,AA$1,Validation!$S:$S,$A41)&gt;0,"Yes","NA"))</f>
        <v>Yes</v>
      </c>
      <c r="AB41" s="1" t="str">
        <f t="array" ref="AB41">CHOOSE(INDEX('Ontology and concepts per UC'!$G$2:$I$46,MATCH($A41,'Ontology and concepts per UC'!$F$2:$F$46,0),MATCH(LEFT(AB$1,3),'Ontology and concepts per UC'!$G$1:$I$1,0))+1,"NA",IF(COUNTIFS(Validation!$A:$A,AB$1,Validation!$S:$S,$A41)&gt;0,"Yes","No"),IF(COUNTIFS(Validation!$A:$A,AB$1,Validation!$S:$S,$A41)&gt;0,"Yes","NA"))</f>
        <v>Yes</v>
      </c>
      <c r="AC41" s="1" t="str">
        <f t="array" ref="AC41">CHOOSE(INDEX('Ontology and concepts per UC'!$G$2:$I$46,MATCH($A41,'Ontology and concepts per UC'!$F$2:$F$46,0),MATCH(LEFT(AC$1,3),'Ontology and concepts per UC'!$G$1:$I$1,0))+1,"NA",IF(COUNTIFS(Validation!$A:$A,AC$1,Validation!$S:$S,$A41)&gt;0,"Yes","No"),IF(COUNTIFS(Validation!$A:$A,AC$1,Validation!$S:$S,$A41)&gt;0,"Yes","NA"))</f>
        <v>Yes</v>
      </c>
      <c r="AD41" s="1" t="str">
        <f t="array" ref="AD41">CHOOSE(INDEX('Ontology and concepts per UC'!$G$2:$I$46,MATCH($A41,'Ontology and concepts per UC'!$F$2:$F$46,0),MATCH(LEFT(AD$1,3),'Ontology and concepts per UC'!$G$1:$I$1,0))+1,"NA",IF(COUNTIFS(Validation!$A:$A,AD$1,Validation!$S:$S,$A41)&gt;0,"Yes","No"),IF(COUNTIFS(Validation!$A:$A,AD$1,Validation!$S:$S,$A41)&gt;0,"Yes","NA"))</f>
        <v>Yes</v>
      </c>
      <c r="AE41" s="1" t="str">
        <f t="array" ref="AE41">CHOOSE(INDEX('Ontology and concepts per UC'!$G$2:$I$46,MATCH($A41,'Ontology and concepts per UC'!$F$2:$F$46,0),MATCH(LEFT(AE$1,3),'Ontology and concepts per UC'!$G$1:$I$1,0))+1,"NA",IF(COUNTIFS(Validation!$A:$A,AE$1,Validation!$S:$S,$A41)&gt;0,"Yes","No"),IF(COUNTIFS(Validation!$A:$A,AE$1,Validation!$S:$S,$A41)&gt;0,"Yes","NA"))</f>
        <v>Yes</v>
      </c>
    </row>
    <row r="42" spans="1:31" x14ac:dyDescent="0.25">
      <c r="A42" s="1" t="s">
        <v>70</v>
      </c>
      <c r="B42" s="1" t="str">
        <f t="array" ref="B42">CHOOSE(INDEX('Ontology and concepts per UC'!$G$2:$I$46,MATCH($A42,'Ontology and concepts per UC'!$F$2:$F$46,0),MATCH(LEFT(B$1,3),'Ontology and concepts per UC'!$G$1:$I$1,0))+1,"NA",IF(COUNTIFS(Validation!$A:$A,B$1,Validation!$S:$S,$A42)&gt;0,"Yes","No"),IF(COUNTIFS(Validation!$A:$A,B$1,Validation!$S:$S,$A42)&gt;0,"Yes","NA"))</f>
        <v>Yes</v>
      </c>
      <c r="C42" s="1" t="str">
        <f t="array" ref="C42">CHOOSE(INDEX('Ontology and concepts per UC'!$G$2:$I$46,MATCH($A42,'Ontology and concepts per UC'!$F$2:$F$46,0),MATCH(LEFT(C$1,3),'Ontology and concepts per UC'!$G$1:$I$1,0))+1,"NA",IF(COUNTIFS(Validation!$A:$A,C$1,Validation!$S:$S,$A42)&gt;0,"Yes","No"),IF(COUNTIFS(Validation!$A:$A,C$1,Validation!$S:$S,$A42)&gt;0,"Yes","NA"))</f>
        <v>Yes</v>
      </c>
      <c r="D42" s="1" t="str">
        <f t="array" ref="D42">CHOOSE(INDEX('Ontology and concepts per UC'!$G$2:$I$46,MATCH($A42,'Ontology and concepts per UC'!$F$2:$F$46,0),MATCH(LEFT(D$1,3),'Ontology and concepts per UC'!$G$1:$I$1,0))+1,"NA",IF(COUNTIFS(Validation!$A:$A,D$1,Validation!$S:$S,$A42)&gt;0,"Yes","No"),IF(COUNTIFS(Validation!$A:$A,D$1,Validation!$S:$S,$A42)&gt;0,"Yes","NA"))</f>
        <v>Yes</v>
      </c>
      <c r="E42" s="1" t="str">
        <f t="array" ref="E42">CHOOSE(INDEX('Ontology and concepts per UC'!$G$2:$I$46,MATCH($A42,'Ontology and concepts per UC'!$F$2:$F$46,0),MATCH(LEFT(E$1,3),'Ontology and concepts per UC'!$G$1:$I$1,0))+1,"NA",IF(COUNTIFS(Validation!$A:$A,E$1,Validation!$S:$S,$A42)&gt;0,"Yes","No"),IF(COUNTIFS(Validation!$A:$A,E$1,Validation!$S:$S,$A42)&gt;0,"Yes","NA"))</f>
        <v>Yes</v>
      </c>
      <c r="F42" s="1" t="str">
        <f t="array" ref="F42">CHOOSE(INDEX('Ontology and concepts per UC'!$G$2:$I$46,MATCH($A42,'Ontology and concepts per UC'!$F$2:$F$46,0),MATCH(LEFT(F$1,3),'Ontology and concepts per UC'!$G$1:$I$1,0))+1,"NA",IF(COUNTIFS(Validation!$A:$A,F$1,Validation!$S:$S,$A42)&gt;0,"Yes","No"),IF(COUNTIFS(Validation!$A:$A,F$1,Validation!$S:$S,$A42)&gt;0,"Yes","NA"))</f>
        <v>Yes</v>
      </c>
      <c r="G42" s="1" t="str">
        <f t="array" ref="G42">CHOOSE(INDEX('Ontology and concepts per UC'!$G$2:$I$46,MATCH($A42,'Ontology and concepts per UC'!$F$2:$F$46,0),MATCH(LEFT(G$1,3),'Ontology and concepts per UC'!$G$1:$I$1,0))+1,"NA",IF(COUNTIFS(Validation!$A:$A,G$1,Validation!$S:$S,$A42)&gt;0,"Yes","No"),IF(COUNTIFS(Validation!$A:$A,G$1,Validation!$S:$S,$A42)&gt;0,"Yes","NA"))</f>
        <v>Yes</v>
      </c>
      <c r="H42" s="1" t="str">
        <f t="array" ref="H42">CHOOSE(INDEX('Ontology and concepts per UC'!$G$2:$I$46,MATCH($A42,'Ontology and concepts per UC'!$F$2:$F$46,0),MATCH(LEFT(H$1,3),'Ontology and concepts per UC'!$G$1:$I$1,0))+1,"NA",IF(COUNTIFS(Validation!$A:$A,H$1,Validation!$S:$S,$A42)&gt;0,"Yes","No"),IF(COUNTIFS(Validation!$A:$A,H$1,Validation!$S:$S,$A42)&gt;0,"Yes","NA"))</f>
        <v>Yes</v>
      </c>
      <c r="I42" s="1" t="str">
        <f t="array" ref="I42">CHOOSE(INDEX('Ontology and concepts per UC'!$G$2:$I$46,MATCH($A42,'Ontology and concepts per UC'!$F$2:$F$46,0),MATCH(LEFT(I$1,3),'Ontology and concepts per UC'!$G$1:$I$1,0))+1,"NA",IF(COUNTIFS(Validation!$A:$A,I$1,Validation!$S:$S,$A42)&gt;0,"Yes","No"),IF(COUNTIFS(Validation!$A:$A,I$1,Validation!$S:$S,$A42)&gt;0,"Yes","NA"))</f>
        <v>Yes</v>
      </c>
      <c r="J42" s="1" t="str">
        <f t="array" ref="J42">CHOOSE(INDEX('Ontology and concepts per UC'!$G$2:$I$46,MATCH($A42,'Ontology and concepts per UC'!$F$2:$F$46,0),MATCH(LEFT(J$1,3),'Ontology and concepts per UC'!$G$1:$I$1,0))+1,"NA",IF(COUNTIFS(Validation!$A:$A,J$1,Validation!$S:$S,$A42)&gt;0,"Yes","No"),IF(COUNTIFS(Validation!$A:$A,J$1,Validation!$S:$S,$A42)&gt;0,"Yes","NA"))</f>
        <v>Yes</v>
      </c>
      <c r="K42" s="1" t="str">
        <f t="array" ref="K42">CHOOSE(INDEX('Ontology and concepts per UC'!$G$2:$I$46,MATCH($A42,'Ontology and concepts per UC'!$F$2:$F$46,0),MATCH(LEFT(K$1,3),'Ontology and concepts per UC'!$G$1:$I$1,0))+1,"NA",IF(COUNTIFS(Validation!$A:$A,K$1,Validation!$S:$S,$A42)&gt;0,"Yes","No"),IF(COUNTIFS(Validation!$A:$A,K$1,Validation!$S:$S,$A42)&gt;0,"Yes","NA"))</f>
        <v>Yes</v>
      </c>
      <c r="L42" s="1" t="str">
        <f t="array" ref="L42">CHOOSE(INDEX('Ontology and concepts per UC'!$G$2:$I$46,MATCH($A42,'Ontology and concepts per UC'!$F$2:$F$46,0),MATCH(LEFT(L$1,3),'Ontology and concepts per UC'!$G$1:$I$1,0))+1,"NA",IF(COUNTIFS(Validation!$A:$A,L$1,Validation!$S:$S,$A42)&gt;0,"Yes","No"),IF(COUNTIFS(Validation!$A:$A,L$1,Validation!$S:$S,$A42)&gt;0,"Yes","NA"))</f>
        <v>No</v>
      </c>
      <c r="M42" s="1" t="str">
        <f t="array" ref="M42">CHOOSE(INDEX('Ontology and concepts per UC'!$G$2:$I$46,MATCH($A42,'Ontology and concepts per UC'!$F$2:$F$46,0),MATCH(LEFT(M$1,3),'Ontology and concepts per UC'!$G$1:$I$1,0))+1,"NA",IF(COUNTIFS(Validation!$A:$A,M$1,Validation!$S:$S,$A42)&gt;0,"Yes","No"),IF(COUNTIFS(Validation!$A:$A,M$1,Validation!$S:$S,$A42)&gt;0,"Yes","NA"))</f>
        <v>Yes</v>
      </c>
      <c r="N42" s="1" t="str">
        <f t="array" ref="N42">CHOOSE(INDEX('Ontology and concepts per UC'!$G$2:$I$46,MATCH($A42,'Ontology and concepts per UC'!$F$2:$F$46,0),MATCH(LEFT(N$1,3),'Ontology and concepts per UC'!$G$1:$I$1,0))+1,"NA",IF(COUNTIFS(Validation!$A:$A,N$1,Validation!$S:$S,$A42)&gt;0,"Yes","No"),IF(COUNTIFS(Validation!$A:$A,N$1,Validation!$S:$S,$A42)&gt;0,"Yes","NA"))</f>
        <v>No</v>
      </c>
      <c r="O42" s="1" t="str">
        <f t="array" ref="O42">CHOOSE(INDEX('Ontology and concepts per UC'!$G$2:$I$46,MATCH($A42,'Ontology and concepts per UC'!$F$2:$F$46,0),MATCH(LEFT(O$1,3),'Ontology and concepts per UC'!$G$1:$I$1,0))+1,"NA",IF(COUNTIFS(Validation!$A:$A,O$1,Validation!$S:$S,$A42)&gt;0,"Yes","No"),IF(COUNTIFS(Validation!$A:$A,O$1,Validation!$S:$S,$A42)&gt;0,"Yes","NA"))</f>
        <v>Yes</v>
      </c>
      <c r="P42" s="1" t="str">
        <f t="array" ref="P42">CHOOSE(INDEX('Ontology and concepts per UC'!$G$2:$I$46,MATCH($A42,'Ontology and concepts per UC'!$F$2:$F$46,0),MATCH(LEFT(P$1,3),'Ontology and concepts per UC'!$G$1:$I$1,0))+1,"NA",IF(COUNTIFS(Validation!$A:$A,P$1,Validation!$S:$S,$A42)&gt;0,"Yes","No"),IF(COUNTIFS(Validation!$A:$A,P$1,Validation!$S:$S,$A42)&gt;0,"Yes","NA"))</f>
        <v>Yes</v>
      </c>
      <c r="Q42" s="1" t="str">
        <f t="array" ref="Q42">CHOOSE(INDEX('Ontology and concepts per UC'!$G$2:$I$46,MATCH($A42,'Ontology and concepts per UC'!$F$2:$F$46,0),MATCH(LEFT(Q$1,3),'Ontology and concepts per UC'!$G$1:$I$1,0))+1,"NA",IF(COUNTIFS(Validation!$A:$A,Q$1,Validation!$S:$S,$A42)&gt;0,"Yes","No"),IF(COUNTIFS(Validation!$A:$A,Q$1,Validation!$S:$S,$A42)&gt;0,"Yes","NA"))</f>
        <v>Yes</v>
      </c>
      <c r="R42" s="1" t="str">
        <f t="array" ref="R42">CHOOSE(INDEX('Ontology and concepts per UC'!$G$2:$I$46,MATCH($A42,'Ontology and concepts per UC'!$F$2:$F$46,0),MATCH(LEFT(R$1,3),'Ontology and concepts per UC'!$G$1:$I$1,0))+1,"NA",IF(COUNTIFS(Validation!$A:$A,R$1,Validation!$S:$S,$A42)&gt;0,"Yes","No"),IF(COUNTIFS(Validation!$A:$A,R$1,Validation!$S:$S,$A42)&gt;0,"Yes","NA"))</f>
        <v>Yes</v>
      </c>
      <c r="S42" s="1" t="str">
        <f t="array" ref="S42">CHOOSE(INDEX('Ontology and concepts per UC'!$G$2:$I$46,MATCH($A42,'Ontology and concepts per UC'!$F$2:$F$46,0),MATCH(LEFT(S$1,3),'Ontology and concepts per UC'!$G$1:$I$1,0))+1,"NA",IF(COUNTIFS(Validation!$A:$A,S$1,Validation!$S:$S,$A42)&gt;0,"Yes","No"),IF(COUNTIFS(Validation!$A:$A,S$1,Validation!$S:$S,$A42)&gt;0,"Yes","NA"))</f>
        <v>No</v>
      </c>
      <c r="T42" s="1" t="str">
        <f t="array" ref="T42">CHOOSE(INDEX('Ontology and concepts per UC'!$G$2:$I$46,MATCH($A42,'Ontology and concepts per UC'!$F$2:$F$46,0),MATCH(LEFT(T$1,3),'Ontology and concepts per UC'!$G$1:$I$1,0))+1,"NA",IF(COUNTIFS(Validation!$A:$A,T$1,Validation!$S:$S,$A42)&gt;0,"Yes","No"),IF(COUNTIFS(Validation!$A:$A,T$1,Validation!$S:$S,$A42)&gt;0,"Yes","NA"))</f>
        <v>No</v>
      </c>
      <c r="U42" s="1" t="str">
        <f t="array" ref="U42">CHOOSE(INDEX('Ontology and concepts per UC'!$G$2:$I$46,MATCH($A42,'Ontology and concepts per UC'!$F$2:$F$46,0),MATCH(LEFT(U$1,3),'Ontology and concepts per UC'!$G$1:$I$1,0))+1,"NA",IF(COUNTIFS(Validation!$A:$A,U$1,Validation!$S:$S,$A42)&gt;0,"Yes","No"),IF(COUNTIFS(Validation!$A:$A,U$1,Validation!$S:$S,$A42)&gt;0,"Yes","NA"))</f>
        <v>Yes</v>
      </c>
      <c r="V42" s="1" t="str">
        <f t="array" ref="V42">CHOOSE(INDEX('Ontology and concepts per UC'!$G$2:$I$46,MATCH($A42,'Ontology and concepts per UC'!$F$2:$F$46,0),MATCH(LEFT(V$1,3),'Ontology and concepts per UC'!$G$1:$I$1,0))+1,"NA",IF(COUNTIFS(Validation!$A:$A,V$1,Validation!$S:$S,$A42)&gt;0,"Yes","No"),IF(COUNTIFS(Validation!$A:$A,V$1,Validation!$S:$S,$A42)&gt;0,"Yes","NA"))</f>
        <v>Yes</v>
      </c>
      <c r="W42" s="1" t="str">
        <f t="array" ref="W42">CHOOSE(INDEX('Ontology and concepts per UC'!$G$2:$I$46,MATCH($A42,'Ontology and concepts per UC'!$F$2:$F$46,0),MATCH(LEFT(W$1,3),'Ontology and concepts per UC'!$G$1:$I$1,0))+1,"NA",IF(COUNTIFS(Validation!$A:$A,W$1,Validation!$S:$S,$A42)&gt;0,"Yes","No"),IF(COUNTIFS(Validation!$A:$A,W$1,Validation!$S:$S,$A42)&gt;0,"Yes","NA"))</f>
        <v>Yes</v>
      </c>
      <c r="X42" s="1" t="str">
        <f t="array" ref="X42">CHOOSE(INDEX('Ontology and concepts per UC'!$G$2:$I$46,MATCH($A42,'Ontology and concepts per UC'!$F$2:$F$46,0),MATCH(LEFT(X$1,3),'Ontology and concepts per UC'!$G$1:$I$1,0))+1,"NA",IF(COUNTIFS(Validation!$A:$A,X$1,Validation!$S:$S,$A42)&gt;0,"Yes","No"),IF(COUNTIFS(Validation!$A:$A,X$1,Validation!$S:$S,$A42)&gt;0,"Yes","NA"))</f>
        <v>No</v>
      </c>
      <c r="Y42" s="1" t="str">
        <f t="array" ref="Y42">CHOOSE(INDEX('Ontology and concepts per UC'!$G$2:$I$46,MATCH($A42,'Ontology and concepts per UC'!$F$2:$F$46,0),MATCH(LEFT(Y$1,3),'Ontology and concepts per UC'!$G$1:$I$1,0))+1,"NA",IF(COUNTIFS(Validation!$A:$A,Y$1,Validation!$S:$S,$A42)&gt;0,"Yes","No"),IF(COUNTIFS(Validation!$A:$A,Y$1,Validation!$S:$S,$A42)&gt;0,"Yes","NA"))</f>
        <v>Yes</v>
      </c>
      <c r="Z42" s="1" t="str">
        <f t="array" ref="Z42">CHOOSE(INDEX('Ontology and concepts per UC'!$G$2:$I$46,MATCH($A42,'Ontology and concepts per UC'!$F$2:$F$46,0),MATCH(LEFT(Z$1,3),'Ontology and concepts per UC'!$G$1:$I$1,0))+1,"NA",IF(COUNTIFS(Validation!$A:$A,Z$1,Validation!$S:$S,$A42)&gt;0,"Yes","No"),IF(COUNTIFS(Validation!$A:$A,Z$1,Validation!$S:$S,$A42)&gt;0,"Yes","NA"))</f>
        <v>Yes</v>
      </c>
      <c r="AA42" s="1" t="str">
        <f t="array" ref="AA42">CHOOSE(INDEX('Ontology and concepts per UC'!$G$2:$I$46,MATCH($A42,'Ontology and concepts per UC'!$F$2:$F$46,0),MATCH(LEFT(AA$1,3),'Ontology and concepts per UC'!$G$1:$I$1,0))+1,"NA",IF(COUNTIFS(Validation!$A:$A,AA$1,Validation!$S:$S,$A42)&gt;0,"Yes","No"),IF(COUNTIFS(Validation!$A:$A,AA$1,Validation!$S:$S,$A42)&gt;0,"Yes","NA"))</f>
        <v>Yes</v>
      </c>
      <c r="AB42" s="1" t="str">
        <f t="array" ref="AB42">CHOOSE(INDEX('Ontology and concepts per UC'!$G$2:$I$46,MATCH($A42,'Ontology and concepts per UC'!$F$2:$F$46,0),MATCH(LEFT(AB$1,3),'Ontology and concepts per UC'!$G$1:$I$1,0))+1,"NA",IF(COUNTIFS(Validation!$A:$A,AB$1,Validation!$S:$S,$A42)&gt;0,"Yes","No"),IF(COUNTIFS(Validation!$A:$A,AB$1,Validation!$S:$S,$A42)&gt;0,"Yes","NA"))</f>
        <v>Yes</v>
      </c>
      <c r="AC42" s="1" t="str">
        <f t="array" ref="AC42">CHOOSE(INDEX('Ontology and concepts per UC'!$G$2:$I$46,MATCH($A42,'Ontology and concepts per UC'!$F$2:$F$46,0),MATCH(LEFT(AC$1,3),'Ontology and concepts per UC'!$G$1:$I$1,0))+1,"NA",IF(COUNTIFS(Validation!$A:$A,AC$1,Validation!$S:$S,$A42)&gt;0,"Yes","No"),IF(COUNTIFS(Validation!$A:$A,AC$1,Validation!$S:$S,$A42)&gt;0,"Yes","NA"))</f>
        <v>Yes</v>
      </c>
      <c r="AD42" s="1" t="str">
        <f t="array" ref="AD42">CHOOSE(INDEX('Ontology and concepts per UC'!$G$2:$I$46,MATCH($A42,'Ontology and concepts per UC'!$F$2:$F$46,0),MATCH(LEFT(AD$1,3),'Ontology and concepts per UC'!$G$1:$I$1,0))+1,"NA",IF(COUNTIFS(Validation!$A:$A,AD$1,Validation!$S:$S,$A42)&gt;0,"Yes","No"),IF(COUNTIFS(Validation!$A:$A,AD$1,Validation!$S:$S,$A42)&gt;0,"Yes","NA"))</f>
        <v>Yes</v>
      </c>
      <c r="AE42" s="1" t="str">
        <f t="array" ref="AE42">CHOOSE(INDEX('Ontology and concepts per UC'!$G$2:$I$46,MATCH($A42,'Ontology and concepts per UC'!$F$2:$F$46,0),MATCH(LEFT(AE$1,3),'Ontology and concepts per UC'!$G$1:$I$1,0))+1,"NA",IF(COUNTIFS(Validation!$A:$A,AE$1,Validation!$S:$S,$A42)&gt;0,"Yes","No"),IF(COUNTIFS(Validation!$A:$A,AE$1,Validation!$S:$S,$A42)&gt;0,"Yes","NA"))</f>
        <v>Yes</v>
      </c>
    </row>
    <row r="43" spans="1:31" x14ac:dyDescent="0.25">
      <c r="A43" s="1" t="s">
        <v>325</v>
      </c>
      <c r="B43" s="1" t="str">
        <f t="array" ref="B43">CHOOSE(INDEX('Ontology and concepts per UC'!$G$2:$I$46,MATCH($A43,'Ontology and concepts per UC'!$F$2:$F$46,0),MATCH(LEFT(B$1,3),'Ontology and concepts per UC'!$G$1:$I$1,0))+1,"NA",IF(COUNTIFS(Validation!$A:$A,B$1,Validation!$S:$S,$A43)&gt;0,"Yes","No"),IF(COUNTIFS(Validation!$A:$A,B$1,Validation!$S:$S,$A43)&gt;0,"Yes","NA"))</f>
        <v>NA</v>
      </c>
      <c r="C43" s="1" t="str">
        <f t="array" ref="C43">CHOOSE(INDEX('Ontology and concepts per UC'!$G$2:$I$46,MATCH($A43,'Ontology and concepts per UC'!$F$2:$F$46,0),MATCH(LEFT(C$1,3),'Ontology and concepts per UC'!$G$1:$I$1,0))+1,"NA",IF(COUNTIFS(Validation!$A:$A,C$1,Validation!$S:$S,$A43)&gt;0,"Yes","No"),IF(COUNTIFS(Validation!$A:$A,C$1,Validation!$S:$S,$A43)&gt;0,"Yes","NA"))</f>
        <v>NA</v>
      </c>
      <c r="D43" s="1" t="str">
        <f t="array" ref="D43">CHOOSE(INDEX('Ontology and concepts per UC'!$G$2:$I$46,MATCH($A43,'Ontology and concepts per UC'!$F$2:$F$46,0),MATCH(LEFT(D$1,3),'Ontology and concepts per UC'!$G$1:$I$1,0))+1,"NA",IF(COUNTIFS(Validation!$A:$A,D$1,Validation!$S:$S,$A43)&gt;0,"Yes","No"),IF(COUNTIFS(Validation!$A:$A,D$1,Validation!$S:$S,$A43)&gt;0,"Yes","NA"))</f>
        <v>Yes</v>
      </c>
      <c r="E43" s="1" t="str">
        <f t="array" ref="E43">CHOOSE(INDEX('Ontology and concepts per UC'!$G$2:$I$46,MATCH($A43,'Ontology and concepts per UC'!$F$2:$F$46,0),MATCH(LEFT(E$1,3),'Ontology and concepts per UC'!$G$1:$I$1,0))+1,"NA",IF(COUNTIFS(Validation!$A:$A,E$1,Validation!$S:$S,$A43)&gt;0,"Yes","No"),IF(COUNTIFS(Validation!$A:$A,E$1,Validation!$S:$S,$A43)&gt;0,"Yes","NA"))</f>
        <v>Yes</v>
      </c>
      <c r="F43" s="1" t="str">
        <f t="array" ref="F43">CHOOSE(INDEX('Ontology and concepts per UC'!$G$2:$I$46,MATCH($A43,'Ontology and concepts per UC'!$F$2:$F$46,0),MATCH(LEFT(F$1,3),'Ontology and concepts per UC'!$G$1:$I$1,0))+1,"NA",IF(COUNTIFS(Validation!$A:$A,F$1,Validation!$S:$S,$A43)&gt;0,"Yes","No"),IF(COUNTIFS(Validation!$A:$A,F$1,Validation!$S:$S,$A43)&gt;0,"Yes","NA"))</f>
        <v>Yes</v>
      </c>
      <c r="G43" s="1" t="str">
        <f t="array" ref="G43">CHOOSE(INDEX('Ontology and concepts per UC'!$G$2:$I$46,MATCH($A43,'Ontology and concepts per UC'!$F$2:$F$46,0),MATCH(LEFT(G$1,3),'Ontology and concepts per UC'!$G$1:$I$1,0))+1,"NA",IF(COUNTIFS(Validation!$A:$A,G$1,Validation!$S:$S,$A43)&gt;0,"Yes","No"),IF(COUNTIFS(Validation!$A:$A,G$1,Validation!$S:$S,$A43)&gt;0,"Yes","NA"))</f>
        <v>Yes</v>
      </c>
      <c r="H43" s="1" t="str">
        <f t="array" ref="H43">CHOOSE(INDEX('Ontology and concepts per UC'!$G$2:$I$46,MATCH($A43,'Ontology and concepts per UC'!$F$2:$F$46,0),MATCH(LEFT(H$1,3),'Ontology and concepts per UC'!$G$1:$I$1,0))+1,"NA",IF(COUNTIFS(Validation!$A:$A,H$1,Validation!$S:$S,$A43)&gt;0,"Yes","No"),IF(COUNTIFS(Validation!$A:$A,H$1,Validation!$S:$S,$A43)&gt;0,"Yes","NA"))</f>
        <v>NA</v>
      </c>
      <c r="I43" s="1" t="str">
        <f t="array" ref="I43">CHOOSE(INDEX('Ontology and concepts per UC'!$G$2:$I$46,MATCH($A43,'Ontology and concepts per UC'!$F$2:$F$46,0),MATCH(LEFT(I$1,3),'Ontology and concepts per UC'!$G$1:$I$1,0))+1,"NA",IF(COUNTIFS(Validation!$A:$A,I$1,Validation!$S:$S,$A43)&gt;0,"Yes","No"),IF(COUNTIFS(Validation!$A:$A,I$1,Validation!$S:$S,$A43)&gt;0,"Yes","NA"))</f>
        <v>NA</v>
      </c>
      <c r="J43" s="1" t="str">
        <f t="array" ref="J43">CHOOSE(INDEX('Ontology and concepts per UC'!$G$2:$I$46,MATCH($A43,'Ontology and concepts per UC'!$F$2:$F$46,0),MATCH(LEFT(J$1,3),'Ontology and concepts per UC'!$G$1:$I$1,0))+1,"NA",IF(COUNTIFS(Validation!$A:$A,J$1,Validation!$S:$S,$A43)&gt;0,"Yes","No"),IF(COUNTIFS(Validation!$A:$A,J$1,Validation!$S:$S,$A43)&gt;0,"Yes","NA"))</f>
        <v>NA</v>
      </c>
      <c r="K43" s="1" t="str">
        <f t="array" ref="K43">CHOOSE(INDEX('Ontology and concepts per UC'!$G$2:$I$46,MATCH($A43,'Ontology and concepts per UC'!$F$2:$F$46,0),MATCH(LEFT(K$1,3),'Ontology and concepts per UC'!$G$1:$I$1,0))+1,"NA",IF(COUNTIFS(Validation!$A:$A,K$1,Validation!$S:$S,$A43)&gt;0,"Yes","No"),IF(COUNTIFS(Validation!$A:$A,K$1,Validation!$S:$S,$A43)&gt;0,"Yes","NA"))</f>
        <v>NA</v>
      </c>
      <c r="L43" s="1" t="str">
        <f t="array" ref="L43">CHOOSE(INDEX('Ontology and concepts per UC'!$G$2:$I$46,MATCH($A43,'Ontology and concepts per UC'!$F$2:$F$46,0),MATCH(LEFT(L$1,3),'Ontology and concepts per UC'!$G$1:$I$1,0))+1,"NA",IF(COUNTIFS(Validation!$A:$A,L$1,Validation!$S:$S,$A43)&gt;0,"Yes","No"),IF(COUNTIFS(Validation!$A:$A,L$1,Validation!$S:$S,$A43)&gt;0,"Yes","NA"))</f>
        <v>NA</v>
      </c>
      <c r="M43" s="1" t="str">
        <f t="array" ref="M43">CHOOSE(INDEX('Ontology and concepts per UC'!$G$2:$I$46,MATCH($A43,'Ontology and concepts per UC'!$F$2:$F$46,0),MATCH(LEFT(M$1,3),'Ontology and concepts per UC'!$G$1:$I$1,0))+1,"NA",IF(COUNTIFS(Validation!$A:$A,M$1,Validation!$S:$S,$A43)&gt;0,"Yes","No"),IF(COUNTIFS(Validation!$A:$A,M$1,Validation!$S:$S,$A43)&gt;0,"Yes","NA"))</f>
        <v>NA</v>
      </c>
      <c r="N43" s="1" t="str">
        <f t="array" ref="N43">CHOOSE(INDEX('Ontology and concepts per UC'!$G$2:$I$46,MATCH($A43,'Ontology and concepts per UC'!$F$2:$F$46,0),MATCH(LEFT(N$1,3),'Ontology and concepts per UC'!$G$1:$I$1,0))+1,"NA",IF(COUNTIFS(Validation!$A:$A,N$1,Validation!$S:$S,$A43)&gt;0,"Yes","No"),IF(COUNTIFS(Validation!$A:$A,N$1,Validation!$S:$S,$A43)&gt;0,"Yes","NA"))</f>
        <v>NA</v>
      </c>
      <c r="O43" s="1" t="str">
        <f t="array" ref="O43">CHOOSE(INDEX('Ontology and concepts per UC'!$G$2:$I$46,MATCH($A43,'Ontology and concepts per UC'!$F$2:$F$46,0),MATCH(LEFT(O$1,3),'Ontology and concepts per UC'!$G$1:$I$1,0))+1,"NA",IF(COUNTIFS(Validation!$A:$A,O$1,Validation!$S:$S,$A43)&gt;0,"Yes","No"),IF(COUNTIFS(Validation!$A:$A,O$1,Validation!$S:$S,$A43)&gt;0,"Yes","NA"))</f>
        <v>NA</v>
      </c>
      <c r="P43" s="1" t="str">
        <f t="array" ref="P43">CHOOSE(INDEX('Ontology and concepts per UC'!$G$2:$I$46,MATCH($A43,'Ontology and concepts per UC'!$F$2:$F$46,0),MATCH(LEFT(P$1,3),'Ontology and concepts per UC'!$G$1:$I$1,0))+1,"NA",IF(COUNTIFS(Validation!$A:$A,P$1,Validation!$S:$S,$A43)&gt;0,"Yes","No"),IF(COUNTIFS(Validation!$A:$A,P$1,Validation!$S:$S,$A43)&gt;0,"Yes","NA"))</f>
        <v>Yes</v>
      </c>
      <c r="Q43" s="1" t="str">
        <f t="array" ref="Q43">CHOOSE(INDEX('Ontology and concepts per UC'!$G$2:$I$46,MATCH($A43,'Ontology and concepts per UC'!$F$2:$F$46,0),MATCH(LEFT(Q$1,3),'Ontology and concepts per UC'!$G$1:$I$1,0))+1,"NA",IF(COUNTIFS(Validation!$A:$A,Q$1,Validation!$S:$S,$A43)&gt;0,"Yes","No"),IF(COUNTIFS(Validation!$A:$A,Q$1,Validation!$S:$S,$A43)&gt;0,"Yes","NA"))</f>
        <v>NA</v>
      </c>
      <c r="R43" s="1" t="str">
        <f t="array" ref="R43">CHOOSE(INDEX('Ontology and concepts per UC'!$G$2:$I$46,MATCH($A43,'Ontology and concepts per UC'!$F$2:$F$46,0),MATCH(LEFT(R$1,3),'Ontology and concepts per UC'!$G$1:$I$1,0))+1,"NA",IF(COUNTIFS(Validation!$A:$A,R$1,Validation!$S:$S,$A43)&gt;0,"Yes","No"),IF(COUNTIFS(Validation!$A:$A,R$1,Validation!$S:$S,$A43)&gt;0,"Yes","NA"))</f>
        <v>Yes</v>
      </c>
      <c r="S43" s="1" t="str">
        <f t="array" ref="S43">CHOOSE(INDEX('Ontology and concepts per UC'!$G$2:$I$46,MATCH($A43,'Ontology and concepts per UC'!$F$2:$F$46,0),MATCH(LEFT(S$1,3),'Ontology and concepts per UC'!$G$1:$I$1,0))+1,"NA",IF(COUNTIFS(Validation!$A:$A,S$1,Validation!$S:$S,$A43)&gt;0,"Yes","No"),IF(COUNTIFS(Validation!$A:$A,S$1,Validation!$S:$S,$A43)&gt;0,"Yes","NA"))</f>
        <v>Yes</v>
      </c>
      <c r="T43" s="1" t="str">
        <f t="array" ref="T43">CHOOSE(INDEX('Ontology and concepts per UC'!$G$2:$I$46,MATCH($A43,'Ontology and concepts per UC'!$F$2:$F$46,0),MATCH(LEFT(T$1,3),'Ontology and concepts per UC'!$G$1:$I$1,0))+1,"NA",IF(COUNTIFS(Validation!$A:$A,T$1,Validation!$S:$S,$A43)&gt;0,"Yes","No"),IF(COUNTIFS(Validation!$A:$A,T$1,Validation!$S:$S,$A43)&gt;0,"Yes","NA"))</f>
        <v>Yes</v>
      </c>
      <c r="U43" s="1" t="str">
        <f t="array" ref="U43">CHOOSE(INDEX('Ontology and concepts per UC'!$G$2:$I$46,MATCH($A43,'Ontology and concepts per UC'!$F$2:$F$46,0),MATCH(LEFT(U$1,3),'Ontology and concepts per UC'!$G$1:$I$1,0))+1,"NA",IF(COUNTIFS(Validation!$A:$A,U$1,Validation!$S:$S,$A43)&gt;0,"Yes","No"),IF(COUNTIFS(Validation!$A:$A,U$1,Validation!$S:$S,$A43)&gt;0,"Yes","NA"))</f>
        <v>NA</v>
      </c>
      <c r="V43" s="1" t="str">
        <f t="array" ref="V43">CHOOSE(INDEX('Ontology and concepts per UC'!$G$2:$I$46,MATCH($A43,'Ontology and concepts per UC'!$F$2:$F$46,0),MATCH(LEFT(V$1,3),'Ontology and concepts per UC'!$G$1:$I$1,0))+1,"NA",IF(COUNTIFS(Validation!$A:$A,V$1,Validation!$S:$S,$A43)&gt;0,"Yes","No"),IF(COUNTIFS(Validation!$A:$A,V$1,Validation!$S:$S,$A43)&gt;0,"Yes","NA"))</f>
        <v>Yes</v>
      </c>
      <c r="W43" s="1" t="str">
        <f t="array" ref="W43">CHOOSE(INDEX('Ontology and concepts per UC'!$G$2:$I$46,MATCH($A43,'Ontology and concepts per UC'!$F$2:$F$46,0),MATCH(LEFT(W$1,3),'Ontology and concepts per UC'!$G$1:$I$1,0))+1,"NA",IF(COUNTIFS(Validation!$A:$A,W$1,Validation!$S:$S,$A43)&gt;0,"Yes","No"),IF(COUNTIFS(Validation!$A:$A,W$1,Validation!$S:$S,$A43)&gt;0,"Yes","NA"))</f>
        <v>Yes</v>
      </c>
      <c r="X43" s="1" t="str">
        <f t="array" ref="X43">CHOOSE(INDEX('Ontology and concepts per UC'!$G$2:$I$46,MATCH($A43,'Ontology and concepts per UC'!$F$2:$F$46,0),MATCH(LEFT(X$1,3),'Ontology and concepts per UC'!$G$1:$I$1,0))+1,"NA",IF(COUNTIFS(Validation!$A:$A,X$1,Validation!$S:$S,$A43)&gt;0,"Yes","No"),IF(COUNTIFS(Validation!$A:$A,X$1,Validation!$S:$S,$A43)&gt;0,"Yes","NA"))</f>
        <v>NA</v>
      </c>
      <c r="Y43" s="1" t="str">
        <f t="array" ref="Y43">CHOOSE(INDEX('Ontology and concepts per UC'!$G$2:$I$46,MATCH($A43,'Ontology and concepts per UC'!$F$2:$F$46,0),MATCH(LEFT(Y$1,3),'Ontology and concepts per UC'!$G$1:$I$1,0))+1,"NA",IF(COUNTIFS(Validation!$A:$A,Y$1,Validation!$S:$S,$A43)&gt;0,"Yes","No"),IF(COUNTIFS(Validation!$A:$A,Y$1,Validation!$S:$S,$A43)&gt;0,"Yes","NA"))</f>
        <v>NA</v>
      </c>
      <c r="Z43" s="1" t="str">
        <f t="array" ref="Z43">CHOOSE(INDEX('Ontology and concepts per UC'!$G$2:$I$46,MATCH($A43,'Ontology and concepts per UC'!$F$2:$F$46,0),MATCH(LEFT(Z$1,3),'Ontology and concepts per UC'!$G$1:$I$1,0))+1,"NA",IF(COUNTIFS(Validation!$A:$A,Z$1,Validation!$S:$S,$A43)&gt;0,"Yes","No"),IF(COUNTIFS(Validation!$A:$A,Z$1,Validation!$S:$S,$A43)&gt;0,"Yes","NA"))</f>
        <v>NA</v>
      </c>
      <c r="AA43" s="1" t="str">
        <f t="array" ref="AA43">CHOOSE(INDEX('Ontology and concepts per UC'!$G$2:$I$46,MATCH($A43,'Ontology and concepts per UC'!$F$2:$F$46,0),MATCH(LEFT(AA$1,3),'Ontology and concepts per UC'!$G$1:$I$1,0))+1,"NA",IF(COUNTIFS(Validation!$A:$A,AA$1,Validation!$S:$S,$A43)&gt;0,"Yes","No"),IF(COUNTIFS(Validation!$A:$A,AA$1,Validation!$S:$S,$A43)&gt;0,"Yes","NA"))</f>
        <v>NA</v>
      </c>
      <c r="AB43" s="1" t="str">
        <f t="array" ref="AB43">CHOOSE(INDEX('Ontology and concepts per UC'!$G$2:$I$46,MATCH($A43,'Ontology and concepts per UC'!$F$2:$F$46,0),MATCH(LEFT(AB$1,3),'Ontology and concepts per UC'!$G$1:$I$1,0))+1,"NA",IF(COUNTIFS(Validation!$A:$A,AB$1,Validation!$S:$S,$A43)&gt;0,"Yes","No"),IF(COUNTIFS(Validation!$A:$A,AB$1,Validation!$S:$S,$A43)&gt;0,"Yes","NA"))</f>
        <v>NA</v>
      </c>
      <c r="AC43" s="1" t="str">
        <f t="array" ref="AC43">CHOOSE(INDEX('Ontology and concepts per UC'!$G$2:$I$46,MATCH($A43,'Ontology and concepts per UC'!$F$2:$F$46,0),MATCH(LEFT(AC$1,3),'Ontology and concepts per UC'!$G$1:$I$1,0))+1,"NA",IF(COUNTIFS(Validation!$A:$A,AC$1,Validation!$S:$S,$A43)&gt;0,"Yes","No"),IF(COUNTIFS(Validation!$A:$A,AC$1,Validation!$S:$S,$A43)&gt;0,"Yes","NA"))</f>
        <v>NA</v>
      </c>
      <c r="AD43" s="1" t="str">
        <f t="array" ref="AD43">CHOOSE(INDEX('Ontology and concepts per UC'!$G$2:$I$46,MATCH($A43,'Ontology and concepts per UC'!$F$2:$F$46,0),MATCH(LEFT(AD$1,3),'Ontology and concepts per UC'!$G$1:$I$1,0))+1,"NA",IF(COUNTIFS(Validation!$A:$A,AD$1,Validation!$S:$S,$A43)&gt;0,"Yes","No"),IF(COUNTIFS(Validation!$A:$A,AD$1,Validation!$S:$S,$A43)&gt;0,"Yes","NA"))</f>
        <v>NA</v>
      </c>
      <c r="AE43" s="1" t="str">
        <f t="array" ref="AE43">CHOOSE(INDEX('Ontology and concepts per UC'!$G$2:$I$46,MATCH($A43,'Ontology and concepts per UC'!$F$2:$F$46,0),MATCH(LEFT(AE$1,3),'Ontology and concepts per UC'!$G$1:$I$1,0))+1,"NA",IF(COUNTIFS(Validation!$A:$A,AE$1,Validation!$S:$S,$A43)&gt;0,"Yes","No"),IF(COUNTIFS(Validation!$A:$A,AE$1,Validation!$S:$S,$A43)&gt;0,"Yes","NA"))</f>
        <v>NA</v>
      </c>
    </row>
    <row r="44" spans="1:31" x14ac:dyDescent="0.25">
      <c r="A44" s="1" t="s">
        <v>367</v>
      </c>
      <c r="B44" s="1" t="str">
        <f t="array" ref="B44">CHOOSE(INDEX('Ontology and concepts per UC'!$G$2:$I$46,MATCH($A44,'Ontology and concepts per UC'!$F$2:$F$46,0),MATCH(LEFT(B$1,3),'Ontology and concepts per UC'!$G$1:$I$1,0))+1,"NA",IF(COUNTIFS(Validation!$A:$A,B$1,Validation!$S:$S,$A44)&gt;0,"Yes","No"),IF(COUNTIFS(Validation!$A:$A,B$1,Validation!$S:$S,$A44)&gt;0,"Yes","NA"))</f>
        <v>NA</v>
      </c>
      <c r="C44" s="1" t="str">
        <f t="array" ref="C44">CHOOSE(INDEX('Ontology and concepts per UC'!$G$2:$I$46,MATCH($A44,'Ontology and concepts per UC'!$F$2:$F$46,0),MATCH(LEFT(C$1,3),'Ontology and concepts per UC'!$G$1:$I$1,0))+1,"NA",IF(COUNTIFS(Validation!$A:$A,C$1,Validation!$S:$S,$A44)&gt;0,"Yes","No"),IF(COUNTIFS(Validation!$A:$A,C$1,Validation!$S:$S,$A44)&gt;0,"Yes","NA"))</f>
        <v>NA</v>
      </c>
      <c r="D44" s="1" t="str">
        <f t="array" ref="D44">CHOOSE(INDEX('Ontology and concepts per UC'!$G$2:$I$46,MATCH($A44,'Ontology and concepts per UC'!$F$2:$F$46,0),MATCH(LEFT(D$1,3),'Ontology and concepts per UC'!$G$1:$I$1,0))+1,"NA",IF(COUNTIFS(Validation!$A:$A,D$1,Validation!$S:$S,$A44)&gt;0,"Yes","No"),IF(COUNTIFS(Validation!$A:$A,D$1,Validation!$S:$S,$A44)&gt;0,"Yes","NA"))</f>
        <v>Yes</v>
      </c>
      <c r="E44" s="1" t="str">
        <f t="array" ref="E44">CHOOSE(INDEX('Ontology and concepts per UC'!$G$2:$I$46,MATCH($A44,'Ontology and concepts per UC'!$F$2:$F$46,0),MATCH(LEFT(E$1,3),'Ontology and concepts per UC'!$G$1:$I$1,0))+1,"NA",IF(COUNTIFS(Validation!$A:$A,E$1,Validation!$S:$S,$A44)&gt;0,"Yes","No"),IF(COUNTIFS(Validation!$A:$A,E$1,Validation!$S:$S,$A44)&gt;0,"Yes","NA"))</f>
        <v>Yes</v>
      </c>
      <c r="F44" s="1" t="str">
        <f t="array" ref="F44">CHOOSE(INDEX('Ontology and concepts per UC'!$G$2:$I$46,MATCH($A44,'Ontology and concepts per UC'!$F$2:$F$46,0),MATCH(LEFT(F$1,3),'Ontology and concepts per UC'!$G$1:$I$1,0))+1,"NA",IF(COUNTIFS(Validation!$A:$A,F$1,Validation!$S:$S,$A44)&gt;0,"Yes","No"),IF(COUNTIFS(Validation!$A:$A,F$1,Validation!$S:$S,$A44)&gt;0,"Yes","NA"))</f>
        <v>Yes</v>
      </c>
      <c r="G44" s="1" t="str">
        <f t="array" ref="G44">CHOOSE(INDEX('Ontology and concepts per UC'!$G$2:$I$46,MATCH($A44,'Ontology and concepts per UC'!$F$2:$F$46,0),MATCH(LEFT(G$1,3),'Ontology and concepts per UC'!$G$1:$I$1,0))+1,"NA",IF(COUNTIFS(Validation!$A:$A,G$1,Validation!$S:$S,$A44)&gt;0,"Yes","No"),IF(COUNTIFS(Validation!$A:$A,G$1,Validation!$S:$S,$A44)&gt;0,"Yes","NA"))</f>
        <v>Yes</v>
      </c>
      <c r="H44" s="1" t="str">
        <f t="array" ref="H44">CHOOSE(INDEX('Ontology and concepts per UC'!$G$2:$I$46,MATCH($A44,'Ontology and concepts per UC'!$F$2:$F$46,0),MATCH(LEFT(H$1,3),'Ontology and concepts per UC'!$G$1:$I$1,0))+1,"NA",IF(COUNTIFS(Validation!$A:$A,H$1,Validation!$S:$S,$A44)&gt;0,"Yes","No"),IF(COUNTIFS(Validation!$A:$A,H$1,Validation!$S:$S,$A44)&gt;0,"Yes","NA"))</f>
        <v>NA</v>
      </c>
      <c r="I44" s="1" t="str">
        <f t="array" ref="I44">CHOOSE(INDEX('Ontology and concepts per UC'!$G$2:$I$46,MATCH($A44,'Ontology and concepts per UC'!$F$2:$F$46,0),MATCH(LEFT(I$1,3),'Ontology and concepts per UC'!$G$1:$I$1,0))+1,"NA",IF(COUNTIFS(Validation!$A:$A,I$1,Validation!$S:$S,$A44)&gt;0,"Yes","No"),IF(COUNTIFS(Validation!$A:$A,I$1,Validation!$S:$S,$A44)&gt;0,"Yes","NA"))</f>
        <v>Yes</v>
      </c>
      <c r="J44" s="1" t="str">
        <f t="array" ref="J44">CHOOSE(INDEX('Ontology and concepts per UC'!$G$2:$I$46,MATCH($A44,'Ontology and concepts per UC'!$F$2:$F$46,0),MATCH(LEFT(J$1,3),'Ontology and concepts per UC'!$G$1:$I$1,0))+1,"NA",IF(COUNTIFS(Validation!$A:$A,J$1,Validation!$S:$S,$A44)&gt;0,"Yes","No"),IF(COUNTIFS(Validation!$A:$A,J$1,Validation!$S:$S,$A44)&gt;0,"Yes","NA"))</f>
        <v>NA</v>
      </c>
      <c r="K44" s="1" t="str">
        <f t="array" ref="K44">CHOOSE(INDEX('Ontology and concepts per UC'!$G$2:$I$46,MATCH($A44,'Ontology and concepts per UC'!$F$2:$F$46,0),MATCH(LEFT(K$1,3),'Ontology and concepts per UC'!$G$1:$I$1,0))+1,"NA",IF(COUNTIFS(Validation!$A:$A,K$1,Validation!$S:$S,$A44)&gt;0,"Yes","No"),IF(COUNTIFS(Validation!$A:$A,K$1,Validation!$S:$S,$A44)&gt;0,"Yes","NA"))</f>
        <v>NA</v>
      </c>
      <c r="L44" s="1" t="str">
        <f t="array" ref="L44">CHOOSE(INDEX('Ontology and concepts per UC'!$G$2:$I$46,MATCH($A44,'Ontology and concepts per UC'!$F$2:$F$46,0),MATCH(LEFT(L$1,3),'Ontology and concepts per UC'!$G$1:$I$1,0))+1,"NA",IF(COUNTIFS(Validation!$A:$A,L$1,Validation!$S:$S,$A44)&gt;0,"Yes","No"),IF(COUNTIFS(Validation!$A:$A,L$1,Validation!$S:$S,$A44)&gt;0,"Yes","NA"))</f>
        <v>NA</v>
      </c>
      <c r="M44" s="1" t="str">
        <f t="array" ref="M44">CHOOSE(INDEX('Ontology and concepts per UC'!$G$2:$I$46,MATCH($A44,'Ontology and concepts per UC'!$F$2:$F$46,0),MATCH(LEFT(M$1,3),'Ontology and concepts per UC'!$G$1:$I$1,0))+1,"NA",IF(COUNTIFS(Validation!$A:$A,M$1,Validation!$S:$S,$A44)&gt;0,"Yes","No"),IF(COUNTIFS(Validation!$A:$A,M$1,Validation!$S:$S,$A44)&gt;0,"Yes","NA"))</f>
        <v>NA</v>
      </c>
      <c r="N44" s="1" t="str">
        <f t="array" ref="N44">CHOOSE(INDEX('Ontology and concepts per UC'!$G$2:$I$46,MATCH($A44,'Ontology and concepts per UC'!$F$2:$F$46,0),MATCH(LEFT(N$1,3),'Ontology and concepts per UC'!$G$1:$I$1,0))+1,"NA",IF(COUNTIFS(Validation!$A:$A,N$1,Validation!$S:$S,$A44)&gt;0,"Yes","No"),IF(COUNTIFS(Validation!$A:$A,N$1,Validation!$S:$S,$A44)&gt;0,"Yes","NA"))</f>
        <v>NA</v>
      </c>
      <c r="O44" s="1" t="str">
        <f t="array" ref="O44">CHOOSE(INDEX('Ontology and concepts per UC'!$G$2:$I$46,MATCH($A44,'Ontology and concepts per UC'!$F$2:$F$46,0),MATCH(LEFT(O$1,3),'Ontology and concepts per UC'!$G$1:$I$1,0))+1,"NA",IF(COUNTIFS(Validation!$A:$A,O$1,Validation!$S:$S,$A44)&gt;0,"Yes","No"),IF(COUNTIFS(Validation!$A:$A,O$1,Validation!$S:$S,$A44)&gt;0,"Yes","NA"))</f>
        <v>NA</v>
      </c>
      <c r="P44" s="1" t="str">
        <f t="array" ref="P44">CHOOSE(INDEX('Ontology and concepts per UC'!$G$2:$I$46,MATCH($A44,'Ontology and concepts per UC'!$F$2:$F$46,0),MATCH(LEFT(P$1,3),'Ontology and concepts per UC'!$G$1:$I$1,0))+1,"NA",IF(COUNTIFS(Validation!$A:$A,P$1,Validation!$S:$S,$A44)&gt;0,"Yes","No"),IF(COUNTIFS(Validation!$A:$A,P$1,Validation!$S:$S,$A44)&gt;0,"Yes","NA"))</f>
        <v>Yes</v>
      </c>
      <c r="Q44" s="1" t="str">
        <f t="array" ref="Q44">CHOOSE(INDEX('Ontology and concepts per UC'!$G$2:$I$46,MATCH($A44,'Ontology and concepts per UC'!$F$2:$F$46,0),MATCH(LEFT(Q$1,3),'Ontology and concepts per UC'!$G$1:$I$1,0))+1,"NA",IF(COUNTIFS(Validation!$A:$A,Q$1,Validation!$S:$S,$A44)&gt;0,"Yes","No"),IF(COUNTIFS(Validation!$A:$A,Q$1,Validation!$S:$S,$A44)&gt;0,"Yes","NA"))</f>
        <v>NA</v>
      </c>
      <c r="R44" s="1" t="str">
        <f t="array" ref="R44">CHOOSE(INDEX('Ontology and concepts per UC'!$G$2:$I$46,MATCH($A44,'Ontology and concepts per UC'!$F$2:$F$46,0),MATCH(LEFT(R$1,3),'Ontology and concepts per UC'!$G$1:$I$1,0))+1,"NA",IF(COUNTIFS(Validation!$A:$A,R$1,Validation!$S:$S,$A44)&gt;0,"Yes","No"),IF(COUNTIFS(Validation!$A:$A,R$1,Validation!$S:$S,$A44)&gt;0,"Yes","NA"))</f>
        <v>Yes</v>
      </c>
      <c r="S44" s="1" t="str">
        <f t="array" ref="S44">CHOOSE(INDEX('Ontology and concepts per UC'!$G$2:$I$46,MATCH($A44,'Ontology and concepts per UC'!$F$2:$F$46,0),MATCH(LEFT(S$1,3),'Ontology and concepts per UC'!$G$1:$I$1,0))+1,"NA",IF(COUNTIFS(Validation!$A:$A,S$1,Validation!$S:$S,$A44)&gt;0,"Yes","No"),IF(COUNTIFS(Validation!$A:$A,S$1,Validation!$S:$S,$A44)&gt;0,"Yes","NA"))</f>
        <v>Yes</v>
      </c>
      <c r="T44" s="1" t="str">
        <f t="array" ref="T44">CHOOSE(INDEX('Ontology and concepts per UC'!$G$2:$I$46,MATCH($A44,'Ontology and concepts per UC'!$F$2:$F$46,0),MATCH(LEFT(T$1,3),'Ontology and concepts per UC'!$G$1:$I$1,0))+1,"NA",IF(COUNTIFS(Validation!$A:$A,T$1,Validation!$S:$S,$A44)&gt;0,"Yes","No"),IF(COUNTIFS(Validation!$A:$A,T$1,Validation!$S:$S,$A44)&gt;0,"Yes","NA"))</f>
        <v>NA</v>
      </c>
      <c r="U44" s="1" t="str">
        <f t="array" ref="U44">CHOOSE(INDEX('Ontology and concepts per UC'!$G$2:$I$46,MATCH($A44,'Ontology and concepts per UC'!$F$2:$F$46,0),MATCH(LEFT(U$1,3),'Ontology and concepts per UC'!$G$1:$I$1,0))+1,"NA",IF(COUNTIFS(Validation!$A:$A,U$1,Validation!$S:$S,$A44)&gt;0,"Yes","No"),IF(COUNTIFS(Validation!$A:$A,U$1,Validation!$S:$S,$A44)&gt;0,"Yes","NA"))</f>
        <v>NA</v>
      </c>
      <c r="V44" s="1" t="str">
        <f t="array" ref="V44">CHOOSE(INDEX('Ontology and concepts per UC'!$G$2:$I$46,MATCH($A44,'Ontology and concepts per UC'!$F$2:$F$46,0),MATCH(LEFT(V$1,3),'Ontology and concepts per UC'!$G$1:$I$1,0))+1,"NA",IF(COUNTIFS(Validation!$A:$A,V$1,Validation!$S:$S,$A44)&gt;0,"Yes","No"),IF(COUNTIFS(Validation!$A:$A,V$1,Validation!$S:$S,$A44)&gt;0,"Yes","NA"))</f>
        <v>NA</v>
      </c>
      <c r="W44" s="1" t="str">
        <f t="array" ref="W44">CHOOSE(INDEX('Ontology and concepts per UC'!$G$2:$I$46,MATCH($A44,'Ontology and concepts per UC'!$F$2:$F$46,0),MATCH(LEFT(W$1,3),'Ontology and concepts per UC'!$G$1:$I$1,0))+1,"NA",IF(COUNTIFS(Validation!$A:$A,W$1,Validation!$S:$S,$A44)&gt;0,"Yes","No"),IF(COUNTIFS(Validation!$A:$A,W$1,Validation!$S:$S,$A44)&gt;0,"Yes","NA"))</f>
        <v>Yes</v>
      </c>
      <c r="X44" s="1" t="str">
        <f t="array" ref="X44">CHOOSE(INDEX('Ontology and concepts per UC'!$G$2:$I$46,MATCH($A44,'Ontology and concepts per UC'!$F$2:$F$46,0),MATCH(LEFT(X$1,3),'Ontology and concepts per UC'!$G$1:$I$1,0))+1,"NA",IF(COUNTIFS(Validation!$A:$A,X$1,Validation!$S:$S,$A44)&gt;0,"Yes","No"),IF(COUNTIFS(Validation!$A:$A,X$1,Validation!$S:$S,$A44)&gt;0,"Yes","NA"))</f>
        <v>NA</v>
      </c>
      <c r="Y44" s="1" t="str">
        <f t="array" ref="Y44">CHOOSE(INDEX('Ontology and concepts per UC'!$G$2:$I$46,MATCH($A44,'Ontology and concepts per UC'!$F$2:$F$46,0),MATCH(LEFT(Y$1,3),'Ontology and concepts per UC'!$G$1:$I$1,0))+1,"NA",IF(COUNTIFS(Validation!$A:$A,Y$1,Validation!$S:$S,$A44)&gt;0,"Yes","No"),IF(COUNTIFS(Validation!$A:$A,Y$1,Validation!$S:$S,$A44)&gt;0,"Yes","NA"))</f>
        <v>NA</v>
      </c>
      <c r="Z44" s="1" t="str">
        <f t="array" ref="Z44">CHOOSE(INDEX('Ontology and concepts per UC'!$G$2:$I$46,MATCH($A44,'Ontology and concepts per UC'!$F$2:$F$46,0),MATCH(LEFT(Z$1,3),'Ontology and concepts per UC'!$G$1:$I$1,0))+1,"NA",IF(COUNTIFS(Validation!$A:$A,Z$1,Validation!$S:$S,$A44)&gt;0,"Yes","No"),IF(COUNTIFS(Validation!$A:$A,Z$1,Validation!$S:$S,$A44)&gt;0,"Yes","NA"))</f>
        <v>NA</v>
      </c>
      <c r="AA44" s="1" t="str">
        <f t="array" ref="AA44">CHOOSE(INDEX('Ontology and concepts per UC'!$G$2:$I$46,MATCH($A44,'Ontology and concepts per UC'!$F$2:$F$46,0),MATCH(LEFT(AA$1,3),'Ontology and concepts per UC'!$G$1:$I$1,0))+1,"NA",IF(COUNTIFS(Validation!$A:$A,AA$1,Validation!$S:$S,$A44)&gt;0,"Yes","No"),IF(COUNTIFS(Validation!$A:$A,AA$1,Validation!$S:$S,$A44)&gt;0,"Yes","NA"))</f>
        <v>NA</v>
      </c>
      <c r="AB44" s="1" t="str">
        <f t="array" ref="AB44">CHOOSE(INDEX('Ontology and concepts per UC'!$G$2:$I$46,MATCH($A44,'Ontology and concepts per UC'!$F$2:$F$46,0),MATCH(LEFT(AB$1,3),'Ontology and concepts per UC'!$G$1:$I$1,0))+1,"NA",IF(COUNTIFS(Validation!$A:$A,AB$1,Validation!$S:$S,$A44)&gt;0,"Yes","No"),IF(COUNTIFS(Validation!$A:$A,AB$1,Validation!$S:$S,$A44)&gt;0,"Yes","NA"))</f>
        <v>NA</v>
      </c>
      <c r="AC44" s="1" t="str">
        <f t="array" ref="AC44">CHOOSE(INDEX('Ontology and concepts per UC'!$G$2:$I$46,MATCH($A44,'Ontology and concepts per UC'!$F$2:$F$46,0),MATCH(LEFT(AC$1,3),'Ontology and concepts per UC'!$G$1:$I$1,0))+1,"NA",IF(COUNTIFS(Validation!$A:$A,AC$1,Validation!$S:$S,$A44)&gt;0,"Yes","No"),IF(COUNTIFS(Validation!$A:$A,AC$1,Validation!$S:$S,$A44)&gt;0,"Yes","NA"))</f>
        <v>NA</v>
      </c>
      <c r="AD44" s="1" t="str">
        <f t="array" ref="AD44">CHOOSE(INDEX('Ontology and concepts per UC'!$G$2:$I$46,MATCH($A44,'Ontology and concepts per UC'!$F$2:$F$46,0),MATCH(LEFT(AD$1,3),'Ontology and concepts per UC'!$G$1:$I$1,0))+1,"NA",IF(COUNTIFS(Validation!$A:$A,AD$1,Validation!$S:$S,$A44)&gt;0,"Yes","No"),IF(COUNTIFS(Validation!$A:$A,AD$1,Validation!$S:$S,$A44)&gt;0,"Yes","NA"))</f>
        <v>NA</v>
      </c>
      <c r="AE44" s="1" t="str">
        <f t="array" ref="AE44">CHOOSE(INDEX('Ontology and concepts per UC'!$G$2:$I$46,MATCH($A44,'Ontology and concepts per UC'!$F$2:$F$46,0),MATCH(LEFT(AE$1,3),'Ontology and concepts per UC'!$G$1:$I$1,0))+1,"NA",IF(COUNTIFS(Validation!$A:$A,AE$1,Validation!$S:$S,$A44)&gt;0,"Yes","No"),IF(COUNTIFS(Validation!$A:$A,AE$1,Validation!$S:$S,$A44)&gt;0,"Yes","NA"))</f>
        <v>NA</v>
      </c>
    </row>
    <row r="45" spans="1:31" x14ac:dyDescent="0.25">
      <c r="A45" s="1" t="s">
        <v>174</v>
      </c>
      <c r="B45" s="1" t="str">
        <f t="array" ref="B45">CHOOSE(INDEX('Ontology and concepts per UC'!$G$2:$I$46,MATCH($A45,'Ontology and concepts per UC'!$F$2:$F$46,0),MATCH(LEFT(B$1,3),'Ontology and concepts per UC'!$G$1:$I$1,0))+1,"NA",IF(COUNTIFS(Validation!$A:$A,B$1,Validation!$S:$S,$A45)&gt;0,"Yes","No"),IF(COUNTIFS(Validation!$A:$A,B$1,Validation!$S:$S,$A45)&gt;0,"Yes","NA"))</f>
        <v>Yes</v>
      </c>
      <c r="C45" s="1" t="str">
        <f t="array" ref="C45">CHOOSE(INDEX('Ontology and concepts per UC'!$G$2:$I$46,MATCH($A45,'Ontology and concepts per UC'!$F$2:$F$46,0),MATCH(LEFT(C$1,3),'Ontology and concepts per UC'!$G$1:$I$1,0))+1,"NA",IF(COUNTIFS(Validation!$A:$A,C$1,Validation!$S:$S,$A45)&gt;0,"Yes","No"),IF(COUNTIFS(Validation!$A:$A,C$1,Validation!$S:$S,$A45)&gt;0,"Yes","NA"))</f>
        <v>NA</v>
      </c>
      <c r="D45" s="1" t="str">
        <f t="array" ref="D45">CHOOSE(INDEX('Ontology and concepts per UC'!$G$2:$I$46,MATCH($A45,'Ontology and concepts per UC'!$F$2:$F$46,0),MATCH(LEFT(D$1,3),'Ontology and concepts per UC'!$G$1:$I$1,0))+1,"NA",IF(COUNTIFS(Validation!$A:$A,D$1,Validation!$S:$S,$A45)&gt;0,"Yes","No"),IF(COUNTIFS(Validation!$A:$A,D$1,Validation!$S:$S,$A45)&gt;0,"Yes","NA"))</f>
        <v>NA</v>
      </c>
      <c r="E45" s="1" t="str">
        <f t="array" ref="E45">CHOOSE(INDEX('Ontology and concepts per UC'!$G$2:$I$46,MATCH($A45,'Ontology and concepts per UC'!$F$2:$F$46,0),MATCH(LEFT(E$1,3),'Ontology and concepts per UC'!$G$1:$I$1,0))+1,"NA",IF(COUNTIFS(Validation!$A:$A,E$1,Validation!$S:$S,$A45)&gt;0,"Yes","No"),IF(COUNTIFS(Validation!$A:$A,E$1,Validation!$S:$S,$A45)&gt;0,"Yes","NA"))</f>
        <v>Yes</v>
      </c>
      <c r="F45" s="1" t="str">
        <f t="array" ref="F45">CHOOSE(INDEX('Ontology and concepts per UC'!$G$2:$I$46,MATCH($A45,'Ontology and concepts per UC'!$F$2:$F$46,0),MATCH(LEFT(F$1,3),'Ontology and concepts per UC'!$G$1:$I$1,0))+1,"NA",IF(COUNTIFS(Validation!$A:$A,F$1,Validation!$S:$S,$A45)&gt;0,"Yes","No"),IF(COUNTIFS(Validation!$A:$A,F$1,Validation!$S:$S,$A45)&gt;0,"Yes","NA"))</f>
        <v>Yes</v>
      </c>
      <c r="G45" s="1" t="str">
        <f t="array" ref="G45">CHOOSE(INDEX('Ontology and concepts per UC'!$G$2:$I$46,MATCH($A45,'Ontology and concepts per UC'!$F$2:$F$46,0),MATCH(LEFT(G$1,3),'Ontology and concepts per UC'!$G$1:$I$1,0))+1,"NA",IF(COUNTIFS(Validation!$A:$A,G$1,Validation!$S:$S,$A45)&gt;0,"Yes","No"),IF(COUNTIFS(Validation!$A:$A,G$1,Validation!$S:$S,$A45)&gt;0,"Yes","NA"))</f>
        <v>Yes</v>
      </c>
      <c r="H45" s="1" t="str">
        <f t="array" ref="H45">CHOOSE(INDEX('Ontology and concepts per UC'!$G$2:$I$46,MATCH($A45,'Ontology and concepts per UC'!$F$2:$F$46,0),MATCH(LEFT(H$1,3),'Ontology and concepts per UC'!$G$1:$I$1,0))+1,"NA",IF(COUNTIFS(Validation!$A:$A,H$1,Validation!$S:$S,$A45)&gt;0,"Yes","No"),IF(COUNTIFS(Validation!$A:$A,H$1,Validation!$S:$S,$A45)&gt;0,"Yes","NA"))</f>
        <v>NA</v>
      </c>
      <c r="I45" s="1" t="str">
        <f t="array" ref="I45">CHOOSE(INDEX('Ontology and concepts per UC'!$G$2:$I$46,MATCH($A45,'Ontology and concepts per UC'!$F$2:$F$46,0),MATCH(LEFT(I$1,3),'Ontology and concepts per UC'!$G$1:$I$1,0))+1,"NA",IF(COUNTIFS(Validation!$A:$A,I$1,Validation!$S:$S,$A45)&gt;0,"Yes","No"),IF(COUNTIFS(Validation!$A:$A,I$1,Validation!$S:$S,$A45)&gt;0,"Yes","NA"))</f>
        <v>NA</v>
      </c>
      <c r="J45" s="1" t="str">
        <f t="array" ref="J45">CHOOSE(INDEX('Ontology and concepts per UC'!$G$2:$I$46,MATCH($A45,'Ontology and concepts per UC'!$F$2:$F$46,0),MATCH(LEFT(J$1,3),'Ontology and concepts per UC'!$G$1:$I$1,0))+1,"NA",IF(COUNTIFS(Validation!$A:$A,J$1,Validation!$S:$S,$A45)&gt;0,"Yes","No"),IF(COUNTIFS(Validation!$A:$A,J$1,Validation!$S:$S,$A45)&gt;0,"Yes","NA"))</f>
        <v>NA</v>
      </c>
      <c r="K45" s="1" t="str">
        <f t="array" ref="K45">CHOOSE(INDEX('Ontology and concepts per UC'!$G$2:$I$46,MATCH($A45,'Ontology and concepts per UC'!$F$2:$F$46,0),MATCH(LEFT(K$1,3),'Ontology and concepts per UC'!$G$1:$I$1,0))+1,"NA",IF(COUNTIFS(Validation!$A:$A,K$1,Validation!$S:$S,$A45)&gt;0,"Yes","No"),IF(COUNTIFS(Validation!$A:$A,K$1,Validation!$S:$S,$A45)&gt;0,"Yes","NA"))</f>
        <v>NA</v>
      </c>
      <c r="L45" s="1" t="str">
        <f t="array" ref="L45">CHOOSE(INDEX('Ontology and concepts per UC'!$G$2:$I$46,MATCH($A45,'Ontology and concepts per UC'!$F$2:$F$46,0),MATCH(LEFT(L$1,3),'Ontology and concepts per UC'!$G$1:$I$1,0))+1,"NA",IF(COUNTIFS(Validation!$A:$A,L$1,Validation!$S:$S,$A45)&gt;0,"Yes","No"),IF(COUNTIFS(Validation!$A:$A,L$1,Validation!$S:$S,$A45)&gt;0,"Yes","NA"))</f>
        <v>NA</v>
      </c>
      <c r="M45" s="1" t="str">
        <f t="array" ref="M45">CHOOSE(INDEX('Ontology and concepts per UC'!$G$2:$I$46,MATCH($A45,'Ontology and concepts per UC'!$F$2:$F$46,0),MATCH(LEFT(M$1,3),'Ontology and concepts per UC'!$G$1:$I$1,0))+1,"NA",IF(COUNTIFS(Validation!$A:$A,M$1,Validation!$S:$S,$A45)&gt;0,"Yes","No"),IF(COUNTIFS(Validation!$A:$A,M$1,Validation!$S:$S,$A45)&gt;0,"Yes","NA"))</f>
        <v>NA</v>
      </c>
      <c r="N45" s="1" t="str">
        <f t="array" ref="N45">CHOOSE(INDEX('Ontology and concepts per UC'!$G$2:$I$46,MATCH($A45,'Ontology and concepts per UC'!$F$2:$F$46,0),MATCH(LEFT(N$1,3),'Ontology and concepts per UC'!$G$1:$I$1,0))+1,"NA",IF(COUNTIFS(Validation!$A:$A,N$1,Validation!$S:$S,$A45)&gt;0,"Yes","No"),IF(COUNTIFS(Validation!$A:$A,N$1,Validation!$S:$S,$A45)&gt;0,"Yes","NA"))</f>
        <v>NA</v>
      </c>
      <c r="O45" s="1" t="str">
        <f t="array" ref="O45">CHOOSE(INDEX('Ontology and concepts per UC'!$G$2:$I$46,MATCH($A45,'Ontology and concepts per UC'!$F$2:$F$46,0),MATCH(LEFT(O$1,3),'Ontology and concepts per UC'!$G$1:$I$1,0))+1,"NA",IF(COUNTIFS(Validation!$A:$A,O$1,Validation!$S:$S,$A45)&gt;0,"Yes","No"),IF(COUNTIFS(Validation!$A:$A,O$1,Validation!$S:$S,$A45)&gt;0,"Yes","NA"))</f>
        <v>NA</v>
      </c>
      <c r="P45" s="1" t="str">
        <f t="array" ref="P45">CHOOSE(INDEX('Ontology and concepts per UC'!$G$2:$I$46,MATCH($A45,'Ontology and concepts per UC'!$F$2:$F$46,0),MATCH(LEFT(P$1,3),'Ontology and concepts per UC'!$G$1:$I$1,0))+1,"NA",IF(COUNTIFS(Validation!$A:$A,P$1,Validation!$S:$S,$A45)&gt;0,"Yes","No"),IF(COUNTIFS(Validation!$A:$A,P$1,Validation!$S:$S,$A45)&gt;0,"Yes","NA"))</f>
        <v>Yes</v>
      </c>
      <c r="Q45" s="1" t="str">
        <f t="array" ref="Q45">CHOOSE(INDEX('Ontology and concepts per UC'!$G$2:$I$46,MATCH($A45,'Ontology and concepts per UC'!$F$2:$F$46,0),MATCH(LEFT(Q$1,3),'Ontology and concepts per UC'!$G$1:$I$1,0))+1,"NA",IF(COUNTIFS(Validation!$A:$A,Q$1,Validation!$S:$S,$A45)&gt;0,"Yes","No"),IF(COUNTIFS(Validation!$A:$A,Q$1,Validation!$S:$S,$A45)&gt;0,"Yes","NA"))</f>
        <v>NA</v>
      </c>
      <c r="R45" s="1" t="str">
        <f t="array" ref="R45">CHOOSE(INDEX('Ontology and concepts per UC'!$G$2:$I$46,MATCH($A45,'Ontology and concepts per UC'!$F$2:$F$46,0),MATCH(LEFT(R$1,3),'Ontology and concepts per UC'!$G$1:$I$1,0))+1,"NA",IF(COUNTIFS(Validation!$A:$A,R$1,Validation!$S:$S,$A45)&gt;0,"Yes","No"),IF(COUNTIFS(Validation!$A:$A,R$1,Validation!$S:$S,$A45)&gt;0,"Yes","NA"))</f>
        <v>Yes</v>
      </c>
      <c r="S45" s="1" t="str">
        <f t="array" ref="S45">CHOOSE(INDEX('Ontology and concepts per UC'!$G$2:$I$46,MATCH($A45,'Ontology and concepts per UC'!$F$2:$F$46,0),MATCH(LEFT(S$1,3),'Ontology and concepts per UC'!$G$1:$I$1,0))+1,"NA",IF(COUNTIFS(Validation!$A:$A,S$1,Validation!$S:$S,$A45)&gt;0,"Yes","No"),IF(COUNTIFS(Validation!$A:$A,S$1,Validation!$S:$S,$A45)&gt;0,"Yes","NA"))</f>
        <v>Yes</v>
      </c>
      <c r="T45" s="1" t="str">
        <f t="array" ref="T45">CHOOSE(INDEX('Ontology and concepts per UC'!$G$2:$I$46,MATCH($A45,'Ontology and concepts per UC'!$F$2:$F$46,0),MATCH(LEFT(T$1,3),'Ontology and concepts per UC'!$G$1:$I$1,0))+1,"NA",IF(COUNTIFS(Validation!$A:$A,T$1,Validation!$S:$S,$A45)&gt;0,"Yes","No"),IF(COUNTIFS(Validation!$A:$A,T$1,Validation!$S:$S,$A45)&gt;0,"Yes","NA"))</f>
        <v>NA</v>
      </c>
      <c r="U45" s="1" t="str">
        <f t="array" ref="U45">CHOOSE(INDEX('Ontology and concepts per UC'!$G$2:$I$46,MATCH($A45,'Ontology and concepts per UC'!$F$2:$F$46,0),MATCH(LEFT(U$1,3),'Ontology and concepts per UC'!$G$1:$I$1,0))+1,"NA",IF(COUNTIFS(Validation!$A:$A,U$1,Validation!$S:$S,$A45)&gt;0,"Yes","No"),IF(COUNTIFS(Validation!$A:$A,U$1,Validation!$S:$S,$A45)&gt;0,"Yes","NA"))</f>
        <v>NA</v>
      </c>
      <c r="V45" s="1" t="str">
        <f t="array" ref="V45">CHOOSE(INDEX('Ontology and concepts per UC'!$G$2:$I$46,MATCH($A45,'Ontology and concepts per UC'!$F$2:$F$46,0),MATCH(LEFT(V$1,3),'Ontology and concepts per UC'!$G$1:$I$1,0))+1,"NA",IF(COUNTIFS(Validation!$A:$A,V$1,Validation!$S:$S,$A45)&gt;0,"Yes","No"),IF(COUNTIFS(Validation!$A:$A,V$1,Validation!$S:$S,$A45)&gt;0,"Yes","NA"))</f>
        <v>Yes</v>
      </c>
      <c r="W45" s="1" t="str">
        <f t="array" ref="W45">CHOOSE(INDEX('Ontology and concepts per UC'!$G$2:$I$46,MATCH($A45,'Ontology and concepts per UC'!$F$2:$F$46,0),MATCH(LEFT(W$1,3),'Ontology and concepts per UC'!$G$1:$I$1,0))+1,"NA",IF(COUNTIFS(Validation!$A:$A,W$1,Validation!$S:$S,$A45)&gt;0,"Yes","No"),IF(COUNTIFS(Validation!$A:$A,W$1,Validation!$S:$S,$A45)&gt;0,"Yes","NA"))</f>
        <v>NA</v>
      </c>
      <c r="X45" s="1" t="str">
        <f t="array" ref="X45">CHOOSE(INDEX('Ontology and concepts per UC'!$G$2:$I$46,MATCH($A45,'Ontology and concepts per UC'!$F$2:$F$46,0),MATCH(LEFT(X$1,3),'Ontology and concepts per UC'!$G$1:$I$1,0))+1,"NA",IF(COUNTIFS(Validation!$A:$A,X$1,Validation!$S:$S,$A45)&gt;0,"Yes","No"),IF(COUNTIFS(Validation!$A:$A,X$1,Validation!$S:$S,$A45)&gt;0,"Yes","NA"))</f>
        <v>NA</v>
      </c>
      <c r="Y45" s="1" t="str">
        <f t="array" ref="Y45">CHOOSE(INDEX('Ontology and concepts per UC'!$G$2:$I$46,MATCH($A45,'Ontology and concepts per UC'!$F$2:$F$46,0),MATCH(LEFT(Y$1,3),'Ontology and concepts per UC'!$G$1:$I$1,0))+1,"NA",IF(COUNTIFS(Validation!$A:$A,Y$1,Validation!$S:$S,$A45)&gt;0,"Yes","No"),IF(COUNTIFS(Validation!$A:$A,Y$1,Validation!$S:$S,$A45)&gt;0,"Yes","NA"))</f>
        <v>NA</v>
      </c>
      <c r="Z45" s="1" t="str">
        <f t="array" ref="Z45">CHOOSE(INDEX('Ontology and concepts per UC'!$G$2:$I$46,MATCH($A45,'Ontology and concepts per UC'!$F$2:$F$46,0),MATCH(LEFT(Z$1,3),'Ontology and concepts per UC'!$G$1:$I$1,0))+1,"NA",IF(COUNTIFS(Validation!$A:$A,Z$1,Validation!$S:$S,$A45)&gt;0,"Yes","No"),IF(COUNTIFS(Validation!$A:$A,Z$1,Validation!$S:$S,$A45)&gt;0,"Yes","NA"))</f>
        <v>NA</v>
      </c>
      <c r="AA45" s="1" t="str">
        <f t="array" ref="AA45">CHOOSE(INDEX('Ontology and concepts per UC'!$G$2:$I$46,MATCH($A45,'Ontology and concepts per UC'!$F$2:$F$46,0),MATCH(LEFT(AA$1,3),'Ontology and concepts per UC'!$G$1:$I$1,0))+1,"NA",IF(COUNTIFS(Validation!$A:$A,AA$1,Validation!$S:$S,$A45)&gt;0,"Yes","No"),IF(COUNTIFS(Validation!$A:$A,AA$1,Validation!$S:$S,$A45)&gt;0,"Yes","NA"))</f>
        <v>NA</v>
      </c>
      <c r="AB45" s="1" t="str">
        <f t="array" ref="AB45">CHOOSE(INDEX('Ontology and concepts per UC'!$G$2:$I$46,MATCH($A45,'Ontology and concepts per UC'!$F$2:$F$46,0),MATCH(LEFT(AB$1,3),'Ontology and concepts per UC'!$G$1:$I$1,0))+1,"NA",IF(COUNTIFS(Validation!$A:$A,AB$1,Validation!$S:$S,$A45)&gt;0,"Yes","No"),IF(COUNTIFS(Validation!$A:$A,AB$1,Validation!$S:$S,$A45)&gt;0,"Yes","NA"))</f>
        <v>NA</v>
      </c>
      <c r="AC45" s="1" t="str">
        <f t="array" ref="AC45">CHOOSE(INDEX('Ontology and concepts per UC'!$G$2:$I$46,MATCH($A45,'Ontology and concepts per UC'!$F$2:$F$46,0),MATCH(LEFT(AC$1,3),'Ontology and concepts per UC'!$G$1:$I$1,0))+1,"NA",IF(COUNTIFS(Validation!$A:$A,AC$1,Validation!$S:$S,$A45)&gt;0,"Yes","No"),IF(COUNTIFS(Validation!$A:$A,AC$1,Validation!$S:$S,$A45)&gt;0,"Yes","NA"))</f>
        <v>NA</v>
      </c>
      <c r="AD45" s="1" t="str">
        <f t="array" ref="AD45">CHOOSE(INDEX('Ontology and concepts per UC'!$G$2:$I$46,MATCH($A45,'Ontology and concepts per UC'!$F$2:$F$46,0),MATCH(LEFT(AD$1,3),'Ontology and concepts per UC'!$G$1:$I$1,0))+1,"NA",IF(COUNTIFS(Validation!$A:$A,AD$1,Validation!$S:$S,$A45)&gt;0,"Yes","No"),IF(COUNTIFS(Validation!$A:$A,AD$1,Validation!$S:$S,$A45)&gt;0,"Yes","NA"))</f>
        <v>NA</v>
      </c>
      <c r="AE45" s="1" t="str">
        <f t="array" ref="AE45">CHOOSE(INDEX('Ontology and concepts per UC'!$G$2:$I$46,MATCH($A45,'Ontology and concepts per UC'!$F$2:$F$46,0),MATCH(LEFT(AE$1,3),'Ontology and concepts per UC'!$G$1:$I$1,0))+1,"NA",IF(COUNTIFS(Validation!$A:$A,AE$1,Validation!$S:$S,$A45)&gt;0,"Yes","No"),IF(COUNTIFS(Validation!$A:$A,AE$1,Validation!$S:$S,$A45)&gt;0,"Yes","NA"))</f>
        <v>NA</v>
      </c>
    </row>
    <row r="46" spans="1:31" x14ac:dyDescent="0.25">
      <c r="A46" s="1" t="s">
        <v>107</v>
      </c>
      <c r="B46" s="1" t="str">
        <f t="array" ref="B46">CHOOSE(INDEX('Ontology and concepts per UC'!$G$2:$I$46,MATCH($A46,'Ontology and concepts per UC'!$F$2:$F$46,0),MATCH(LEFT(B$1,3),'Ontology and concepts per UC'!$G$1:$I$1,0))+1,"NA",IF(COUNTIFS(Validation!$A:$A,B$1,Validation!$S:$S,$A46)&gt;0,"Yes","No"),IF(COUNTIFS(Validation!$A:$A,B$1,Validation!$S:$S,$A46)&gt;0,"Yes","NA"))</f>
        <v>Yes</v>
      </c>
      <c r="C46" s="1" t="str">
        <f t="array" ref="C46">CHOOSE(INDEX('Ontology and concepts per UC'!$G$2:$I$46,MATCH($A46,'Ontology and concepts per UC'!$F$2:$F$46,0),MATCH(LEFT(C$1,3),'Ontology and concepts per UC'!$G$1:$I$1,0))+1,"NA",IF(COUNTIFS(Validation!$A:$A,C$1,Validation!$S:$S,$A46)&gt;0,"Yes","No"),IF(COUNTIFS(Validation!$A:$A,C$1,Validation!$S:$S,$A46)&gt;0,"Yes","NA"))</f>
        <v>NA</v>
      </c>
      <c r="D46" s="1" t="str">
        <f t="array" ref="D46">CHOOSE(INDEX('Ontology and concepts per UC'!$G$2:$I$46,MATCH($A46,'Ontology and concepts per UC'!$F$2:$F$46,0),MATCH(LEFT(D$1,3),'Ontology and concepts per UC'!$G$1:$I$1,0))+1,"NA",IF(COUNTIFS(Validation!$A:$A,D$1,Validation!$S:$S,$A46)&gt;0,"Yes","No"),IF(COUNTIFS(Validation!$A:$A,D$1,Validation!$S:$S,$A46)&gt;0,"Yes","NA"))</f>
        <v>Yes</v>
      </c>
      <c r="E46" s="1" t="str">
        <f t="array" ref="E46">CHOOSE(INDEX('Ontology and concepts per UC'!$G$2:$I$46,MATCH($A46,'Ontology and concepts per UC'!$F$2:$F$46,0),MATCH(LEFT(E$1,3),'Ontology and concepts per UC'!$G$1:$I$1,0))+1,"NA",IF(COUNTIFS(Validation!$A:$A,E$1,Validation!$S:$S,$A46)&gt;0,"Yes","No"),IF(COUNTIFS(Validation!$A:$A,E$1,Validation!$S:$S,$A46)&gt;0,"Yes","NA"))</f>
        <v>Yes</v>
      </c>
      <c r="F46" s="1" t="str">
        <f t="array" ref="F46">CHOOSE(INDEX('Ontology and concepts per UC'!$G$2:$I$46,MATCH($A46,'Ontology and concepts per UC'!$F$2:$F$46,0),MATCH(LEFT(F$1,3),'Ontology and concepts per UC'!$G$1:$I$1,0))+1,"NA",IF(COUNTIFS(Validation!$A:$A,F$1,Validation!$S:$S,$A46)&gt;0,"Yes","No"),IF(COUNTIFS(Validation!$A:$A,F$1,Validation!$S:$S,$A46)&gt;0,"Yes","NA"))</f>
        <v>Yes</v>
      </c>
      <c r="G46" s="1" t="str">
        <f t="array" ref="G46">CHOOSE(INDEX('Ontology and concepts per UC'!$G$2:$I$46,MATCH($A46,'Ontology and concepts per UC'!$F$2:$F$46,0),MATCH(LEFT(G$1,3),'Ontology and concepts per UC'!$G$1:$I$1,0))+1,"NA",IF(COUNTIFS(Validation!$A:$A,G$1,Validation!$S:$S,$A46)&gt;0,"Yes","No"),IF(COUNTIFS(Validation!$A:$A,G$1,Validation!$S:$S,$A46)&gt;0,"Yes","NA"))</f>
        <v>Yes</v>
      </c>
      <c r="H46" s="1" t="str">
        <f t="array" ref="H46">CHOOSE(INDEX('Ontology and concepts per UC'!$G$2:$I$46,MATCH($A46,'Ontology and concepts per UC'!$F$2:$F$46,0),MATCH(LEFT(H$1,3),'Ontology and concepts per UC'!$G$1:$I$1,0))+1,"NA",IF(COUNTIFS(Validation!$A:$A,H$1,Validation!$S:$S,$A46)&gt;0,"Yes","No"),IF(COUNTIFS(Validation!$A:$A,H$1,Validation!$S:$S,$A46)&gt;0,"Yes","NA"))</f>
        <v>NA</v>
      </c>
      <c r="I46" s="1" t="str">
        <f t="array" ref="I46">CHOOSE(INDEX('Ontology and concepts per UC'!$G$2:$I$46,MATCH($A46,'Ontology and concepts per UC'!$F$2:$F$46,0),MATCH(LEFT(I$1,3),'Ontology and concepts per UC'!$G$1:$I$1,0))+1,"NA",IF(COUNTIFS(Validation!$A:$A,I$1,Validation!$S:$S,$A46)&gt;0,"Yes","No"),IF(COUNTIFS(Validation!$A:$A,I$1,Validation!$S:$S,$A46)&gt;0,"Yes","NA"))</f>
        <v>NA</v>
      </c>
      <c r="J46" s="1" t="str">
        <f t="array" ref="J46">CHOOSE(INDEX('Ontology and concepts per UC'!$G$2:$I$46,MATCH($A46,'Ontology and concepts per UC'!$F$2:$F$46,0),MATCH(LEFT(J$1,3),'Ontology and concepts per UC'!$G$1:$I$1,0))+1,"NA",IF(COUNTIFS(Validation!$A:$A,J$1,Validation!$S:$S,$A46)&gt;0,"Yes","No"),IF(COUNTIFS(Validation!$A:$A,J$1,Validation!$S:$S,$A46)&gt;0,"Yes","NA"))</f>
        <v>NA</v>
      </c>
      <c r="K46" s="1" t="str">
        <f t="array" ref="K46">CHOOSE(INDEX('Ontology and concepts per UC'!$G$2:$I$46,MATCH($A46,'Ontology and concepts per UC'!$F$2:$F$46,0),MATCH(LEFT(K$1,3),'Ontology and concepts per UC'!$G$1:$I$1,0))+1,"NA",IF(COUNTIFS(Validation!$A:$A,K$1,Validation!$S:$S,$A46)&gt;0,"Yes","No"),IF(COUNTIFS(Validation!$A:$A,K$1,Validation!$S:$S,$A46)&gt;0,"Yes","NA"))</f>
        <v>NA</v>
      </c>
      <c r="L46" s="1" t="str">
        <f t="array" ref="L46">CHOOSE(INDEX('Ontology and concepts per UC'!$G$2:$I$46,MATCH($A46,'Ontology and concepts per UC'!$F$2:$F$46,0),MATCH(LEFT(L$1,3),'Ontology and concepts per UC'!$G$1:$I$1,0))+1,"NA",IF(COUNTIFS(Validation!$A:$A,L$1,Validation!$S:$S,$A46)&gt;0,"Yes","No"),IF(COUNTIFS(Validation!$A:$A,L$1,Validation!$S:$S,$A46)&gt;0,"Yes","NA"))</f>
        <v>NA</v>
      </c>
      <c r="M46" s="1" t="str">
        <f t="array" ref="M46">CHOOSE(INDEX('Ontology and concepts per UC'!$G$2:$I$46,MATCH($A46,'Ontology and concepts per UC'!$F$2:$F$46,0),MATCH(LEFT(M$1,3),'Ontology and concepts per UC'!$G$1:$I$1,0))+1,"NA",IF(COUNTIFS(Validation!$A:$A,M$1,Validation!$S:$S,$A46)&gt;0,"Yes","No"),IF(COUNTIFS(Validation!$A:$A,M$1,Validation!$S:$S,$A46)&gt;0,"Yes","NA"))</f>
        <v>Yes</v>
      </c>
      <c r="N46" s="1" t="str">
        <f t="array" ref="N46">CHOOSE(INDEX('Ontology and concepts per UC'!$G$2:$I$46,MATCH($A46,'Ontology and concepts per UC'!$F$2:$F$46,0),MATCH(LEFT(N$1,3),'Ontology and concepts per UC'!$G$1:$I$1,0))+1,"NA",IF(COUNTIFS(Validation!$A:$A,N$1,Validation!$S:$S,$A46)&gt;0,"Yes","No"),IF(COUNTIFS(Validation!$A:$A,N$1,Validation!$S:$S,$A46)&gt;0,"Yes","NA"))</f>
        <v>Yes</v>
      </c>
      <c r="O46" s="1" t="str">
        <f t="array" ref="O46">CHOOSE(INDEX('Ontology and concepts per UC'!$G$2:$I$46,MATCH($A46,'Ontology and concepts per UC'!$F$2:$F$46,0),MATCH(LEFT(O$1,3),'Ontology and concepts per UC'!$G$1:$I$1,0))+1,"NA",IF(COUNTIFS(Validation!$A:$A,O$1,Validation!$S:$S,$A46)&gt;0,"Yes","No"),IF(COUNTIFS(Validation!$A:$A,O$1,Validation!$S:$S,$A46)&gt;0,"Yes","NA"))</f>
        <v>Yes</v>
      </c>
      <c r="P46" s="1" t="str">
        <f t="array" ref="P46">CHOOSE(INDEX('Ontology and concepts per UC'!$G$2:$I$46,MATCH($A46,'Ontology and concepts per UC'!$F$2:$F$46,0),MATCH(LEFT(P$1,3),'Ontology and concepts per UC'!$G$1:$I$1,0))+1,"NA",IF(COUNTIFS(Validation!$A:$A,P$1,Validation!$S:$S,$A46)&gt;0,"Yes","No"),IF(COUNTIFS(Validation!$A:$A,P$1,Validation!$S:$S,$A46)&gt;0,"Yes","NA"))</f>
        <v>NA</v>
      </c>
      <c r="Q46" s="1" t="str">
        <f t="array" ref="Q46">CHOOSE(INDEX('Ontology and concepts per UC'!$G$2:$I$46,MATCH($A46,'Ontology and concepts per UC'!$F$2:$F$46,0),MATCH(LEFT(Q$1,3),'Ontology and concepts per UC'!$G$1:$I$1,0))+1,"NA",IF(COUNTIFS(Validation!$A:$A,Q$1,Validation!$S:$S,$A46)&gt;0,"Yes","No"),IF(COUNTIFS(Validation!$A:$A,Q$1,Validation!$S:$S,$A46)&gt;0,"Yes","NA"))</f>
        <v>NA</v>
      </c>
      <c r="R46" s="1" t="str">
        <f t="array" ref="R46">CHOOSE(INDEX('Ontology and concepts per UC'!$G$2:$I$46,MATCH($A46,'Ontology and concepts per UC'!$F$2:$F$46,0),MATCH(LEFT(R$1,3),'Ontology and concepts per UC'!$G$1:$I$1,0))+1,"NA",IF(COUNTIFS(Validation!$A:$A,R$1,Validation!$S:$S,$A46)&gt;0,"Yes","No"),IF(COUNTIFS(Validation!$A:$A,R$1,Validation!$S:$S,$A46)&gt;0,"Yes","NA"))</f>
        <v>Yes</v>
      </c>
      <c r="S46" s="1" t="str">
        <f t="array" ref="S46">CHOOSE(INDEX('Ontology and concepts per UC'!$G$2:$I$46,MATCH($A46,'Ontology and concepts per UC'!$F$2:$F$46,0),MATCH(LEFT(S$1,3),'Ontology and concepts per UC'!$G$1:$I$1,0))+1,"NA",IF(COUNTIFS(Validation!$A:$A,S$1,Validation!$S:$S,$A46)&gt;0,"Yes","No"),IF(COUNTIFS(Validation!$A:$A,S$1,Validation!$S:$S,$A46)&gt;0,"Yes","NA"))</f>
        <v>Yes</v>
      </c>
      <c r="T46" s="1" t="str">
        <f t="array" ref="T46">CHOOSE(INDEX('Ontology and concepts per UC'!$G$2:$I$46,MATCH($A46,'Ontology and concepts per UC'!$F$2:$F$46,0),MATCH(LEFT(T$1,3),'Ontology and concepts per UC'!$G$1:$I$1,0))+1,"NA",IF(COUNTIFS(Validation!$A:$A,T$1,Validation!$S:$S,$A46)&gt;0,"Yes","No"),IF(COUNTIFS(Validation!$A:$A,T$1,Validation!$S:$S,$A46)&gt;0,"Yes","NA"))</f>
        <v>NA</v>
      </c>
      <c r="U46" s="1" t="str">
        <f t="array" ref="U46">CHOOSE(INDEX('Ontology and concepts per UC'!$G$2:$I$46,MATCH($A46,'Ontology and concepts per UC'!$F$2:$F$46,0),MATCH(LEFT(U$1,3),'Ontology and concepts per UC'!$G$1:$I$1,0))+1,"NA",IF(COUNTIFS(Validation!$A:$A,U$1,Validation!$S:$S,$A46)&gt;0,"Yes","No"),IF(COUNTIFS(Validation!$A:$A,U$1,Validation!$S:$S,$A46)&gt;0,"Yes","NA"))</f>
        <v>NA</v>
      </c>
      <c r="V46" s="1" t="str">
        <f t="array" ref="V46">CHOOSE(INDEX('Ontology and concepts per UC'!$G$2:$I$46,MATCH($A46,'Ontology and concepts per UC'!$F$2:$F$46,0),MATCH(LEFT(V$1,3),'Ontology and concepts per UC'!$G$1:$I$1,0))+1,"NA",IF(COUNTIFS(Validation!$A:$A,V$1,Validation!$S:$S,$A46)&gt;0,"Yes","No"),IF(COUNTIFS(Validation!$A:$A,V$1,Validation!$S:$S,$A46)&gt;0,"Yes","NA"))</f>
        <v>Yes</v>
      </c>
      <c r="W46" s="1" t="str">
        <f t="array" ref="W46">CHOOSE(INDEX('Ontology and concepts per UC'!$G$2:$I$46,MATCH($A46,'Ontology and concepts per UC'!$F$2:$F$46,0),MATCH(LEFT(W$1,3),'Ontology and concepts per UC'!$G$1:$I$1,0))+1,"NA",IF(COUNTIFS(Validation!$A:$A,W$1,Validation!$S:$S,$A46)&gt;0,"Yes","No"),IF(COUNTIFS(Validation!$A:$A,W$1,Validation!$S:$S,$A46)&gt;0,"Yes","NA"))</f>
        <v>Yes</v>
      </c>
      <c r="X46" s="1" t="str">
        <f t="array" ref="X46">CHOOSE(INDEX('Ontology and concepts per UC'!$G$2:$I$46,MATCH($A46,'Ontology and concepts per UC'!$F$2:$F$46,0),MATCH(LEFT(X$1,3),'Ontology and concepts per UC'!$G$1:$I$1,0))+1,"NA",IF(COUNTIFS(Validation!$A:$A,X$1,Validation!$S:$S,$A46)&gt;0,"Yes","No"),IF(COUNTIFS(Validation!$A:$A,X$1,Validation!$S:$S,$A46)&gt;0,"Yes","NA"))</f>
        <v>NA</v>
      </c>
      <c r="Y46" s="1" t="str">
        <f t="array" ref="Y46">CHOOSE(INDEX('Ontology and concepts per UC'!$G$2:$I$46,MATCH($A46,'Ontology and concepts per UC'!$F$2:$F$46,0),MATCH(LEFT(Y$1,3),'Ontology and concepts per UC'!$G$1:$I$1,0))+1,"NA",IF(COUNTIFS(Validation!$A:$A,Y$1,Validation!$S:$S,$A46)&gt;0,"Yes","No"),IF(COUNTIFS(Validation!$A:$A,Y$1,Validation!$S:$S,$A46)&gt;0,"Yes","NA"))</f>
        <v>NA</v>
      </c>
      <c r="Z46" s="1" t="str">
        <f t="array" ref="Z46">CHOOSE(INDEX('Ontology and concepts per UC'!$G$2:$I$46,MATCH($A46,'Ontology and concepts per UC'!$F$2:$F$46,0),MATCH(LEFT(Z$1,3),'Ontology and concepts per UC'!$G$1:$I$1,0))+1,"NA",IF(COUNTIFS(Validation!$A:$A,Z$1,Validation!$S:$S,$A46)&gt;0,"Yes","No"),IF(COUNTIFS(Validation!$A:$A,Z$1,Validation!$S:$S,$A46)&gt;0,"Yes","NA"))</f>
        <v>NA</v>
      </c>
      <c r="AA46" s="1" t="str">
        <f t="array" ref="AA46">CHOOSE(INDEX('Ontology and concepts per UC'!$G$2:$I$46,MATCH($A46,'Ontology and concepts per UC'!$F$2:$F$46,0),MATCH(LEFT(AA$1,3),'Ontology and concepts per UC'!$G$1:$I$1,0))+1,"NA",IF(COUNTIFS(Validation!$A:$A,AA$1,Validation!$S:$S,$A46)&gt;0,"Yes","No"),IF(COUNTIFS(Validation!$A:$A,AA$1,Validation!$S:$S,$A46)&gt;0,"Yes","NA"))</f>
        <v>NA</v>
      </c>
      <c r="AB46" s="1" t="str">
        <f t="array" ref="AB46">CHOOSE(INDEX('Ontology and concepts per UC'!$G$2:$I$46,MATCH($A46,'Ontology and concepts per UC'!$F$2:$F$46,0),MATCH(LEFT(AB$1,3),'Ontology and concepts per UC'!$G$1:$I$1,0))+1,"NA",IF(COUNTIFS(Validation!$A:$A,AB$1,Validation!$S:$S,$A46)&gt;0,"Yes","No"),IF(COUNTIFS(Validation!$A:$A,AB$1,Validation!$S:$S,$A46)&gt;0,"Yes","NA"))</f>
        <v>NA</v>
      </c>
      <c r="AC46" s="1" t="str">
        <f t="array" ref="AC46">CHOOSE(INDEX('Ontology and concepts per UC'!$G$2:$I$46,MATCH($A46,'Ontology and concepts per UC'!$F$2:$F$46,0),MATCH(LEFT(AC$1,3),'Ontology and concepts per UC'!$G$1:$I$1,0))+1,"NA",IF(COUNTIFS(Validation!$A:$A,AC$1,Validation!$S:$S,$A46)&gt;0,"Yes","No"),IF(COUNTIFS(Validation!$A:$A,AC$1,Validation!$S:$S,$A46)&gt;0,"Yes","NA"))</f>
        <v>Yes</v>
      </c>
      <c r="AD46" s="1" t="str">
        <f t="array" ref="AD46">CHOOSE(INDEX('Ontology and concepts per UC'!$G$2:$I$46,MATCH($A46,'Ontology and concepts per UC'!$F$2:$F$46,0),MATCH(LEFT(AD$1,3),'Ontology and concepts per UC'!$G$1:$I$1,0))+1,"NA",IF(COUNTIFS(Validation!$A:$A,AD$1,Validation!$S:$S,$A46)&gt;0,"Yes","No"),IF(COUNTIFS(Validation!$A:$A,AD$1,Validation!$S:$S,$A46)&gt;0,"Yes","NA"))</f>
        <v>NA</v>
      </c>
      <c r="AE46" s="1" t="str">
        <f t="array" ref="AE46">CHOOSE(INDEX('Ontology and concepts per UC'!$G$2:$I$46,MATCH($A46,'Ontology and concepts per UC'!$F$2:$F$46,0),MATCH(LEFT(AE$1,3),'Ontology and concepts per UC'!$G$1:$I$1,0))+1,"NA",IF(COUNTIFS(Validation!$A:$A,AE$1,Validation!$S:$S,$A46)&gt;0,"Yes","No"),IF(COUNTIFS(Validation!$A:$A,AE$1,Validation!$S:$S,$A46)&gt;0,"Yes","NA"))</f>
        <v>Yes</v>
      </c>
    </row>
    <row r="47" spans="1:31" x14ac:dyDescent="0.25">
      <c r="A47" s="1" t="s">
        <v>187</v>
      </c>
      <c r="B47" s="1" t="str">
        <f t="array" ref="B47">CHOOSE(INDEX('Ontology and concepts per UC'!$G$2:$I$46,MATCH($A47,'Ontology and concepts per UC'!$F$2:$F$46,0),MATCH(LEFT(B$1,3),'Ontology and concepts per UC'!$G$1:$I$1,0))+1,"NA",IF(COUNTIFS(Validation!$A:$A,B$1,Validation!$S:$S,$A47)&gt;0,"Yes","No"),IF(COUNTIFS(Validation!$A:$A,B$1,Validation!$S:$S,$A47)&gt;0,"Yes","NA"))</f>
        <v>NA</v>
      </c>
      <c r="C47" s="1" t="str">
        <f t="array" ref="C47">CHOOSE(INDEX('Ontology and concepts per UC'!$G$2:$I$46,MATCH($A47,'Ontology and concepts per UC'!$F$2:$F$46,0),MATCH(LEFT(C$1,3),'Ontology and concepts per UC'!$G$1:$I$1,0))+1,"NA",IF(COUNTIFS(Validation!$A:$A,C$1,Validation!$S:$S,$A47)&gt;0,"Yes","No"),IF(COUNTIFS(Validation!$A:$A,C$1,Validation!$S:$S,$A47)&gt;0,"Yes","NA"))</f>
        <v>NA</v>
      </c>
      <c r="D47" s="1" t="str">
        <f t="array" ref="D47">CHOOSE(INDEX('Ontology and concepts per UC'!$G$2:$I$46,MATCH($A47,'Ontology and concepts per UC'!$F$2:$F$46,0),MATCH(LEFT(D$1,3),'Ontology and concepts per UC'!$G$1:$I$1,0))+1,"NA",IF(COUNTIFS(Validation!$A:$A,D$1,Validation!$S:$S,$A47)&gt;0,"Yes","No"),IF(COUNTIFS(Validation!$A:$A,D$1,Validation!$S:$S,$A47)&gt;0,"Yes","NA"))</f>
        <v>NA</v>
      </c>
      <c r="E47" s="1" t="str">
        <f t="array" ref="E47">CHOOSE(INDEX('Ontology and concepts per UC'!$G$2:$I$46,MATCH($A47,'Ontology and concepts per UC'!$F$2:$F$46,0),MATCH(LEFT(E$1,3),'Ontology and concepts per UC'!$G$1:$I$1,0))+1,"NA",IF(COUNTIFS(Validation!$A:$A,E$1,Validation!$S:$S,$A47)&gt;0,"Yes","No"),IF(COUNTIFS(Validation!$A:$A,E$1,Validation!$S:$S,$A47)&gt;0,"Yes","NA"))</f>
        <v>NA</v>
      </c>
      <c r="F47" s="1" t="str">
        <f t="array" ref="F47">CHOOSE(INDEX('Ontology and concepts per UC'!$G$2:$I$46,MATCH($A47,'Ontology and concepts per UC'!$F$2:$F$46,0),MATCH(LEFT(F$1,3),'Ontology and concepts per UC'!$G$1:$I$1,0))+1,"NA",IF(COUNTIFS(Validation!$A:$A,F$1,Validation!$S:$S,$A47)&gt;0,"Yes","No"),IF(COUNTIFS(Validation!$A:$A,F$1,Validation!$S:$S,$A47)&gt;0,"Yes","NA"))</f>
        <v>NA</v>
      </c>
      <c r="G47" s="1" t="str">
        <f t="array" ref="G47">CHOOSE(INDEX('Ontology and concepts per UC'!$G$2:$I$46,MATCH($A47,'Ontology and concepts per UC'!$F$2:$F$46,0),MATCH(LEFT(G$1,3),'Ontology and concepts per UC'!$G$1:$I$1,0))+1,"NA",IF(COUNTIFS(Validation!$A:$A,G$1,Validation!$S:$S,$A47)&gt;0,"Yes","No"),IF(COUNTIFS(Validation!$A:$A,G$1,Validation!$S:$S,$A47)&gt;0,"Yes","NA"))</f>
        <v>NA</v>
      </c>
      <c r="H47" s="1" t="str">
        <f t="array" ref="H47">CHOOSE(INDEX('Ontology and concepts per UC'!$G$2:$I$46,MATCH($A47,'Ontology and concepts per UC'!$F$2:$F$46,0),MATCH(LEFT(H$1,3),'Ontology and concepts per UC'!$G$1:$I$1,0))+1,"NA",IF(COUNTIFS(Validation!$A:$A,H$1,Validation!$S:$S,$A47)&gt;0,"Yes","No"),IF(COUNTIFS(Validation!$A:$A,H$1,Validation!$S:$S,$A47)&gt;0,"Yes","NA"))</f>
        <v>NA</v>
      </c>
      <c r="I47" s="1" t="str">
        <f t="array" ref="I47">CHOOSE(INDEX('Ontology and concepts per UC'!$G$2:$I$46,MATCH($A47,'Ontology and concepts per UC'!$F$2:$F$46,0),MATCH(LEFT(I$1,3),'Ontology and concepts per UC'!$G$1:$I$1,0))+1,"NA",IF(COUNTIFS(Validation!$A:$A,I$1,Validation!$S:$S,$A47)&gt;0,"Yes","No"),IF(COUNTIFS(Validation!$A:$A,I$1,Validation!$S:$S,$A47)&gt;0,"Yes","NA"))</f>
        <v>NA</v>
      </c>
      <c r="J47" s="1" t="str">
        <f t="array" ref="J47">CHOOSE(INDEX('Ontology and concepts per UC'!$G$2:$I$46,MATCH($A47,'Ontology and concepts per UC'!$F$2:$F$46,0),MATCH(LEFT(J$1,3),'Ontology and concepts per UC'!$G$1:$I$1,0))+1,"NA",IF(COUNTIFS(Validation!$A:$A,J$1,Validation!$S:$S,$A47)&gt;0,"Yes","No"),IF(COUNTIFS(Validation!$A:$A,J$1,Validation!$S:$S,$A47)&gt;0,"Yes","NA"))</f>
        <v>NA</v>
      </c>
      <c r="K47" s="1" t="str">
        <f t="array" ref="K47">CHOOSE(INDEX('Ontology and concepts per UC'!$G$2:$I$46,MATCH($A47,'Ontology and concepts per UC'!$F$2:$F$46,0),MATCH(LEFT(K$1,3),'Ontology and concepts per UC'!$G$1:$I$1,0))+1,"NA",IF(COUNTIFS(Validation!$A:$A,K$1,Validation!$S:$S,$A47)&gt;0,"Yes","No"),IF(COUNTIFS(Validation!$A:$A,K$1,Validation!$S:$S,$A47)&gt;0,"Yes","NA"))</f>
        <v>NA</v>
      </c>
      <c r="L47" s="1" t="str">
        <f t="array" ref="L47">CHOOSE(INDEX('Ontology and concepts per UC'!$G$2:$I$46,MATCH($A47,'Ontology and concepts per UC'!$F$2:$F$46,0),MATCH(LEFT(L$1,3),'Ontology and concepts per UC'!$G$1:$I$1,0))+1,"NA",IF(COUNTIFS(Validation!$A:$A,L$1,Validation!$S:$S,$A47)&gt;0,"Yes","No"),IF(COUNTIFS(Validation!$A:$A,L$1,Validation!$S:$S,$A47)&gt;0,"Yes","NA"))</f>
        <v>NA</v>
      </c>
      <c r="M47" s="1" t="str">
        <f t="array" ref="M47">CHOOSE(INDEX('Ontology and concepts per UC'!$G$2:$I$46,MATCH($A47,'Ontology and concepts per UC'!$F$2:$F$46,0),MATCH(LEFT(M$1,3),'Ontology and concepts per UC'!$G$1:$I$1,0))+1,"NA",IF(COUNTIFS(Validation!$A:$A,M$1,Validation!$S:$S,$A47)&gt;0,"Yes","No"),IF(COUNTIFS(Validation!$A:$A,M$1,Validation!$S:$S,$A47)&gt;0,"Yes","NA"))</f>
        <v>NA</v>
      </c>
      <c r="N47" s="1" t="str">
        <f t="array" ref="N47">CHOOSE(INDEX('Ontology and concepts per UC'!$G$2:$I$46,MATCH($A47,'Ontology and concepts per UC'!$F$2:$F$46,0),MATCH(LEFT(N$1,3),'Ontology and concepts per UC'!$G$1:$I$1,0))+1,"NA",IF(COUNTIFS(Validation!$A:$A,N$1,Validation!$S:$S,$A47)&gt;0,"Yes","No"),IF(COUNTIFS(Validation!$A:$A,N$1,Validation!$S:$S,$A47)&gt;0,"Yes","NA"))</f>
        <v>NA</v>
      </c>
      <c r="O47" s="1" t="str">
        <f t="array" ref="O47">CHOOSE(INDEX('Ontology and concepts per UC'!$G$2:$I$46,MATCH($A47,'Ontology and concepts per UC'!$F$2:$F$46,0),MATCH(LEFT(O$1,3),'Ontology and concepts per UC'!$G$1:$I$1,0))+1,"NA",IF(COUNTIFS(Validation!$A:$A,O$1,Validation!$S:$S,$A47)&gt;0,"Yes","No"),IF(COUNTIFS(Validation!$A:$A,O$1,Validation!$S:$S,$A47)&gt;0,"Yes","NA"))</f>
        <v>NA</v>
      </c>
      <c r="P47" s="1" t="str">
        <f t="array" ref="P47">CHOOSE(INDEX('Ontology and concepts per UC'!$G$2:$I$46,MATCH($A47,'Ontology and concepts per UC'!$F$2:$F$46,0),MATCH(LEFT(P$1,3),'Ontology and concepts per UC'!$G$1:$I$1,0))+1,"NA",IF(COUNTIFS(Validation!$A:$A,P$1,Validation!$S:$S,$A47)&gt;0,"Yes","No"),IF(COUNTIFS(Validation!$A:$A,P$1,Validation!$S:$S,$A47)&gt;0,"Yes","NA"))</f>
        <v>NA</v>
      </c>
      <c r="Q47" s="1" t="str">
        <f t="array" ref="Q47">CHOOSE(INDEX('Ontology and concepts per UC'!$G$2:$I$46,MATCH($A47,'Ontology and concepts per UC'!$F$2:$F$46,0),MATCH(LEFT(Q$1,3),'Ontology and concepts per UC'!$G$1:$I$1,0))+1,"NA",IF(COUNTIFS(Validation!$A:$A,Q$1,Validation!$S:$S,$A47)&gt;0,"Yes","No"),IF(COUNTIFS(Validation!$A:$A,Q$1,Validation!$S:$S,$A47)&gt;0,"Yes","NA"))</f>
        <v>NA</v>
      </c>
      <c r="R47" s="1" t="str">
        <f t="array" ref="R47">CHOOSE(INDEX('Ontology and concepts per UC'!$G$2:$I$46,MATCH($A47,'Ontology and concepts per UC'!$F$2:$F$46,0),MATCH(LEFT(R$1,3),'Ontology and concepts per UC'!$G$1:$I$1,0))+1,"NA",IF(COUNTIFS(Validation!$A:$A,R$1,Validation!$S:$S,$A47)&gt;0,"Yes","No"),IF(COUNTIFS(Validation!$A:$A,R$1,Validation!$S:$S,$A47)&gt;0,"Yes","NA"))</f>
        <v>NA</v>
      </c>
      <c r="S47" s="1" t="str">
        <f t="array" ref="S47">CHOOSE(INDEX('Ontology and concepts per UC'!$G$2:$I$46,MATCH($A47,'Ontology and concepts per UC'!$F$2:$F$46,0),MATCH(LEFT(S$1,3),'Ontology and concepts per UC'!$G$1:$I$1,0))+1,"NA",IF(COUNTIFS(Validation!$A:$A,S$1,Validation!$S:$S,$A47)&gt;0,"Yes","No"),IF(COUNTIFS(Validation!$A:$A,S$1,Validation!$S:$S,$A47)&gt;0,"Yes","NA"))</f>
        <v>NA</v>
      </c>
      <c r="T47" s="1" t="str">
        <f t="array" ref="T47">CHOOSE(INDEX('Ontology and concepts per UC'!$G$2:$I$46,MATCH($A47,'Ontology and concepts per UC'!$F$2:$F$46,0),MATCH(LEFT(T$1,3),'Ontology and concepts per UC'!$G$1:$I$1,0))+1,"NA",IF(COUNTIFS(Validation!$A:$A,T$1,Validation!$S:$S,$A47)&gt;0,"Yes","No"),IF(COUNTIFS(Validation!$A:$A,T$1,Validation!$S:$S,$A47)&gt;0,"Yes","NA"))</f>
        <v>NA</v>
      </c>
      <c r="U47" s="1" t="str">
        <f t="array" ref="U47">CHOOSE(INDEX('Ontology and concepts per UC'!$G$2:$I$46,MATCH($A47,'Ontology and concepts per UC'!$F$2:$F$46,0),MATCH(LEFT(U$1,3),'Ontology and concepts per UC'!$G$1:$I$1,0))+1,"NA",IF(COUNTIFS(Validation!$A:$A,U$1,Validation!$S:$S,$A47)&gt;0,"Yes","No"),IF(COUNTIFS(Validation!$A:$A,U$1,Validation!$S:$S,$A47)&gt;0,"Yes","NA"))</f>
        <v>NA</v>
      </c>
      <c r="V47" s="1" t="str">
        <f t="array" ref="V47">CHOOSE(INDEX('Ontology and concepts per UC'!$G$2:$I$46,MATCH($A47,'Ontology and concepts per UC'!$F$2:$F$46,0),MATCH(LEFT(V$1,3),'Ontology and concepts per UC'!$G$1:$I$1,0))+1,"NA",IF(COUNTIFS(Validation!$A:$A,V$1,Validation!$S:$S,$A47)&gt;0,"Yes","No"),IF(COUNTIFS(Validation!$A:$A,V$1,Validation!$S:$S,$A47)&gt;0,"Yes","NA"))</f>
        <v>NA</v>
      </c>
      <c r="W47" s="1" t="str">
        <f t="array" ref="W47">CHOOSE(INDEX('Ontology and concepts per UC'!$G$2:$I$46,MATCH($A47,'Ontology and concepts per UC'!$F$2:$F$46,0),MATCH(LEFT(W$1,3),'Ontology and concepts per UC'!$G$1:$I$1,0))+1,"NA",IF(COUNTIFS(Validation!$A:$A,W$1,Validation!$S:$S,$A47)&gt;0,"Yes","No"),IF(COUNTIFS(Validation!$A:$A,W$1,Validation!$S:$S,$A47)&gt;0,"Yes","NA"))</f>
        <v>NA</v>
      </c>
      <c r="X47" s="1" t="str">
        <f t="array" ref="X47">CHOOSE(INDEX('Ontology and concepts per UC'!$G$2:$I$46,MATCH($A47,'Ontology and concepts per UC'!$F$2:$F$46,0),MATCH(LEFT(X$1,3),'Ontology and concepts per UC'!$G$1:$I$1,0))+1,"NA",IF(COUNTIFS(Validation!$A:$A,X$1,Validation!$S:$S,$A47)&gt;0,"Yes","No"),IF(COUNTIFS(Validation!$A:$A,X$1,Validation!$S:$S,$A47)&gt;0,"Yes","NA"))</f>
        <v>NA</v>
      </c>
      <c r="Y47" s="1" t="str">
        <f t="array" ref="Y47">CHOOSE(INDEX('Ontology and concepts per UC'!$G$2:$I$46,MATCH($A47,'Ontology and concepts per UC'!$F$2:$F$46,0),MATCH(LEFT(Y$1,3),'Ontology and concepts per UC'!$G$1:$I$1,0))+1,"NA",IF(COUNTIFS(Validation!$A:$A,Y$1,Validation!$S:$S,$A47)&gt;0,"Yes","No"),IF(COUNTIFS(Validation!$A:$A,Y$1,Validation!$S:$S,$A47)&gt;0,"Yes","NA"))</f>
        <v>NA</v>
      </c>
      <c r="Z47" s="1" t="str">
        <f t="array" ref="Z47">CHOOSE(INDEX('Ontology and concepts per UC'!$G$2:$I$46,MATCH($A47,'Ontology and concepts per UC'!$F$2:$F$46,0),MATCH(LEFT(Z$1,3),'Ontology and concepts per UC'!$G$1:$I$1,0))+1,"NA",IF(COUNTIFS(Validation!$A:$A,Z$1,Validation!$S:$S,$A47)&gt;0,"Yes","No"),IF(COUNTIFS(Validation!$A:$A,Z$1,Validation!$S:$S,$A47)&gt;0,"Yes","NA"))</f>
        <v>NA</v>
      </c>
      <c r="AA47" s="1" t="str">
        <f t="array" ref="AA47">CHOOSE(INDEX('Ontology and concepts per UC'!$G$2:$I$46,MATCH($A47,'Ontology and concepts per UC'!$F$2:$F$46,0),MATCH(LEFT(AA$1,3),'Ontology and concepts per UC'!$G$1:$I$1,0))+1,"NA",IF(COUNTIFS(Validation!$A:$A,AA$1,Validation!$S:$S,$A47)&gt;0,"Yes","No"),IF(COUNTIFS(Validation!$A:$A,AA$1,Validation!$S:$S,$A47)&gt;0,"Yes","NA"))</f>
        <v>NA</v>
      </c>
      <c r="AB47" s="1" t="str">
        <f t="array" ref="AB47">CHOOSE(INDEX('Ontology and concepts per UC'!$G$2:$I$46,MATCH($A47,'Ontology and concepts per UC'!$F$2:$F$46,0),MATCH(LEFT(AB$1,3),'Ontology and concepts per UC'!$G$1:$I$1,0))+1,"NA",IF(COUNTIFS(Validation!$A:$A,AB$1,Validation!$S:$S,$A47)&gt;0,"Yes","No"),IF(COUNTIFS(Validation!$A:$A,AB$1,Validation!$S:$S,$A47)&gt;0,"Yes","NA"))</f>
        <v>NA</v>
      </c>
      <c r="AC47" s="1" t="str">
        <f t="array" ref="AC47">CHOOSE(INDEX('Ontology and concepts per UC'!$G$2:$I$46,MATCH($A47,'Ontology and concepts per UC'!$F$2:$F$46,0),MATCH(LEFT(AC$1,3),'Ontology and concepts per UC'!$G$1:$I$1,0))+1,"NA",IF(COUNTIFS(Validation!$A:$A,AC$1,Validation!$S:$S,$A47)&gt;0,"Yes","No"),IF(COUNTIFS(Validation!$A:$A,AC$1,Validation!$S:$S,$A47)&gt;0,"Yes","NA"))</f>
        <v>NA</v>
      </c>
      <c r="AD47" s="1" t="str">
        <f t="array" ref="AD47">CHOOSE(INDEX('Ontology and concepts per UC'!$G$2:$I$46,MATCH($A47,'Ontology and concepts per UC'!$F$2:$F$46,0),MATCH(LEFT(AD$1,3),'Ontology and concepts per UC'!$G$1:$I$1,0))+1,"NA",IF(COUNTIFS(Validation!$A:$A,AD$1,Validation!$S:$S,$A47)&gt;0,"Yes","No"),IF(COUNTIFS(Validation!$A:$A,AD$1,Validation!$S:$S,$A47)&gt;0,"Yes","NA"))</f>
        <v>NA</v>
      </c>
      <c r="AE47" s="1" t="str">
        <f t="array" ref="AE47">CHOOSE(INDEX('Ontology and concepts per UC'!$G$2:$I$46,MATCH($A47,'Ontology and concepts per UC'!$F$2:$F$46,0),MATCH(LEFT(AE$1,3),'Ontology and concepts per UC'!$G$1:$I$1,0))+1,"NA",IF(COUNTIFS(Validation!$A:$A,AE$1,Validation!$S:$S,$A47)&gt;0,"Yes","No"),IF(COUNTIFS(Validation!$A:$A,AE$1,Validation!$S:$S,$A47)&gt;0,"Yes","NA"))</f>
        <v>NA</v>
      </c>
    </row>
    <row r="49" spans="2:31" x14ac:dyDescent="0.2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row>
  </sheetData>
  <dataValidations count="1">
    <dataValidation type="list" allowBlank="1" showErrorMessage="1" sqref="B3:AE47" xr:uid="{00000000-0002-0000-0300-000000000000}">
      <formula1>"No,Yes,NA"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48"/>
  <sheetViews>
    <sheetView workbookViewId="0">
      <pane xSplit="1" ySplit="2" topLeftCell="B3" activePane="bottomRight" state="frozen"/>
      <selection pane="topRight" activeCell="B1" sqref="B1"/>
      <selection pane="bottomLeft" activeCell="A3" sqref="A3"/>
      <selection pane="bottomRight" activeCell="U2" sqref="U2"/>
    </sheetView>
  </sheetViews>
  <sheetFormatPr baseColWidth="10" defaultColWidth="12.6640625" defaultRowHeight="15.75" customHeight="1" x14ac:dyDescent="0.25"/>
  <cols>
    <col min="1" max="1" width="14.88671875" customWidth="1"/>
    <col min="2" max="2" width="7.6640625" customWidth="1"/>
    <col min="3" max="3" width="11.109375" customWidth="1"/>
    <col min="4" max="7" width="9.6640625" customWidth="1"/>
    <col min="8" max="8" width="12.77734375" customWidth="1"/>
    <col min="9" max="15" width="10.21875" customWidth="1"/>
    <col min="16" max="16" width="10.6640625" customWidth="1"/>
    <col min="17" max="17" width="11.33203125" customWidth="1"/>
    <col min="18" max="18" width="9.21875" customWidth="1"/>
    <col min="19" max="19" width="9.88671875" customWidth="1"/>
    <col min="20" max="20" width="9.77734375" customWidth="1"/>
    <col min="21" max="21" width="5.33203125" customWidth="1"/>
    <col min="22" max="22" width="10.88671875" customWidth="1"/>
    <col min="23" max="23" width="11.77734375" customWidth="1"/>
    <col min="24" max="24" width="76.77734375" customWidth="1"/>
  </cols>
  <sheetData>
    <row r="1" spans="1:24" ht="25.8" customHeight="1" x14ac:dyDescent="0.25">
      <c r="A1" s="22" t="s">
        <v>6912</v>
      </c>
      <c r="B1" s="23" t="s">
        <v>6913</v>
      </c>
      <c r="C1" s="20"/>
      <c r="D1" s="20"/>
      <c r="E1" s="20"/>
      <c r="F1" s="20"/>
      <c r="G1" s="21" t="s">
        <v>6914</v>
      </c>
      <c r="H1" s="23" t="s">
        <v>6915</v>
      </c>
      <c r="I1" s="20"/>
      <c r="J1" s="20"/>
      <c r="K1" s="20"/>
      <c r="L1" s="20"/>
      <c r="M1" s="20"/>
      <c r="N1" s="21" t="s">
        <v>6916</v>
      </c>
      <c r="O1" s="21" t="s">
        <v>6917</v>
      </c>
      <c r="P1" s="21" t="s">
        <v>6918</v>
      </c>
      <c r="Q1" s="19" t="s">
        <v>6919</v>
      </c>
      <c r="R1" s="20"/>
      <c r="S1" s="20"/>
      <c r="T1" s="20"/>
      <c r="U1" s="20"/>
      <c r="V1" s="21" t="s">
        <v>6920</v>
      </c>
      <c r="W1" s="21" t="s">
        <v>6921</v>
      </c>
      <c r="X1" s="21" t="s">
        <v>6922</v>
      </c>
    </row>
    <row r="2" spans="1:24" x14ac:dyDescent="0.25">
      <c r="A2" s="20"/>
      <c r="B2" s="16" t="s">
        <v>6923</v>
      </c>
      <c r="C2" s="16" t="s">
        <v>6924</v>
      </c>
      <c r="D2" s="16" t="s">
        <v>6925</v>
      </c>
      <c r="E2" s="16" t="s">
        <v>6926</v>
      </c>
      <c r="F2" s="16" t="s">
        <v>6927</v>
      </c>
      <c r="G2" s="20"/>
      <c r="H2" s="16" t="s">
        <v>6928</v>
      </c>
      <c r="I2" s="16" t="s">
        <v>6929</v>
      </c>
      <c r="J2" s="16" t="s">
        <v>6930</v>
      </c>
      <c r="K2" s="16" t="s">
        <v>6931</v>
      </c>
      <c r="L2" s="16" t="s">
        <v>6932</v>
      </c>
      <c r="M2" s="16" t="s">
        <v>6933</v>
      </c>
      <c r="N2" s="20"/>
      <c r="O2" s="20"/>
      <c r="P2" s="20"/>
      <c r="Q2" s="17" t="s">
        <v>6934</v>
      </c>
      <c r="R2" s="17" t="s">
        <v>6935</v>
      </c>
      <c r="S2" s="17" t="s">
        <v>6936</v>
      </c>
      <c r="T2" s="17" t="s">
        <v>6937</v>
      </c>
      <c r="U2" s="16" t="s">
        <v>6938</v>
      </c>
      <c r="V2" s="20"/>
      <c r="W2" s="20"/>
      <c r="X2" s="20"/>
    </row>
    <row r="3" spans="1:24" x14ac:dyDescent="0.25">
      <c r="A3" s="1" t="s">
        <v>94</v>
      </c>
      <c r="B3" s="1" t="str">
        <f t="shared" ref="B3:B32" si="0">LEFT(A3,3)</f>
        <v>UC1</v>
      </c>
      <c r="C3" s="1" t="b">
        <f t="shared" ref="C3:C32" si="1">ISERR(SEARCH("S2",A3))</f>
        <v>1</v>
      </c>
      <c r="D3" s="1" t="b">
        <f t="shared" ref="D3:D32" si="2">ISERR(SEARCH("P1",A3))</f>
        <v>0</v>
      </c>
      <c r="E3" s="1" t="str">
        <f t="shared" ref="E3:E32" si="3">IF(ISERR(SEARCH("M1",A3)),"GPT", "Perplexity")</f>
        <v>Perplexity</v>
      </c>
      <c r="F3" s="1" t="str">
        <f t="shared" ref="F3:F32" si="4">CHOOSE(MID(A3,6,1),"XML","JSON","TURTLE")</f>
        <v>XML</v>
      </c>
      <c r="G3" s="1">
        <f>COUNTIF(Validation!$A:$A,$A3)</f>
        <v>35</v>
      </c>
      <c r="H3" s="18">
        <f>COUNTIFS(Validation!$A:$A,$A3,Validation!V:V,TRUE)/$G3</f>
        <v>0.65714285714285714</v>
      </c>
      <c r="I3" s="18">
        <f>COUNTIFS(Validation!$A:$A,$A3,Validation!W:W,TRUE)/$G3</f>
        <v>0.42857142857142855</v>
      </c>
      <c r="J3" s="18">
        <f>COUNTIFS(Validation!$A:$A,$A3,Validation!X:X,TRUE)/$G3</f>
        <v>2.8571428571428571E-2</v>
      </c>
      <c r="K3" s="18">
        <f>COUNTIFS(Validation!$A:$A,$A3,Validation!Y:Y,TRUE)/$G3</f>
        <v>0</v>
      </c>
      <c r="L3" s="18">
        <f>COUNTIFS(Validation!$A:$A,$A3,Validation!Z:Z,TRUE)/$G3</f>
        <v>0.22857142857142856</v>
      </c>
      <c r="M3" s="1">
        <f ca="1">IFERROR(__xludf.DUMMYFUNCTION("IFERROR(ROWS(UNIQUE(FILTER(Validation!$E:$E, Validation!$A:$A=$A3,Validation!$F:$F=TRUE))),0)+IFERROR(ROWS(UNIQUE(FILTER(Validation!$H:$H, Validation!$A:$A=$A3,Validation!$I:$I=TRUE))),0)+IFERROR(ROWS(UNIQUE(FILTER(Validation!$J:$J, Validation!$A:$A=$A3,V"&amp;"alidation!$K:$K=TRUE))),0)"),2)</f>
        <v>2</v>
      </c>
      <c r="N3" s="15">
        <f>COUNTIFS(Validation!$A:$A,$A3,Validation!$R:$R,TRUE)/G3</f>
        <v>0.25714285714285712</v>
      </c>
      <c r="O3" s="15">
        <f>(G3-COUNTIFS(Validation!$A:$A,$A3,Validation!$U:$U,TRUE))/G3</f>
        <v>0.97142857142857142</v>
      </c>
      <c r="P3" s="15">
        <f>HLOOKUP($A3,'Analysis per seeked concept'!$B$1:$AE$2,2,FALSE)</f>
        <v>0.80555555555555558</v>
      </c>
      <c r="Q3" s="1">
        <v>2</v>
      </c>
      <c r="R3" s="1">
        <v>3</v>
      </c>
      <c r="S3" s="1">
        <v>4</v>
      </c>
      <c r="T3" s="1">
        <v>2</v>
      </c>
      <c r="U3" s="2">
        <f t="shared" ref="U3:U32" si="5">SUM(Q3:T3)</f>
        <v>11</v>
      </c>
      <c r="V3" s="2">
        <v>338</v>
      </c>
      <c r="W3" s="2">
        <v>1</v>
      </c>
      <c r="X3" s="2" t="s">
        <v>6939</v>
      </c>
    </row>
    <row r="4" spans="1:24" x14ac:dyDescent="0.25">
      <c r="A4" s="1" t="s">
        <v>190</v>
      </c>
      <c r="B4" s="1" t="str">
        <f t="shared" si="0"/>
        <v>UC1</v>
      </c>
      <c r="C4" s="1" t="b">
        <f t="shared" si="1"/>
        <v>0</v>
      </c>
      <c r="D4" s="1" t="b">
        <f t="shared" si="2"/>
        <v>0</v>
      </c>
      <c r="E4" s="1" t="str">
        <f t="shared" si="3"/>
        <v>Perplexity</v>
      </c>
      <c r="F4" s="1" t="str">
        <f t="shared" si="4"/>
        <v>XML</v>
      </c>
      <c r="G4" s="1">
        <f>COUNTIF(Validation!$A:$A,$A4)</f>
        <v>14</v>
      </c>
      <c r="H4" s="18">
        <f>COUNTIFS(Validation!$A:$A,$A4,Validation!V:V,TRUE)/$G4</f>
        <v>0.14285714285714285</v>
      </c>
      <c r="I4" s="18">
        <f>COUNTIFS(Validation!$A:$A,$A4,Validation!W:W,TRUE)/$G4</f>
        <v>0</v>
      </c>
      <c r="J4" s="18">
        <f>COUNTIFS(Validation!$A:$A,$A4,Validation!X:X,TRUE)/$G4</f>
        <v>0</v>
      </c>
      <c r="K4" s="18">
        <f>COUNTIFS(Validation!$A:$A,$A4,Validation!Y:Y,TRUE)/$G4</f>
        <v>0</v>
      </c>
      <c r="L4" s="18">
        <f>COUNTIFS(Validation!$A:$A,$A4,Validation!Z:Z,TRUE)/$G4</f>
        <v>0.14285714285714285</v>
      </c>
      <c r="M4" s="1">
        <f ca="1">IFERROR(__xludf.DUMMYFUNCTION("IFERROR(ROWS(UNIQUE(FILTER(Validation!$E:$E, Validation!$A:$A=$A4,Validation!$F:$F=TRUE))),0)+IFERROR(ROWS(UNIQUE(FILTER(Validation!$H:$H, Validation!$A:$A=$A4,Validation!$I:$I=TRUE))),0)+IFERROR(ROWS(UNIQUE(FILTER(Validation!$J:$J, Validation!$A:$A=$A4,V"&amp;"alidation!$K:$K=TRUE))),0)"),0)</f>
        <v>0</v>
      </c>
      <c r="N4" s="15">
        <f>COUNTIFS(Validation!$A:$A,$A4,Validation!$R:$R,TRUE)/G4</f>
        <v>7.1428571428571425E-2</v>
      </c>
      <c r="O4" s="15">
        <f>(G4-COUNTIFS(Validation!$A:$A,$A4,Validation!$U:$U,TRUE))/G4</f>
        <v>1</v>
      </c>
      <c r="P4" s="15">
        <f>HLOOKUP($A4,'Analysis per seeked concept'!$B$1:$AE$2,2,FALSE)</f>
        <v>0.41935483870967744</v>
      </c>
      <c r="Q4" s="1">
        <v>4</v>
      </c>
      <c r="R4" s="1">
        <v>3</v>
      </c>
      <c r="S4" s="1">
        <v>1</v>
      </c>
      <c r="T4" s="1">
        <v>3</v>
      </c>
      <c r="U4" s="2">
        <f t="shared" si="5"/>
        <v>11</v>
      </c>
      <c r="V4" s="2">
        <v>218</v>
      </c>
      <c r="W4" s="2">
        <v>4</v>
      </c>
      <c r="X4" s="2" t="s">
        <v>6940</v>
      </c>
    </row>
    <row r="5" spans="1:24" x14ac:dyDescent="0.25">
      <c r="A5" s="1" t="s">
        <v>223</v>
      </c>
      <c r="B5" s="1" t="str">
        <f t="shared" si="0"/>
        <v>UC1</v>
      </c>
      <c r="C5" s="1" t="b">
        <f t="shared" si="1"/>
        <v>1</v>
      </c>
      <c r="D5" s="1" t="b">
        <f t="shared" si="2"/>
        <v>1</v>
      </c>
      <c r="E5" s="1" t="str">
        <f t="shared" si="3"/>
        <v>Perplexity</v>
      </c>
      <c r="F5" s="1" t="str">
        <f t="shared" si="4"/>
        <v>XML</v>
      </c>
      <c r="G5" s="1">
        <f>COUNTIF(Validation!$A:$A,$A5)</f>
        <v>48</v>
      </c>
      <c r="H5" s="18">
        <f>COUNTIFS(Validation!$A:$A,$A5,Validation!V:V,TRUE)/$G5</f>
        <v>0.875</v>
      </c>
      <c r="I5" s="18">
        <f>COUNTIFS(Validation!$A:$A,$A5,Validation!W:W,TRUE)/$G5</f>
        <v>0.85416666666666663</v>
      </c>
      <c r="J5" s="18">
        <f>COUNTIFS(Validation!$A:$A,$A5,Validation!X:X,TRUE)/$G5</f>
        <v>0</v>
      </c>
      <c r="K5" s="18">
        <f>COUNTIFS(Validation!$A:$A,$A5,Validation!Y:Y,TRUE)/$G5</f>
        <v>0</v>
      </c>
      <c r="L5" s="18">
        <f>COUNTIFS(Validation!$A:$A,$A5,Validation!Z:Z,TRUE)/$G5</f>
        <v>0.20833333333333334</v>
      </c>
      <c r="M5" s="1">
        <f ca="1">IFERROR(__xludf.DUMMYFUNCTION("IFERROR(ROWS(UNIQUE(FILTER(Validation!$E:$E, Validation!$A:$A=$A5,Validation!$F:$F=TRUE))),0)+IFERROR(ROWS(UNIQUE(FILTER(Validation!$H:$H, Validation!$A:$A=$A5,Validation!$I:$I=TRUE))),0)+IFERROR(ROWS(UNIQUE(FILTER(Validation!$J:$J, Validation!$A:$A=$A5,V"&amp;"alidation!$K:$K=TRUE))),0)"),22)</f>
        <v>22</v>
      </c>
      <c r="N5" s="15">
        <f>COUNTIFS(Validation!$A:$A,$A5,Validation!$R:$R,TRUE)/G5</f>
        <v>0.72916666666666663</v>
      </c>
      <c r="O5" s="15">
        <f>(G5-COUNTIFS(Validation!$A:$A,$A5,Validation!$U:$U,TRUE))/G5</f>
        <v>0.89583333333333337</v>
      </c>
      <c r="P5" s="15">
        <f>HLOOKUP($A5,'Analysis per seeked concept'!$B$1:$AE$2,2,FALSE)</f>
        <v>0.67647058823529416</v>
      </c>
      <c r="Q5" s="1">
        <v>1</v>
      </c>
      <c r="R5" s="1">
        <v>3</v>
      </c>
      <c r="S5" s="1">
        <v>3</v>
      </c>
      <c r="T5" s="1">
        <v>1</v>
      </c>
      <c r="U5" s="2">
        <f t="shared" si="5"/>
        <v>8</v>
      </c>
      <c r="V5" s="2">
        <v>937</v>
      </c>
      <c r="W5" s="2">
        <v>3</v>
      </c>
      <c r="X5" s="2" t="s">
        <v>6941</v>
      </c>
    </row>
    <row r="6" spans="1:24" x14ac:dyDescent="0.25">
      <c r="A6" s="1" t="s">
        <v>379</v>
      </c>
      <c r="B6" s="1" t="str">
        <f t="shared" si="0"/>
        <v>UC1</v>
      </c>
      <c r="C6" s="1" t="b">
        <f t="shared" si="1"/>
        <v>1</v>
      </c>
      <c r="D6" s="1" t="b">
        <f t="shared" si="2"/>
        <v>1</v>
      </c>
      <c r="E6" s="1" t="str">
        <f t="shared" si="3"/>
        <v>GPT</v>
      </c>
      <c r="F6" s="1" t="str">
        <f t="shared" si="4"/>
        <v>XML</v>
      </c>
      <c r="G6" s="1">
        <f>COUNTIF(Validation!$A:$A,$A6)</f>
        <v>115</v>
      </c>
      <c r="H6" s="18">
        <f>COUNTIFS(Validation!$A:$A,$A6,Validation!V:V,TRUE)/$G6</f>
        <v>0.78260869565217395</v>
      </c>
      <c r="I6" s="18">
        <f>COUNTIFS(Validation!$A:$A,$A6,Validation!W:W,TRUE)/$G6</f>
        <v>0.77391304347826084</v>
      </c>
      <c r="J6" s="18">
        <f>COUNTIFS(Validation!$A:$A,$A6,Validation!X:X,TRUE)/$G6</f>
        <v>0</v>
      </c>
      <c r="K6" s="18">
        <f>COUNTIFS(Validation!$A:$A,$A6,Validation!Y:Y,TRUE)/$G6</f>
        <v>0</v>
      </c>
      <c r="L6" s="18">
        <f>COUNTIFS(Validation!$A:$A,$A6,Validation!Z:Z,TRUE)/$G6</f>
        <v>0.19130434782608696</v>
      </c>
      <c r="M6" s="1">
        <f ca="1">IFERROR(__xludf.DUMMYFUNCTION("IFERROR(ROWS(UNIQUE(FILTER(Validation!$E:$E, Validation!$A:$A=$A6,Validation!$F:$F=TRUE))),0)+IFERROR(ROWS(UNIQUE(FILTER(Validation!$H:$H, Validation!$A:$A=$A6,Validation!$I:$I=TRUE))),0)+IFERROR(ROWS(UNIQUE(FILTER(Validation!$J:$J, Validation!$A:$A=$A6,V"&amp;"alidation!$K:$K=TRUE))),0)"),7)</f>
        <v>7</v>
      </c>
      <c r="N6" s="15">
        <f>COUNTIFS(Validation!$A:$A,$A6,Validation!$R:$R,TRUE)/G6</f>
        <v>0.94782608695652171</v>
      </c>
      <c r="O6" s="15">
        <f>(G6-COUNTIFS(Validation!$A:$A,$A6,Validation!$U:$U,TRUE))/G6</f>
        <v>0.95652173913043481</v>
      </c>
      <c r="P6" s="15">
        <f>HLOOKUP($A6,'Analysis per seeked concept'!$B$1:$AE$2,2,FALSE)</f>
        <v>0.80555555555555558</v>
      </c>
      <c r="Q6" s="1">
        <v>4</v>
      </c>
      <c r="R6" s="1">
        <v>3</v>
      </c>
      <c r="S6" s="1">
        <v>3</v>
      </c>
      <c r="T6" s="1">
        <v>2</v>
      </c>
      <c r="U6" s="2">
        <f t="shared" si="5"/>
        <v>12</v>
      </c>
      <c r="V6" s="2">
        <v>418</v>
      </c>
      <c r="W6" s="2">
        <v>1</v>
      </c>
      <c r="X6" s="2" t="s">
        <v>6942</v>
      </c>
    </row>
    <row r="7" spans="1:24" x14ac:dyDescent="0.25">
      <c r="A7" s="1" t="s">
        <v>652</v>
      </c>
      <c r="B7" s="1" t="str">
        <f t="shared" si="0"/>
        <v>UC1</v>
      </c>
      <c r="C7" s="1" t="b">
        <f t="shared" si="1"/>
        <v>0</v>
      </c>
      <c r="D7" s="1" t="b">
        <f t="shared" si="2"/>
        <v>1</v>
      </c>
      <c r="E7" s="1" t="str">
        <f t="shared" si="3"/>
        <v>Perplexity</v>
      </c>
      <c r="F7" s="1" t="str">
        <f t="shared" si="4"/>
        <v>XML</v>
      </c>
      <c r="G7" s="1">
        <f>COUNTIF(Validation!$A:$A,$A7)</f>
        <v>91</v>
      </c>
      <c r="H7" s="18">
        <f>COUNTIFS(Validation!$A:$A,$A7,Validation!V:V,TRUE)/$G7</f>
        <v>0.93406593406593408</v>
      </c>
      <c r="I7" s="18">
        <f>COUNTIFS(Validation!$A:$A,$A7,Validation!W:W,TRUE)/$G7</f>
        <v>0.60439560439560436</v>
      </c>
      <c r="J7" s="18">
        <f>COUNTIFS(Validation!$A:$A,$A7,Validation!X:X,TRUE)/$G7</f>
        <v>0</v>
      </c>
      <c r="K7" s="18">
        <f>COUNTIFS(Validation!$A:$A,$A7,Validation!Y:Y,TRUE)/$G7</f>
        <v>0</v>
      </c>
      <c r="L7" s="18">
        <f>COUNTIFS(Validation!$A:$A,$A7,Validation!Z:Z,TRUE)/$G7</f>
        <v>0.58241758241758246</v>
      </c>
      <c r="M7" s="1">
        <f ca="1">IFERROR(__xludf.DUMMYFUNCTION("IFERROR(ROWS(UNIQUE(FILTER(Validation!$E:$E, Validation!$A:$A=$A7,Validation!$F:$F=TRUE))),0)+IFERROR(ROWS(UNIQUE(FILTER(Validation!$H:$H, Validation!$A:$A=$A7,Validation!$I:$I=TRUE))),0)+IFERROR(ROWS(UNIQUE(FILTER(Validation!$J:$J, Validation!$A:$A=$A7,V"&amp;"alidation!$K:$K=TRUE))),0)"),7)</f>
        <v>7</v>
      </c>
      <c r="N7" s="15">
        <f>COUNTIFS(Validation!$A:$A,$A7,Validation!$R:$R,TRUE)/G7</f>
        <v>0.61538461538461542</v>
      </c>
      <c r="O7" s="15">
        <f>(G7-COUNTIFS(Validation!$A:$A,$A7,Validation!$U:$U,TRUE))/G7</f>
        <v>0.90109890109890112</v>
      </c>
      <c r="P7" s="15">
        <f>HLOOKUP($A7,'Analysis per seeked concept'!$B$1:$AE$2,2,FALSE)</f>
        <v>0.82051282051282048</v>
      </c>
      <c r="Q7" s="1">
        <v>2</v>
      </c>
      <c r="R7" s="1">
        <v>2</v>
      </c>
      <c r="S7" s="1">
        <v>3</v>
      </c>
      <c r="T7" s="1">
        <v>2</v>
      </c>
      <c r="U7" s="2">
        <f t="shared" si="5"/>
        <v>9</v>
      </c>
      <c r="V7" s="2">
        <v>3739</v>
      </c>
      <c r="W7" s="2">
        <v>0</v>
      </c>
      <c r="X7" s="2" t="s">
        <v>6943</v>
      </c>
    </row>
    <row r="8" spans="1:24" x14ac:dyDescent="0.25">
      <c r="A8" s="1" t="s">
        <v>883</v>
      </c>
      <c r="B8" s="1" t="str">
        <f t="shared" si="0"/>
        <v>UC1</v>
      </c>
      <c r="C8" s="1" t="b">
        <f t="shared" si="1"/>
        <v>0</v>
      </c>
      <c r="D8" s="1" t="b">
        <f t="shared" si="2"/>
        <v>1</v>
      </c>
      <c r="E8" s="1" t="str">
        <f t="shared" si="3"/>
        <v>GPT</v>
      </c>
      <c r="F8" s="1" t="str">
        <f t="shared" si="4"/>
        <v>XML</v>
      </c>
      <c r="G8" s="1">
        <f>COUNTIF(Validation!$A:$A,$A8)</f>
        <v>79</v>
      </c>
      <c r="H8" s="18">
        <f>COUNTIFS(Validation!$A:$A,$A8,Validation!V:V,TRUE)/$G8</f>
        <v>0.43037974683544306</v>
      </c>
      <c r="I8" s="18">
        <f>COUNTIFS(Validation!$A:$A,$A8,Validation!W:W,TRUE)/$G8</f>
        <v>0.29113924050632911</v>
      </c>
      <c r="J8" s="18">
        <f>COUNTIFS(Validation!$A:$A,$A8,Validation!X:X,TRUE)/$G8</f>
        <v>2.5316455696202531E-2</v>
      </c>
      <c r="K8" s="18">
        <f>COUNTIFS(Validation!$A:$A,$A8,Validation!Y:Y,TRUE)/$G8</f>
        <v>3.7974683544303799E-2</v>
      </c>
      <c r="L8" s="18">
        <f>COUNTIFS(Validation!$A:$A,$A8,Validation!Z:Z,TRUE)/$G8</f>
        <v>0.25316455696202533</v>
      </c>
      <c r="M8" s="1">
        <f ca="1">IFERROR(__xludf.DUMMYFUNCTION("IFERROR(ROWS(UNIQUE(FILTER(Validation!$E:$E, Validation!$A:$A=$A8,Validation!$F:$F=TRUE))),0)+IFERROR(ROWS(UNIQUE(FILTER(Validation!$H:$H, Validation!$A:$A=$A8,Validation!$I:$I=TRUE))),0)+IFERROR(ROWS(UNIQUE(FILTER(Validation!$J:$J, Validation!$A:$A=$A8,V"&amp;"alidation!$K:$K=TRUE))),0)"),10)</f>
        <v>10</v>
      </c>
      <c r="N8" s="15">
        <f>COUNTIFS(Validation!$A:$A,$A8,Validation!$R:$R,TRUE)/G8</f>
        <v>0.79746835443037978</v>
      </c>
      <c r="O8" s="15">
        <f>(G8-COUNTIFS(Validation!$A:$A,$A8,Validation!$U:$U,TRUE))/G8</f>
        <v>0.89873417721518989</v>
      </c>
      <c r="P8" s="15">
        <f>HLOOKUP($A8,'Analysis per seeked concept'!$B$1:$AE$2,2,FALSE)</f>
        <v>0.79411764705882348</v>
      </c>
      <c r="Q8" s="1">
        <v>4</v>
      </c>
      <c r="R8" s="1">
        <v>3</v>
      </c>
      <c r="S8" s="1">
        <v>4</v>
      </c>
      <c r="T8" s="1">
        <v>3</v>
      </c>
      <c r="U8" s="2">
        <f t="shared" si="5"/>
        <v>14</v>
      </c>
      <c r="V8" s="2">
        <v>317</v>
      </c>
      <c r="W8" s="2">
        <v>1</v>
      </c>
      <c r="X8" s="2" t="s">
        <v>6944</v>
      </c>
    </row>
    <row r="9" spans="1:24" x14ac:dyDescent="0.25">
      <c r="A9" s="1" t="s">
        <v>1104</v>
      </c>
      <c r="B9" s="1" t="str">
        <f t="shared" si="0"/>
        <v>UC1</v>
      </c>
      <c r="C9" s="1" t="b">
        <f t="shared" si="1"/>
        <v>1</v>
      </c>
      <c r="D9" s="1" t="b">
        <f t="shared" si="2"/>
        <v>0</v>
      </c>
      <c r="E9" s="1" t="str">
        <f t="shared" si="3"/>
        <v>GPT</v>
      </c>
      <c r="F9" s="1" t="str">
        <f t="shared" si="4"/>
        <v>JSON</v>
      </c>
      <c r="G9" s="1">
        <f>COUNTIF(Validation!$A:$A,$A9)</f>
        <v>18</v>
      </c>
      <c r="H9" s="18">
        <f>COUNTIFS(Validation!$A:$A,$A9,Validation!V:V,TRUE)/$G9</f>
        <v>0.94444444444444442</v>
      </c>
      <c r="I9" s="18">
        <f>COUNTIFS(Validation!$A:$A,$A9,Validation!W:W,TRUE)/$G9</f>
        <v>0.66666666666666663</v>
      </c>
      <c r="J9" s="18">
        <f>COUNTIFS(Validation!$A:$A,$A9,Validation!X:X,TRUE)/$G9</f>
        <v>0</v>
      </c>
      <c r="K9" s="18">
        <f>COUNTIFS(Validation!$A:$A,$A9,Validation!Y:Y,TRUE)/$G9</f>
        <v>0</v>
      </c>
      <c r="L9" s="18">
        <f>COUNTIFS(Validation!$A:$A,$A9,Validation!Z:Z,TRUE)/$G9</f>
        <v>0.27777777777777779</v>
      </c>
      <c r="M9" s="1">
        <f ca="1">IFERROR(__xludf.DUMMYFUNCTION("IFERROR(ROWS(UNIQUE(FILTER(Validation!$E:$E, Validation!$A:$A=$A9,Validation!$F:$F=TRUE))),0)+IFERROR(ROWS(UNIQUE(FILTER(Validation!$H:$H, Validation!$A:$A=$A9,Validation!$I:$I=TRUE))),0)+IFERROR(ROWS(UNIQUE(FILTER(Validation!$J:$J, Validation!$A:$A=$A9,V"&amp;"alidation!$K:$K=TRUE))),0)"),0)</f>
        <v>0</v>
      </c>
      <c r="N9" s="15">
        <f>COUNTIFS(Validation!$A:$A,$A9,Validation!$R:$R,TRUE)/G9</f>
        <v>0.33333333333333331</v>
      </c>
      <c r="O9" s="15">
        <f>(G9-COUNTIFS(Validation!$A:$A,$A9,Validation!$U:$U,TRUE))/G9</f>
        <v>0.88888888888888884</v>
      </c>
      <c r="P9" s="15">
        <f>HLOOKUP($A9,'Analysis per seeked concept'!$B$1:$AE$2,2,FALSE)</f>
        <v>0.44827586206896552</v>
      </c>
      <c r="Q9" s="1">
        <v>2</v>
      </c>
      <c r="R9" s="1">
        <v>5</v>
      </c>
      <c r="S9" s="1">
        <v>2</v>
      </c>
      <c r="T9" s="1">
        <v>2</v>
      </c>
      <c r="U9" s="2">
        <f t="shared" si="5"/>
        <v>11</v>
      </c>
      <c r="V9" s="1">
        <v>47</v>
      </c>
      <c r="W9" s="1">
        <v>1</v>
      </c>
      <c r="X9" s="2" t="s">
        <v>6945</v>
      </c>
    </row>
    <row r="10" spans="1:24" x14ac:dyDescent="0.25">
      <c r="A10" s="1" t="s">
        <v>1144</v>
      </c>
      <c r="B10" s="1" t="str">
        <f t="shared" si="0"/>
        <v>UC1</v>
      </c>
      <c r="C10" s="1" t="b">
        <f t="shared" si="1"/>
        <v>0</v>
      </c>
      <c r="D10" s="1" t="b">
        <f t="shared" si="2"/>
        <v>0</v>
      </c>
      <c r="E10" s="1" t="str">
        <f t="shared" si="3"/>
        <v>GPT</v>
      </c>
      <c r="F10" s="1" t="str">
        <f t="shared" si="4"/>
        <v>JSON</v>
      </c>
      <c r="G10" s="1">
        <f>COUNTIF(Validation!$A:$A,$A10)</f>
        <v>10</v>
      </c>
      <c r="H10" s="18">
        <f>COUNTIFS(Validation!$A:$A,$A10,Validation!V:V,TRUE)/$G10</f>
        <v>1</v>
      </c>
      <c r="I10" s="18">
        <f>COUNTIFS(Validation!$A:$A,$A10,Validation!W:W,TRUE)/$G10</f>
        <v>1</v>
      </c>
      <c r="J10" s="18">
        <f>COUNTIFS(Validation!$A:$A,$A10,Validation!X:X,TRUE)/$G10</f>
        <v>0</v>
      </c>
      <c r="K10" s="18">
        <f>COUNTIFS(Validation!$A:$A,$A10,Validation!Y:Y,TRUE)/$G10</f>
        <v>0</v>
      </c>
      <c r="L10" s="18">
        <f>COUNTIFS(Validation!$A:$A,$A10,Validation!Z:Z,TRUE)/$G10</f>
        <v>0</v>
      </c>
      <c r="M10" s="1">
        <f ca="1">IFERROR(__xludf.DUMMYFUNCTION("IFERROR(ROWS(UNIQUE(FILTER(Validation!$E:$E, Validation!$A:$A=$A10,Validation!$F:$F=TRUE))),0)+IFERROR(ROWS(UNIQUE(FILTER(Validation!$H:$H, Validation!$A:$A=$A10,Validation!$I:$I=TRUE))),0)+IFERROR(ROWS(UNIQUE(FILTER(Validation!$J:$J, Validation!$A:$A=$A1"&amp;"0,Validation!$K:$K=TRUE))),0)"),0)</f>
        <v>0</v>
      </c>
      <c r="N10" s="15">
        <f>COUNTIFS(Validation!$A:$A,$A10,Validation!$R:$R,TRUE)/G10</f>
        <v>0.3</v>
      </c>
      <c r="O10" s="15">
        <f>(G10-COUNTIFS(Validation!$A:$A,$A10,Validation!$U:$U,TRUE))/G10</f>
        <v>1</v>
      </c>
      <c r="P10" s="15">
        <f>HLOOKUP($A10,'Analysis per seeked concept'!$B$1:$AE$2,2,FALSE)</f>
        <v>0.35714285714285715</v>
      </c>
      <c r="Q10" s="1">
        <v>3</v>
      </c>
      <c r="R10" s="1">
        <v>4</v>
      </c>
      <c r="S10" s="1">
        <v>1</v>
      </c>
      <c r="T10" s="1">
        <v>1</v>
      </c>
      <c r="U10" s="2">
        <f t="shared" si="5"/>
        <v>9</v>
      </c>
      <c r="V10" s="1">
        <v>15</v>
      </c>
      <c r="W10" s="1">
        <v>0</v>
      </c>
      <c r="X10" s="2" t="s">
        <v>6946</v>
      </c>
    </row>
    <row r="11" spans="1:24" x14ac:dyDescent="0.25">
      <c r="A11" s="1" t="s">
        <v>1168</v>
      </c>
      <c r="B11" s="1" t="str">
        <f t="shared" si="0"/>
        <v>UC1</v>
      </c>
      <c r="C11" s="1" t="b">
        <f t="shared" si="1"/>
        <v>1</v>
      </c>
      <c r="D11" s="1" t="b">
        <f t="shared" si="2"/>
        <v>1</v>
      </c>
      <c r="E11" s="1" t="str">
        <f t="shared" si="3"/>
        <v>GPT</v>
      </c>
      <c r="F11" s="1" t="str">
        <f t="shared" si="4"/>
        <v>JSON</v>
      </c>
      <c r="G11" s="1">
        <f>COUNTIF(Validation!$A:$A,$A11)</f>
        <v>66</v>
      </c>
      <c r="H11" s="18">
        <f>COUNTIFS(Validation!$A:$A,$A11,Validation!V:V,TRUE)/$G11</f>
        <v>0.30303030303030304</v>
      </c>
      <c r="I11" s="18">
        <f>COUNTIFS(Validation!$A:$A,$A11,Validation!W:W,TRUE)/$G11</f>
        <v>0.13636363636363635</v>
      </c>
      <c r="J11" s="18">
        <f>COUNTIFS(Validation!$A:$A,$A11,Validation!X:X,TRUE)/$G11</f>
        <v>7.575757575757576E-2</v>
      </c>
      <c r="K11" s="18">
        <f>COUNTIFS(Validation!$A:$A,$A11,Validation!Y:Y,TRUE)/$G11</f>
        <v>0</v>
      </c>
      <c r="L11" s="18">
        <f>COUNTIFS(Validation!$A:$A,$A11,Validation!Z:Z,TRUE)/$G11</f>
        <v>0.13636363636363635</v>
      </c>
      <c r="M11" s="1">
        <f ca="1">IFERROR(__xludf.DUMMYFUNCTION("IFERROR(ROWS(UNIQUE(FILTER(Validation!$E:$E, Validation!$A:$A=$A11,Validation!$F:$F=TRUE))),0)+IFERROR(ROWS(UNIQUE(FILTER(Validation!$H:$H, Validation!$A:$A=$A11,Validation!$I:$I=TRUE))),0)+IFERROR(ROWS(UNIQUE(FILTER(Validation!$J:$J, Validation!$A:$A=$A1"&amp;"1,Validation!$K:$K=TRUE))),0)"),0)</f>
        <v>0</v>
      </c>
      <c r="N11" s="15">
        <f>COUNTIFS(Validation!$A:$A,$A11,Validation!$R:$R,TRUE)/G11</f>
        <v>0.42424242424242425</v>
      </c>
      <c r="O11" s="15">
        <f>(G11-COUNTIFS(Validation!$A:$A,$A11,Validation!$U:$U,TRUE))/G11</f>
        <v>0.96969696969696972</v>
      </c>
      <c r="P11" s="15">
        <f>HLOOKUP($A11,'Analysis per seeked concept'!$B$1:$AE$2,2,FALSE)</f>
        <v>0.7142857142857143</v>
      </c>
      <c r="Q11" s="1">
        <v>3</v>
      </c>
      <c r="R11" s="1">
        <v>4</v>
      </c>
      <c r="S11" s="1">
        <v>3</v>
      </c>
      <c r="T11" s="1">
        <v>2</v>
      </c>
      <c r="U11" s="2">
        <f t="shared" si="5"/>
        <v>12</v>
      </c>
      <c r="V11" s="1">
        <v>241</v>
      </c>
      <c r="W11" s="1">
        <v>0</v>
      </c>
      <c r="X11" s="2" t="s">
        <v>6947</v>
      </c>
    </row>
    <row r="12" spans="1:24" x14ac:dyDescent="0.25">
      <c r="A12" s="1" t="s">
        <v>1330</v>
      </c>
      <c r="B12" s="1" t="str">
        <f t="shared" si="0"/>
        <v>UC1</v>
      </c>
      <c r="C12" s="1" t="b">
        <f t="shared" si="1"/>
        <v>0</v>
      </c>
      <c r="D12" s="1" t="b">
        <f t="shared" si="2"/>
        <v>1</v>
      </c>
      <c r="E12" s="1" t="str">
        <f t="shared" si="3"/>
        <v>GPT</v>
      </c>
      <c r="F12" s="1" t="str">
        <f t="shared" si="4"/>
        <v>JSON</v>
      </c>
      <c r="G12" s="1">
        <f>COUNTIF(Validation!$A:$A,$A12)</f>
        <v>69</v>
      </c>
      <c r="H12" s="18">
        <f>COUNTIFS(Validation!$A:$A,$A12,Validation!V:V,TRUE)/$G12</f>
        <v>0.57971014492753625</v>
      </c>
      <c r="I12" s="18">
        <f>COUNTIFS(Validation!$A:$A,$A12,Validation!W:W,TRUE)/$G12</f>
        <v>0.3188405797101449</v>
      </c>
      <c r="J12" s="18">
        <f>COUNTIFS(Validation!$A:$A,$A12,Validation!X:X,TRUE)/$G12</f>
        <v>0.20289855072463769</v>
      </c>
      <c r="K12" s="18">
        <f>COUNTIFS(Validation!$A:$A,$A12,Validation!Y:Y,TRUE)/$G12</f>
        <v>1.4492753623188406E-2</v>
      </c>
      <c r="L12" s="18">
        <f>COUNTIFS(Validation!$A:$A,$A12,Validation!Z:Z,TRUE)/$G12</f>
        <v>0.11594202898550725</v>
      </c>
      <c r="M12" s="1">
        <f ca="1">IFERROR(__xludf.DUMMYFUNCTION("IFERROR(ROWS(UNIQUE(FILTER(Validation!$E:$E, Validation!$A:$A=$A12,Validation!$F:$F=TRUE))),0)+IFERROR(ROWS(UNIQUE(FILTER(Validation!$H:$H, Validation!$A:$A=$A12,Validation!$I:$I=TRUE))),0)+IFERROR(ROWS(UNIQUE(FILTER(Validation!$J:$J, Validation!$A:$A=$A1"&amp;"2,Validation!$K:$K=TRUE))),0)"),9)</f>
        <v>9</v>
      </c>
      <c r="N12" s="15">
        <f>COUNTIFS(Validation!$A:$A,$A12,Validation!$R:$R,TRUE)/G12</f>
        <v>0.72463768115942029</v>
      </c>
      <c r="O12" s="15">
        <f>(G12-COUNTIFS(Validation!$A:$A,$A12,Validation!$U:$U,TRUE))/G12</f>
        <v>0.94202898550724634</v>
      </c>
      <c r="P12" s="15">
        <f>HLOOKUP($A12,'Analysis per seeked concept'!$B$1:$AE$2,2,FALSE)</f>
        <v>0.70588235294117652</v>
      </c>
      <c r="Q12" s="1">
        <v>4</v>
      </c>
      <c r="R12" s="1">
        <v>3</v>
      </c>
      <c r="S12" s="1">
        <v>4</v>
      </c>
      <c r="T12" s="1">
        <v>2</v>
      </c>
      <c r="U12" s="2">
        <f t="shared" si="5"/>
        <v>13</v>
      </c>
      <c r="V12" s="1">
        <v>350</v>
      </c>
      <c r="W12" s="1">
        <v>4</v>
      </c>
      <c r="X12" s="2" t="s">
        <v>6948</v>
      </c>
    </row>
    <row r="13" spans="1:24" x14ac:dyDescent="0.25">
      <c r="A13" s="1" t="s">
        <v>1536</v>
      </c>
      <c r="B13" s="1" t="str">
        <f t="shared" si="0"/>
        <v>UC1</v>
      </c>
      <c r="C13" s="1" t="b">
        <f t="shared" si="1"/>
        <v>1</v>
      </c>
      <c r="D13" s="1" t="b">
        <f t="shared" si="2"/>
        <v>0</v>
      </c>
      <c r="E13" s="1" t="str">
        <f t="shared" si="3"/>
        <v>GPT</v>
      </c>
      <c r="F13" s="1" t="str">
        <f t="shared" si="4"/>
        <v>TURTLE</v>
      </c>
      <c r="G13" s="1">
        <f>COUNTIF(Validation!$A:$A,$A13)</f>
        <v>40</v>
      </c>
      <c r="H13" s="18">
        <f>COUNTIFS(Validation!$A:$A,$A13,Validation!V:V,TRUE)/$G13</f>
        <v>0.47499999999999998</v>
      </c>
      <c r="I13" s="18">
        <f>COUNTIFS(Validation!$A:$A,$A13,Validation!W:W,TRUE)/$G13</f>
        <v>0.375</v>
      </c>
      <c r="J13" s="18">
        <f>COUNTIFS(Validation!$A:$A,$A13,Validation!X:X,TRUE)/$G13</f>
        <v>0</v>
      </c>
      <c r="K13" s="18">
        <f>COUNTIFS(Validation!$A:$A,$A13,Validation!Y:Y,TRUE)/$G13</f>
        <v>0</v>
      </c>
      <c r="L13" s="18">
        <f>COUNTIFS(Validation!$A:$A,$A13,Validation!Z:Z,TRUE)/$G13</f>
        <v>0.1</v>
      </c>
      <c r="M13" s="1">
        <f ca="1">IFERROR(__xludf.DUMMYFUNCTION("IFERROR(ROWS(UNIQUE(FILTER(Validation!$E:$E, Validation!$A:$A=$A13,Validation!$F:$F=TRUE))),0)+IFERROR(ROWS(UNIQUE(FILTER(Validation!$H:$H, Validation!$A:$A=$A13,Validation!$I:$I=TRUE))),0)+IFERROR(ROWS(UNIQUE(FILTER(Validation!$J:$J, Validation!$A:$A=$A1"&amp;"3,Validation!$K:$K=TRUE))),0)"),0)</f>
        <v>0</v>
      </c>
      <c r="N13" s="15">
        <f>COUNTIFS(Validation!$A:$A,$A13,Validation!$R:$R,TRUE)/G13</f>
        <v>0.17499999999999999</v>
      </c>
      <c r="O13" s="15">
        <f>(G13-COUNTIFS(Validation!$A:$A,$A13,Validation!$U:$U,TRUE))/G13</f>
        <v>1</v>
      </c>
      <c r="P13" s="15">
        <f>HLOOKUP($A13,'Analysis per seeked concept'!$B$1:$AE$2,2,FALSE)</f>
        <v>0.82352941176470584</v>
      </c>
      <c r="Q13" s="1">
        <v>4</v>
      </c>
      <c r="R13" s="1">
        <v>4</v>
      </c>
      <c r="S13" s="1">
        <v>4</v>
      </c>
      <c r="T13" s="1">
        <v>3</v>
      </c>
      <c r="U13" s="2">
        <f t="shared" si="5"/>
        <v>15</v>
      </c>
      <c r="V13" s="1">
        <v>39</v>
      </c>
      <c r="W13" s="1">
        <v>0</v>
      </c>
      <c r="X13" s="2" t="s">
        <v>6949</v>
      </c>
    </row>
    <row r="14" spans="1:24" x14ac:dyDescent="0.25">
      <c r="A14" s="1" t="s">
        <v>1619</v>
      </c>
      <c r="B14" s="1" t="str">
        <f t="shared" si="0"/>
        <v>UC1</v>
      </c>
      <c r="C14" s="1" t="b">
        <f t="shared" si="1"/>
        <v>0</v>
      </c>
      <c r="D14" s="1" t="b">
        <f t="shared" si="2"/>
        <v>0</v>
      </c>
      <c r="E14" s="1" t="str">
        <f t="shared" si="3"/>
        <v>GPT</v>
      </c>
      <c r="F14" s="1" t="str">
        <f t="shared" si="4"/>
        <v>TURTLE</v>
      </c>
      <c r="G14" s="1">
        <f>COUNTIF(Validation!$A:$A,$A14)</f>
        <v>21</v>
      </c>
      <c r="H14" s="18">
        <f>COUNTIFS(Validation!$A:$A,$A14,Validation!V:V,TRUE)/$G14</f>
        <v>9.5238095238095233E-2</v>
      </c>
      <c r="I14" s="18">
        <f>COUNTIFS(Validation!$A:$A,$A14,Validation!W:W,TRUE)/$G14</f>
        <v>0</v>
      </c>
      <c r="J14" s="18">
        <f>COUNTIFS(Validation!$A:$A,$A14,Validation!X:X,TRUE)/$G14</f>
        <v>0</v>
      </c>
      <c r="K14" s="18">
        <f>COUNTIFS(Validation!$A:$A,$A14,Validation!Y:Y,TRUE)/$G14</f>
        <v>0</v>
      </c>
      <c r="L14" s="18">
        <f>COUNTIFS(Validation!$A:$A,$A14,Validation!Z:Z,TRUE)/$G14</f>
        <v>9.5238095238095233E-2</v>
      </c>
      <c r="M14" s="1">
        <f ca="1">IFERROR(__xludf.DUMMYFUNCTION("IFERROR(ROWS(UNIQUE(FILTER(Validation!$E:$E, Validation!$A:$A=$A14,Validation!$F:$F=TRUE))),0)+IFERROR(ROWS(UNIQUE(FILTER(Validation!$H:$H, Validation!$A:$A=$A14,Validation!$I:$I=TRUE))),0)+IFERROR(ROWS(UNIQUE(FILTER(Validation!$J:$J, Validation!$A:$A=$A1"&amp;"4,Validation!$K:$K=TRUE))),0)"),0)</f>
        <v>0</v>
      </c>
      <c r="N14" s="15">
        <f>COUNTIFS(Validation!$A:$A,$A14,Validation!$R:$R,TRUE)/G14</f>
        <v>0.47619047619047616</v>
      </c>
      <c r="O14" s="15">
        <f>(G14-COUNTIFS(Validation!$A:$A,$A14,Validation!$U:$U,TRUE))/G14</f>
        <v>0.95238095238095233</v>
      </c>
      <c r="P14" s="15">
        <f>HLOOKUP($A14,'Analysis per seeked concept'!$B$1:$AE$2,2,FALSE)</f>
        <v>0.59375</v>
      </c>
      <c r="Q14" s="1">
        <v>2</v>
      </c>
      <c r="R14" s="1">
        <v>5</v>
      </c>
      <c r="S14" s="1">
        <v>3</v>
      </c>
      <c r="T14" s="1">
        <v>5</v>
      </c>
      <c r="U14" s="2">
        <f t="shared" si="5"/>
        <v>15</v>
      </c>
      <c r="V14" s="1">
        <v>37</v>
      </c>
      <c r="W14" s="1">
        <v>0</v>
      </c>
      <c r="X14" s="2" t="s">
        <v>6950</v>
      </c>
    </row>
    <row r="15" spans="1:24" x14ac:dyDescent="0.25">
      <c r="A15" s="1" t="s">
        <v>1672</v>
      </c>
      <c r="B15" s="1" t="str">
        <f t="shared" si="0"/>
        <v>UC1</v>
      </c>
      <c r="C15" s="1" t="b">
        <f t="shared" si="1"/>
        <v>1</v>
      </c>
      <c r="D15" s="1" t="b">
        <f t="shared" si="2"/>
        <v>1</v>
      </c>
      <c r="E15" s="1" t="str">
        <f t="shared" si="3"/>
        <v>GPT</v>
      </c>
      <c r="F15" s="1" t="str">
        <f t="shared" si="4"/>
        <v>TURTLE</v>
      </c>
      <c r="G15" s="1">
        <f>COUNTIF(Validation!$A:$A,$A15)</f>
        <v>136</v>
      </c>
      <c r="H15" s="18">
        <f>COUNTIFS(Validation!$A:$A,$A15,Validation!V:V,TRUE)/$G15</f>
        <v>0.22058823529411764</v>
      </c>
      <c r="I15" s="18">
        <f>COUNTIFS(Validation!$A:$A,$A15,Validation!W:W,TRUE)/$G15</f>
        <v>0.13235294117647059</v>
      </c>
      <c r="J15" s="18">
        <f>COUNTIFS(Validation!$A:$A,$A15,Validation!X:X,TRUE)/$G15</f>
        <v>0</v>
      </c>
      <c r="K15" s="18">
        <f>COUNTIFS(Validation!$A:$A,$A15,Validation!Y:Y,TRUE)/$G15</f>
        <v>0</v>
      </c>
      <c r="L15" s="18">
        <f>COUNTIFS(Validation!$A:$A,$A15,Validation!Z:Z,TRUE)/$G15</f>
        <v>8.8235294117647065E-2</v>
      </c>
      <c r="M15" s="1">
        <f ca="1">IFERROR(__xludf.DUMMYFUNCTION("IFERROR(ROWS(UNIQUE(FILTER(Validation!$E:$E, Validation!$A:$A=$A15,Validation!$F:$F=TRUE))),0)+IFERROR(ROWS(UNIQUE(FILTER(Validation!$H:$H, Validation!$A:$A=$A15,Validation!$I:$I=TRUE))),0)+IFERROR(ROWS(UNIQUE(FILTER(Validation!$J:$J, Validation!$A:$A=$A1"&amp;"5,Validation!$K:$K=TRUE))),0)"),0)</f>
        <v>0</v>
      </c>
      <c r="N15" s="15">
        <f>COUNTIFS(Validation!$A:$A,$A15,Validation!$R:$R,TRUE)/G15</f>
        <v>0.75</v>
      </c>
      <c r="O15" s="15">
        <f>(G15-COUNTIFS(Validation!$A:$A,$A15,Validation!$U:$U,TRUE))/G15</f>
        <v>0.96323529411764708</v>
      </c>
      <c r="P15" s="15">
        <f>HLOOKUP($A15,'Analysis per seeked concept'!$B$1:$AE$2,2,FALSE)</f>
        <v>0.89743589743589747</v>
      </c>
      <c r="Q15" s="1">
        <v>3</v>
      </c>
      <c r="R15" s="1">
        <v>4</v>
      </c>
      <c r="S15" s="1">
        <v>4</v>
      </c>
      <c r="T15" s="1">
        <v>4</v>
      </c>
      <c r="U15" s="2">
        <f t="shared" si="5"/>
        <v>15</v>
      </c>
      <c r="V15" s="1">
        <v>211</v>
      </c>
      <c r="W15" s="1">
        <v>0</v>
      </c>
      <c r="X15" s="2" t="s">
        <v>6951</v>
      </c>
    </row>
    <row r="16" spans="1:24" x14ac:dyDescent="0.25">
      <c r="A16" s="1" t="s">
        <v>2015</v>
      </c>
      <c r="B16" s="1" t="str">
        <f t="shared" si="0"/>
        <v>UC1</v>
      </c>
      <c r="C16" s="1" t="b">
        <f t="shared" si="1"/>
        <v>0</v>
      </c>
      <c r="D16" s="1" t="b">
        <f t="shared" si="2"/>
        <v>1</v>
      </c>
      <c r="E16" s="1" t="str">
        <f t="shared" si="3"/>
        <v>GPT</v>
      </c>
      <c r="F16" s="1" t="str">
        <f t="shared" si="4"/>
        <v>TURTLE</v>
      </c>
      <c r="G16" s="1">
        <f>COUNTIF(Validation!$A:$A,$A16)</f>
        <v>114</v>
      </c>
      <c r="H16" s="18">
        <f>COUNTIFS(Validation!$A:$A,$A16,Validation!V:V,TRUE)/$G16</f>
        <v>0.15789473684210525</v>
      </c>
      <c r="I16" s="18">
        <f>COUNTIFS(Validation!$A:$A,$A16,Validation!W:W,TRUE)/$G16</f>
        <v>7.8947368421052627E-2</v>
      </c>
      <c r="J16" s="18">
        <f>COUNTIFS(Validation!$A:$A,$A16,Validation!X:X,TRUE)/$G16</f>
        <v>0</v>
      </c>
      <c r="K16" s="18">
        <f>COUNTIFS(Validation!$A:$A,$A16,Validation!Y:Y,TRUE)/$G16</f>
        <v>0</v>
      </c>
      <c r="L16" s="18">
        <f>COUNTIFS(Validation!$A:$A,$A16,Validation!Z:Z,TRUE)/$G16</f>
        <v>7.8947368421052627E-2</v>
      </c>
      <c r="M16" s="1">
        <f ca="1">IFERROR(__xludf.DUMMYFUNCTION("IFERROR(ROWS(UNIQUE(FILTER(Validation!$E:$E, Validation!$A:$A=$A16,Validation!$F:$F=TRUE))),0)+IFERROR(ROWS(UNIQUE(FILTER(Validation!$H:$H, Validation!$A:$A=$A16,Validation!$I:$I=TRUE))),0)+IFERROR(ROWS(UNIQUE(FILTER(Validation!$J:$J, Validation!$A:$A=$A1"&amp;"6,Validation!$K:$K=TRUE))),0)"),0)</f>
        <v>0</v>
      </c>
      <c r="N16" s="15">
        <f>COUNTIFS(Validation!$A:$A,$A16,Validation!$R:$R,TRUE)/G16</f>
        <v>0.52631578947368418</v>
      </c>
      <c r="O16" s="15">
        <f>(G16-COUNTIFS(Validation!$A:$A,$A16,Validation!$U:$U,TRUE))/G16</f>
        <v>0.93859649122807021</v>
      </c>
      <c r="P16" s="15">
        <f>HLOOKUP($A16,'Analysis per seeked concept'!$B$1:$AE$2,2,FALSE)</f>
        <v>0.78947368421052633</v>
      </c>
      <c r="Q16" s="1">
        <v>3</v>
      </c>
      <c r="R16" s="1">
        <v>4</v>
      </c>
      <c r="S16" s="1">
        <v>4</v>
      </c>
      <c r="T16" s="1">
        <v>3</v>
      </c>
      <c r="U16" s="2">
        <f t="shared" si="5"/>
        <v>14</v>
      </c>
      <c r="V16" s="1">
        <v>136</v>
      </c>
      <c r="W16" s="1">
        <v>0</v>
      </c>
      <c r="X16" s="2" t="s">
        <v>6952</v>
      </c>
    </row>
    <row r="17" spans="1:24" x14ac:dyDescent="0.25">
      <c r="A17" s="1" t="s">
        <v>2260</v>
      </c>
      <c r="B17" s="1" t="str">
        <f t="shared" si="0"/>
        <v>UC2</v>
      </c>
      <c r="C17" s="1" t="b">
        <f t="shared" si="1"/>
        <v>1</v>
      </c>
      <c r="D17" s="1" t="b">
        <f t="shared" si="2"/>
        <v>0</v>
      </c>
      <c r="E17" s="1" t="str">
        <f t="shared" si="3"/>
        <v>Perplexity</v>
      </c>
      <c r="F17" s="1" t="str">
        <f t="shared" si="4"/>
        <v>XML</v>
      </c>
      <c r="G17" s="1">
        <f>COUNTIF(Validation!$A:$A,$A17)</f>
        <v>17</v>
      </c>
      <c r="H17" s="18">
        <f>COUNTIFS(Validation!$A:$A,$A17,Validation!V:V,TRUE)/$G17</f>
        <v>0.52941176470588236</v>
      </c>
      <c r="I17" s="18">
        <f>COUNTIFS(Validation!$A:$A,$A17,Validation!W:W,TRUE)/$G17</f>
        <v>0</v>
      </c>
      <c r="J17" s="18">
        <f>COUNTIFS(Validation!$A:$A,$A17,Validation!X:X,TRUE)/$G17</f>
        <v>0</v>
      </c>
      <c r="K17" s="18">
        <f>COUNTIFS(Validation!$A:$A,$A17,Validation!Y:Y,TRUE)/$G17</f>
        <v>0</v>
      </c>
      <c r="L17" s="18">
        <f>COUNTIFS(Validation!$A:$A,$A17,Validation!Z:Z,TRUE)/$G17</f>
        <v>0.52941176470588236</v>
      </c>
      <c r="M17" s="1">
        <f ca="1">IFERROR(__xludf.DUMMYFUNCTION("IFERROR(ROWS(UNIQUE(FILTER(Validation!$E:$E, Validation!$A:$A=$A17,Validation!$F:$F=TRUE))),0)+IFERROR(ROWS(UNIQUE(FILTER(Validation!$H:$H, Validation!$A:$A=$A17,Validation!$I:$I=TRUE))),0)+IFERROR(ROWS(UNIQUE(FILTER(Validation!$J:$J, Validation!$A:$A=$A1"&amp;"7,Validation!$K:$K=TRUE))),0)"),0)</f>
        <v>0</v>
      </c>
      <c r="N17" s="15">
        <f>COUNTIFS(Validation!$A:$A,$A17,Validation!$R:$R,TRUE)/G17</f>
        <v>0.76470588235294112</v>
      </c>
      <c r="O17" s="15">
        <f>(G17-COUNTIFS(Validation!$A:$A,$A17,Validation!$U:$U,TRUE))/G17</f>
        <v>1</v>
      </c>
      <c r="P17" s="15">
        <f>HLOOKUP($A17,'Analysis per seeked concept'!$B$1:$AE$2,2,FALSE)</f>
        <v>1</v>
      </c>
      <c r="Q17" s="1">
        <v>2</v>
      </c>
      <c r="R17" s="1">
        <v>4</v>
      </c>
      <c r="S17" s="1">
        <v>3</v>
      </c>
      <c r="T17" s="1">
        <v>3</v>
      </c>
      <c r="U17" s="2">
        <f t="shared" si="5"/>
        <v>12</v>
      </c>
      <c r="V17" s="2">
        <v>596</v>
      </c>
      <c r="W17" s="2">
        <v>3</v>
      </c>
      <c r="X17" s="2" t="s">
        <v>6953</v>
      </c>
    </row>
    <row r="18" spans="1:24" x14ac:dyDescent="0.25">
      <c r="A18" s="1" t="s">
        <v>2296</v>
      </c>
      <c r="B18" s="1" t="str">
        <f t="shared" si="0"/>
        <v>UC2</v>
      </c>
      <c r="C18" s="1" t="b">
        <f t="shared" si="1"/>
        <v>1</v>
      </c>
      <c r="D18" s="1" t="b">
        <f t="shared" si="2"/>
        <v>0</v>
      </c>
      <c r="E18" s="1" t="str">
        <f t="shared" si="3"/>
        <v>GPT</v>
      </c>
      <c r="F18" s="1" t="str">
        <f t="shared" si="4"/>
        <v>XML</v>
      </c>
      <c r="G18" s="1">
        <f>COUNTIF(Validation!$A:$A,$A18)</f>
        <v>12</v>
      </c>
      <c r="H18" s="18">
        <f>COUNTIFS(Validation!$A:$A,$A18,Validation!V:V,TRUE)/$G18</f>
        <v>0.5</v>
      </c>
      <c r="I18" s="18">
        <f>COUNTIFS(Validation!$A:$A,$A18,Validation!W:W,TRUE)/$G18</f>
        <v>0</v>
      </c>
      <c r="J18" s="18">
        <f>COUNTIFS(Validation!$A:$A,$A18,Validation!X:X,TRUE)/$G18</f>
        <v>0</v>
      </c>
      <c r="K18" s="18">
        <f>COUNTIFS(Validation!$A:$A,$A18,Validation!Y:Y,TRUE)/$G18</f>
        <v>0</v>
      </c>
      <c r="L18" s="18">
        <f>COUNTIFS(Validation!$A:$A,$A18,Validation!Z:Z,TRUE)/$G18</f>
        <v>0.5</v>
      </c>
      <c r="M18" s="1">
        <f ca="1">IFERROR(__xludf.DUMMYFUNCTION("IFERROR(ROWS(UNIQUE(FILTER(Validation!$E:$E, Validation!$A:$A=$A18,Validation!$F:$F=TRUE))),0)+IFERROR(ROWS(UNIQUE(FILTER(Validation!$H:$H, Validation!$A:$A=$A18,Validation!$I:$I=TRUE))),0)+IFERROR(ROWS(UNIQUE(FILTER(Validation!$J:$J, Validation!$A:$A=$A1"&amp;"8,Validation!$K:$K=TRUE))),0)"),0)</f>
        <v>0</v>
      </c>
      <c r="N18" s="15">
        <f>COUNTIFS(Validation!$A:$A,$A18,Validation!$R:$R,TRUE)/G18</f>
        <v>1</v>
      </c>
      <c r="O18" s="15">
        <f>(G18-COUNTIFS(Validation!$A:$A,$A18,Validation!$U:$U,TRUE))/G18</f>
        <v>1</v>
      </c>
      <c r="P18" s="15">
        <f>HLOOKUP($A18,'Analysis per seeked concept'!$B$1:$AE$2,2,FALSE)</f>
        <v>1</v>
      </c>
      <c r="Q18" s="1">
        <v>4</v>
      </c>
      <c r="R18" s="1">
        <v>4</v>
      </c>
      <c r="S18" s="1">
        <v>4</v>
      </c>
      <c r="T18" s="1">
        <v>2</v>
      </c>
      <c r="U18" s="2">
        <f t="shared" si="5"/>
        <v>14</v>
      </c>
      <c r="V18" s="2">
        <v>43</v>
      </c>
      <c r="W18" s="2">
        <v>0</v>
      </c>
      <c r="X18" s="2" t="s">
        <v>6954</v>
      </c>
    </row>
    <row r="19" spans="1:24" x14ac:dyDescent="0.25">
      <c r="A19" s="1" t="s">
        <v>2321</v>
      </c>
      <c r="B19" s="1" t="str">
        <f t="shared" si="0"/>
        <v>UC2</v>
      </c>
      <c r="C19" s="1" t="b">
        <f t="shared" si="1"/>
        <v>1</v>
      </c>
      <c r="D19" s="1" t="b">
        <f t="shared" si="2"/>
        <v>1</v>
      </c>
      <c r="E19" s="1" t="str">
        <f t="shared" si="3"/>
        <v>Perplexity</v>
      </c>
      <c r="F19" s="1" t="str">
        <f t="shared" si="4"/>
        <v>XML</v>
      </c>
      <c r="G19" s="1">
        <f>COUNTIF(Validation!$A:$A,$A19)</f>
        <v>20</v>
      </c>
      <c r="H19" s="18">
        <f>COUNTIFS(Validation!$A:$A,$A19,Validation!V:V,TRUE)/$G19</f>
        <v>0.8</v>
      </c>
      <c r="I19" s="18">
        <f>COUNTIFS(Validation!$A:$A,$A19,Validation!W:W,TRUE)/$G19</f>
        <v>0.45</v>
      </c>
      <c r="J19" s="18">
        <f>COUNTIFS(Validation!$A:$A,$A19,Validation!X:X,TRUE)/$G19</f>
        <v>0</v>
      </c>
      <c r="K19" s="18">
        <f>COUNTIFS(Validation!$A:$A,$A19,Validation!Y:Y,TRUE)/$G19</f>
        <v>0</v>
      </c>
      <c r="L19" s="18">
        <f>COUNTIFS(Validation!$A:$A,$A19,Validation!Z:Z,TRUE)/$G19</f>
        <v>0.65</v>
      </c>
      <c r="M19" s="1">
        <f ca="1">IFERROR(__xludf.DUMMYFUNCTION("IFERROR(ROWS(UNIQUE(FILTER(Validation!$E:$E, Validation!$A:$A=$A19,Validation!$F:$F=TRUE))),0)+IFERROR(ROWS(UNIQUE(FILTER(Validation!$H:$H, Validation!$A:$A=$A19,Validation!$I:$I=TRUE))),0)+IFERROR(ROWS(UNIQUE(FILTER(Validation!$J:$J, Validation!$A:$A=$A1"&amp;"9,Validation!$K:$K=TRUE))),0)"),3)</f>
        <v>3</v>
      </c>
      <c r="N19" s="15">
        <f>COUNTIFS(Validation!$A:$A,$A19,Validation!$R:$R,TRUE)/G19</f>
        <v>0.8</v>
      </c>
      <c r="O19" s="15">
        <f>(G19-COUNTIFS(Validation!$A:$A,$A19,Validation!$U:$U,TRUE))/G19</f>
        <v>0.9</v>
      </c>
      <c r="P19" s="15">
        <f>HLOOKUP($A19,'Analysis per seeked concept'!$B$1:$AE$2,2,FALSE)</f>
        <v>1</v>
      </c>
      <c r="Q19" s="1">
        <v>4</v>
      </c>
      <c r="R19" s="1">
        <v>4</v>
      </c>
      <c r="S19" s="1">
        <v>4</v>
      </c>
      <c r="T19" s="1">
        <v>2</v>
      </c>
      <c r="U19" s="2">
        <f t="shared" si="5"/>
        <v>14</v>
      </c>
      <c r="V19" s="2">
        <v>778</v>
      </c>
      <c r="W19" s="2">
        <v>2</v>
      </c>
      <c r="X19" s="2" t="s">
        <v>6955</v>
      </c>
    </row>
    <row r="20" spans="1:24" x14ac:dyDescent="0.25">
      <c r="A20" s="1" t="s">
        <v>2363</v>
      </c>
      <c r="B20" s="1" t="str">
        <f t="shared" si="0"/>
        <v>UC2</v>
      </c>
      <c r="C20" s="1" t="b">
        <f t="shared" si="1"/>
        <v>1</v>
      </c>
      <c r="D20" s="1" t="b">
        <f t="shared" si="2"/>
        <v>1</v>
      </c>
      <c r="E20" s="1" t="str">
        <f t="shared" si="3"/>
        <v>GPT</v>
      </c>
      <c r="F20" s="1" t="str">
        <f t="shared" si="4"/>
        <v>XML</v>
      </c>
      <c r="G20" s="1">
        <f>COUNTIF(Validation!$A:$A,$A20)</f>
        <v>12</v>
      </c>
      <c r="H20" s="18">
        <f>COUNTIFS(Validation!$A:$A,$A20,Validation!V:V,TRUE)/$G20</f>
        <v>1</v>
      </c>
      <c r="I20" s="18">
        <f>COUNTIFS(Validation!$A:$A,$A20,Validation!W:W,TRUE)/$G20</f>
        <v>1</v>
      </c>
      <c r="J20" s="18">
        <f>COUNTIFS(Validation!$A:$A,$A20,Validation!X:X,TRUE)/$G20</f>
        <v>0</v>
      </c>
      <c r="K20" s="18">
        <f>COUNTIFS(Validation!$A:$A,$A20,Validation!Y:Y,TRUE)/$G20</f>
        <v>0</v>
      </c>
      <c r="L20" s="18">
        <f>COUNTIFS(Validation!$A:$A,$A20,Validation!Z:Z,TRUE)/$G20</f>
        <v>0.58333333333333337</v>
      </c>
      <c r="M20" s="1">
        <f ca="1">IFERROR(__xludf.DUMMYFUNCTION("IFERROR(ROWS(UNIQUE(FILTER(Validation!$E:$E, Validation!$A:$A=$A20,Validation!$F:$F=TRUE))),0)+IFERROR(ROWS(UNIQUE(FILTER(Validation!$H:$H, Validation!$A:$A=$A20,Validation!$I:$I=TRUE))),0)+IFERROR(ROWS(UNIQUE(FILTER(Validation!$J:$J, Validation!$A:$A=$A2"&amp;"0,Validation!$K:$K=TRUE))),0)"),2)</f>
        <v>2</v>
      </c>
      <c r="N20" s="15">
        <f>COUNTIFS(Validation!$A:$A,$A20,Validation!$R:$R,TRUE)/G20</f>
        <v>1</v>
      </c>
      <c r="O20" s="15">
        <f>(G20-COUNTIFS(Validation!$A:$A,$A20,Validation!$U:$U,TRUE))/G20</f>
        <v>1</v>
      </c>
      <c r="P20" s="15">
        <f>HLOOKUP($A20,'Analysis per seeked concept'!$B$1:$AE$2,2,FALSE)</f>
        <v>1</v>
      </c>
      <c r="Q20" s="1">
        <v>5</v>
      </c>
      <c r="R20" s="1">
        <v>4</v>
      </c>
      <c r="S20" s="1">
        <v>4</v>
      </c>
      <c r="T20" s="1">
        <v>2</v>
      </c>
      <c r="U20" s="2">
        <f t="shared" si="5"/>
        <v>15</v>
      </c>
      <c r="V20" s="2">
        <v>60</v>
      </c>
      <c r="W20" s="2">
        <v>1</v>
      </c>
      <c r="X20" s="2" t="s">
        <v>6956</v>
      </c>
    </row>
    <row r="21" spans="1:24" x14ac:dyDescent="0.25">
      <c r="A21" s="1" t="s">
        <v>2394</v>
      </c>
      <c r="B21" s="1" t="str">
        <f t="shared" si="0"/>
        <v>UC2</v>
      </c>
      <c r="C21" s="1" t="b">
        <f t="shared" si="1"/>
        <v>1</v>
      </c>
      <c r="D21" s="1" t="b">
        <f t="shared" si="2"/>
        <v>0</v>
      </c>
      <c r="E21" s="1" t="str">
        <f t="shared" si="3"/>
        <v>GPT</v>
      </c>
      <c r="F21" s="1" t="str">
        <f t="shared" si="4"/>
        <v>JSON</v>
      </c>
      <c r="G21" s="1">
        <f>COUNTIF(Validation!$A:$A,$A21)</f>
        <v>9</v>
      </c>
      <c r="H21" s="18">
        <f>COUNTIFS(Validation!$A:$A,$A21,Validation!V:V,TRUE)/$G21</f>
        <v>0.55555555555555558</v>
      </c>
      <c r="I21" s="18">
        <f>COUNTIFS(Validation!$A:$A,$A21,Validation!W:W,TRUE)/$G21</f>
        <v>0.1111111111111111</v>
      </c>
      <c r="J21" s="18">
        <f>COUNTIFS(Validation!$A:$A,$A21,Validation!X:X,TRUE)/$G21</f>
        <v>0</v>
      </c>
      <c r="K21" s="18">
        <f>COUNTIFS(Validation!$A:$A,$A21,Validation!Y:Y,TRUE)/$G21</f>
        <v>0</v>
      </c>
      <c r="L21" s="18">
        <f>COUNTIFS(Validation!$A:$A,$A21,Validation!Z:Z,TRUE)/$G21</f>
        <v>0.44444444444444442</v>
      </c>
      <c r="M21" s="1">
        <f ca="1">IFERROR(__xludf.DUMMYFUNCTION("IFERROR(ROWS(UNIQUE(FILTER(Validation!$E:$E, Validation!$A:$A=$A21,Validation!$F:$F=TRUE))),0)+IFERROR(ROWS(UNIQUE(FILTER(Validation!$H:$H, Validation!$A:$A=$A21,Validation!$I:$I=TRUE))),0)+IFERROR(ROWS(UNIQUE(FILTER(Validation!$J:$J, Validation!$A:$A=$A2"&amp;"1,Validation!$K:$K=TRUE))),0)"),0)</f>
        <v>0</v>
      </c>
      <c r="N21" s="15">
        <f>COUNTIFS(Validation!$A:$A,$A21,Validation!$R:$R,TRUE)/G21</f>
        <v>0.88888888888888884</v>
      </c>
      <c r="O21" s="15">
        <f>(G21-COUNTIFS(Validation!$A:$A,$A21,Validation!$U:$U,TRUE))/G21</f>
        <v>0.77777777777777779</v>
      </c>
      <c r="P21" s="15">
        <f>HLOOKUP($A21,'Analysis per seeked concept'!$B$1:$AE$2,2,FALSE)</f>
        <v>0.46153846153846156</v>
      </c>
      <c r="Q21" s="1">
        <v>4</v>
      </c>
      <c r="R21" s="1">
        <v>4</v>
      </c>
      <c r="S21" s="1">
        <v>2</v>
      </c>
      <c r="T21" s="1">
        <v>3</v>
      </c>
      <c r="U21" s="2">
        <f t="shared" si="5"/>
        <v>13</v>
      </c>
      <c r="V21" s="1">
        <v>46</v>
      </c>
      <c r="W21" s="1">
        <v>0</v>
      </c>
      <c r="X21" s="2" t="s">
        <v>6957</v>
      </c>
    </row>
    <row r="22" spans="1:24" x14ac:dyDescent="0.25">
      <c r="A22" s="1" t="s">
        <v>2418</v>
      </c>
      <c r="B22" s="1" t="str">
        <f t="shared" si="0"/>
        <v>UC2</v>
      </c>
      <c r="C22" s="1" t="b">
        <f t="shared" si="1"/>
        <v>1</v>
      </c>
      <c r="D22" s="1" t="b">
        <f t="shared" si="2"/>
        <v>1</v>
      </c>
      <c r="E22" s="1" t="str">
        <f t="shared" si="3"/>
        <v>GPT</v>
      </c>
      <c r="F22" s="1" t="str">
        <f t="shared" si="4"/>
        <v>JSON</v>
      </c>
      <c r="G22" s="1">
        <f>COUNTIF(Validation!$A:$A,$A22)</f>
        <v>13</v>
      </c>
      <c r="H22" s="18">
        <f>COUNTIFS(Validation!$A:$A,$A22,Validation!V:V,TRUE)/$G22</f>
        <v>0.30769230769230771</v>
      </c>
      <c r="I22" s="18">
        <f>COUNTIFS(Validation!$A:$A,$A22,Validation!W:W,TRUE)/$G22</f>
        <v>7.6923076923076927E-2</v>
      </c>
      <c r="J22" s="18">
        <f>COUNTIFS(Validation!$A:$A,$A22,Validation!X:X,TRUE)/$G22</f>
        <v>0</v>
      </c>
      <c r="K22" s="18">
        <f>COUNTIFS(Validation!$A:$A,$A22,Validation!Y:Y,TRUE)/$G22</f>
        <v>7.6923076923076927E-2</v>
      </c>
      <c r="L22" s="18">
        <f>COUNTIFS(Validation!$A:$A,$A22,Validation!Z:Z,TRUE)/$G22</f>
        <v>0.23076923076923078</v>
      </c>
      <c r="M22" s="1">
        <f ca="1">IFERROR(__xludf.DUMMYFUNCTION("IFERROR(ROWS(UNIQUE(FILTER(Validation!$E:$E, Validation!$A:$A=$A22,Validation!$F:$F=TRUE))),0)+IFERROR(ROWS(UNIQUE(FILTER(Validation!$H:$H, Validation!$A:$A=$A22,Validation!$I:$I=TRUE))),0)+IFERROR(ROWS(UNIQUE(FILTER(Validation!$J:$J, Validation!$A:$A=$A2"&amp;"2,Validation!$K:$K=TRUE))),0)"),0)</f>
        <v>0</v>
      </c>
      <c r="N22" s="15">
        <f>COUNTIFS(Validation!$A:$A,$A22,Validation!$R:$R,TRUE)/G22</f>
        <v>0.92307692307692313</v>
      </c>
      <c r="O22" s="15">
        <f>(G22-COUNTIFS(Validation!$A:$A,$A22,Validation!$U:$U,TRUE))/G22</f>
        <v>0.92307692307692313</v>
      </c>
      <c r="P22" s="15">
        <f>HLOOKUP($A22,'Analysis per seeked concept'!$B$1:$AE$2,2,FALSE)</f>
        <v>1</v>
      </c>
      <c r="Q22" s="1">
        <v>5</v>
      </c>
      <c r="R22" s="1">
        <v>4</v>
      </c>
      <c r="S22" s="1">
        <v>4</v>
      </c>
      <c r="T22" s="1">
        <v>4</v>
      </c>
      <c r="U22" s="2">
        <f t="shared" si="5"/>
        <v>17</v>
      </c>
      <c r="V22" s="1">
        <v>76</v>
      </c>
      <c r="W22" s="1">
        <v>0</v>
      </c>
      <c r="X22" s="2" t="s">
        <v>6958</v>
      </c>
    </row>
    <row r="23" spans="1:24" x14ac:dyDescent="0.25">
      <c r="A23" s="1" t="s">
        <v>2441</v>
      </c>
      <c r="B23" s="1" t="str">
        <f t="shared" si="0"/>
        <v>UC2</v>
      </c>
      <c r="C23" s="1" t="b">
        <f t="shared" si="1"/>
        <v>1</v>
      </c>
      <c r="D23" s="1" t="b">
        <f t="shared" si="2"/>
        <v>0</v>
      </c>
      <c r="E23" s="1" t="str">
        <f t="shared" si="3"/>
        <v>GPT</v>
      </c>
      <c r="F23" s="1" t="str">
        <f t="shared" si="4"/>
        <v>TURTLE</v>
      </c>
      <c r="G23" s="1">
        <f>COUNTIF(Validation!$A:$A,$A23)</f>
        <v>11</v>
      </c>
      <c r="H23" s="18">
        <f>COUNTIFS(Validation!$A:$A,$A23,Validation!V:V,TRUE)/$G23</f>
        <v>0.18181818181818182</v>
      </c>
      <c r="I23" s="18">
        <f>COUNTIFS(Validation!$A:$A,$A23,Validation!W:W,TRUE)/$G23</f>
        <v>9.0909090909090912E-2</v>
      </c>
      <c r="J23" s="18">
        <f>COUNTIFS(Validation!$A:$A,$A23,Validation!X:X,TRUE)/$G23</f>
        <v>0</v>
      </c>
      <c r="K23" s="18">
        <f>COUNTIFS(Validation!$A:$A,$A23,Validation!Y:Y,TRUE)/$G23</f>
        <v>9.0909090909090912E-2</v>
      </c>
      <c r="L23" s="18">
        <f>COUNTIFS(Validation!$A:$A,$A23,Validation!Z:Z,TRUE)/$G23</f>
        <v>9.0909090909090912E-2</v>
      </c>
      <c r="M23" s="1">
        <f ca="1">IFERROR(__xludf.DUMMYFUNCTION("IFERROR(ROWS(UNIQUE(FILTER(Validation!$E:$E, Validation!$A:$A=$A23,Validation!$F:$F=TRUE))),0)+IFERROR(ROWS(UNIQUE(FILTER(Validation!$H:$H, Validation!$A:$A=$A23,Validation!$I:$I=TRUE))),0)+IFERROR(ROWS(UNIQUE(FILTER(Validation!$J:$J, Validation!$A:$A=$A2"&amp;"3,Validation!$K:$K=TRUE))),0)"),0)</f>
        <v>0</v>
      </c>
      <c r="N23" s="15">
        <f>COUNTIFS(Validation!$A:$A,$A23,Validation!$R:$R,TRUE)/G23</f>
        <v>0.90909090909090906</v>
      </c>
      <c r="O23" s="15">
        <f>(G23-COUNTIFS(Validation!$A:$A,$A23,Validation!$U:$U,TRUE))/G23</f>
        <v>0.81818181818181823</v>
      </c>
      <c r="P23" s="15">
        <f>HLOOKUP($A23,'Analysis per seeked concept'!$B$1:$AE$2,2,FALSE)</f>
        <v>0.75</v>
      </c>
      <c r="Q23" s="1">
        <v>3</v>
      </c>
      <c r="R23" s="1">
        <v>4</v>
      </c>
      <c r="S23" s="1">
        <v>3</v>
      </c>
      <c r="T23" s="1">
        <v>3</v>
      </c>
      <c r="U23" s="2">
        <f t="shared" si="5"/>
        <v>13</v>
      </c>
      <c r="V23" s="1">
        <v>27</v>
      </c>
      <c r="W23" s="1">
        <v>0</v>
      </c>
      <c r="X23" s="2" t="s">
        <v>6959</v>
      </c>
    </row>
    <row r="24" spans="1:24" x14ac:dyDescent="0.25">
      <c r="A24" s="1" t="s">
        <v>2463</v>
      </c>
      <c r="B24" s="1" t="str">
        <f t="shared" si="0"/>
        <v>UC2</v>
      </c>
      <c r="C24" s="1" t="b">
        <f t="shared" si="1"/>
        <v>1</v>
      </c>
      <c r="D24" s="1" t="b">
        <f t="shared" si="2"/>
        <v>1</v>
      </c>
      <c r="E24" s="1" t="str">
        <f t="shared" si="3"/>
        <v>GPT</v>
      </c>
      <c r="F24" s="1" t="str">
        <f t="shared" si="4"/>
        <v>TURTLE</v>
      </c>
      <c r="G24" s="1">
        <f>COUNTIF(Validation!$A:$A,$A24)</f>
        <v>25</v>
      </c>
      <c r="H24" s="18">
        <f>COUNTIFS(Validation!$A:$A,$A24,Validation!V:V,TRUE)/$G24</f>
        <v>0.28000000000000003</v>
      </c>
      <c r="I24" s="18">
        <f>COUNTIFS(Validation!$A:$A,$A24,Validation!W:W,TRUE)/$G24</f>
        <v>0.04</v>
      </c>
      <c r="J24" s="18">
        <f>COUNTIFS(Validation!$A:$A,$A24,Validation!X:X,TRUE)/$G24</f>
        <v>0</v>
      </c>
      <c r="K24" s="18">
        <f>COUNTIFS(Validation!$A:$A,$A24,Validation!Y:Y,TRUE)/$G24</f>
        <v>0.04</v>
      </c>
      <c r="L24" s="18">
        <f>COUNTIFS(Validation!$A:$A,$A24,Validation!Z:Z,TRUE)/$G24</f>
        <v>0.24</v>
      </c>
      <c r="M24" s="1">
        <f ca="1">IFERROR(__xludf.DUMMYFUNCTION("IFERROR(ROWS(UNIQUE(FILTER(Validation!$E:$E, Validation!$A:$A=$A24,Validation!$F:$F=TRUE))),0)+IFERROR(ROWS(UNIQUE(FILTER(Validation!$H:$H, Validation!$A:$A=$A24,Validation!$I:$I=TRUE))),0)+IFERROR(ROWS(UNIQUE(FILTER(Validation!$J:$J, Validation!$A:$A=$A2"&amp;"4,Validation!$K:$K=TRUE))),0)"),0)</f>
        <v>0</v>
      </c>
      <c r="N24" s="15">
        <f>COUNTIFS(Validation!$A:$A,$A24,Validation!$R:$R,TRUE)/G24</f>
        <v>0.96</v>
      </c>
      <c r="O24" s="15">
        <f>(G24-COUNTIFS(Validation!$A:$A,$A24,Validation!$U:$U,TRUE))/G24</f>
        <v>0.96</v>
      </c>
      <c r="P24" s="15">
        <f>HLOOKUP($A24,'Analysis per seeked concept'!$B$1:$AE$2,2,FALSE)</f>
        <v>1</v>
      </c>
      <c r="Q24" s="1">
        <v>5</v>
      </c>
      <c r="R24" s="1">
        <v>4</v>
      </c>
      <c r="S24" s="1">
        <v>5</v>
      </c>
      <c r="T24" s="1">
        <v>4</v>
      </c>
      <c r="U24" s="2">
        <f t="shared" si="5"/>
        <v>18</v>
      </c>
      <c r="V24" s="1">
        <v>72</v>
      </c>
      <c r="W24" s="1">
        <v>0</v>
      </c>
      <c r="X24" s="2" t="s">
        <v>6960</v>
      </c>
    </row>
    <row r="25" spans="1:24" x14ac:dyDescent="0.25">
      <c r="A25" s="1" t="s">
        <v>2508</v>
      </c>
      <c r="B25" s="1" t="str">
        <f t="shared" si="0"/>
        <v>UC3</v>
      </c>
      <c r="C25" s="1" t="b">
        <f t="shared" si="1"/>
        <v>1</v>
      </c>
      <c r="D25" s="1" t="b">
        <f t="shared" si="2"/>
        <v>0</v>
      </c>
      <c r="E25" s="1" t="str">
        <f t="shared" si="3"/>
        <v>Perplexity</v>
      </c>
      <c r="F25" s="1" t="str">
        <f t="shared" si="4"/>
        <v>XML</v>
      </c>
      <c r="G25" s="1">
        <f>COUNTIF(Validation!$A:$A,$A25)</f>
        <v>8</v>
      </c>
      <c r="H25" s="18">
        <f>COUNTIFS(Validation!$A:$A,$A25,Validation!V:V,TRUE)/$G25</f>
        <v>0.375</v>
      </c>
      <c r="I25" s="18">
        <f>COUNTIFS(Validation!$A:$A,$A25,Validation!W:W,TRUE)/$G25</f>
        <v>0</v>
      </c>
      <c r="J25" s="18">
        <f>COUNTIFS(Validation!$A:$A,$A25,Validation!X:X,TRUE)/$G25</f>
        <v>0.375</v>
      </c>
      <c r="K25" s="18">
        <f>COUNTIFS(Validation!$A:$A,$A25,Validation!Y:Y,TRUE)/$G25</f>
        <v>0</v>
      </c>
      <c r="L25" s="18">
        <f>COUNTIFS(Validation!$A:$A,$A25,Validation!Z:Z,TRUE)/$G25</f>
        <v>0</v>
      </c>
      <c r="M25" s="1">
        <f ca="1">IFERROR(__xludf.DUMMYFUNCTION("IFERROR(ROWS(UNIQUE(FILTER(Validation!$E:$E, Validation!$A:$A=$A25,Validation!$F:$F=TRUE))),0)+IFERROR(ROWS(UNIQUE(FILTER(Validation!$H:$H, Validation!$A:$A=$A25,Validation!$I:$I=TRUE))),0)+IFERROR(ROWS(UNIQUE(FILTER(Validation!$J:$J, Validation!$A:$A=$A2"&amp;"5,Validation!$K:$K=TRUE))),0)"),0)</f>
        <v>0</v>
      </c>
      <c r="N25" s="15">
        <f>COUNTIFS(Validation!$A:$A,$A25,Validation!$R:$R,TRUE)/G25</f>
        <v>0</v>
      </c>
      <c r="O25" s="15">
        <f>(G25-COUNTIFS(Validation!$A:$A,$A25,Validation!$U:$U,TRUE))/G25</f>
        <v>1</v>
      </c>
      <c r="P25" s="15">
        <f>HLOOKUP($A25,'Analysis per seeked concept'!$B$1:$AE$2,2,FALSE)</f>
        <v>0.27586206896551724</v>
      </c>
      <c r="Q25" s="1">
        <v>4</v>
      </c>
      <c r="R25" s="1">
        <v>4</v>
      </c>
      <c r="S25" s="1">
        <v>2</v>
      </c>
      <c r="T25" s="1">
        <v>3</v>
      </c>
      <c r="U25" s="2">
        <f t="shared" si="5"/>
        <v>13</v>
      </c>
      <c r="V25" s="2">
        <v>348</v>
      </c>
      <c r="W25" s="2">
        <v>1</v>
      </c>
      <c r="X25" s="2" t="s">
        <v>6961</v>
      </c>
    </row>
    <row r="26" spans="1:24" x14ac:dyDescent="0.25">
      <c r="A26" s="1" t="s">
        <v>2529</v>
      </c>
      <c r="B26" s="1" t="str">
        <f t="shared" si="0"/>
        <v>UC3</v>
      </c>
      <c r="C26" s="1" t="b">
        <f t="shared" si="1"/>
        <v>1</v>
      </c>
      <c r="D26" s="1" t="b">
        <f t="shared" si="2"/>
        <v>0</v>
      </c>
      <c r="E26" s="1" t="str">
        <f t="shared" si="3"/>
        <v>GPT</v>
      </c>
      <c r="F26" s="1" t="str">
        <f t="shared" si="4"/>
        <v>XML</v>
      </c>
      <c r="G26" s="1">
        <f>COUNTIF(Validation!$A:$A,$A26)</f>
        <v>28</v>
      </c>
      <c r="H26" s="18">
        <f>COUNTIFS(Validation!$A:$A,$A26,Validation!V:V,TRUE)/$G26</f>
        <v>1</v>
      </c>
      <c r="I26" s="18">
        <f>COUNTIFS(Validation!$A:$A,$A26,Validation!W:W,TRUE)/$G26</f>
        <v>1</v>
      </c>
      <c r="J26" s="18">
        <f>COUNTIFS(Validation!$A:$A,$A26,Validation!X:X,TRUE)/$G26</f>
        <v>0</v>
      </c>
      <c r="K26" s="18">
        <f>COUNTIFS(Validation!$A:$A,$A26,Validation!Y:Y,TRUE)/$G26</f>
        <v>0.25</v>
      </c>
      <c r="L26" s="18">
        <f>COUNTIFS(Validation!$A:$A,$A26,Validation!Z:Z,TRUE)/$G26</f>
        <v>0</v>
      </c>
      <c r="M26" s="1">
        <f ca="1">IFERROR(__xludf.DUMMYFUNCTION("IFERROR(ROWS(UNIQUE(FILTER(Validation!$E:$E, Validation!$A:$A=$A26,Validation!$F:$F=TRUE))),0)+IFERROR(ROWS(UNIQUE(FILTER(Validation!$H:$H, Validation!$A:$A=$A26,Validation!$I:$I=TRUE))),0)+IFERROR(ROWS(UNIQUE(FILTER(Validation!$J:$J, Validation!$A:$A=$A2"&amp;"6,Validation!$K:$K=TRUE))),0)"),12)</f>
        <v>12</v>
      </c>
      <c r="N26" s="15">
        <f>COUNTIFS(Validation!$A:$A,$A26,Validation!$R:$R,TRUE)/G26</f>
        <v>0.2857142857142857</v>
      </c>
      <c r="O26" s="15">
        <f>(G26-COUNTIFS(Validation!$A:$A,$A26,Validation!$U:$U,TRUE))/G26</f>
        <v>0.6785714285714286</v>
      </c>
      <c r="P26" s="15">
        <f>HLOOKUP($A26,'Analysis per seeked concept'!$B$1:$AE$2,2,FALSE)</f>
        <v>0.5625</v>
      </c>
      <c r="Q26" s="1">
        <v>4</v>
      </c>
      <c r="R26" s="1">
        <v>4</v>
      </c>
      <c r="S26" s="1">
        <v>3</v>
      </c>
      <c r="T26" s="1">
        <v>3</v>
      </c>
      <c r="U26" s="2">
        <f t="shared" si="5"/>
        <v>14</v>
      </c>
      <c r="V26" s="1">
        <v>96</v>
      </c>
      <c r="W26" s="1">
        <v>1</v>
      </c>
      <c r="X26" s="2" t="s">
        <v>6962</v>
      </c>
    </row>
    <row r="27" spans="1:24" x14ac:dyDescent="0.25">
      <c r="A27" s="1" t="s">
        <v>2616</v>
      </c>
      <c r="B27" s="1" t="str">
        <f t="shared" si="0"/>
        <v>UC3</v>
      </c>
      <c r="C27" s="1" t="b">
        <f t="shared" si="1"/>
        <v>1</v>
      </c>
      <c r="D27" s="1" t="b">
        <f t="shared" si="2"/>
        <v>1</v>
      </c>
      <c r="E27" s="1" t="str">
        <f t="shared" si="3"/>
        <v>Perplexity</v>
      </c>
      <c r="F27" s="1" t="str">
        <f t="shared" si="4"/>
        <v>XML</v>
      </c>
      <c r="G27" s="1">
        <f>COUNTIF(Validation!$A:$A,$A27)</f>
        <v>81</v>
      </c>
      <c r="H27" s="18">
        <f>COUNTIFS(Validation!$A:$A,$A27,Validation!V:V,TRUE)/$G27</f>
        <v>0.98765432098765427</v>
      </c>
      <c r="I27" s="18">
        <f>COUNTIFS(Validation!$A:$A,$A27,Validation!W:W,TRUE)/$G27</f>
        <v>0.96296296296296291</v>
      </c>
      <c r="J27" s="18">
        <f>COUNTIFS(Validation!$A:$A,$A27,Validation!X:X,TRUE)/$G27</f>
        <v>4.9382716049382713E-2</v>
      </c>
      <c r="K27" s="18">
        <f>COUNTIFS(Validation!$A:$A,$A27,Validation!Y:Y,TRUE)/$G27</f>
        <v>0</v>
      </c>
      <c r="L27" s="18">
        <f>COUNTIFS(Validation!$A:$A,$A27,Validation!Z:Z,TRUE)/$G27</f>
        <v>6.1728395061728392E-2</v>
      </c>
      <c r="M27" s="1">
        <f ca="1">IFERROR(__xludf.DUMMYFUNCTION("IFERROR(ROWS(UNIQUE(FILTER(Validation!$E:$E, Validation!$A:$A=$A27,Validation!$F:$F=TRUE))),0)+IFERROR(ROWS(UNIQUE(FILTER(Validation!$H:$H, Validation!$A:$A=$A27,Validation!$I:$I=TRUE))),0)+IFERROR(ROWS(UNIQUE(FILTER(Validation!$J:$J, Validation!$A:$A=$A2"&amp;"7,Validation!$K:$K=TRUE))),0)"),34)</f>
        <v>34</v>
      </c>
      <c r="N27" s="15">
        <f>COUNTIFS(Validation!$A:$A,$A27,Validation!$R:$R,TRUE)/G27</f>
        <v>0</v>
      </c>
      <c r="O27" s="15">
        <f>(G27-COUNTIFS(Validation!$A:$A,$A27,Validation!$U:$U,TRUE))/G27</f>
        <v>0.80246913580246915</v>
      </c>
      <c r="P27" s="15">
        <f>HLOOKUP($A27,'Analysis per seeked concept'!$B$1:$AE$2,2,FALSE)</f>
        <v>0.91891891891891897</v>
      </c>
      <c r="Q27" s="1">
        <v>2</v>
      </c>
      <c r="R27" s="1">
        <v>4</v>
      </c>
      <c r="S27" s="1">
        <v>4</v>
      </c>
      <c r="T27" s="1">
        <v>2</v>
      </c>
      <c r="U27" s="2">
        <f t="shared" si="5"/>
        <v>12</v>
      </c>
      <c r="V27" s="2">
        <v>1751</v>
      </c>
      <c r="W27" s="2">
        <v>1</v>
      </c>
      <c r="X27" s="2" t="s">
        <v>6963</v>
      </c>
    </row>
    <row r="28" spans="1:24" x14ac:dyDescent="0.25">
      <c r="A28" s="1" t="s">
        <v>2886</v>
      </c>
      <c r="B28" s="1" t="str">
        <f t="shared" si="0"/>
        <v>UC3</v>
      </c>
      <c r="C28" s="1" t="b">
        <f t="shared" si="1"/>
        <v>1</v>
      </c>
      <c r="D28" s="1" t="b">
        <f t="shared" si="2"/>
        <v>1</v>
      </c>
      <c r="E28" s="1" t="str">
        <f t="shared" si="3"/>
        <v>GPT</v>
      </c>
      <c r="F28" s="1" t="str">
        <f t="shared" si="4"/>
        <v>XML</v>
      </c>
      <c r="G28" s="1">
        <f>COUNTIF(Validation!$A:$A,$A28)</f>
        <v>82</v>
      </c>
      <c r="H28" s="18">
        <f>COUNTIFS(Validation!$A:$A,$A28,Validation!V:V,TRUE)/$G28</f>
        <v>0.63414634146341464</v>
      </c>
      <c r="I28" s="18">
        <f>COUNTIFS(Validation!$A:$A,$A28,Validation!W:W,TRUE)/$G28</f>
        <v>0.62195121951219512</v>
      </c>
      <c r="J28" s="18">
        <f>COUNTIFS(Validation!$A:$A,$A28,Validation!X:X,TRUE)/$G28</f>
        <v>0</v>
      </c>
      <c r="K28" s="18">
        <f>COUNTIFS(Validation!$A:$A,$A28,Validation!Y:Y,TRUE)/$G28</f>
        <v>0</v>
      </c>
      <c r="L28" s="18">
        <f>COUNTIFS(Validation!$A:$A,$A28,Validation!Z:Z,TRUE)/$G28</f>
        <v>3.6585365853658534E-2</v>
      </c>
      <c r="M28" s="1">
        <f ca="1">IFERROR(__xludf.DUMMYFUNCTION("IFERROR(ROWS(UNIQUE(FILTER(Validation!$E:$E, Validation!$A:$A=$A28,Validation!$F:$F=TRUE))),0)+IFERROR(ROWS(UNIQUE(FILTER(Validation!$H:$H, Validation!$A:$A=$A28,Validation!$I:$I=TRUE))),0)+IFERROR(ROWS(UNIQUE(FILTER(Validation!$J:$J, Validation!$A:$A=$A2"&amp;"8,Validation!$K:$K=TRUE))),0)"),13)</f>
        <v>13</v>
      </c>
      <c r="N28" s="15">
        <f>COUNTIFS(Validation!$A:$A,$A28,Validation!$R:$R,TRUE)/G28</f>
        <v>0.37804878048780488</v>
      </c>
      <c r="O28" s="15">
        <f>(G28-COUNTIFS(Validation!$A:$A,$A28,Validation!$U:$U,TRUE))/G28</f>
        <v>0.93902439024390238</v>
      </c>
      <c r="P28" s="15">
        <f>HLOOKUP($A28,'Analysis per seeked concept'!$B$1:$AE$2,2,FALSE)</f>
        <v>0.8125</v>
      </c>
      <c r="Q28" s="1">
        <v>3</v>
      </c>
      <c r="R28" s="1">
        <v>4</v>
      </c>
      <c r="S28" s="1">
        <v>3</v>
      </c>
      <c r="T28" s="1">
        <v>3</v>
      </c>
      <c r="U28" s="2">
        <f t="shared" si="5"/>
        <v>13</v>
      </c>
      <c r="V28" s="1">
        <v>422</v>
      </c>
      <c r="W28" s="1">
        <v>1</v>
      </c>
      <c r="X28" s="2" t="s">
        <v>6964</v>
      </c>
    </row>
    <row r="29" spans="1:24" x14ac:dyDescent="0.25">
      <c r="A29" s="1" t="s">
        <v>3079</v>
      </c>
      <c r="B29" s="1" t="str">
        <f t="shared" si="0"/>
        <v>UC3</v>
      </c>
      <c r="C29" s="1" t="b">
        <f t="shared" si="1"/>
        <v>1</v>
      </c>
      <c r="D29" s="1" t="b">
        <f t="shared" si="2"/>
        <v>0</v>
      </c>
      <c r="E29" s="1" t="str">
        <f t="shared" si="3"/>
        <v>GPT</v>
      </c>
      <c r="F29" s="1" t="str">
        <f t="shared" si="4"/>
        <v>JSON</v>
      </c>
      <c r="G29" s="1">
        <f>COUNTIF(Validation!$A:$A,$A29)</f>
        <v>14</v>
      </c>
      <c r="H29" s="18">
        <f>COUNTIFS(Validation!$A:$A,$A29,Validation!V:V,TRUE)/$G29</f>
        <v>1</v>
      </c>
      <c r="I29" s="18">
        <f>COUNTIFS(Validation!$A:$A,$A29,Validation!W:W,TRUE)/$G29</f>
        <v>1</v>
      </c>
      <c r="J29" s="18">
        <f>COUNTIFS(Validation!$A:$A,$A29,Validation!X:X,TRUE)/$G29</f>
        <v>0</v>
      </c>
      <c r="K29" s="18">
        <f>COUNTIFS(Validation!$A:$A,$A29,Validation!Y:Y,TRUE)/$G29</f>
        <v>0</v>
      </c>
      <c r="L29" s="18">
        <f>COUNTIFS(Validation!$A:$A,$A29,Validation!Z:Z,TRUE)/$G29</f>
        <v>0</v>
      </c>
      <c r="M29" s="1">
        <f ca="1">IFERROR(__xludf.DUMMYFUNCTION("IFERROR(ROWS(UNIQUE(FILTER(Validation!$E:$E, Validation!$A:$A=$A29,Validation!$F:$F=TRUE))),0)+IFERROR(ROWS(UNIQUE(FILTER(Validation!$H:$H, Validation!$A:$A=$A29,Validation!$I:$I=TRUE))),0)+IFERROR(ROWS(UNIQUE(FILTER(Validation!$J:$J, Validation!$A:$A=$A2"&amp;"9,Validation!$K:$K=TRUE))),0)"),1)</f>
        <v>1</v>
      </c>
      <c r="N29" s="15">
        <f>COUNTIFS(Validation!$A:$A,$A29,Validation!$R:$R,TRUE)/G29</f>
        <v>0</v>
      </c>
      <c r="O29" s="15">
        <f>(G29-COUNTIFS(Validation!$A:$A,$A29,Validation!$U:$U,TRUE))/G29</f>
        <v>1</v>
      </c>
      <c r="P29" s="15">
        <f>HLOOKUP($A29,'Analysis per seeked concept'!$B$1:$AE$2,2,FALSE)</f>
        <v>0.5</v>
      </c>
      <c r="Q29" s="1">
        <v>3</v>
      </c>
      <c r="R29" s="1">
        <v>4</v>
      </c>
      <c r="S29" s="1">
        <v>1</v>
      </c>
      <c r="T29" s="1">
        <v>1</v>
      </c>
      <c r="U29" s="2">
        <f t="shared" si="5"/>
        <v>9</v>
      </c>
      <c r="V29" s="1">
        <v>53</v>
      </c>
      <c r="W29" s="1">
        <v>0</v>
      </c>
      <c r="X29" s="2" t="s">
        <v>6965</v>
      </c>
    </row>
    <row r="30" spans="1:24" x14ac:dyDescent="0.25">
      <c r="A30" s="1" t="s">
        <v>3096</v>
      </c>
      <c r="B30" s="1" t="str">
        <f t="shared" si="0"/>
        <v>UC3</v>
      </c>
      <c r="C30" s="1" t="b">
        <f t="shared" si="1"/>
        <v>1</v>
      </c>
      <c r="D30" s="1" t="b">
        <f t="shared" si="2"/>
        <v>1</v>
      </c>
      <c r="E30" s="1" t="str">
        <f t="shared" si="3"/>
        <v>GPT</v>
      </c>
      <c r="F30" s="1" t="str">
        <f t="shared" si="4"/>
        <v>JSON</v>
      </c>
      <c r="G30" s="1">
        <f>COUNTIF(Validation!$A:$A,$A30)</f>
        <v>53</v>
      </c>
      <c r="H30" s="18">
        <f>COUNTIFS(Validation!$A:$A,$A30,Validation!V:V,TRUE)/$G30</f>
        <v>0.71698113207547165</v>
      </c>
      <c r="I30" s="18">
        <f>COUNTIFS(Validation!$A:$A,$A30,Validation!W:W,TRUE)/$G30</f>
        <v>0.39622641509433965</v>
      </c>
      <c r="J30" s="18">
        <f>COUNTIFS(Validation!$A:$A,$A30,Validation!X:X,TRUE)/$G30</f>
        <v>0.41509433962264153</v>
      </c>
      <c r="K30" s="18">
        <f>COUNTIFS(Validation!$A:$A,$A30,Validation!Y:Y,TRUE)/$G30</f>
        <v>1.8867924528301886E-2</v>
      </c>
      <c r="L30" s="18">
        <f>COUNTIFS(Validation!$A:$A,$A30,Validation!Z:Z,TRUE)/$G30</f>
        <v>7.5471698113207544E-2</v>
      </c>
      <c r="M30" s="1">
        <f ca="1">IFERROR(__xludf.DUMMYFUNCTION("IFERROR(ROWS(UNIQUE(FILTER(Validation!$E:$E, Validation!$A:$A=$A30,Validation!$F:$F=TRUE))),0)+IFERROR(ROWS(UNIQUE(FILTER(Validation!$H:$H, Validation!$A:$A=$A30,Validation!$I:$I=TRUE))),0)+IFERROR(ROWS(UNIQUE(FILTER(Validation!$J:$J, Validation!$A:$A=$A3"&amp;"0,Validation!$K:$K=TRUE))),0)"),2)</f>
        <v>2</v>
      </c>
      <c r="N30" s="15">
        <f>COUNTIFS(Validation!$A:$A,$A30,Validation!$R:$R,TRUE)/G30</f>
        <v>0.83018867924528306</v>
      </c>
      <c r="O30" s="15">
        <f>(G30-COUNTIFS(Validation!$A:$A,$A30,Validation!$U:$U,TRUE))/G30</f>
        <v>0.92452830188679247</v>
      </c>
      <c r="P30" s="15">
        <f>HLOOKUP($A30,'Analysis per seeked concept'!$B$1:$AE$2,2,FALSE)</f>
        <v>0.84375</v>
      </c>
      <c r="Q30" s="1">
        <v>2</v>
      </c>
      <c r="R30" s="1">
        <v>4</v>
      </c>
      <c r="S30" s="1">
        <v>4</v>
      </c>
      <c r="T30" s="1">
        <v>2</v>
      </c>
      <c r="U30" s="2">
        <f t="shared" si="5"/>
        <v>12</v>
      </c>
      <c r="V30" s="1">
        <v>261</v>
      </c>
      <c r="W30" s="1">
        <v>0</v>
      </c>
      <c r="X30" s="2" t="s">
        <v>6966</v>
      </c>
    </row>
    <row r="31" spans="1:24" x14ac:dyDescent="0.25">
      <c r="A31" s="1" t="s">
        <v>3248</v>
      </c>
      <c r="B31" s="1" t="str">
        <f t="shared" si="0"/>
        <v>UC3</v>
      </c>
      <c r="C31" s="1" t="b">
        <f t="shared" si="1"/>
        <v>1</v>
      </c>
      <c r="D31" s="1" t="b">
        <f t="shared" si="2"/>
        <v>0</v>
      </c>
      <c r="E31" s="1" t="str">
        <f t="shared" si="3"/>
        <v>GPT</v>
      </c>
      <c r="F31" s="1" t="str">
        <f t="shared" si="4"/>
        <v>TURTLE</v>
      </c>
      <c r="G31" s="1">
        <f>COUNTIF(Validation!$A:$A,$A31)</f>
        <v>46</v>
      </c>
      <c r="H31" s="18">
        <f>COUNTIFS(Validation!$A:$A,$A31,Validation!V:V,TRUE)/$G31</f>
        <v>0.47826086956521741</v>
      </c>
      <c r="I31" s="18">
        <f>COUNTIFS(Validation!$A:$A,$A31,Validation!W:W,TRUE)/$G31</f>
        <v>0.43478260869565216</v>
      </c>
      <c r="J31" s="18">
        <f>COUNTIFS(Validation!$A:$A,$A31,Validation!X:X,TRUE)/$G31</f>
        <v>0</v>
      </c>
      <c r="K31" s="18">
        <f>COUNTIFS(Validation!$A:$A,$A31,Validation!Y:Y,TRUE)/$G31</f>
        <v>2.1739130434782608E-2</v>
      </c>
      <c r="L31" s="18">
        <f>COUNTIFS(Validation!$A:$A,$A31,Validation!Z:Z,TRUE)/$G31</f>
        <v>0.21739130434782608</v>
      </c>
      <c r="M31" s="1">
        <f ca="1">IFERROR(__xludf.DUMMYFUNCTION("IFERROR(ROWS(UNIQUE(FILTER(Validation!$E:$E, Validation!$A:$A=$A31,Validation!$F:$F=TRUE))),0)+IFERROR(ROWS(UNIQUE(FILTER(Validation!$H:$H, Validation!$A:$A=$A31,Validation!$I:$I=TRUE))),0)+IFERROR(ROWS(UNIQUE(FILTER(Validation!$J:$J, Validation!$A:$A=$A3"&amp;"1,Validation!$K:$K=TRUE))),0)"),0)</f>
        <v>0</v>
      </c>
      <c r="N31" s="15">
        <f>COUNTIFS(Validation!$A:$A,$A31,Validation!$R:$R,TRUE)/G31</f>
        <v>0.28260869565217389</v>
      </c>
      <c r="O31" s="15">
        <f>(G31-COUNTIFS(Validation!$A:$A,$A31,Validation!$U:$U,TRUE))/G31</f>
        <v>0.52173913043478259</v>
      </c>
      <c r="P31" s="15">
        <f>HLOOKUP($A31,'Analysis per seeked concept'!$B$1:$AE$2,2,FALSE)</f>
        <v>0.7</v>
      </c>
      <c r="Q31" s="1">
        <v>3</v>
      </c>
      <c r="R31" s="1">
        <v>2</v>
      </c>
      <c r="S31" s="1">
        <v>3</v>
      </c>
      <c r="T31" s="1">
        <v>2</v>
      </c>
      <c r="U31" s="2">
        <f t="shared" si="5"/>
        <v>10</v>
      </c>
      <c r="V31" s="1">
        <v>26</v>
      </c>
      <c r="W31" s="1">
        <v>0</v>
      </c>
      <c r="X31" s="2" t="s">
        <v>6967</v>
      </c>
    </row>
    <row r="32" spans="1:24" x14ac:dyDescent="0.25">
      <c r="A32" s="1" t="s">
        <v>3338</v>
      </c>
      <c r="B32" s="1" t="str">
        <f t="shared" si="0"/>
        <v>UC3</v>
      </c>
      <c r="C32" s="1" t="b">
        <f t="shared" si="1"/>
        <v>1</v>
      </c>
      <c r="D32" s="1" t="b">
        <f t="shared" si="2"/>
        <v>1</v>
      </c>
      <c r="E32" s="1" t="str">
        <f t="shared" si="3"/>
        <v>GPT</v>
      </c>
      <c r="F32" s="1" t="str">
        <f t="shared" si="4"/>
        <v>TURTLE</v>
      </c>
      <c r="G32" s="1">
        <f>COUNTIF(Validation!$A:$A,$A32)</f>
        <v>80</v>
      </c>
      <c r="H32" s="18">
        <f>COUNTIFS(Validation!$A:$A,$A32,Validation!V:V,TRUE)/$G32</f>
        <v>0.17499999999999999</v>
      </c>
      <c r="I32" s="18">
        <f>COUNTIFS(Validation!$A:$A,$A32,Validation!W:W,TRUE)/$G32</f>
        <v>3.7499999999999999E-2</v>
      </c>
      <c r="J32" s="18">
        <f>COUNTIFS(Validation!$A:$A,$A32,Validation!X:X,TRUE)/$G32</f>
        <v>1.2500000000000001E-2</v>
      </c>
      <c r="K32" s="18">
        <f>COUNTIFS(Validation!$A:$A,$A32,Validation!Y:Y,TRUE)/$G32</f>
        <v>6.25E-2</v>
      </c>
      <c r="L32" s="18">
        <f>COUNTIFS(Validation!$A:$A,$A32,Validation!Z:Z,TRUE)/$G32</f>
        <v>0.1</v>
      </c>
      <c r="M32" s="1">
        <f ca="1">IFERROR(__xludf.DUMMYFUNCTION("IFERROR(ROWS(UNIQUE(FILTER(Validation!$E:$E, Validation!$A:$A=$A32,Validation!$F:$F=TRUE))),0)+IFERROR(ROWS(UNIQUE(FILTER(Validation!$H:$H, Validation!$A:$A=$A32,Validation!$I:$I=TRUE))),0)+IFERROR(ROWS(UNIQUE(FILTER(Validation!$J:$J, Validation!$A:$A=$A3"&amp;"2,Validation!$K:$K=TRUE))),0)"),0)</f>
        <v>0</v>
      </c>
      <c r="N32" s="15">
        <f>COUNTIFS(Validation!$A:$A,$A32,Validation!$R:$R,TRUE)/G32</f>
        <v>0.4375</v>
      </c>
      <c r="O32" s="15">
        <f>(G32-COUNTIFS(Validation!$A:$A,$A32,Validation!$U:$U,TRUE))/G32</f>
        <v>0.92500000000000004</v>
      </c>
      <c r="P32" s="15">
        <f>HLOOKUP($A32,'Analysis per seeked concept'!$B$1:$AE$2,2,FALSE)</f>
        <v>0.83870967741935487</v>
      </c>
      <c r="Q32" s="1">
        <v>4</v>
      </c>
      <c r="R32" s="1">
        <v>4</v>
      </c>
      <c r="S32" s="1">
        <v>4</v>
      </c>
      <c r="T32" s="1">
        <v>3</v>
      </c>
      <c r="U32" s="2">
        <f t="shared" si="5"/>
        <v>15</v>
      </c>
      <c r="V32" s="1">
        <v>141</v>
      </c>
      <c r="W32" s="1">
        <v>0</v>
      </c>
      <c r="X32" s="2" t="s">
        <v>6968</v>
      </c>
    </row>
    <row r="33" spans="2:24" x14ac:dyDescent="0.25">
      <c r="X33" s="2"/>
    </row>
    <row r="34" spans="2:24" x14ac:dyDescent="0.25">
      <c r="X34" s="2"/>
    </row>
    <row r="35" spans="2:24" x14ac:dyDescent="0.25">
      <c r="X35" s="2"/>
    </row>
    <row r="36" spans="2:24" x14ac:dyDescent="0.25">
      <c r="B36" s="1">
        <v>3</v>
      </c>
      <c r="C36" s="1">
        <v>2</v>
      </c>
      <c r="D36" s="1">
        <v>2</v>
      </c>
      <c r="E36" s="1">
        <v>2</v>
      </c>
      <c r="F36" s="1">
        <v>3</v>
      </c>
      <c r="G36" s="1">
        <f>PRODUCT(B36:F36)</f>
        <v>72</v>
      </c>
      <c r="H36" s="1" t="s">
        <v>6969</v>
      </c>
      <c r="X36" s="2"/>
    </row>
    <row r="37" spans="2:24" x14ac:dyDescent="0.25">
      <c r="X37" s="2"/>
    </row>
    <row r="38" spans="2:24" x14ac:dyDescent="0.25">
      <c r="B38" s="1">
        <v>3</v>
      </c>
      <c r="C38" s="1">
        <v>2</v>
      </c>
      <c r="D38" s="1">
        <v>2</v>
      </c>
      <c r="E38" s="1">
        <v>2</v>
      </c>
      <c r="F38" s="1">
        <v>1</v>
      </c>
      <c r="G38" s="1">
        <f t="shared" ref="G38:G39" si="6">PRODUCT(B38:F38)</f>
        <v>24</v>
      </c>
      <c r="H38" s="1" t="s">
        <v>6970</v>
      </c>
      <c r="X38" s="2"/>
    </row>
    <row r="39" spans="2:24" x14ac:dyDescent="0.25">
      <c r="B39" s="1">
        <v>3</v>
      </c>
      <c r="C39" s="1">
        <v>2</v>
      </c>
      <c r="D39" s="1">
        <v>2</v>
      </c>
      <c r="E39" s="1">
        <v>1</v>
      </c>
      <c r="F39" s="1">
        <v>2</v>
      </c>
      <c r="G39" s="1">
        <f t="shared" si="6"/>
        <v>24</v>
      </c>
      <c r="H39" s="1" t="s">
        <v>6971</v>
      </c>
      <c r="X39" s="2"/>
    </row>
    <row r="40" spans="2:24" x14ac:dyDescent="0.25">
      <c r="X40" s="2"/>
    </row>
    <row r="41" spans="2:24" x14ac:dyDescent="0.25">
      <c r="B41" s="1">
        <v>1</v>
      </c>
      <c r="C41" s="1">
        <v>2</v>
      </c>
      <c r="D41" s="1">
        <v>2</v>
      </c>
      <c r="E41" s="1">
        <v>2</v>
      </c>
      <c r="F41" s="1">
        <v>1</v>
      </c>
      <c r="G41" s="1">
        <f t="shared" ref="G41:G44" si="7">PRODUCT(B41:F41)</f>
        <v>8</v>
      </c>
      <c r="H41" s="1" t="s">
        <v>6972</v>
      </c>
      <c r="X41" s="2"/>
    </row>
    <row r="42" spans="2:24" x14ac:dyDescent="0.25">
      <c r="B42" s="1">
        <v>2</v>
      </c>
      <c r="C42" s="1">
        <v>1</v>
      </c>
      <c r="D42" s="1">
        <v>2</v>
      </c>
      <c r="E42" s="1">
        <v>2</v>
      </c>
      <c r="F42" s="1">
        <v>1</v>
      </c>
      <c r="G42" s="1">
        <f t="shared" si="7"/>
        <v>8</v>
      </c>
      <c r="H42" s="1" t="s">
        <v>6973</v>
      </c>
      <c r="X42" s="2"/>
    </row>
    <row r="43" spans="2:24" x14ac:dyDescent="0.25">
      <c r="B43" s="1">
        <v>1</v>
      </c>
      <c r="C43" s="1">
        <v>2</v>
      </c>
      <c r="D43" s="1">
        <v>2</v>
      </c>
      <c r="E43" s="1">
        <v>1</v>
      </c>
      <c r="F43" s="1">
        <v>2</v>
      </c>
      <c r="G43" s="1">
        <f t="shared" si="7"/>
        <v>8</v>
      </c>
      <c r="H43" s="1" t="s">
        <v>6974</v>
      </c>
      <c r="X43" s="2"/>
    </row>
    <row r="44" spans="2:24" x14ac:dyDescent="0.25">
      <c r="B44" s="1">
        <v>2</v>
      </c>
      <c r="C44" s="1">
        <v>1</v>
      </c>
      <c r="D44" s="1">
        <v>2</v>
      </c>
      <c r="E44" s="1">
        <v>1</v>
      </c>
      <c r="F44" s="1">
        <v>2</v>
      </c>
      <c r="G44" s="1">
        <f t="shared" si="7"/>
        <v>8</v>
      </c>
      <c r="H44" s="1" t="s">
        <v>6975</v>
      </c>
      <c r="X44" s="2"/>
    </row>
    <row r="45" spans="2:24" x14ac:dyDescent="0.25">
      <c r="X45" s="2"/>
    </row>
    <row r="46" spans="2:24" x14ac:dyDescent="0.25">
      <c r="G46" s="1">
        <v>2</v>
      </c>
      <c r="H46" s="1" t="s">
        <v>6976</v>
      </c>
      <c r="X46" s="2"/>
    </row>
    <row r="47" spans="2:24" x14ac:dyDescent="0.25">
      <c r="X47" s="2"/>
    </row>
    <row r="48" spans="2:24" x14ac:dyDescent="0.25">
      <c r="X48" s="2"/>
    </row>
  </sheetData>
  <mergeCells count="11">
    <mergeCell ref="Q1:U1"/>
    <mergeCell ref="V1:V2"/>
    <mergeCell ref="W1:W2"/>
    <mergeCell ref="X1:X2"/>
    <mergeCell ref="A1:A2"/>
    <mergeCell ref="B1:F1"/>
    <mergeCell ref="G1:G2"/>
    <mergeCell ref="H1:M1"/>
    <mergeCell ref="N1:N2"/>
    <mergeCell ref="O1:O2"/>
    <mergeCell ref="P1:P2"/>
  </mergeCells>
  <dataValidations count="1">
    <dataValidation type="list" allowBlank="1" showErrorMessage="1" sqref="Q3:T32" xr:uid="{00000000-0002-0000-0400-000000000000}">
      <formula1>"1,2,3,4,5"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67"/>
  <sheetViews>
    <sheetView tabSelected="1" workbookViewId="0"/>
  </sheetViews>
  <sheetFormatPr baseColWidth="10" defaultColWidth="12.6640625" defaultRowHeight="15.75" customHeight="1" x14ac:dyDescent="0.25"/>
  <cols>
    <col min="1" max="1" width="32.44140625" customWidth="1"/>
    <col min="2" max="2" width="32" customWidth="1"/>
    <col min="3" max="3" width="24.77734375" customWidth="1"/>
    <col min="6" max="6" width="29.109375" customWidth="1"/>
  </cols>
  <sheetData>
    <row r="1" spans="1:10" x14ac:dyDescent="0.25">
      <c r="A1" s="1" t="s">
        <v>6977</v>
      </c>
      <c r="B1" s="1" t="s">
        <v>6978</v>
      </c>
      <c r="C1" s="1" t="s">
        <v>6979</v>
      </c>
      <c r="F1" s="1" t="s">
        <v>6980</v>
      </c>
      <c r="G1" s="1" t="s">
        <v>6981</v>
      </c>
      <c r="H1" s="1" t="s">
        <v>6982</v>
      </c>
      <c r="I1" s="1" t="s">
        <v>6983</v>
      </c>
      <c r="J1" s="1" t="s">
        <v>6984</v>
      </c>
    </row>
    <row r="2" spans="1:10" x14ac:dyDescent="0.25">
      <c r="A2" s="1" t="s">
        <v>192</v>
      </c>
      <c r="B2" s="1" t="s">
        <v>6985</v>
      </c>
      <c r="C2" s="1" t="s">
        <v>6986</v>
      </c>
      <c r="F2" s="1" t="s">
        <v>6</v>
      </c>
      <c r="G2" s="1">
        <v>2</v>
      </c>
      <c r="H2" s="1">
        <v>0</v>
      </c>
      <c r="I2" s="1">
        <v>2</v>
      </c>
      <c r="J2" s="1" t="s">
        <v>5</v>
      </c>
    </row>
    <row r="3" spans="1:10" x14ac:dyDescent="0.25">
      <c r="A3" s="1" t="s">
        <v>6987</v>
      </c>
      <c r="B3" s="1" t="s">
        <v>6988</v>
      </c>
      <c r="C3" s="1" t="s">
        <v>6989</v>
      </c>
      <c r="F3" s="1" t="s">
        <v>8</v>
      </c>
      <c r="G3" s="1">
        <v>2</v>
      </c>
      <c r="H3" s="1">
        <v>0</v>
      </c>
      <c r="I3" s="1">
        <v>2</v>
      </c>
      <c r="J3" s="1" t="s">
        <v>5</v>
      </c>
    </row>
    <row r="4" spans="1:10" x14ac:dyDescent="0.25">
      <c r="A4" s="1" t="s">
        <v>6990</v>
      </c>
      <c r="B4" s="1" t="s">
        <v>6991</v>
      </c>
      <c r="C4" s="1" t="s">
        <v>6992</v>
      </c>
      <c r="F4" s="1" t="s">
        <v>9</v>
      </c>
      <c r="G4" s="1">
        <v>2</v>
      </c>
      <c r="H4" s="1">
        <v>0</v>
      </c>
      <c r="I4" s="1">
        <v>2</v>
      </c>
      <c r="J4" s="1" t="s">
        <v>5</v>
      </c>
    </row>
    <row r="5" spans="1:10" x14ac:dyDescent="0.25">
      <c r="A5" s="1" t="s">
        <v>2511</v>
      </c>
      <c r="B5" s="1" t="s">
        <v>6993</v>
      </c>
      <c r="C5" s="1" t="s">
        <v>6994</v>
      </c>
      <c r="F5" s="1" t="s">
        <v>10</v>
      </c>
      <c r="G5" s="1">
        <v>2</v>
      </c>
      <c r="H5" s="1">
        <v>0</v>
      </c>
      <c r="I5" s="1">
        <v>2</v>
      </c>
      <c r="J5" s="1" t="s">
        <v>5</v>
      </c>
    </row>
    <row r="6" spans="1:10" x14ac:dyDescent="0.25">
      <c r="A6" s="1" t="s">
        <v>40</v>
      </c>
      <c r="B6" s="1" t="s">
        <v>6995</v>
      </c>
      <c r="C6" s="1" t="s">
        <v>6996</v>
      </c>
      <c r="F6" s="1" t="s">
        <v>11</v>
      </c>
      <c r="G6" s="1">
        <v>2</v>
      </c>
      <c r="H6" s="1">
        <v>0</v>
      </c>
      <c r="I6" s="1">
        <v>2</v>
      </c>
      <c r="J6" s="1" t="s">
        <v>5</v>
      </c>
    </row>
    <row r="7" spans="1:10" x14ac:dyDescent="0.25">
      <c r="A7" s="1" t="s">
        <v>6997</v>
      </c>
      <c r="B7" s="1" t="s">
        <v>6998</v>
      </c>
      <c r="C7" s="1" t="s">
        <v>6999</v>
      </c>
      <c r="F7" s="1" t="s">
        <v>13</v>
      </c>
      <c r="G7" s="1">
        <v>1</v>
      </c>
      <c r="H7" s="1">
        <v>0</v>
      </c>
      <c r="I7" s="1">
        <v>1</v>
      </c>
      <c r="J7" s="1" t="s">
        <v>12</v>
      </c>
    </row>
    <row r="8" spans="1:10" x14ac:dyDescent="0.25">
      <c r="A8" s="1" t="s">
        <v>27</v>
      </c>
      <c r="B8" s="1" t="s">
        <v>7000</v>
      </c>
      <c r="C8" s="1" t="s">
        <v>7001</v>
      </c>
      <c r="F8" s="1" t="s">
        <v>15</v>
      </c>
      <c r="G8" s="1">
        <v>2</v>
      </c>
      <c r="H8" s="1">
        <v>0</v>
      </c>
      <c r="I8" s="1">
        <v>2</v>
      </c>
      <c r="J8" s="1" t="s">
        <v>12</v>
      </c>
    </row>
    <row r="9" spans="1:10" x14ac:dyDescent="0.25">
      <c r="A9" s="1" t="s">
        <v>7002</v>
      </c>
      <c r="B9" s="1" t="s">
        <v>7003</v>
      </c>
      <c r="C9" s="1" t="s">
        <v>7004</v>
      </c>
      <c r="F9" s="1" t="s">
        <v>16</v>
      </c>
      <c r="G9" s="1">
        <v>2</v>
      </c>
      <c r="H9" s="1">
        <v>0</v>
      </c>
      <c r="I9" s="1">
        <v>2</v>
      </c>
      <c r="J9" s="1" t="s">
        <v>12</v>
      </c>
    </row>
    <row r="10" spans="1:10" x14ac:dyDescent="0.25">
      <c r="A10" s="1" t="s">
        <v>195</v>
      </c>
      <c r="B10" s="1" t="s">
        <v>7005</v>
      </c>
      <c r="C10" s="1" t="s">
        <v>7006</v>
      </c>
      <c r="F10" s="1" t="s">
        <v>17</v>
      </c>
      <c r="G10" s="1">
        <v>2</v>
      </c>
      <c r="H10" s="1">
        <v>0</v>
      </c>
      <c r="I10" s="1">
        <v>2</v>
      </c>
      <c r="J10" s="1" t="s">
        <v>12</v>
      </c>
    </row>
    <row r="11" spans="1:10" x14ac:dyDescent="0.25">
      <c r="A11" s="1" t="s">
        <v>7007</v>
      </c>
      <c r="B11" s="1" t="s">
        <v>7008</v>
      </c>
      <c r="C11" s="1" t="s">
        <v>7009</v>
      </c>
      <c r="F11" s="1" t="s">
        <v>20</v>
      </c>
      <c r="G11" s="1">
        <v>1</v>
      </c>
      <c r="H11" s="1">
        <v>0</v>
      </c>
      <c r="I11" s="1">
        <v>1</v>
      </c>
      <c r="J11" s="1" t="s">
        <v>12</v>
      </c>
    </row>
    <row r="12" spans="1:10" x14ac:dyDescent="0.25">
      <c r="A12" s="1" t="s">
        <v>7010</v>
      </c>
      <c r="B12" s="1" t="s">
        <v>7011</v>
      </c>
      <c r="C12" s="1" t="s">
        <v>7012</v>
      </c>
      <c r="F12" s="1" t="s">
        <v>22</v>
      </c>
      <c r="G12" s="1">
        <v>1</v>
      </c>
      <c r="H12" s="1">
        <v>0</v>
      </c>
      <c r="I12" s="1">
        <v>1</v>
      </c>
      <c r="J12" s="1" t="s">
        <v>12</v>
      </c>
    </row>
    <row r="13" spans="1:10" x14ac:dyDescent="0.25">
      <c r="A13" s="1" t="s">
        <v>34</v>
      </c>
      <c r="B13" s="1" t="s">
        <v>7013</v>
      </c>
      <c r="C13" s="1" t="s">
        <v>7014</v>
      </c>
      <c r="F13" s="1" t="s">
        <v>24</v>
      </c>
      <c r="G13" s="1">
        <v>1</v>
      </c>
      <c r="H13" s="1">
        <v>0</v>
      </c>
      <c r="I13" s="1">
        <v>1</v>
      </c>
      <c r="J13" s="1" t="s">
        <v>12</v>
      </c>
    </row>
    <row r="14" spans="1:10" x14ac:dyDescent="0.25">
      <c r="A14" s="1" t="s">
        <v>7015</v>
      </c>
      <c r="B14" s="1" t="s">
        <v>7016</v>
      </c>
      <c r="C14" s="1" t="s">
        <v>7017</v>
      </c>
      <c r="F14" s="1" t="s">
        <v>26</v>
      </c>
      <c r="G14" s="1">
        <v>1</v>
      </c>
      <c r="H14" s="1">
        <v>0</v>
      </c>
      <c r="I14" s="1">
        <v>1</v>
      </c>
      <c r="J14" s="1" t="s">
        <v>12</v>
      </c>
    </row>
    <row r="15" spans="1:10" x14ac:dyDescent="0.25">
      <c r="A15" s="1" t="s">
        <v>7018</v>
      </c>
      <c r="B15" s="1" t="s">
        <v>7019</v>
      </c>
      <c r="C15" s="1" t="s">
        <v>7020</v>
      </c>
      <c r="F15" s="1" t="s">
        <v>28</v>
      </c>
      <c r="G15" s="1">
        <v>1</v>
      </c>
      <c r="H15" s="1">
        <v>0</v>
      </c>
      <c r="I15" s="1">
        <v>1</v>
      </c>
      <c r="J15" s="1" t="s">
        <v>12</v>
      </c>
    </row>
    <row r="16" spans="1:10" x14ac:dyDescent="0.25">
      <c r="A16" s="1" t="s">
        <v>201</v>
      </c>
      <c r="B16" s="1" t="s">
        <v>7021</v>
      </c>
      <c r="C16" s="1" t="s">
        <v>7022</v>
      </c>
      <c r="F16" s="1" t="s">
        <v>29</v>
      </c>
      <c r="G16" s="1">
        <v>1</v>
      </c>
      <c r="H16" s="1">
        <v>0</v>
      </c>
      <c r="I16" s="1">
        <v>1</v>
      </c>
      <c r="J16" s="1" t="s">
        <v>12</v>
      </c>
    </row>
    <row r="17" spans="1:10" x14ac:dyDescent="0.25">
      <c r="A17" s="1" t="s">
        <v>3409</v>
      </c>
      <c r="B17" s="1" t="s">
        <v>7023</v>
      </c>
      <c r="C17" s="1" t="s">
        <v>7024</v>
      </c>
      <c r="F17" s="1" t="s">
        <v>30</v>
      </c>
      <c r="G17" s="1">
        <v>1</v>
      </c>
      <c r="H17" s="1">
        <v>0</v>
      </c>
      <c r="I17" s="1">
        <v>1</v>
      </c>
      <c r="J17" s="1" t="s">
        <v>12</v>
      </c>
    </row>
    <row r="18" spans="1:10" x14ac:dyDescent="0.25">
      <c r="A18" s="1" t="s">
        <v>7025</v>
      </c>
      <c r="B18" s="1" t="s">
        <v>7026</v>
      </c>
      <c r="C18" s="1" t="s">
        <v>7027</v>
      </c>
      <c r="F18" s="1" t="s">
        <v>31</v>
      </c>
      <c r="G18" s="1">
        <v>1</v>
      </c>
      <c r="H18" s="1">
        <v>0</v>
      </c>
      <c r="I18" s="1">
        <v>1</v>
      </c>
      <c r="J18" s="1" t="s">
        <v>12</v>
      </c>
    </row>
    <row r="19" spans="1:10" x14ac:dyDescent="0.25">
      <c r="A19" s="1" t="s">
        <v>23</v>
      </c>
      <c r="B19" s="1" t="s">
        <v>7028</v>
      </c>
      <c r="C19" s="1" t="s">
        <v>7029</v>
      </c>
      <c r="F19" s="1" t="s">
        <v>32</v>
      </c>
      <c r="G19" s="1">
        <v>1</v>
      </c>
      <c r="H19" s="1">
        <v>0</v>
      </c>
      <c r="I19" s="1">
        <v>1</v>
      </c>
      <c r="J19" s="1" t="s">
        <v>12</v>
      </c>
    </row>
    <row r="20" spans="1:10" x14ac:dyDescent="0.25">
      <c r="A20" s="1" t="s">
        <v>44</v>
      </c>
      <c r="B20" s="1" t="s">
        <v>7030</v>
      </c>
      <c r="C20" s="1" t="s">
        <v>7031</v>
      </c>
      <c r="F20" s="1" t="s">
        <v>33</v>
      </c>
      <c r="G20" s="1">
        <v>1</v>
      </c>
      <c r="H20" s="1">
        <v>0</v>
      </c>
      <c r="I20" s="1">
        <v>1</v>
      </c>
      <c r="J20" s="1" t="s">
        <v>12</v>
      </c>
    </row>
    <row r="21" spans="1:10" x14ac:dyDescent="0.25">
      <c r="A21" s="1" t="s">
        <v>1576</v>
      </c>
      <c r="B21" s="1" t="s">
        <v>7032</v>
      </c>
      <c r="C21" s="1" t="s">
        <v>7033</v>
      </c>
      <c r="F21" s="1" t="s">
        <v>35</v>
      </c>
      <c r="G21" s="1">
        <v>1</v>
      </c>
      <c r="H21" s="1">
        <v>0</v>
      </c>
      <c r="I21" s="1">
        <v>1</v>
      </c>
      <c r="J21" s="1" t="s">
        <v>12</v>
      </c>
    </row>
    <row r="22" spans="1:10" x14ac:dyDescent="0.25">
      <c r="A22" s="1" t="s">
        <v>104</v>
      </c>
      <c r="B22" s="1" t="s">
        <v>7034</v>
      </c>
      <c r="C22" s="1" t="s">
        <v>7035</v>
      </c>
      <c r="F22" s="1" t="s">
        <v>38</v>
      </c>
      <c r="G22" s="1">
        <v>1</v>
      </c>
      <c r="H22" s="1">
        <v>2</v>
      </c>
      <c r="I22" s="1">
        <v>1</v>
      </c>
      <c r="J22" s="1" t="s">
        <v>37</v>
      </c>
    </row>
    <row r="23" spans="1:10" x14ac:dyDescent="0.25">
      <c r="A23" s="1" t="s">
        <v>7036</v>
      </c>
      <c r="B23" s="1" t="s">
        <v>7037</v>
      </c>
      <c r="C23" s="1" t="s">
        <v>7038</v>
      </c>
      <c r="F23" s="1" t="s">
        <v>42</v>
      </c>
      <c r="G23" s="1">
        <v>2</v>
      </c>
      <c r="H23" s="1">
        <v>2</v>
      </c>
      <c r="I23" s="1">
        <v>2</v>
      </c>
      <c r="J23" s="1" t="s">
        <v>41</v>
      </c>
    </row>
    <row r="24" spans="1:10" x14ac:dyDescent="0.25">
      <c r="A24" s="1" t="s">
        <v>1109</v>
      </c>
      <c r="B24" s="1" t="s">
        <v>7039</v>
      </c>
      <c r="C24" s="1" t="s">
        <v>7040</v>
      </c>
      <c r="F24" s="1" t="s">
        <v>45</v>
      </c>
      <c r="G24" s="1">
        <v>1</v>
      </c>
      <c r="H24" s="1">
        <v>2</v>
      </c>
      <c r="I24" s="1">
        <v>1</v>
      </c>
      <c r="J24" s="1" t="s">
        <v>41</v>
      </c>
    </row>
    <row r="25" spans="1:10" x14ac:dyDescent="0.25">
      <c r="A25" s="1" t="s">
        <v>7041</v>
      </c>
      <c r="B25" s="1" t="s">
        <v>7042</v>
      </c>
      <c r="C25" s="1" t="s">
        <v>7043</v>
      </c>
      <c r="F25" s="1" t="s">
        <v>46</v>
      </c>
      <c r="G25" s="1">
        <v>1</v>
      </c>
      <c r="H25" s="1">
        <v>2</v>
      </c>
      <c r="I25" s="1">
        <v>1</v>
      </c>
      <c r="J25" s="1" t="s">
        <v>41</v>
      </c>
    </row>
    <row r="26" spans="1:10" x14ac:dyDescent="0.25">
      <c r="A26" s="1" t="s">
        <v>1583</v>
      </c>
      <c r="B26" s="1" t="s">
        <v>7044</v>
      </c>
      <c r="C26" s="1" t="s">
        <v>7045</v>
      </c>
      <c r="F26" s="1" t="s">
        <v>47</v>
      </c>
      <c r="G26" s="1">
        <v>2</v>
      </c>
      <c r="H26" s="1">
        <v>2</v>
      </c>
      <c r="I26" s="1">
        <v>2</v>
      </c>
      <c r="J26" s="1" t="s">
        <v>41</v>
      </c>
    </row>
    <row r="27" spans="1:10" x14ac:dyDescent="0.25">
      <c r="A27" s="1" t="s">
        <v>208</v>
      </c>
      <c r="B27" s="1" t="s">
        <v>7046</v>
      </c>
      <c r="C27" s="1" t="s">
        <v>7047</v>
      </c>
      <c r="F27" s="1" t="s">
        <v>50</v>
      </c>
      <c r="G27" s="1">
        <v>1</v>
      </c>
      <c r="H27" s="1">
        <v>1</v>
      </c>
      <c r="I27" s="1">
        <v>1</v>
      </c>
      <c r="J27" s="1" t="s">
        <v>49</v>
      </c>
    </row>
    <row r="28" spans="1:10" x14ac:dyDescent="0.25">
      <c r="A28" s="1" t="s">
        <v>7048</v>
      </c>
      <c r="B28" s="1" t="s">
        <v>7049</v>
      </c>
      <c r="C28" s="1" t="s">
        <v>7050</v>
      </c>
      <c r="F28" s="1" t="s">
        <v>51</v>
      </c>
      <c r="G28" s="1">
        <v>1</v>
      </c>
      <c r="H28" s="1">
        <v>1</v>
      </c>
      <c r="I28" s="1">
        <v>1</v>
      </c>
      <c r="J28" s="1" t="s">
        <v>49</v>
      </c>
    </row>
    <row r="29" spans="1:10" x14ac:dyDescent="0.25">
      <c r="A29" s="1" t="s">
        <v>7051</v>
      </c>
      <c r="B29" s="1" t="s">
        <v>7052</v>
      </c>
      <c r="C29" s="1" t="s">
        <v>7053</v>
      </c>
      <c r="F29" s="1" t="s">
        <v>52</v>
      </c>
      <c r="G29" s="1">
        <v>1</v>
      </c>
      <c r="H29" s="1">
        <v>2</v>
      </c>
      <c r="I29" s="1">
        <v>1</v>
      </c>
      <c r="J29" s="1" t="s">
        <v>49</v>
      </c>
    </row>
    <row r="30" spans="1:10" x14ac:dyDescent="0.25">
      <c r="A30" s="1" t="s">
        <v>7054</v>
      </c>
      <c r="B30" s="1" t="s">
        <v>7055</v>
      </c>
      <c r="C30" s="1" t="s">
        <v>7056</v>
      </c>
      <c r="F30" s="1" t="s">
        <v>54</v>
      </c>
      <c r="G30" s="1">
        <v>1</v>
      </c>
      <c r="H30" s="1">
        <v>1</v>
      </c>
      <c r="I30" s="1">
        <v>1</v>
      </c>
      <c r="J30" s="1" t="s">
        <v>49</v>
      </c>
    </row>
    <row r="31" spans="1:10" x14ac:dyDescent="0.25">
      <c r="A31" s="1" t="s">
        <v>61</v>
      </c>
      <c r="B31" s="1" t="s">
        <v>7057</v>
      </c>
      <c r="C31" s="1" t="s">
        <v>7058</v>
      </c>
      <c r="F31" s="1" t="s">
        <v>55</v>
      </c>
      <c r="G31" s="1">
        <v>1</v>
      </c>
      <c r="H31" s="1">
        <v>1</v>
      </c>
      <c r="I31" s="1">
        <v>1</v>
      </c>
      <c r="J31" s="1" t="s">
        <v>49</v>
      </c>
    </row>
    <row r="32" spans="1:10" x14ac:dyDescent="0.25">
      <c r="A32" s="1" t="s">
        <v>1218</v>
      </c>
      <c r="B32" s="1" t="s">
        <v>7059</v>
      </c>
      <c r="C32" s="1" t="s">
        <v>7060</v>
      </c>
      <c r="F32" s="1" t="s">
        <v>56</v>
      </c>
      <c r="G32" s="1">
        <v>1</v>
      </c>
      <c r="H32" s="1">
        <v>1</v>
      </c>
      <c r="I32" s="1">
        <v>1</v>
      </c>
      <c r="J32" s="1" t="s">
        <v>49</v>
      </c>
    </row>
    <row r="33" spans="1:10" x14ac:dyDescent="0.25">
      <c r="A33" s="1" t="s">
        <v>19</v>
      </c>
      <c r="B33" s="1" t="s">
        <v>7061</v>
      </c>
      <c r="C33" s="1" t="s">
        <v>7062</v>
      </c>
      <c r="F33" s="1" t="s">
        <v>58</v>
      </c>
      <c r="G33" s="1">
        <v>1</v>
      </c>
      <c r="H33" s="1">
        <v>1</v>
      </c>
      <c r="I33" s="1">
        <v>1</v>
      </c>
      <c r="J33" s="1" t="s">
        <v>49</v>
      </c>
    </row>
    <row r="34" spans="1:10" x14ac:dyDescent="0.25">
      <c r="A34" s="1" t="s">
        <v>7063</v>
      </c>
      <c r="B34" s="1" t="s">
        <v>7064</v>
      </c>
      <c r="C34" s="1" t="s">
        <v>7065</v>
      </c>
      <c r="F34" s="1" t="s">
        <v>60</v>
      </c>
      <c r="G34" s="1">
        <v>2</v>
      </c>
      <c r="H34" s="1">
        <v>2</v>
      </c>
      <c r="I34" s="1">
        <v>2</v>
      </c>
      <c r="J34" s="1" t="s">
        <v>59</v>
      </c>
    </row>
    <row r="35" spans="1:10" x14ac:dyDescent="0.25">
      <c r="A35" s="1" t="s">
        <v>7066</v>
      </c>
      <c r="B35" s="1" t="s">
        <v>7067</v>
      </c>
      <c r="C35" s="1" t="s">
        <v>7068</v>
      </c>
      <c r="F35" s="1" t="s">
        <v>62</v>
      </c>
      <c r="G35" s="1">
        <v>2</v>
      </c>
      <c r="H35" s="1">
        <v>2</v>
      </c>
      <c r="I35" s="1">
        <v>2</v>
      </c>
      <c r="J35" s="1" t="s">
        <v>59</v>
      </c>
    </row>
    <row r="36" spans="1:10" x14ac:dyDescent="0.25">
      <c r="A36" s="1" t="s">
        <v>1942</v>
      </c>
      <c r="B36" s="1" t="s">
        <v>7069</v>
      </c>
      <c r="C36" s="1" t="s">
        <v>7070</v>
      </c>
      <c r="F36" s="1" t="s">
        <v>65</v>
      </c>
      <c r="G36" s="1">
        <v>1</v>
      </c>
      <c r="H36" s="1">
        <v>1</v>
      </c>
      <c r="I36" s="1">
        <v>1</v>
      </c>
      <c r="J36" s="1" t="s">
        <v>64</v>
      </c>
    </row>
    <row r="37" spans="1:10" x14ac:dyDescent="0.25">
      <c r="A37" s="1" t="s">
        <v>7071</v>
      </c>
      <c r="B37" s="1" t="s">
        <v>7072</v>
      </c>
      <c r="C37" s="1" t="s">
        <v>7073</v>
      </c>
      <c r="F37" s="1" t="s">
        <v>66</v>
      </c>
      <c r="G37" s="1">
        <v>1</v>
      </c>
      <c r="H37" s="1">
        <v>1</v>
      </c>
      <c r="I37" s="1">
        <v>1</v>
      </c>
      <c r="J37" s="1" t="s">
        <v>64</v>
      </c>
    </row>
    <row r="38" spans="1:10" x14ac:dyDescent="0.25">
      <c r="A38" s="1" t="s">
        <v>115</v>
      </c>
      <c r="B38" s="1" t="s">
        <v>7074</v>
      </c>
      <c r="C38" s="1" t="s">
        <v>7075</v>
      </c>
      <c r="F38" s="1" t="s">
        <v>67</v>
      </c>
      <c r="G38" s="1">
        <v>1</v>
      </c>
      <c r="H38" s="1">
        <v>1</v>
      </c>
      <c r="I38" s="1">
        <v>1</v>
      </c>
      <c r="J38" s="1" t="s">
        <v>64</v>
      </c>
    </row>
    <row r="39" spans="1:10" x14ac:dyDescent="0.25">
      <c r="A39" s="1" t="s">
        <v>63</v>
      </c>
      <c r="B39" s="1" t="s">
        <v>7076</v>
      </c>
      <c r="C39" s="1" t="s">
        <v>7077</v>
      </c>
      <c r="F39" s="1" t="s">
        <v>68</v>
      </c>
      <c r="G39" s="1">
        <v>1</v>
      </c>
      <c r="H39" s="1">
        <v>1</v>
      </c>
      <c r="I39" s="1">
        <v>1</v>
      </c>
      <c r="J39" s="1" t="s">
        <v>64</v>
      </c>
    </row>
    <row r="40" spans="1:10" x14ac:dyDescent="0.25">
      <c r="A40" s="1" t="s">
        <v>125</v>
      </c>
      <c r="B40" s="1" t="s">
        <v>7078</v>
      </c>
      <c r="C40" s="1" t="s">
        <v>7079</v>
      </c>
      <c r="F40" s="1" t="s">
        <v>69</v>
      </c>
      <c r="G40" s="1">
        <v>1</v>
      </c>
      <c r="H40" s="1">
        <v>1</v>
      </c>
      <c r="I40" s="1">
        <v>1</v>
      </c>
      <c r="J40" s="1" t="s">
        <v>64</v>
      </c>
    </row>
    <row r="41" spans="1:10" x14ac:dyDescent="0.25">
      <c r="A41" s="1" t="s">
        <v>7080</v>
      </c>
      <c r="B41" s="1" t="s">
        <v>7081</v>
      </c>
      <c r="C41" s="1" t="s">
        <v>7082</v>
      </c>
      <c r="F41" s="1" t="s">
        <v>70</v>
      </c>
      <c r="G41" s="1">
        <v>1</v>
      </c>
      <c r="H41" s="1">
        <v>1</v>
      </c>
      <c r="I41" s="1">
        <v>1</v>
      </c>
      <c r="J41" s="1" t="s">
        <v>64</v>
      </c>
    </row>
    <row r="42" spans="1:10" x14ac:dyDescent="0.25">
      <c r="A42" s="1" t="s">
        <v>7083</v>
      </c>
      <c r="B42" s="1" t="s">
        <v>7084</v>
      </c>
      <c r="C42" s="1" t="s">
        <v>7085</v>
      </c>
      <c r="F42" s="1" t="s">
        <v>325</v>
      </c>
      <c r="G42" s="1">
        <v>2</v>
      </c>
      <c r="H42" s="1">
        <v>2</v>
      </c>
      <c r="I42" s="1">
        <v>0</v>
      </c>
      <c r="J42" s="1" t="s">
        <v>12</v>
      </c>
    </row>
    <row r="43" spans="1:10" x14ac:dyDescent="0.25">
      <c r="A43" s="1" t="s">
        <v>7086</v>
      </c>
      <c r="C43" s="1" t="s">
        <v>7087</v>
      </c>
      <c r="F43" s="1" t="s">
        <v>367</v>
      </c>
      <c r="G43" s="1">
        <v>2</v>
      </c>
      <c r="H43" s="1">
        <v>2</v>
      </c>
      <c r="I43" s="1">
        <v>0</v>
      </c>
      <c r="J43" s="1" t="s">
        <v>49</v>
      </c>
    </row>
    <row r="44" spans="1:10" x14ac:dyDescent="0.25">
      <c r="A44" s="1" t="s">
        <v>7088</v>
      </c>
      <c r="C44" s="1" t="s">
        <v>7089</v>
      </c>
      <c r="F44" s="1" t="s">
        <v>174</v>
      </c>
      <c r="G44" s="1">
        <v>2</v>
      </c>
      <c r="H44" s="1">
        <v>2</v>
      </c>
      <c r="I44" s="1">
        <v>0</v>
      </c>
      <c r="J44" s="1" t="s">
        <v>64</v>
      </c>
    </row>
    <row r="45" spans="1:10" x14ac:dyDescent="0.25">
      <c r="A45" s="1" t="s">
        <v>7090</v>
      </c>
      <c r="C45" s="1" t="s">
        <v>7091</v>
      </c>
      <c r="F45" s="1" t="s">
        <v>107</v>
      </c>
      <c r="G45" s="1">
        <v>2</v>
      </c>
      <c r="H45" s="1">
        <v>0</v>
      </c>
      <c r="I45" s="1">
        <v>2</v>
      </c>
      <c r="J45" s="1" t="s">
        <v>107</v>
      </c>
    </row>
    <row r="46" spans="1:10" x14ac:dyDescent="0.25">
      <c r="A46" s="1" t="s">
        <v>138</v>
      </c>
      <c r="C46" s="1" t="s">
        <v>7092</v>
      </c>
      <c r="F46" s="1" t="s">
        <v>187</v>
      </c>
      <c r="G46" s="1">
        <v>0</v>
      </c>
      <c r="H46" s="1">
        <v>0</v>
      </c>
      <c r="I46" s="1">
        <v>0</v>
      </c>
      <c r="J46" s="1" t="s">
        <v>187</v>
      </c>
    </row>
    <row r="47" spans="1:10" x14ac:dyDescent="0.25">
      <c r="A47" s="1" t="s">
        <v>7093</v>
      </c>
      <c r="C47" s="1" t="s">
        <v>7094</v>
      </c>
    </row>
    <row r="48" spans="1:10" x14ac:dyDescent="0.25">
      <c r="A48" s="1" t="s">
        <v>7095</v>
      </c>
      <c r="C48" s="1" t="s">
        <v>7096</v>
      </c>
    </row>
    <row r="49" spans="1:3" x14ac:dyDescent="0.25">
      <c r="A49" s="1" t="s">
        <v>7097</v>
      </c>
      <c r="C49" s="1" t="s">
        <v>7098</v>
      </c>
    </row>
    <row r="50" spans="1:3" x14ac:dyDescent="0.25">
      <c r="A50" s="1" t="s">
        <v>14</v>
      </c>
      <c r="C50" s="1" t="s">
        <v>7099</v>
      </c>
    </row>
    <row r="51" spans="1:3" x14ac:dyDescent="0.25">
      <c r="A51" s="1" t="s">
        <v>7100</v>
      </c>
      <c r="C51" s="1" t="s">
        <v>7101</v>
      </c>
    </row>
    <row r="52" spans="1:3" x14ac:dyDescent="0.25">
      <c r="A52" s="1" t="s">
        <v>7102</v>
      </c>
      <c r="C52" s="1" t="s">
        <v>7103</v>
      </c>
    </row>
    <row r="53" spans="1:3" x14ac:dyDescent="0.25">
      <c r="A53" s="1" t="s">
        <v>36</v>
      </c>
      <c r="C53" s="1" t="s">
        <v>7104</v>
      </c>
    </row>
    <row r="54" spans="1:3" x14ac:dyDescent="0.25">
      <c r="A54" s="1" t="s">
        <v>25</v>
      </c>
      <c r="C54" s="1" t="s">
        <v>7105</v>
      </c>
    </row>
    <row r="55" spans="1:3" x14ac:dyDescent="0.25">
      <c r="A55" s="1" t="s">
        <v>48</v>
      </c>
      <c r="C55" s="1" t="s">
        <v>7106</v>
      </c>
    </row>
    <row r="56" spans="1:3" x14ac:dyDescent="0.25">
      <c r="A56" s="1" t="s">
        <v>2282</v>
      </c>
      <c r="C56" s="1" t="s">
        <v>7107</v>
      </c>
    </row>
    <row r="57" spans="1:3" x14ac:dyDescent="0.25">
      <c r="A57" s="1" t="s">
        <v>581</v>
      </c>
      <c r="C57" s="1" t="s">
        <v>7108</v>
      </c>
    </row>
    <row r="58" spans="1:3" x14ac:dyDescent="0.25">
      <c r="A58" s="1" t="s">
        <v>7109</v>
      </c>
      <c r="C58" s="1" t="s">
        <v>7110</v>
      </c>
    </row>
    <row r="59" spans="1:3" x14ac:dyDescent="0.25">
      <c r="A59" s="1" t="s">
        <v>605</v>
      </c>
      <c r="C59" s="1" t="s">
        <v>7111</v>
      </c>
    </row>
    <row r="60" spans="1:3" x14ac:dyDescent="0.25">
      <c r="A60" s="1" t="s">
        <v>1308</v>
      </c>
      <c r="C60" s="1" t="s">
        <v>7112</v>
      </c>
    </row>
    <row r="61" spans="1:3" x14ac:dyDescent="0.25">
      <c r="A61" s="1" t="s">
        <v>7</v>
      </c>
      <c r="C61" s="1" t="s">
        <v>7113</v>
      </c>
    </row>
    <row r="62" spans="1:3" x14ac:dyDescent="0.25">
      <c r="A62" s="1" t="s">
        <v>219</v>
      </c>
      <c r="C62" s="1" t="s">
        <v>7114</v>
      </c>
    </row>
    <row r="63" spans="1:3" x14ac:dyDescent="0.25">
      <c r="C63" s="1" t="s">
        <v>7115</v>
      </c>
    </row>
    <row r="64" spans="1:3" x14ac:dyDescent="0.25">
      <c r="C64" s="1" t="s">
        <v>7116</v>
      </c>
    </row>
    <row r="65" spans="3:3" x14ac:dyDescent="0.25">
      <c r="C65" s="1" t="s">
        <v>7117</v>
      </c>
    </row>
    <row r="66" spans="3:3" x14ac:dyDescent="0.25">
      <c r="C66" s="1" t="s">
        <v>7118</v>
      </c>
    </row>
    <row r="67" spans="3:3" x14ac:dyDescent="0.25">
      <c r="C67" s="1" t="s">
        <v>7119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Validation</vt:lpstr>
      <vt:lpstr>Backup (porsi)</vt:lpstr>
      <vt:lpstr>Analysis per seeked concept</vt:lpstr>
      <vt:lpstr>Global assessment per test</vt:lpstr>
      <vt:lpstr>Ontology and concepts per 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Iván Castilla Rodríguez</cp:lastModifiedBy>
  <dcterms:modified xsi:type="dcterms:W3CDTF">2026-02-25T09:49:33Z</dcterms:modified>
</cp:coreProperties>
</file>